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aonm\Desktop\"/>
    </mc:Choice>
  </mc:AlternateContent>
  <xr:revisionPtr revIDLastSave="0" documentId="13_ncr:1_{183600A7-D60D-4D80-88E2-5A3CBCD95F8A}" xr6:coauthVersionLast="47" xr6:coauthVersionMax="47" xr10:uidLastSave="{00000000-0000-0000-0000-000000000000}"/>
  <bookViews>
    <workbookView xWindow="-108" yWindow="-108" windowWidth="23256" windowHeight="12456" firstSheet="2" activeTab="4" xr2:uid="{00000000-000D-0000-FFFF-FFFF00000000}"/>
  </bookViews>
  <sheets>
    <sheet name="Lt. Ganesh Mahajan-9255 (Final)" sheetId="5" r:id="rId1"/>
    <sheet name="Voucher Details" sheetId="2" r:id="rId2"/>
    <sheet name="Diff. Caln.1-Jun 07 to Mar 09" sheetId="8" r:id="rId3"/>
    <sheet name="Diff. Caln.2-Jun 07 to Jun 10" sheetId="6" r:id="rId4"/>
    <sheet name="DADiff. Caln.3-Jan 09 to Oct 09" sheetId="9" r:id="rId5"/>
    <sheet name="Diff. Caln.4-Nov 09 to Jul 11" sheetId="10" r:id="rId6"/>
    <sheet name="DADiff.Caln.3n4-Jan 09toJul 11" sheetId="11" r:id="rId7"/>
    <sheet name="Diff. Caln.5-Jun 07 to Mar 09" sheetId="7" r:id="rId8"/>
    <sheet name="Lt. Ganesh Mahajan - 9255" sheetId="1" state="hidden" r:id="rId9"/>
    <sheet name="Lt. Ganesh Mahajan - 9255 (2)" sheetId="3" state="hidden" r:id="rId10"/>
  </sheets>
  <externalReferences>
    <externalReference r:id="rId11"/>
  </externalReferences>
  <definedNames>
    <definedName name="_xlnm.Print_Area" localSheetId="0">'Lt. Ganesh Mahajan-9255 (Final)'!$A$1:$AF$261</definedName>
    <definedName name="_xlnm.Print_Area" localSheetId="1">'Voucher Details'!$A$1:$G$82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5" i="11" l="1"/>
  <c r="R15" i="11"/>
  <c r="Q15" i="11"/>
  <c r="O15" i="11"/>
  <c r="P15" i="11" s="1"/>
  <c r="J15" i="11"/>
  <c r="K15" i="11" s="1"/>
  <c r="S14" i="11"/>
  <c r="R14" i="11"/>
  <c r="Q14" i="11"/>
  <c r="O14" i="11"/>
  <c r="P14" i="11" s="1"/>
  <c r="J14" i="11"/>
  <c r="K14" i="11" s="1"/>
  <c r="S13" i="11"/>
  <c r="R13" i="11"/>
  <c r="Q13" i="11"/>
  <c r="O13" i="11"/>
  <c r="P13" i="11" s="1"/>
  <c r="J13" i="11"/>
  <c r="K13" i="11" s="1"/>
  <c r="S12" i="11"/>
  <c r="R12" i="11"/>
  <c r="Q12" i="11"/>
  <c r="O12" i="11"/>
  <c r="P12" i="11" s="1"/>
  <c r="J12" i="11"/>
  <c r="T12" i="11" s="1"/>
  <c r="U12" i="11" s="1"/>
  <c r="S11" i="11"/>
  <c r="R11" i="11"/>
  <c r="Q11" i="11"/>
  <c r="O11" i="11"/>
  <c r="P11" i="11" s="1"/>
  <c r="J11" i="11"/>
  <c r="K11" i="11" s="1"/>
  <c r="T23" i="11"/>
  <c r="N21" i="11"/>
  <c r="M21" i="11"/>
  <c r="L21" i="11"/>
  <c r="I21" i="11"/>
  <c r="H21" i="11"/>
  <c r="G21" i="11"/>
  <c r="S19" i="11"/>
  <c r="R19" i="11"/>
  <c r="Q19" i="11"/>
  <c r="O19" i="11"/>
  <c r="P19" i="11" s="1"/>
  <c r="J19" i="11"/>
  <c r="K19" i="11" s="1"/>
  <c r="S18" i="11"/>
  <c r="R18" i="11"/>
  <c r="Q18" i="11"/>
  <c r="O18" i="11"/>
  <c r="P18" i="11" s="1"/>
  <c r="J18" i="11"/>
  <c r="K18" i="11" s="1"/>
  <c r="S17" i="11"/>
  <c r="R17" i="11"/>
  <c r="Q17" i="11"/>
  <c r="O17" i="11"/>
  <c r="P17" i="11" s="1"/>
  <c r="J17" i="11"/>
  <c r="K17" i="11" s="1"/>
  <c r="S10" i="11"/>
  <c r="R10" i="11"/>
  <c r="Q10" i="11"/>
  <c r="O10" i="11"/>
  <c r="J10" i="11"/>
  <c r="K10" i="11" s="1"/>
  <c r="S9" i="11"/>
  <c r="R9" i="11"/>
  <c r="Q9" i="11"/>
  <c r="O9" i="11"/>
  <c r="P9" i="11" s="1"/>
  <c r="J9" i="11"/>
  <c r="K9" i="11" s="1"/>
  <c r="S8" i="11"/>
  <c r="R8" i="11"/>
  <c r="Q8" i="11"/>
  <c r="O8" i="11"/>
  <c r="J8" i="11"/>
  <c r="K8" i="11" s="1"/>
  <c r="S7" i="11"/>
  <c r="R7" i="11"/>
  <c r="Q7" i="11"/>
  <c r="O7" i="11"/>
  <c r="J7" i="11"/>
  <c r="K7" i="11" s="1"/>
  <c r="S6" i="11"/>
  <c r="R6" i="11"/>
  <c r="Q6" i="11"/>
  <c r="O6" i="11"/>
  <c r="J6" i="11"/>
  <c r="S5" i="11"/>
  <c r="R5" i="11"/>
  <c r="Q5" i="11"/>
  <c r="O5" i="11"/>
  <c r="P5" i="11" s="1"/>
  <c r="J5" i="11"/>
  <c r="K5" i="11" s="1"/>
  <c r="S4" i="11"/>
  <c r="R4" i="11"/>
  <c r="Q4" i="11"/>
  <c r="O4" i="11"/>
  <c r="J4" i="11"/>
  <c r="K4" i="11" s="1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O37" i="8"/>
  <c r="P37" i="8" s="1"/>
  <c r="O36" i="8"/>
  <c r="P36" i="8" s="1"/>
  <c r="O35" i="8"/>
  <c r="P35" i="8" s="1"/>
  <c r="O34" i="8"/>
  <c r="P34" i="8" s="1"/>
  <c r="O33" i="8"/>
  <c r="P33" i="8" s="1"/>
  <c r="O32" i="8"/>
  <c r="P32" i="8" s="1"/>
  <c r="O31" i="8"/>
  <c r="T31" i="8" s="1"/>
  <c r="U31" i="8" s="1"/>
  <c r="O30" i="8"/>
  <c r="P30" i="8" s="1"/>
  <c r="O29" i="8"/>
  <c r="T29" i="8" s="1"/>
  <c r="U29" i="8" s="1"/>
  <c r="O28" i="8"/>
  <c r="P28" i="8" s="1"/>
  <c r="J37" i="8"/>
  <c r="K37" i="8" s="1"/>
  <c r="J36" i="8"/>
  <c r="J35" i="8"/>
  <c r="K35" i="8" s="1"/>
  <c r="J34" i="8"/>
  <c r="K34" i="8" s="1"/>
  <c r="J33" i="8"/>
  <c r="K33" i="8" s="1"/>
  <c r="J32" i="8"/>
  <c r="J31" i="8"/>
  <c r="K31" i="8" s="1"/>
  <c r="J30" i="8"/>
  <c r="K30" i="8" s="1"/>
  <c r="J29" i="8"/>
  <c r="K29" i="8" s="1"/>
  <c r="J28" i="8"/>
  <c r="K28" i="8" s="1"/>
  <c r="S37" i="8"/>
  <c r="R37" i="8"/>
  <c r="Q37" i="8"/>
  <c r="S36" i="8"/>
  <c r="R36" i="8"/>
  <c r="Q36" i="8"/>
  <c r="S35" i="8"/>
  <c r="R35" i="8"/>
  <c r="Q35" i="8"/>
  <c r="S34" i="8"/>
  <c r="R34" i="8"/>
  <c r="Q34" i="8"/>
  <c r="S33" i="8"/>
  <c r="R33" i="8"/>
  <c r="Q33" i="8"/>
  <c r="S32" i="8"/>
  <c r="R32" i="8"/>
  <c r="Q32" i="8"/>
  <c r="S31" i="8"/>
  <c r="R31" i="8"/>
  <c r="Q31" i="8"/>
  <c r="S30" i="8"/>
  <c r="R30" i="8"/>
  <c r="Q30" i="8"/>
  <c r="S29" i="8"/>
  <c r="R29" i="8"/>
  <c r="Q29" i="8"/>
  <c r="S28" i="8"/>
  <c r="R28" i="8"/>
  <c r="Q28" i="8"/>
  <c r="S37" i="7"/>
  <c r="S36" i="7"/>
  <c r="S35" i="7"/>
  <c r="S34" i="7"/>
  <c r="S33" i="7"/>
  <c r="R37" i="7"/>
  <c r="R36" i="7"/>
  <c r="R35" i="7"/>
  <c r="R34" i="7"/>
  <c r="R33" i="7"/>
  <c r="Q37" i="7"/>
  <c r="Q36" i="7"/>
  <c r="Q35" i="7"/>
  <c r="Q34" i="7"/>
  <c r="Q33" i="7"/>
  <c r="S32" i="7"/>
  <c r="R32" i="7"/>
  <c r="Q32" i="7"/>
  <c r="S30" i="7"/>
  <c r="R30" i="7"/>
  <c r="Q30" i="7"/>
  <c r="U26" i="10"/>
  <c r="U25" i="10"/>
  <c r="U24" i="10"/>
  <c r="U23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8" i="10"/>
  <c r="U7" i="10"/>
  <c r="U6" i="10"/>
  <c r="U5" i="10"/>
  <c r="U4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U28" i="10"/>
  <c r="X192" i="5"/>
  <c r="Y192" i="5" s="1"/>
  <c r="T18" i="9"/>
  <c r="U37" i="7"/>
  <c r="U36" i="7"/>
  <c r="U35" i="7"/>
  <c r="U34" i="7"/>
  <c r="U33" i="7"/>
  <c r="T30" i="7"/>
  <c r="T32" i="7" s="1"/>
  <c r="U32" i="7" s="1"/>
  <c r="T28" i="7"/>
  <c r="U28" i="7" s="1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N16" i="9"/>
  <c r="M16" i="9"/>
  <c r="L16" i="9"/>
  <c r="I16" i="9"/>
  <c r="H16" i="9"/>
  <c r="G16" i="9"/>
  <c r="S26" i="10"/>
  <c r="R26" i="10"/>
  <c r="Q26" i="10"/>
  <c r="O26" i="10"/>
  <c r="P26" i="10" s="1"/>
  <c r="J26" i="10"/>
  <c r="S25" i="10"/>
  <c r="R25" i="10"/>
  <c r="Q25" i="10"/>
  <c r="O25" i="10"/>
  <c r="T25" i="10" s="1"/>
  <c r="J25" i="10"/>
  <c r="K25" i="10" s="1"/>
  <c r="S24" i="10"/>
  <c r="R24" i="10"/>
  <c r="Q24" i="10"/>
  <c r="O24" i="10"/>
  <c r="J24" i="10"/>
  <c r="K24" i="10" s="1"/>
  <c r="S23" i="10"/>
  <c r="R23" i="10"/>
  <c r="Q23" i="10"/>
  <c r="O23" i="10"/>
  <c r="J23" i="10"/>
  <c r="K23" i="10" s="1"/>
  <c r="S21" i="10"/>
  <c r="R21" i="10"/>
  <c r="Q21" i="10"/>
  <c r="O21" i="10"/>
  <c r="P21" i="10" s="1"/>
  <c r="J21" i="10"/>
  <c r="T21" i="10" s="1"/>
  <c r="S20" i="10"/>
  <c r="R20" i="10"/>
  <c r="Q20" i="10"/>
  <c r="O20" i="10"/>
  <c r="P20" i="10" s="1"/>
  <c r="J20" i="10"/>
  <c r="K20" i="10" s="1"/>
  <c r="S19" i="10"/>
  <c r="R19" i="10"/>
  <c r="Q19" i="10"/>
  <c r="O19" i="10"/>
  <c r="J19" i="10"/>
  <c r="K19" i="10" s="1"/>
  <c r="S18" i="10"/>
  <c r="R18" i="10"/>
  <c r="Q18" i="10"/>
  <c r="O18" i="10"/>
  <c r="P18" i="10" s="1"/>
  <c r="J18" i="10"/>
  <c r="K18" i="10" s="1"/>
  <c r="S17" i="10"/>
  <c r="R17" i="10"/>
  <c r="Q17" i="10"/>
  <c r="O17" i="10"/>
  <c r="P17" i="10" s="1"/>
  <c r="J17" i="10"/>
  <c r="S16" i="10"/>
  <c r="R16" i="10"/>
  <c r="Q16" i="10"/>
  <c r="O16" i="10"/>
  <c r="P16" i="10" s="1"/>
  <c r="J16" i="10"/>
  <c r="K16" i="10" s="1"/>
  <c r="S15" i="10"/>
  <c r="R15" i="10"/>
  <c r="Q15" i="10"/>
  <c r="O15" i="10"/>
  <c r="P15" i="10" s="1"/>
  <c r="J15" i="10"/>
  <c r="K15" i="10" s="1"/>
  <c r="S14" i="10"/>
  <c r="R14" i="10"/>
  <c r="Q14" i="10"/>
  <c r="O14" i="10"/>
  <c r="J14" i="10"/>
  <c r="K14" i="10" s="1"/>
  <c r="S13" i="10"/>
  <c r="R13" i="10"/>
  <c r="Q13" i="10"/>
  <c r="O13" i="10"/>
  <c r="P13" i="10" s="1"/>
  <c r="J13" i="10"/>
  <c r="S12" i="10"/>
  <c r="R12" i="10"/>
  <c r="Q12" i="10"/>
  <c r="O12" i="10"/>
  <c r="T12" i="10" s="1"/>
  <c r="J12" i="10"/>
  <c r="K12" i="10" s="1"/>
  <c r="S11" i="10"/>
  <c r="R11" i="10"/>
  <c r="Q11" i="10"/>
  <c r="O11" i="10"/>
  <c r="J11" i="10"/>
  <c r="K11" i="10" s="1"/>
  <c r="S10" i="10"/>
  <c r="R10" i="10"/>
  <c r="Q10" i="10"/>
  <c r="O10" i="10"/>
  <c r="J10" i="10"/>
  <c r="K10" i="10" s="1"/>
  <c r="S8" i="10"/>
  <c r="R8" i="10"/>
  <c r="Q8" i="10"/>
  <c r="O8" i="10"/>
  <c r="P8" i="10" s="1"/>
  <c r="J8" i="10"/>
  <c r="S7" i="10"/>
  <c r="R7" i="10"/>
  <c r="Q7" i="10"/>
  <c r="O7" i="10"/>
  <c r="T7" i="10" s="1"/>
  <c r="J7" i="10"/>
  <c r="K7" i="10" s="1"/>
  <c r="S6" i="10"/>
  <c r="R6" i="10"/>
  <c r="Q6" i="10"/>
  <c r="O6" i="10"/>
  <c r="J6" i="10"/>
  <c r="K6" i="10" s="1"/>
  <c r="S5" i="10"/>
  <c r="R5" i="10"/>
  <c r="Q5" i="10"/>
  <c r="O5" i="10"/>
  <c r="J5" i="10"/>
  <c r="K5" i="10" s="1"/>
  <c r="S4" i="10"/>
  <c r="R4" i="10"/>
  <c r="Q4" i="10"/>
  <c r="O4" i="10"/>
  <c r="P4" i="10" s="1"/>
  <c r="J4" i="10"/>
  <c r="S10" i="9"/>
  <c r="R10" i="9"/>
  <c r="Q10" i="9"/>
  <c r="O10" i="9"/>
  <c r="P10" i="9" s="1"/>
  <c r="J10" i="9"/>
  <c r="K10" i="9" s="1"/>
  <c r="S9" i="9"/>
  <c r="R9" i="9"/>
  <c r="Q9" i="9"/>
  <c r="O9" i="9"/>
  <c r="J9" i="9"/>
  <c r="K9" i="9" s="1"/>
  <c r="S8" i="9"/>
  <c r="R8" i="9"/>
  <c r="Q8" i="9"/>
  <c r="O8" i="9"/>
  <c r="J8" i="9"/>
  <c r="K8" i="9" s="1"/>
  <c r="S7" i="9"/>
  <c r="R7" i="9"/>
  <c r="Q7" i="9"/>
  <c r="O7" i="9"/>
  <c r="P7" i="9" s="1"/>
  <c r="J7" i="9"/>
  <c r="K7" i="9" s="1"/>
  <c r="S6" i="9"/>
  <c r="R6" i="9"/>
  <c r="Q6" i="9"/>
  <c r="O6" i="9"/>
  <c r="P6" i="9" s="1"/>
  <c r="J6" i="9"/>
  <c r="K6" i="9" s="1"/>
  <c r="S5" i="9"/>
  <c r="R5" i="9"/>
  <c r="Q5" i="9"/>
  <c r="O5" i="9"/>
  <c r="J5" i="9"/>
  <c r="K5" i="9" s="1"/>
  <c r="S4" i="9"/>
  <c r="R4" i="9"/>
  <c r="Q4" i="9"/>
  <c r="Q16" i="9" s="1"/>
  <c r="O4" i="9"/>
  <c r="O16" i="9" s="1"/>
  <c r="J4" i="9"/>
  <c r="S14" i="9"/>
  <c r="R14" i="9"/>
  <c r="Q14" i="9"/>
  <c r="O14" i="9"/>
  <c r="J14" i="9"/>
  <c r="K14" i="9" s="1"/>
  <c r="S13" i="9"/>
  <c r="R13" i="9"/>
  <c r="Q13" i="9"/>
  <c r="O13" i="9"/>
  <c r="P13" i="9" s="1"/>
  <c r="J13" i="9"/>
  <c r="K13" i="9" s="1"/>
  <c r="S12" i="9"/>
  <c r="S16" i="9" s="1"/>
  <c r="R12" i="9"/>
  <c r="Q12" i="9"/>
  <c r="O12" i="9"/>
  <c r="J12" i="9"/>
  <c r="K12" i="9" s="1"/>
  <c r="X193" i="5"/>
  <c r="Y193" i="5" s="1"/>
  <c r="AA193" i="5" s="1"/>
  <c r="U43" i="6"/>
  <c r="U42" i="6"/>
  <c r="U41" i="6"/>
  <c r="U39" i="6"/>
  <c r="U38" i="6"/>
  <c r="U37" i="6"/>
  <c r="U36" i="6"/>
  <c r="U35" i="6"/>
  <c r="U34" i="6"/>
  <c r="U33" i="6"/>
  <c r="U32" i="6"/>
  <c r="U31" i="6"/>
  <c r="U30" i="6"/>
  <c r="U29" i="6"/>
  <c r="U28" i="6"/>
  <c r="U26" i="6"/>
  <c r="U25" i="6"/>
  <c r="U24" i="6"/>
  <c r="U23" i="6"/>
  <c r="U22" i="6"/>
  <c r="U21" i="6"/>
  <c r="U20" i="6"/>
  <c r="U19" i="6"/>
  <c r="U16" i="6"/>
  <c r="U15" i="6"/>
  <c r="U13" i="6"/>
  <c r="U12" i="6"/>
  <c r="U11" i="6"/>
  <c r="U10" i="6"/>
  <c r="U9" i="6"/>
  <c r="U8" i="6"/>
  <c r="U7" i="6"/>
  <c r="U6" i="6"/>
  <c r="U5" i="6"/>
  <c r="U4" i="6"/>
  <c r="N45" i="6"/>
  <c r="M45" i="6"/>
  <c r="L45" i="6"/>
  <c r="I45" i="6"/>
  <c r="H45" i="6"/>
  <c r="G45" i="6"/>
  <c r="J25" i="8"/>
  <c r="K25" i="8" s="1"/>
  <c r="V25" i="8" s="1"/>
  <c r="J26" i="8"/>
  <c r="K26" i="8" s="1"/>
  <c r="S25" i="8"/>
  <c r="S26" i="8"/>
  <c r="Q25" i="8"/>
  <c r="R25" i="8"/>
  <c r="Q26" i="8"/>
  <c r="R26" i="8"/>
  <c r="O26" i="8"/>
  <c r="O25" i="8"/>
  <c r="P25" i="8" s="1"/>
  <c r="S24" i="8"/>
  <c r="R24" i="8"/>
  <c r="Q24" i="8"/>
  <c r="O24" i="8"/>
  <c r="J24" i="8"/>
  <c r="K24" i="8" s="1"/>
  <c r="S23" i="8"/>
  <c r="R23" i="8"/>
  <c r="Q23" i="8"/>
  <c r="O23" i="8"/>
  <c r="J23" i="8"/>
  <c r="K23" i="8" s="1"/>
  <c r="S22" i="8"/>
  <c r="R22" i="8"/>
  <c r="Q22" i="8"/>
  <c r="O22" i="8"/>
  <c r="P22" i="8" s="1"/>
  <c r="J22" i="8"/>
  <c r="K22" i="8" s="1"/>
  <c r="S21" i="8"/>
  <c r="R21" i="8"/>
  <c r="Q21" i="8"/>
  <c r="O21" i="8"/>
  <c r="J21" i="8"/>
  <c r="K21" i="8" s="1"/>
  <c r="S20" i="8"/>
  <c r="R20" i="8"/>
  <c r="Q20" i="8"/>
  <c r="O20" i="8"/>
  <c r="J20" i="8"/>
  <c r="K20" i="8" s="1"/>
  <c r="S19" i="8"/>
  <c r="R19" i="8"/>
  <c r="Q19" i="8"/>
  <c r="O19" i="8"/>
  <c r="J19" i="8"/>
  <c r="K19" i="8" s="1"/>
  <c r="S18" i="8"/>
  <c r="R18" i="8"/>
  <c r="Q18" i="8"/>
  <c r="O18" i="8"/>
  <c r="P18" i="8" s="1"/>
  <c r="J18" i="8"/>
  <c r="K18" i="8" s="1"/>
  <c r="S17" i="8"/>
  <c r="R17" i="8"/>
  <c r="Q17" i="8"/>
  <c r="O17" i="8"/>
  <c r="P17" i="8" s="1"/>
  <c r="J17" i="8"/>
  <c r="K17" i="8" s="1"/>
  <c r="S16" i="8"/>
  <c r="R16" i="8"/>
  <c r="Q16" i="8"/>
  <c r="O16" i="8"/>
  <c r="J16" i="8"/>
  <c r="K16" i="8" s="1"/>
  <c r="S15" i="8"/>
  <c r="R15" i="8"/>
  <c r="Q15" i="8"/>
  <c r="O15" i="8"/>
  <c r="J15" i="8"/>
  <c r="K15" i="8" s="1"/>
  <c r="S13" i="8"/>
  <c r="R13" i="8"/>
  <c r="Q13" i="8"/>
  <c r="O13" i="8"/>
  <c r="P13" i="8" s="1"/>
  <c r="J13" i="8"/>
  <c r="K13" i="8" s="1"/>
  <c r="V13" i="8" s="1"/>
  <c r="S12" i="8"/>
  <c r="R12" i="8"/>
  <c r="Q12" i="8"/>
  <c r="O12" i="8"/>
  <c r="J12" i="8"/>
  <c r="K12" i="8" s="1"/>
  <c r="S11" i="8"/>
  <c r="R11" i="8"/>
  <c r="Q11" i="8"/>
  <c r="O11" i="8"/>
  <c r="J11" i="8"/>
  <c r="K11" i="8" s="1"/>
  <c r="S10" i="8"/>
  <c r="R10" i="8"/>
  <c r="Q10" i="8"/>
  <c r="O10" i="8"/>
  <c r="J10" i="8"/>
  <c r="K10" i="8" s="1"/>
  <c r="S9" i="8"/>
  <c r="R9" i="8"/>
  <c r="Q9" i="8"/>
  <c r="O9" i="8"/>
  <c r="P9" i="8" s="1"/>
  <c r="J9" i="8"/>
  <c r="K9" i="8" s="1"/>
  <c r="S8" i="8"/>
  <c r="R8" i="8"/>
  <c r="Q8" i="8"/>
  <c r="O8" i="8"/>
  <c r="J8" i="8"/>
  <c r="K8" i="8" s="1"/>
  <c r="S7" i="8"/>
  <c r="R7" i="8"/>
  <c r="Q7" i="8"/>
  <c r="O7" i="8"/>
  <c r="J7" i="8"/>
  <c r="K7" i="8" s="1"/>
  <c r="S6" i="8"/>
  <c r="R6" i="8"/>
  <c r="Q6" i="8"/>
  <c r="O6" i="8"/>
  <c r="J6" i="8"/>
  <c r="K6" i="8" s="1"/>
  <c r="S5" i="8"/>
  <c r="R5" i="8"/>
  <c r="Q5" i="8"/>
  <c r="O5" i="8"/>
  <c r="P5" i="8" s="1"/>
  <c r="J5" i="8"/>
  <c r="K5" i="8" s="1"/>
  <c r="S4" i="8"/>
  <c r="R4" i="8"/>
  <c r="Q4" i="8"/>
  <c r="O4" i="8"/>
  <c r="J4" i="8"/>
  <c r="K4" i="8" s="1"/>
  <c r="B143" i="5"/>
  <c r="X265" i="1"/>
  <c r="Y265" i="1" s="1"/>
  <c r="AA265" i="1" s="1"/>
  <c r="X267" i="1"/>
  <c r="Y267" i="1" s="1"/>
  <c r="AA267" i="1" s="1"/>
  <c r="B219" i="1"/>
  <c r="E219" i="1"/>
  <c r="S26" i="7"/>
  <c r="R26" i="7"/>
  <c r="Q26" i="7"/>
  <c r="O26" i="7"/>
  <c r="J26" i="7"/>
  <c r="K26" i="7" s="1"/>
  <c r="S25" i="7"/>
  <c r="R25" i="7"/>
  <c r="Q25" i="7"/>
  <c r="O25" i="7"/>
  <c r="J25" i="7"/>
  <c r="K25" i="7" s="1"/>
  <c r="S24" i="7"/>
  <c r="R24" i="7"/>
  <c r="Q24" i="7"/>
  <c r="O24" i="7"/>
  <c r="P24" i="7" s="1"/>
  <c r="J24" i="7"/>
  <c r="K24" i="7" s="1"/>
  <c r="S23" i="7"/>
  <c r="R23" i="7"/>
  <c r="Q23" i="7"/>
  <c r="O23" i="7"/>
  <c r="J23" i="7"/>
  <c r="K23" i="7" s="1"/>
  <c r="S22" i="7"/>
  <c r="R22" i="7"/>
  <c r="Q22" i="7"/>
  <c r="O22" i="7"/>
  <c r="J22" i="7"/>
  <c r="K22" i="7" s="1"/>
  <c r="S21" i="7"/>
  <c r="R21" i="7"/>
  <c r="Q21" i="7"/>
  <c r="O21" i="7"/>
  <c r="J21" i="7"/>
  <c r="K21" i="7" s="1"/>
  <c r="S20" i="7"/>
  <c r="R20" i="7"/>
  <c r="Q20" i="7"/>
  <c r="O20" i="7"/>
  <c r="P20" i="7" s="1"/>
  <c r="J20" i="7"/>
  <c r="K20" i="7" s="1"/>
  <c r="S19" i="7"/>
  <c r="R19" i="7"/>
  <c r="Q19" i="7"/>
  <c r="O19" i="7"/>
  <c r="J19" i="7"/>
  <c r="K19" i="7" s="1"/>
  <c r="S18" i="7"/>
  <c r="R18" i="7"/>
  <c r="Q18" i="7"/>
  <c r="O18" i="7"/>
  <c r="J18" i="7"/>
  <c r="K18" i="7" s="1"/>
  <c r="S17" i="7"/>
  <c r="R17" i="7"/>
  <c r="Q17" i="7"/>
  <c r="O17" i="7"/>
  <c r="J17" i="7"/>
  <c r="K17" i="7" s="1"/>
  <c r="S16" i="7"/>
  <c r="R16" i="7"/>
  <c r="Q16" i="7"/>
  <c r="O16" i="7"/>
  <c r="P16" i="7" s="1"/>
  <c r="J16" i="7"/>
  <c r="K16" i="7" s="1"/>
  <c r="S15" i="7"/>
  <c r="R15" i="7"/>
  <c r="Q15" i="7"/>
  <c r="O15" i="7"/>
  <c r="J15" i="7"/>
  <c r="K15" i="7" s="1"/>
  <c r="S13" i="7"/>
  <c r="R13" i="7"/>
  <c r="Q13" i="7"/>
  <c r="O13" i="7"/>
  <c r="J13" i="7"/>
  <c r="K13" i="7" s="1"/>
  <c r="S12" i="7"/>
  <c r="R12" i="7"/>
  <c r="Q12" i="7"/>
  <c r="O12" i="7"/>
  <c r="J12" i="7"/>
  <c r="K12" i="7" s="1"/>
  <c r="S11" i="7"/>
  <c r="R11" i="7"/>
  <c r="Q11" i="7"/>
  <c r="O11" i="7"/>
  <c r="P11" i="7" s="1"/>
  <c r="J11" i="7"/>
  <c r="K11" i="7" s="1"/>
  <c r="S10" i="7"/>
  <c r="R10" i="7"/>
  <c r="Q10" i="7"/>
  <c r="O10" i="7"/>
  <c r="J10" i="7"/>
  <c r="K10" i="7" s="1"/>
  <c r="S9" i="7"/>
  <c r="R9" i="7"/>
  <c r="Q9" i="7"/>
  <c r="O9" i="7"/>
  <c r="J9" i="7"/>
  <c r="K9" i="7" s="1"/>
  <c r="S8" i="7"/>
  <c r="R8" i="7"/>
  <c r="Q8" i="7"/>
  <c r="O8" i="7"/>
  <c r="J8" i="7"/>
  <c r="K8" i="7" s="1"/>
  <c r="S7" i="7"/>
  <c r="R7" i="7"/>
  <c r="Q7" i="7"/>
  <c r="O7" i="7"/>
  <c r="P7" i="7" s="1"/>
  <c r="J7" i="7"/>
  <c r="K7" i="7" s="1"/>
  <c r="S6" i="7"/>
  <c r="R6" i="7"/>
  <c r="Q6" i="7"/>
  <c r="O6" i="7"/>
  <c r="J6" i="7"/>
  <c r="K6" i="7" s="1"/>
  <c r="S5" i="7"/>
  <c r="R5" i="7"/>
  <c r="Q5" i="7"/>
  <c r="O5" i="7"/>
  <c r="J5" i="7"/>
  <c r="K5" i="7" s="1"/>
  <c r="S4" i="7"/>
  <c r="R4" i="7"/>
  <c r="Q4" i="7"/>
  <c r="O4" i="7"/>
  <c r="J4" i="7"/>
  <c r="K4" i="7" s="1"/>
  <c r="O43" i="6"/>
  <c r="P43" i="6" s="1"/>
  <c r="S43" i="6"/>
  <c r="R43" i="6"/>
  <c r="Q43" i="6"/>
  <c r="O41" i="6"/>
  <c r="P41" i="6" s="1"/>
  <c r="Q41" i="6"/>
  <c r="R41" i="6"/>
  <c r="S41" i="6"/>
  <c r="O42" i="6"/>
  <c r="P42" i="6" s="1"/>
  <c r="Q42" i="6"/>
  <c r="R42" i="6"/>
  <c r="S42" i="6"/>
  <c r="J41" i="6"/>
  <c r="K41" i="6"/>
  <c r="J42" i="6"/>
  <c r="K42" i="6" s="1"/>
  <c r="J43" i="6"/>
  <c r="K43" i="6" s="1"/>
  <c r="O37" i="6"/>
  <c r="P37" i="6" s="1"/>
  <c r="Q37" i="6"/>
  <c r="R37" i="6"/>
  <c r="S37" i="6"/>
  <c r="O38" i="6"/>
  <c r="Q38" i="6"/>
  <c r="R38" i="6"/>
  <c r="S38" i="6"/>
  <c r="O39" i="6"/>
  <c r="P39" i="6" s="1"/>
  <c r="Q39" i="6"/>
  <c r="R39" i="6"/>
  <c r="S39" i="6"/>
  <c r="J37" i="6"/>
  <c r="K37" i="6"/>
  <c r="J38" i="6"/>
  <c r="K38" i="6" s="1"/>
  <c r="J39" i="6"/>
  <c r="K39" i="6" s="1"/>
  <c r="S36" i="6"/>
  <c r="R36" i="6"/>
  <c r="Q36" i="6"/>
  <c r="O36" i="6"/>
  <c r="J36" i="6"/>
  <c r="K36" i="6" s="1"/>
  <c r="S35" i="6"/>
  <c r="R35" i="6"/>
  <c r="Q35" i="6"/>
  <c r="O35" i="6"/>
  <c r="P35" i="6" s="1"/>
  <c r="J35" i="6"/>
  <c r="K35" i="6" s="1"/>
  <c r="S34" i="6"/>
  <c r="R34" i="6"/>
  <c r="Q34" i="6"/>
  <c r="O34" i="6"/>
  <c r="J34" i="6"/>
  <c r="K34" i="6" s="1"/>
  <c r="S33" i="6"/>
  <c r="R33" i="6"/>
  <c r="Q33" i="6"/>
  <c r="O33" i="6"/>
  <c r="J33" i="6"/>
  <c r="K33" i="6" s="1"/>
  <c r="S32" i="6"/>
  <c r="R32" i="6"/>
  <c r="Q32" i="6"/>
  <c r="O32" i="6"/>
  <c r="J32" i="6"/>
  <c r="K32" i="6" s="1"/>
  <c r="S31" i="6"/>
  <c r="R31" i="6"/>
  <c r="Q31" i="6"/>
  <c r="O31" i="6"/>
  <c r="P31" i="6" s="1"/>
  <c r="J31" i="6"/>
  <c r="K31" i="6" s="1"/>
  <c r="S30" i="6"/>
  <c r="R30" i="6"/>
  <c r="Q30" i="6"/>
  <c r="O30" i="6"/>
  <c r="J30" i="6"/>
  <c r="K30" i="6" s="1"/>
  <c r="S29" i="6"/>
  <c r="R29" i="6"/>
  <c r="Q29" i="6"/>
  <c r="O29" i="6"/>
  <c r="J29" i="6"/>
  <c r="K29" i="6" s="1"/>
  <c r="S28" i="6"/>
  <c r="R28" i="6"/>
  <c r="Q28" i="6"/>
  <c r="O28" i="6"/>
  <c r="J28" i="6"/>
  <c r="K28" i="6" s="1"/>
  <c r="S26" i="6"/>
  <c r="R26" i="6"/>
  <c r="Q26" i="6"/>
  <c r="O26" i="6"/>
  <c r="P26" i="6" s="1"/>
  <c r="J26" i="6"/>
  <c r="K26" i="6" s="1"/>
  <c r="S25" i="6"/>
  <c r="R25" i="6"/>
  <c r="Q25" i="6"/>
  <c r="O25" i="6"/>
  <c r="J25" i="6"/>
  <c r="K25" i="6" s="1"/>
  <c r="S24" i="6"/>
  <c r="R24" i="6"/>
  <c r="Q24" i="6"/>
  <c r="O24" i="6"/>
  <c r="J24" i="6"/>
  <c r="K24" i="6" s="1"/>
  <c r="S23" i="6"/>
  <c r="R23" i="6"/>
  <c r="Q23" i="6"/>
  <c r="O23" i="6"/>
  <c r="J23" i="6"/>
  <c r="K23" i="6" s="1"/>
  <c r="S22" i="6"/>
  <c r="R22" i="6"/>
  <c r="Q22" i="6"/>
  <c r="O22" i="6"/>
  <c r="P22" i="6" s="1"/>
  <c r="J22" i="6"/>
  <c r="K22" i="6" s="1"/>
  <c r="S21" i="6"/>
  <c r="R21" i="6"/>
  <c r="Q21" i="6"/>
  <c r="O21" i="6"/>
  <c r="J21" i="6"/>
  <c r="K21" i="6" s="1"/>
  <c r="S20" i="6"/>
  <c r="R20" i="6"/>
  <c r="Q20" i="6"/>
  <c r="O20" i="6"/>
  <c r="J20" i="6"/>
  <c r="K20" i="6" s="1"/>
  <c r="R19" i="6"/>
  <c r="Q19" i="6"/>
  <c r="O19" i="6"/>
  <c r="J19" i="6"/>
  <c r="K19" i="6" s="1"/>
  <c r="S18" i="6"/>
  <c r="R18" i="6"/>
  <c r="Q18" i="6"/>
  <c r="O18" i="6"/>
  <c r="P18" i="6" s="1"/>
  <c r="J18" i="6"/>
  <c r="K18" i="6" s="1"/>
  <c r="S17" i="6"/>
  <c r="R17" i="6"/>
  <c r="Q17" i="6"/>
  <c r="O17" i="6"/>
  <c r="J17" i="6"/>
  <c r="K17" i="6" s="1"/>
  <c r="S16" i="6"/>
  <c r="R16" i="6"/>
  <c r="Q16" i="6"/>
  <c r="O16" i="6"/>
  <c r="J16" i="6"/>
  <c r="K16" i="6" s="1"/>
  <c r="S15" i="6"/>
  <c r="R15" i="6"/>
  <c r="Q15" i="6"/>
  <c r="O15" i="6"/>
  <c r="J15" i="6"/>
  <c r="K15" i="6" s="1"/>
  <c r="S13" i="6"/>
  <c r="R13" i="6"/>
  <c r="Q13" i="6"/>
  <c r="O13" i="6"/>
  <c r="P13" i="6" s="1"/>
  <c r="J13" i="6"/>
  <c r="K13" i="6" s="1"/>
  <c r="S12" i="6"/>
  <c r="R12" i="6"/>
  <c r="Q12" i="6"/>
  <c r="O12" i="6"/>
  <c r="J12" i="6"/>
  <c r="K12" i="6" s="1"/>
  <c r="S11" i="6"/>
  <c r="R11" i="6"/>
  <c r="Q11" i="6"/>
  <c r="O11" i="6"/>
  <c r="J11" i="6"/>
  <c r="K11" i="6" s="1"/>
  <c r="S10" i="6"/>
  <c r="R10" i="6"/>
  <c r="Q10" i="6"/>
  <c r="O10" i="6"/>
  <c r="J10" i="6"/>
  <c r="K10" i="6" s="1"/>
  <c r="S9" i="6"/>
  <c r="R9" i="6"/>
  <c r="Q9" i="6"/>
  <c r="O9" i="6"/>
  <c r="P9" i="6" s="1"/>
  <c r="J9" i="6"/>
  <c r="K9" i="6" s="1"/>
  <c r="S8" i="6"/>
  <c r="R8" i="6"/>
  <c r="Q8" i="6"/>
  <c r="O8" i="6"/>
  <c r="J8" i="6"/>
  <c r="K8" i="6" s="1"/>
  <c r="S7" i="6"/>
  <c r="R7" i="6"/>
  <c r="Q7" i="6"/>
  <c r="O7" i="6"/>
  <c r="J7" i="6"/>
  <c r="K7" i="6" s="1"/>
  <c r="S6" i="6"/>
  <c r="R6" i="6"/>
  <c r="Q6" i="6"/>
  <c r="O6" i="6"/>
  <c r="J6" i="6"/>
  <c r="K6" i="6" s="1"/>
  <c r="S5" i="6"/>
  <c r="R5" i="6"/>
  <c r="Q5" i="6"/>
  <c r="O5" i="6"/>
  <c r="P5" i="6" s="1"/>
  <c r="J5" i="6"/>
  <c r="K5" i="6" s="1"/>
  <c r="S4" i="6"/>
  <c r="R4" i="6"/>
  <c r="Q4" i="6"/>
  <c r="O4" i="6"/>
  <c r="J4" i="6"/>
  <c r="K4" i="6" s="1"/>
  <c r="H704" i="5"/>
  <c r="N710" i="5" s="1"/>
  <c r="F704" i="5"/>
  <c r="B704" i="5"/>
  <c r="E703" i="5"/>
  <c r="G703" i="5" s="1"/>
  <c r="E702" i="5"/>
  <c r="G702" i="5" s="1"/>
  <c r="E701" i="5"/>
  <c r="G701" i="5" s="1"/>
  <c r="E700" i="5"/>
  <c r="G700" i="5" s="1"/>
  <c r="E699" i="5"/>
  <c r="G699" i="5" s="1"/>
  <c r="E698" i="5"/>
  <c r="G698" i="5" s="1"/>
  <c r="E697" i="5"/>
  <c r="G697" i="5" s="1"/>
  <c r="E696" i="5"/>
  <c r="G696" i="5" s="1"/>
  <c r="K696" i="5" s="1"/>
  <c r="N695" i="5"/>
  <c r="E695" i="5"/>
  <c r="G695" i="5" s="1"/>
  <c r="E694" i="5"/>
  <c r="G694" i="5" s="1"/>
  <c r="E693" i="5"/>
  <c r="G693" i="5" s="1"/>
  <c r="E692" i="5"/>
  <c r="G692" i="5" s="1"/>
  <c r="H666" i="5"/>
  <c r="N672" i="5" s="1"/>
  <c r="F666" i="5"/>
  <c r="E666" i="5"/>
  <c r="N670" i="5" s="1"/>
  <c r="B666" i="5"/>
  <c r="G665" i="5"/>
  <c r="G664" i="5"/>
  <c r="G663" i="5"/>
  <c r="G662" i="5"/>
  <c r="G661" i="5"/>
  <c r="G660" i="5"/>
  <c r="G659" i="5"/>
  <c r="G658" i="5"/>
  <c r="G657" i="5"/>
  <c r="G656" i="5"/>
  <c r="G655" i="5"/>
  <c r="G654" i="5"/>
  <c r="H628" i="5"/>
  <c r="N634" i="5" s="1"/>
  <c r="F628" i="5"/>
  <c r="E628" i="5"/>
  <c r="N632" i="5" s="1"/>
  <c r="B628" i="5"/>
  <c r="G627" i="5"/>
  <c r="G626" i="5"/>
  <c r="G625" i="5"/>
  <c r="G624" i="5"/>
  <c r="G623" i="5"/>
  <c r="G622" i="5"/>
  <c r="G621" i="5"/>
  <c r="G620" i="5"/>
  <c r="G619" i="5"/>
  <c r="G618" i="5"/>
  <c r="G617" i="5"/>
  <c r="G616" i="5"/>
  <c r="H590" i="5"/>
  <c r="N596" i="5" s="1"/>
  <c r="F590" i="5"/>
  <c r="B590" i="5"/>
  <c r="E589" i="5"/>
  <c r="G589" i="5" s="1"/>
  <c r="E588" i="5"/>
  <c r="G588" i="5" s="1"/>
  <c r="E587" i="5"/>
  <c r="G587" i="5" s="1"/>
  <c r="E586" i="5"/>
  <c r="G586" i="5" s="1"/>
  <c r="E585" i="5"/>
  <c r="G585" i="5" s="1"/>
  <c r="E584" i="5"/>
  <c r="G584" i="5" s="1"/>
  <c r="E583" i="5"/>
  <c r="G583" i="5" s="1"/>
  <c r="E582" i="5"/>
  <c r="G582" i="5" s="1"/>
  <c r="E581" i="5"/>
  <c r="G581" i="5" s="1"/>
  <c r="E580" i="5"/>
  <c r="E579" i="5"/>
  <c r="G579" i="5" s="1"/>
  <c r="E578" i="5"/>
  <c r="G578" i="5" s="1"/>
  <c r="H552" i="5"/>
  <c r="N558" i="5" s="1"/>
  <c r="F552" i="5"/>
  <c r="B552" i="5"/>
  <c r="E551" i="5"/>
  <c r="G551" i="5" s="1"/>
  <c r="E550" i="5"/>
  <c r="G550" i="5" s="1"/>
  <c r="E549" i="5"/>
  <c r="G549" i="5" s="1"/>
  <c r="E548" i="5"/>
  <c r="G548" i="5" s="1"/>
  <c r="E547" i="5"/>
  <c r="G547" i="5" s="1"/>
  <c r="E546" i="5"/>
  <c r="G546" i="5" s="1"/>
  <c r="E545" i="5"/>
  <c r="G545" i="5" s="1"/>
  <c r="E544" i="5"/>
  <c r="G544" i="5" s="1"/>
  <c r="E543" i="5"/>
  <c r="G543" i="5" s="1"/>
  <c r="E542" i="5"/>
  <c r="G542" i="5" s="1"/>
  <c r="E541" i="5"/>
  <c r="G541" i="5" s="1"/>
  <c r="E540" i="5"/>
  <c r="H514" i="5"/>
  <c r="N520" i="5" s="1"/>
  <c r="F514" i="5"/>
  <c r="B514" i="5"/>
  <c r="E513" i="5"/>
  <c r="G513" i="5" s="1"/>
  <c r="E512" i="5"/>
  <c r="G512" i="5" s="1"/>
  <c r="E511" i="5"/>
  <c r="G511" i="5" s="1"/>
  <c r="E510" i="5"/>
  <c r="G510" i="5" s="1"/>
  <c r="E509" i="5"/>
  <c r="G509" i="5" s="1"/>
  <c r="E508" i="5"/>
  <c r="G508" i="5" s="1"/>
  <c r="E507" i="5"/>
  <c r="G507" i="5" s="1"/>
  <c r="E506" i="5"/>
  <c r="G506" i="5" s="1"/>
  <c r="E505" i="5"/>
  <c r="G505" i="5" s="1"/>
  <c r="E504" i="5"/>
  <c r="G504" i="5" s="1"/>
  <c r="E503" i="5"/>
  <c r="G503" i="5" s="1"/>
  <c r="E502" i="5"/>
  <c r="G502" i="5" s="1"/>
  <c r="H476" i="5"/>
  <c r="N482" i="5" s="1"/>
  <c r="F476" i="5"/>
  <c r="B476" i="5"/>
  <c r="E475" i="5"/>
  <c r="G475" i="5" s="1"/>
  <c r="E474" i="5"/>
  <c r="G474" i="5" s="1"/>
  <c r="E473" i="5"/>
  <c r="G473" i="5" s="1"/>
  <c r="E472" i="5"/>
  <c r="G472" i="5" s="1"/>
  <c r="E471" i="5"/>
  <c r="G471" i="5" s="1"/>
  <c r="E470" i="5"/>
  <c r="G470" i="5" s="1"/>
  <c r="E469" i="5"/>
  <c r="G469" i="5" s="1"/>
  <c r="E468" i="5"/>
  <c r="G468" i="5" s="1"/>
  <c r="E467" i="5"/>
  <c r="G467" i="5" s="1"/>
  <c r="E466" i="5"/>
  <c r="G466" i="5" s="1"/>
  <c r="E465" i="5"/>
  <c r="G465" i="5" s="1"/>
  <c r="E464" i="5"/>
  <c r="H438" i="5"/>
  <c r="N444" i="5" s="1"/>
  <c r="F438" i="5"/>
  <c r="B438" i="5"/>
  <c r="E437" i="5"/>
  <c r="G437" i="5" s="1"/>
  <c r="E436" i="5"/>
  <c r="G436" i="5" s="1"/>
  <c r="E435" i="5"/>
  <c r="G435" i="5" s="1"/>
  <c r="E434" i="5"/>
  <c r="G434" i="5" s="1"/>
  <c r="E433" i="5"/>
  <c r="G433" i="5" s="1"/>
  <c r="E432" i="5"/>
  <c r="G432" i="5" s="1"/>
  <c r="E431" i="5"/>
  <c r="G431" i="5" s="1"/>
  <c r="E430" i="5"/>
  <c r="G430" i="5" s="1"/>
  <c r="E429" i="5"/>
  <c r="G429" i="5" s="1"/>
  <c r="E428" i="5"/>
  <c r="G428" i="5" s="1"/>
  <c r="E427" i="5"/>
  <c r="G427" i="5" s="1"/>
  <c r="E426" i="5"/>
  <c r="H400" i="5"/>
  <c r="N406" i="5" s="1"/>
  <c r="F400" i="5"/>
  <c r="B400" i="5"/>
  <c r="E399" i="5"/>
  <c r="G399" i="5" s="1"/>
  <c r="E398" i="5"/>
  <c r="G398" i="5" s="1"/>
  <c r="E397" i="5"/>
  <c r="G397" i="5" s="1"/>
  <c r="E396" i="5"/>
  <c r="G396" i="5" s="1"/>
  <c r="E395" i="5"/>
  <c r="G395" i="5" s="1"/>
  <c r="E394" i="5"/>
  <c r="G394" i="5" s="1"/>
  <c r="E393" i="5"/>
  <c r="G393" i="5" s="1"/>
  <c r="E392" i="5"/>
  <c r="G392" i="5" s="1"/>
  <c r="E391" i="5"/>
  <c r="G391" i="5" s="1"/>
  <c r="E390" i="5"/>
  <c r="G390" i="5" s="1"/>
  <c r="E389" i="5"/>
  <c r="E388" i="5"/>
  <c r="G388" i="5" s="1"/>
  <c r="H362" i="5"/>
  <c r="N368" i="5" s="1"/>
  <c r="F362" i="5"/>
  <c r="B362" i="5"/>
  <c r="E361" i="5"/>
  <c r="G361" i="5" s="1"/>
  <c r="E360" i="5"/>
  <c r="G360" i="5" s="1"/>
  <c r="E359" i="5"/>
  <c r="G359" i="5" s="1"/>
  <c r="E358" i="5"/>
  <c r="G358" i="5" s="1"/>
  <c r="E357" i="5"/>
  <c r="G357" i="5" s="1"/>
  <c r="E356" i="5"/>
  <c r="G356" i="5" s="1"/>
  <c r="E355" i="5"/>
  <c r="G355" i="5" s="1"/>
  <c r="E354" i="5"/>
  <c r="G354" i="5" s="1"/>
  <c r="E353" i="5"/>
  <c r="G353" i="5" s="1"/>
  <c r="E352" i="5"/>
  <c r="G352" i="5" s="1"/>
  <c r="E351" i="5"/>
  <c r="G351" i="5" s="1"/>
  <c r="E350" i="5"/>
  <c r="G350" i="5" s="1"/>
  <c r="H324" i="5"/>
  <c r="N330" i="5" s="1"/>
  <c r="F324" i="5"/>
  <c r="B324" i="5"/>
  <c r="E323" i="5"/>
  <c r="G323" i="5" s="1"/>
  <c r="E322" i="5"/>
  <c r="G322" i="5" s="1"/>
  <c r="E321" i="5"/>
  <c r="G321" i="5" s="1"/>
  <c r="E320" i="5"/>
  <c r="G320" i="5" s="1"/>
  <c r="E319" i="5"/>
  <c r="G319" i="5" s="1"/>
  <c r="E318" i="5"/>
  <c r="G318" i="5" s="1"/>
  <c r="E317" i="5"/>
  <c r="G317" i="5" s="1"/>
  <c r="E316" i="5"/>
  <c r="G316" i="5" s="1"/>
  <c r="E315" i="5"/>
  <c r="G315" i="5" s="1"/>
  <c r="E314" i="5"/>
  <c r="G314" i="5" s="1"/>
  <c r="E313" i="5"/>
  <c r="G313" i="5" s="1"/>
  <c r="E312" i="5"/>
  <c r="G312" i="5" s="1"/>
  <c r="H286" i="5"/>
  <c r="N292" i="5" s="1"/>
  <c r="F286" i="5"/>
  <c r="B286" i="5"/>
  <c r="E285" i="5"/>
  <c r="G285" i="5" s="1"/>
  <c r="E284" i="5"/>
  <c r="G284" i="5" s="1"/>
  <c r="E283" i="5"/>
  <c r="G283" i="5" s="1"/>
  <c r="E282" i="5"/>
  <c r="G282" i="5" s="1"/>
  <c r="E281" i="5"/>
  <c r="G281" i="5" s="1"/>
  <c r="E280" i="5"/>
  <c r="G280" i="5" s="1"/>
  <c r="E279" i="5"/>
  <c r="G279" i="5" s="1"/>
  <c r="E278" i="5"/>
  <c r="G278" i="5" s="1"/>
  <c r="E277" i="5"/>
  <c r="G277" i="5" s="1"/>
  <c r="E276" i="5"/>
  <c r="G276" i="5" s="1"/>
  <c r="E275" i="5"/>
  <c r="E274" i="5"/>
  <c r="G274" i="5" s="1"/>
  <c r="Z244" i="5"/>
  <c r="W244" i="5"/>
  <c r="V244" i="5"/>
  <c r="U244" i="5"/>
  <c r="H244" i="5"/>
  <c r="L252" i="5" s="1"/>
  <c r="K271" i="5" s="1"/>
  <c r="F244" i="5"/>
  <c r="L248" i="5" s="1"/>
  <c r="C244" i="5"/>
  <c r="E243" i="5"/>
  <c r="D243" i="5"/>
  <c r="E242" i="5"/>
  <c r="D242" i="5"/>
  <c r="X241" i="5"/>
  <c r="E241" i="5"/>
  <c r="X240" i="5"/>
  <c r="Y240" i="5" s="1"/>
  <c r="AA240" i="5" s="1"/>
  <c r="E240" i="5"/>
  <c r="X239" i="5"/>
  <c r="Y239" i="5" s="1"/>
  <c r="AA239" i="5" s="1"/>
  <c r="E239" i="5"/>
  <c r="X238" i="5"/>
  <c r="Y238" i="5" s="1"/>
  <c r="E238" i="5"/>
  <c r="X237" i="5"/>
  <c r="Y237" i="5" s="1"/>
  <c r="B237" i="5" s="1"/>
  <c r="E237" i="5"/>
  <c r="X236" i="5"/>
  <c r="Y236" i="5" s="1"/>
  <c r="E236" i="5"/>
  <c r="X235" i="5"/>
  <c r="Y235" i="5" s="1"/>
  <c r="E235" i="5"/>
  <c r="X234" i="5"/>
  <c r="Y234" i="5" s="1"/>
  <c r="B234" i="5" s="1"/>
  <c r="E234" i="5"/>
  <c r="X233" i="5"/>
  <c r="Y233" i="5" s="1"/>
  <c r="AA233" i="5" s="1"/>
  <c r="E233" i="5"/>
  <c r="X232" i="5"/>
  <c r="Y232" i="5" s="1"/>
  <c r="E232" i="5"/>
  <c r="Z203" i="5"/>
  <c r="W203" i="5"/>
  <c r="V203" i="5"/>
  <c r="U203" i="5"/>
  <c r="H203" i="5"/>
  <c r="L211" i="5" s="1"/>
  <c r="F203" i="5"/>
  <c r="L207" i="5" s="1"/>
  <c r="X202" i="5"/>
  <c r="Y202" i="5" s="1"/>
  <c r="B202" i="5" s="1"/>
  <c r="D202" i="5" s="1"/>
  <c r="E202" i="5"/>
  <c r="X201" i="5"/>
  <c r="Y201" i="5" s="1"/>
  <c r="E201" i="5"/>
  <c r="X200" i="5"/>
  <c r="Y200" i="5" s="1"/>
  <c r="E200" i="5"/>
  <c r="X199" i="5"/>
  <c r="Y199" i="5" s="1"/>
  <c r="E199" i="5"/>
  <c r="X198" i="5"/>
  <c r="Y198" i="5" s="1"/>
  <c r="AA198" i="5" s="1"/>
  <c r="E198" i="5"/>
  <c r="X197" i="5"/>
  <c r="Y197" i="5" s="1"/>
  <c r="AA197" i="5" s="1"/>
  <c r="AT196" i="5"/>
  <c r="AU196" i="5" s="1"/>
  <c r="AW196" i="5" s="1"/>
  <c r="X196" i="5"/>
  <c r="Y196" i="5" s="1"/>
  <c r="AA196" i="5" s="1"/>
  <c r="X195" i="5"/>
  <c r="Y195" i="5" s="1"/>
  <c r="X194" i="5"/>
  <c r="Y194" i="5" s="1"/>
  <c r="E194" i="5"/>
  <c r="X191" i="5"/>
  <c r="X190" i="5"/>
  <c r="Y190" i="5" s="1"/>
  <c r="X189" i="5"/>
  <c r="Y189" i="5" s="1"/>
  <c r="E189" i="5"/>
  <c r="X188" i="5"/>
  <c r="Y188" i="5" s="1"/>
  <c r="AA188" i="5" s="1"/>
  <c r="E188" i="5"/>
  <c r="X187" i="5"/>
  <c r="Y187" i="5" s="1"/>
  <c r="E187" i="5"/>
  <c r="X186" i="5"/>
  <c r="Y186" i="5" s="1"/>
  <c r="AA186" i="5" s="1"/>
  <c r="E186" i="5"/>
  <c r="Z155" i="5"/>
  <c r="W155" i="5"/>
  <c r="V155" i="5"/>
  <c r="U155" i="5"/>
  <c r="H155" i="5"/>
  <c r="L163" i="5" s="1"/>
  <c r="F155" i="5"/>
  <c r="L159" i="5" s="1"/>
  <c r="X154" i="5"/>
  <c r="Y154" i="5" s="1"/>
  <c r="AA154" i="5" s="1"/>
  <c r="E154" i="5"/>
  <c r="X153" i="5"/>
  <c r="Y153" i="5" s="1"/>
  <c r="AA153" i="5" s="1"/>
  <c r="E153" i="5"/>
  <c r="X152" i="5"/>
  <c r="Y152" i="5" s="1"/>
  <c r="B152" i="5" s="1"/>
  <c r="E152" i="5"/>
  <c r="X151" i="5"/>
  <c r="Y151" i="5" s="1"/>
  <c r="AA151" i="5" s="1"/>
  <c r="E151" i="5"/>
  <c r="X150" i="5"/>
  <c r="Y150" i="5" s="1"/>
  <c r="B150" i="5" s="1"/>
  <c r="E150" i="5"/>
  <c r="X149" i="5"/>
  <c r="Y149" i="5" s="1"/>
  <c r="AA149" i="5" s="1"/>
  <c r="E149" i="5"/>
  <c r="X148" i="5"/>
  <c r="Y148" i="5" s="1"/>
  <c r="AA148" i="5" s="1"/>
  <c r="E148" i="5"/>
  <c r="X147" i="5"/>
  <c r="Y147" i="5" s="1"/>
  <c r="B147" i="5" s="1"/>
  <c r="E147" i="5"/>
  <c r="X146" i="5"/>
  <c r="Y146" i="5" s="1"/>
  <c r="E146" i="5"/>
  <c r="X145" i="5"/>
  <c r="Y145" i="5" s="1"/>
  <c r="AA145" i="5" s="1"/>
  <c r="E145" i="5"/>
  <c r="X143" i="5"/>
  <c r="Y143" i="5" s="1"/>
  <c r="C143" i="5" s="1"/>
  <c r="X142" i="5"/>
  <c r="E142" i="5"/>
  <c r="Z111" i="5"/>
  <c r="W111" i="5"/>
  <c r="V111" i="5"/>
  <c r="U111" i="5"/>
  <c r="H111" i="5"/>
  <c r="L119" i="5" s="1"/>
  <c r="F111" i="5"/>
  <c r="L115" i="5" s="1"/>
  <c r="C111" i="5"/>
  <c r="X110" i="5"/>
  <c r="Y110" i="5" s="1"/>
  <c r="AA110" i="5" s="1"/>
  <c r="X5" i="5" s="1"/>
  <c r="E110" i="5"/>
  <c r="X109" i="5"/>
  <c r="Y109" i="5" s="1"/>
  <c r="E109" i="5"/>
  <c r="X108" i="5"/>
  <c r="Y108" i="5" s="1"/>
  <c r="B108" i="5" s="1"/>
  <c r="E108" i="5"/>
  <c r="X107" i="5"/>
  <c r="Y107" i="5" s="1"/>
  <c r="E107" i="5"/>
  <c r="X106" i="5"/>
  <c r="Y106" i="5" s="1"/>
  <c r="B106" i="5" s="1"/>
  <c r="D106" i="5" s="1"/>
  <c r="E106" i="5"/>
  <c r="X105" i="5"/>
  <c r="Y105" i="5" s="1"/>
  <c r="E105" i="5"/>
  <c r="X104" i="5"/>
  <c r="Y104" i="5" s="1"/>
  <c r="E104" i="5"/>
  <c r="X103" i="5"/>
  <c r="Y103" i="5" s="1"/>
  <c r="E103" i="5"/>
  <c r="X102" i="5"/>
  <c r="Y102" i="5" s="1"/>
  <c r="B102" i="5" s="1"/>
  <c r="E102" i="5"/>
  <c r="X101" i="5"/>
  <c r="Y101" i="5" s="1"/>
  <c r="B101" i="5" s="1"/>
  <c r="E101" i="5"/>
  <c r="X100" i="5"/>
  <c r="Y100" i="5" s="1"/>
  <c r="E100" i="5"/>
  <c r="X99" i="5"/>
  <c r="Y99" i="5" s="1"/>
  <c r="E99" i="5"/>
  <c r="Z68" i="5"/>
  <c r="W68" i="5"/>
  <c r="V68" i="5"/>
  <c r="U68" i="5"/>
  <c r="H68" i="5"/>
  <c r="L76" i="5" s="1"/>
  <c r="F68" i="5"/>
  <c r="L72" i="5" s="1"/>
  <c r="X67" i="5"/>
  <c r="Y67" i="5" s="1"/>
  <c r="B67" i="5" s="1"/>
  <c r="E67" i="5"/>
  <c r="X66" i="5"/>
  <c r="Y66" i="5" s="1"/>
  <c r="AA66" i="5" s="1"/>
  <c r="D66" i="5"/>
  <c r="X65" i="5"/>
  <c r="Y65" i="5" s="1"/>
  <c r="C65" i="5" s="1"/>
  <c r="E65" i="5" s="1"/>
  <c r="D65" i="5"/>
  <c r="X64" i="5"/>
  <c r="Y64" i="5" s="1"/>
  <c r="C64" i="5" s="1"/>
  <c r="D64" i="5"/>
  <c r="X63" i="5"/>
  <c r="Y63" i="5" s="1"/>
  <c r="D63" i="5"/>
  <c r="X62" i="5"/>
  <c r="Y62" i="5" s="1"/>
  <c r="D62" i="5"/>
  <c r="X61" i="5"/>
  <c r="Y61" i="5" s="1"/>
  <c r="D61" i="5"/>
  <c r="X60" i="5"/>
  <c r="Y60" i="5" s="1"/>
  <c r="D60" i="5"/>
  <c r="X59" i="5"/>
  <c r="Y59" i="5" s="1"/>
  <c r="C59" i="5" s="1"/>
  <c r="E59" i="5" s="1"/>
  <c r="D59" i="5"/>
  <c r="X58" i="5"/>
  <c r="Y58" i="5" s="1"/>
  <c r="D58" i="5"/>
  <c r="X57" i="5"/>
  <c r="D57" i="5"/>
  <c r="X56" i="5"/>
  <c r="Y56" i="5" s="1"/>
  <c r="D56" i="5"/>
  <c r="F50" i="5"/>
  <c r="F93" i="5" s="1"/>
  <c r="F136" i="5" s="1"/>
  <c r="Z25" i="5"/>
  <c r="W25" i="5"/>
  <c r="V25" i="5"/>
  <c r="U25" i="5"/>
  <c r="H25" i="5"/>
  <c r="L33" i="5" s="1"/>
  <c r="F25" i="5"/>
  <c r="L29" i="5" s="1"/>
  <c r="B25" i="5"/>
  <c r="X24" i="5"/>
  <c r="Y24" i="5" s="1"/>
  <c r="AA24" i="5" s="1"/>
  <c r="D24" i="5"/>
  <c r="X23" i="5"/>
  <c r="Y23" i="5" s="1"/>
  <c r="D23" i="5"/>
  <c r="X22" i="5"/>
  <c r="Y22" i="5" s="1"/>
  <c r="D22" i="5"/>
  <c r="X21" i="5"/>
  <c r="Y21" i="5" s="1"/>
  <c r="D21" i="5"/>
  <c r="X20" i="5"/>
  <c r="Y20" i="5" s="1"/>
  <c r="C20" i="5" s="1"/>
  <c r="D20" i="5"/>
  <c r="X19" i="5"/>
  <c r="D19" i="5"/>
  <c r="X18" i="5"/>
  <c r="Y18" i="5" s="1"/>
  <c r="D18" i="5"/>
  <c r="X17" i="5"/>
  <c r="Y17" i="5" s="1"/>
  <c r="AA17" i="5" s="1"/>
  <c r="D17" i="5"/>
  <c r="X16" i="5"/>
  <c r="Y16" i="5" s="1"/>
  <c r="AA16" i="5" s="1"/>
  <c r="D16" i="5"/>
  <c r="X15" i="5"/>
  <c r="Y15" i="5" s="1"/>
  <c r="D15" i="5"/>
  <c r="AJ16" i="5"/>
  <c r="AI16" i="5"/>
  <c r="AH16" i="5"/>
  <c r="E14" i="5"/>
  <c r="D14" i="5"/>
  <c r="E13" i="5"/>
  <c r="D13" i="5"/>
  <c r="K50" i="5"/>
  <c r="K93" i="5" s="1"/>
  <c r="K136" i="5" s="1"/>
  <c r="K180" i="5" s="1"/>
  <c r="H48" i="5"/>
  <c r="H91" i="5" s="1"/>
  <c r="H134" i="5" s="1"/>
  <c r="H178" i="5" s="1"/>
  <c r="B48" i="5"/>
  <c r="B91" i="5" s="1"/>
  <c r="B134" i="5" s="1"/>
  <c r="B178" i="5" s="1"/>
  <c r="B50" i="5"/>
  <c r="B93" i="5" s="1"/>
  <c r="B136" i="5" s="1"/>
  <c r="B180" i="5" s="1"/>
  <c r="AH90" i="1"/>
  <c r="AG90" i="1"/>
  <c r="AF90" i="1"/>
  <c r="X90" i="1"/>
  <c r="Y90" i="1" s="1"/>
  <c r="AA90" i="1" s="1"/>
  <c r="X89" i="1"/>
  <c r="Y89" i="1" s="1"/>
  <c r="AA89" i="1" s="1"/>
  <c r="N231" i="3"/>
  <c r="B231" i="3"/>
  <c r="H789" i="3"/>
  <c r="N795" i="3" s="1"/>
  <c r="F789" i="3"/>
  <c r="B789" i="3"/>
  <c r="N792" i="3" s="1"/>
  <c r="E788" i="3"/>
  <c r="G788" i="3" s="1"/>
  <c r="E787" i="3"/>
  <c r="G787" i="3" s="1"/>
  <c r="E786" i="3"/>
  <c r="G786" i="3" s="1"/>
  <c r="E785" i="3"/>
  <c r="G785" i="3" s="1"/>
  <c r="G784" i="3"/>
  <c r="E784" i="3"/>
  <c r="E783" i="3"/>
  <c r="G783" i="3" s="1"/>
  <c r="E782" i="3"/>
  <c r="G782" i="3" s="1"/>
  <c r="E781" i="3"/>
  <c r="G781" i="3" s="1"/>
  <c r="K781" i="3" s="1"/>
  <c r="N780" i="3"/>
  <c r="G780" i="3"/>
  <c r="E780" i="3"/>
  <c r="G779" i="3"/>
  <c r="E779" i="3"/>
  <c r="G778" i="3"/>
  <c r="E778" i="3"/>
  <c r="G777" i="3"/>
  <c r="E777" i="3"/>
  <c r="E789" i="3" s="1"/>
  <c r="N793" i="3" s="1"/>
  <c r="N757" i="3"/>
  <c r="N755" i="3"/>
  <c r="N754" i="3"/>
  <c r="H751" i="3"/>
  <c r="F751" i="3"/>
  <c r="E751" i="3"/>
  <c r="B751" i="3"/>
  <c r="G750" i="3"/>
  <c r="G749" i="3"/>
  <c r="G748" i="3"/>
  <c r="G747" i="3"/>
  <c r="G746" i="3"/>
  <c r="G745" i="3"/>
  <c r="G744" i="3"/>
  <c r="G743" i="3"/>
  <c r="G742" i="3"/>
  <c r="G741" i="3"/>
  <c r="G740" i="3"/>
  <c r="G739" i="3"/>
  <c r="N716" i="3"/>
  <c r="H713" i="3"/>
  <c r="N719" i="3" s="1"/>
  <c r="F713" i="3"/>
  <c r="E713" i="3"/>
  <c r="N717" i="3" s="1"/>
  <c r="B713" i="3"/>
  <c r="G712" i="3"/>
  <c r="G711" i="3"/>
  <c r="G713" i="3" s="1"/>
  <c r="G710" i="3"/>
  <c r="G709" i="3"/>
  <c r="G708" i="3"/>
  <c r="G707" i="3"/>
  <c r="G706" i="3"/>
  <c r="G705" i="3"/>
  <c r="G704" i="3"/>
  <c r="G703" i="3"/>
  <c r="G702" i="3"/>
  <c r="G701" i="3"/>
  <c r="N681" i="3"/>
  <c r="H675" i="3"/>
  <c r="F675" i="3"/>
  <c r="B675" i="3"/>
  <c r="E674" i="3"/>
  <c r="G674" i="3" s="1"/>
  <c r="E673" i="3"/>
  <c r="G673" i="3" s="1"/>
  <c r="E672" i="3"/>
  <c r="G672" i="3" s="1"/>
  <c r="E671" i="3"/>
  <c r="G671" i="3" s="1"/>
  <c r="E670" i="3"/>
  <c r="G670" i="3" s="1"/>
  <c r="G669" i="3"/>
  <c r="E669" i="3"/>
  <c r="E668" i="3"/>
  <c r="G668" i="3" s="1"/>
  <c r="E667" i="3"/>
  <c r="G667" i="3" s="1"/>
  <c r="G666" i="3"/>
  <c r="E666" i="3"/>
  <c r="E665" i="3"/>
  <c r="E664" i="3"/>
  <c r="G664" i="3" s="1"/>
  <c r="G663" i="3"/>
  <c r="E663" i="3"/>
  <c r="N643" i="3"/>
  <c r="N640" i="3"/>
  <c r="H637" i="3"/>
  <c r="F637" i="3"/>
  <c r="B637" i="3"/>
  <c r="G636" i="3"/>
  <c r="E636" i="3"/>
  <c r="G635" i="3"/>
  <c r="E635" i="3"/>
  <c r="G634" i="3"/>
  <c r="E634" i="3"/>
  <c r="G633" i="3"/>
  <c r="E633" i="3"/>
  <c r="G632" i="3"/>
  <c r="E632" i="3"/>
  <c r="G631" i="3"/>
  <c r="E631" i="3"/>
  <c r="E630" i="3"/>
  <c r="G630" i="3" s="1"/>
  <c r="G637" i="3" s="1"/>
  <c r="G629" i="3"/>
  <c r="E629" i="3"/>
  <c r="G628" i="3"/>
  <c r="E628" i="3"/>
  <c r="G627" i="3"/>
  <c r="E627" i="3"/>
  <c r="G626" i="3"/>
  <c r="E626" i="3"/>
  <c r="G625" i="3"/>
  <c r="E625" i="3"/>
  <c r="H599" i="3"/>
  <c r="N605" i="3" s="1"/>
  <c r="F599" i="3"/>
  <c r="B599" i="3"/>
  <c r="G598" i="3"/>
  <c r="E598" i="3"/>
  <c r="E597" i="3"/>
  <c r="G597" i="3" s="1"/>
  <c r="G596" i="3"/>
  <c r="E596" i="3"/>
  <c r="E595" i="3"/>
  <c r="G595" i="3" s="1"/>
  <c r="G594" i="3"/>
  <c r="E594" i="3"/>
  <c r="E593" i="3"/>
  <c r="G593" i="3" s="1"/>
  <c r="E592" i="3"/>
  <c r="G592" i="3" s="1"/>
  <c r="G591" i="3"/>
  <c r="E591" i="3"/>
  <c r="E590" i="3"/>
  <c r="G590" i="3" s="1"/>
  <c r="G589" i="3"/>
  <c r="E589" i="3"/>
  <c r="E588" i="3"/>
  <c r="G588" i="3" s="1"/>
  <c r="G587" i="3"/>
  <c r="E587" i="3"/>
  <c r="N567" i="3"/>
  <c r="N564" i="3"/>
  <c r="H561" i="3"/>
  <c r="F561" i="3"/>
  <c r="B561" i="3"/>
  <c r="G560" i="3"/>
  <c r="E560" i="3"/>
  <c r="E559" i="3"/>
  <c r="G559" i="3" s="1"/>
  <c r="E558" i="3"/>
  <c r="G558" i="3" s="1"/>
  <c r="G557" i="3"/>
  <c r="E557" i="3"/>
  <c r="G556" i="3"/>
  <c r="E556" i="3"/>
  <c r="E555" i="3"/>
  <c r="G555" i="3" s="1"/>
  <c r="E554" i="3"/>
  <c r="G554" i="3" s="1"/>
  <c r="E553" i="3"/>
  <c r="G553" i="3" s="1"/>
  <c r="E552" i="3"/>
  <c r="G552" i="3" s="1"/>
  <c r="G551" i="3"/>
  <c r="E551" i="3"/>
  <c r="G550" i="3"/>
  <c r="E550" i="3"/>
  <c r="E549" i="3"/>
  <c r="N529" i="3"/>
  <c r="H523" i="3"/>
  <c r="F523" i="3"/>
  <c r="B523" i="3"/>
  <c r="N526" i="3" s="1"/>
  <c r="E522" i="3"/>
  <c r="G522" i="3" s="1"/>
  <c r="E521" i="3"/>
  <c r="G521" i="3" s="1"/>
  <c r="E520" i="3"/>
  <c r="G520" i="3" s="1"/>
  <c r="E519" i="3"/>
  <c r="G519" i="3" s="1"/>
  <c r="G518" i="3"/>
  <c r="E518" i="3"/>
  <c r="E517" i="3"/>
  <c r="G517" i="3" s="1"/>
  <c r="E516" i="3"/>
  <c r="G516" i="3" s="1"/>
  <c r="G515" i="3"/>
  <c r="E515" i="3"/>
  <c r="E514" i="3"/>
  <c r="G514" i="3" s="1"/>
  <c r="E513" i="3"/>
  <c r="G513" i="3" s="1"/>
  <c r="E512" i="3"/>
  <c r="G512" i="3" s="1"/>
  <c r="E511" i="3"/>
  <c r="N491" i="3"/>
  <c r="H485" i="3"/>
  <c r="F485" i="3"/>
  <c r="B485" i="3"/>
  <c r="G484" i="3"/>
  <c r="E484" i="3"/>
  <c r="G483" i="3"/>
  <c r="E483" i="3"/>
  <c r="E482" i="3"/>
  <c r="G482" i="3" s="1"/>
  <c r="G481" i="3"/>
  <c r="E481" i="3"/>
  <c r="G480" i="3"/>
  <c r="E480" i="3"/>
  <c r="E479" i="3"/>
  <c r="G479" i="3" s="1"/>
  <c r="G478" i="3"/>
  <c r="E478" i="3"/>
  <c r="G477" i="3"/>
  <c r="E477" i="3"/>
  <c r="E476" i="3"/>
  <c r="E485" i="3" s="1"/>
  <c r="N489" i="3" s="1"/>
  <c r="G475" i="3"/>
  <c r="E475" i="3"/>
  <c r="G474" i="3"/>
  <c r="E474" i="3"/>
  <c r="G473" i="3"/>
  <c r="E473" i="3"/>
  <c r="H447" i="3"/>
  <c r="N453" i="3" s="1"/>
  <c r="F447" i="3"/>
  <c r="B447" i="3"/>
  <c r="E446" i="3"/>
  <c r="G446" i="3" s="1"/>
  <c r="E445" i="3"/>
  <c r="G445" i="3" s="1"/>
  <c r="G444" i="3"/>
  <c r="E444" i="3"/>
  <c r="G443" i="3"/>
  <c r="E443" i="3"/>
  <c r="E442" i="3"/>
  <c r="G442" i="3" s="1"/>
  <c r="E441" i="3"/>
  <c r="G441" i="3" s="1"/>
  <c r="G440" i="3"/>
  <c r="E440" i="3"/>
  <c r="G439" i="3"/>
  <c r="E439" i="3"/>
  <c r="G438" i="3"/>
  <c r="E438" i="3"/>
  <c r="G437" i="3"/>
  <c r="E437" i="3"/>
  <c r="E436" i="3"/>
  <c r="G435" i="3"/>
  <c r="E435" i="3"/>
  <c r="H409" i="3"/>
  <c r="N415" i="3" s="1"/>
  <c r="F409" i="3"/>
  <c r="B409" i="3"/>
  <c r="N412" i="3" s="1"/>
  <c r="G408" i="3"/>
  <c r="E408" i="3"/>
  <c r="E407" i="3"/>
  <c r="G407" i="3" s="1"/>
  <c r="E406" i="3"/>
  <c r="G406" i="3" s="1"/>
  <c r="G405" i="3"/>
  <c r="E405" i="3"/>
  <c r="E404" i="3"/>
  <c r="G404" i="3" s="1"/>
  <c r="G403" i="3"/>
  <c r="E403" i="3"/>
  <c r="E402" i="3"/>
  <c r="G402" i="3" s="1"/>
  <c r="E401" i="3"/>
  <c r="G401" i="3" s="1"/>
  <c r="G400" i="3"/>
  <c r="E400" i="3"/>
  <c r="G399" i="3"/>
  <c r="G409" i="3" s="1"/>
  <c r="E399" i="3"/>
  <c r="E398" i="3"/>
  <c r="G398" i="3" s="1"/>
  <c r="G397" i="3"/>
  <c r="E397" i="3"/>
  <c r="N377" i="3"/>
  <c r="H371" i="3"/>
  <c r="F371" i="3"/>
  <c r="N374" i="3" s="1"/>
  <c r="B371" i="3"/>
  <c r="E370" i="3"/>
  <c r="G370" i="3" s="1"/>
  <c r="E369" i="3"/>
  <c r="G369" i="3" s="1"/>
  <c r="E368" i="3"/>
  <c r="G368" i="3" s="1"/>
  <c r="E367" i="3"/>
  <c r="G367" i="3" s="1"/>
  <c r="E366" i="3"/>
  <c r="G366" i="3" s="1"/>
  <c r="E365" i="3"/>
  <c r="G365" i="3" s="1"/>
  <c r="G364" i="3"/>
  <c r="E364" i="3"/>
  <c r="E363" i="3"/>
  <c r="G363" i="3" s="1"/>
  <c r="E362" i="3"/>
  <c r="G362" i="3" s="1"/>
  <c r="G361" i="3"/>
  <c r="E361" i="3"/>
  <c r="E360" i="3"/>
  <c r="G360" i="3" s="1"/>
  <c r="E359" i="3"/>
  <c r="L326" i="3"/>
  <c r="Z322" i="3"/>
  <c r="W322" i="3"/>
  <c r="V322" i="3"/>
  <c r="U322" i="3"/>
  <c r="H322" i="3"/>
  <c r="L330" i="3" s="1"/>
  <c r="K356" i="3" s="1"/>
  <c r="F322" i="3"/>
  <c r="C322" i="3"/>
  <c r="E321" i="3"/>
  <c r="D321" i="3"/>
  <c r="G321" i="3" s="1"/>
  <c r="G320" i="3"/>
  <c r="E320" i="3"/>
  <c r="D320" i="3"/>
  <c r="X319" i="3"/>
  <c r="Y319" i="3" s="1"/>
  <c r="AA319" i="3" s="1"/>
  <c r="E319" i="3"/>
  <c r="AA318" i="3"/>
  <c r="Y318" i="3"/>
  <c r="D318" i="3" s="1"/>
  <c r="X318" i="3"/>
  <c r="E318" i="3"/>
  <c r="X317" i="3"/>
  <c r="Y317" i="3" s="1"/>
  <c r="E317" i="3"/>
  <c r="X316" i="3"/>
  <c r="Y316" i="3" s="1"/>
  <c r="E316" i="3"/>
  <c r="X315" i="3"/>
  <c r="Y315" i="3" s="1"/>
  <c r="E315" i="3"/>
  <c r="Y314" i="3"/>
  <c r="AA314" i="3" s="1"/>
  <c r="X314" i="3"/>
  <c r="E314" i="3"/>
  <c r="X313" i="3"/>
  <c r="Y313" i="3" s="1"/>
  <c r="E313" i="3"/>
  <c r="X312" i="3"/>
  <c r="E312" i="3"/>
  <c r="AA311" i="3"/>
  <c r="Y311" i="3"/>
  <c r="X311" i="3"/>
  <c r="E311" i="3"/>
  <c r="AA310" i="3"/>
  <c r="Y310" i="3"/>
  <c r="X310" i="3"/>
  <c r="E310" i="3"/>
  <c r="B302" i="3"/>
  <c r="B352" i="3" s="1"/>
  <c r="B390" i="3" s="1"/>
  <c r="B428" i="3" s="1"/>
  <c r="B466" i="3" s="1"/>
  <c r="B504" i="3" s="1"/>
  <c r="B542" i="3" s="1"/>
  <c r="B580" i="3" s="1"/>
  <c r="B618" i="3" s="1"/>
  <c r="B656" i="3" s="1"/>
  <c r="B694" i="3" s="1"/>
  <c r="B732" i="3" s="1"/>
  <c r="B770" i="3" s="1"/>
  <c r="L286" i="3"/>
  <c r="Z278" i="3"/>
  <c r="W278" i="3"/>
  <c r="V278" i="3"/>
  <c r="U278" i="3"/>
  <c r="H278" i="3"/>
  <c r="F278" i="3"/>
  <c r="L282" i="3" s="1"/>
  <c r="AA277" i="3"/>
  <c r="X277" i="3"/>
  <c r="Y277" i="3" s="1"/>
  <c r="B277" i="3" s="1"/>
  <c r="E277" i="3"/>
  <c r="Y276" i="3"/>
  <c r="X276" i="3"/>
  <c r="E276" i="3"/>
  <c r="Y275" i="3"/>
  <c r="X275" i="3"/>
  <c r="E275" i="3"/>
  <c r="AA274" i="3"/>
  <c r="Y274" i="3"/>
  <c r="B274" i="3" s="1"/>
  <c r="X274" i="3"/>
  <c r="E274" i="3"/>
  <c r="D274" i="3"/>
  <c r="G274" i="3" s="1"/>
  <c r="AA273" i="3"/>
  <c r="Y273" i="3"/>
  <c r="X273" i="3"/>
  <c r="E273" i="3"/>
  <c r="D273" i="3"/>
  <c r="B273" i="3"/>
  <c r="X272" i="3"/>
  <c r="Y272" i="3" s="1"/>
  <c r="AA272" i="3" s="1"/>
  <c r="AA271" i="3"/>
  <c r="X271" i="3"/>
  <c r="Y271" i="3" s="1"/>
  <c r="Y270" i="3"/>
  <c r="AA270" i="3" s="1"/>
  <c r="X270" i="3"/>
  <c r="Y269" i="3"/>
  <c r="X269" i="3"/>
  <c r="E269" i="3"/>
  <c r="AA268" i="3"/>
  <c r="Y268" i="3"/>
  <c r="X268" i="3"/>
  <c r="E268" i="3"/>
  <c r="AA267" i="3"/>
  <c r="Y267" i="3"/>
  <c r="X267" i="3"/>
  <c r="X266" i="3"/>
  <c r="Y266" i="3" s="1"/>
  <c r="AA265" i="3"/>
  <c r="Y265" i="3"/>
  <c r="X265" i="3"/>
  <c r="E265" i="3"/>
  <c r="D265" i="3"/>
  <c r="X264" i="3"/>
  <c r="Y264" i="3" s="1"/>
  <c r="E264" i="3"/>
  <c r="Y263" i="3"/>
  <c r="AA263" i="3" s="1"/>
  <c r="X263" i="3"/>
  <c r="E263" i="3"/>
  <c r="X262" i="3"/>
  <c r="E262" i="3"/>
  <c r="Z231" i="3"/>
  <c r="W231" i="3"/>
  <c r="V231" i="3"/>
  <c r="U231" i="3"/>
  <c r="H231" i="3"/>
  <c r="L239" i="3" s="1"/>
  <c r="F231" i="3"/>
  <c r="L235" i="3" s="1"/>
  <c r="Y230" i="3"/>
  <c r="X230" i="3"/>
  <c r="E230" i="3"/>
  <c r="X229" i="3"/>
  <c r="Y229" i="3" s="1"/>
  <c r="AA229" i="3" s="1"/>
  <c r="E229" i="3"/>
  <c r="X228" i="3"/>
  <c r="Y228" i="3" s="1"/>
  <c r="E228" i="3"/>
  <c r="X227" i="3"/>
  <c r="Y227" i="3" s="1"/>
  <c r="E227" i="3"/>
  <c r="AA226" i="3"/>
  <c r="Y226" i="3"/>
  <c r="X226" i="3"/>
  <c r="E226" i="3"/>
  <c r="Y225" i="3"/>
  <c r="X225" i="3"/>
  <c r="E225" i="3"/>
  <c r="Y224" i="3"/>
  <c r="X224" i="3"/>
  <c r="E224" i="3"/>
  <c r="X223" i="3"/>
  <c r="Y223" i="3" s="1"/>
  <c r="AA223" i="3" s="1"/>
  <c r="E223" i="3"/>
  <c r="D223" i="3"/>
  <c r="X222" i="3"/>
  <c r="Y222" i="3" s="1"/>
  <c r="E222" i="3"/>
  <c r="AA221" i="3"/>
  <c r="Y221" i="3"/>
  <c r="X221" i="3"/>
  <c r="E221" i="3"/>
  <c r="X219" i="3"/>
  <c r="Y219" i="3" s="1"/>
  <c r="X218" i="3"/>
  <c r="E218" i="3"/>
  <c r="L195" i="3"/>
  <c r="L191" i="3"/>
  <c r="Z187" i="3"/>
  <c r="W187" i="3"/>
  <c r="V187" i="3"/>
  <c r="U187" i="3"/>
  <c r="H187" i="3"/>
  <c r="F187" i="3"/>
  <c r="C187" i="3"/>
  <c r="X186" i="3"/>
  <c r="Y186" i="3" s="1"/>
  <c r="E186" i="3"/>
  <c r="X185" i="3"/>
  <c r="Y185" i="3" s="1"/>
  <c r="AA185" i="3" s="1"/>
  <c r="E185" i="3"/>
  <c r="AA184" i="3"/>
  <c r="Y184" i="3"/>
  <c r="X184" i="3"/>
  <c r="E184" i="3"/>
  <c r="AA183" i="3"/>
  <c r="X183" i="3"/>
  <c r="Y183" i="3" s="1"/>
  <c r="E183" i="3"/>
  <c r="D183" i="3"/>
  <c r="G183" i="3" s="1"/>
  <c r="X182" i="3"/>
  <c r="Y182" i="3" s="1"/>
  <c r="E182" i="3"/>
  <c r="AA181" i="3"/>
  <c r="Y181" i="3"/>
  <c r="X181" i="3"/>
  <c r="E181" i="3"/>
  <c r="AA180" i="3"/>
  <c r="Y180" i="3"/>
  <c r="X180" i="3"/>
  <c r="E180" i="3"/>
  <c r="X179" i="3"/>
  <c r="Y179" i="3" s="1"/>
  <c r="E179" i="3"/>
  <c r="X178" i="3"/>
  <c r="Y178" i="3" s="1"/>
  <c r="E178" i="3"/>
  <c r="Y177" i="3"/>
  <c r="X177" i="3"/>
  <c r="E177" i="3"/>
  <c r="X176" i="3"/>
  <c r="E176" i="3"/>
  <c r="AA175" i="3"/>
  <c r="Y175" i="3"/>
  <c r="X175" i="3"/>
  <c r="E175" i="3"/>
  <c r="E187" i="3" s="1"/>
  <c r="Z144" i="3"/>
  <c r="W144" i="3"/>
  <c r="V144" i="3"/>
  <c r="U144" i="3"/>
  <c r="H144" i="3"/>
  <c r="L152" i="3" s="1"/>
  <c r="F144" i="3"/>
  <c r="L148" i="3" s="1"/>
  <c r="X143" i="3"/>
  <c r="Y143" i="3" s="1"/>
  <c r="AA143" i="3" s="1"/>
  <c r="E143" i="3"/>
  <c r="Y142" i="3"/>
  <c r="X142" i="3"/>
  <c r="D142" i="3"/>
  <c r="Y141" i="3"/>
  <c r="C141" i="3" s="1"/>
  <c r="X141" i="3"/>
  <c r="D141" i="3"/>
  <c r="Y140" i="3"/>
  <c r="X140" i="3"/>
  <c r="D140" i="3"/>
  <c r="X139" i="3"/>
  <c r="Y139" i="3" s="1"/>
  <c r="AA139" i="3" s="1"/>
  <c r="D139" i="3"/>
  <c r="C139" i="3"/>
  <c r="X138" i="3"/>
  <c r="Y138" i="3" s="1"/>
  <c r="AA138" i="3" s="1"/>
  <c r="D138" i="3"/>
  <c r="C138" i="3"/>
  <c r="Y137" i="3"/>
  <c r="C137" i="3" s="1"/>
  <c r="X137" i="3"/>
  <c r="D137" i="3"/>
  <c r="X136" i="3"/>
  <c r="Y136" i="3" s="1"/>
  <c r="D136" i="3"/>
  <c r="X135" i="3"/>
  <c r="D135" i="3"/>
  <c r="Y134" i="3"/>
  <c r="C134" i="3" s="1"/>
  <c r="E134" i="3" s="1"/>
  <c r="X134" i="3"/>
  <c r="G134" i="3"/>
  <c r="D134" i="3"/>
  <c r="X133" i="3"/>
  <c r="Y133" i="3" s="1"/>
  <c r="AA133" i="3" s="1"/>
  <c r="G133" i="3"/>
  <c r="E133" i="3"/>
  <c r="D133" i="3"/>
  <c r="C133" i="3"/>
  <c r="X132" i="3"/>
  <c r="Y132" i="3" s="1"/>
  <c r="D132" i="3"/>
  <c r="K126" i="3"/>
  <c r="K169" i="3" s="1"/>
  <c r="K212" i="3" s="1"/>
  <c r="K256" i="3" s="1"/>
  <c r="F126" i="3"/>
  <c r="F169" i="3" s="1"/>
  <c r="F212" i="3" s="1"/>
  <c r="L109" i="3"/>
  <c r="Z101" i="3"/>
  <c r="W101" i="3"/>
  <c r="V101" i="3"/>
  <c r="U101" i="3"/>
  <c r="H101" i="3"/>
  <c r="F101" i="3"/>
  <c r="L105" i="3" s="1"/>
  <c r="B101" i="3"/>
  <c r="X100" i="3"/>
  <c r="Y100" i="3" s="1"/>
  <c r="D100" i="3"/>
  <c r="X99" i="3"/>
  <c r="Y99" i="3" s="1"/>
  <c r="D99" i="3"/>
  <c r="Y98" i="3"/>
  <c r="AA98" i="3" s="1"/>
  <c r="X98" i="3"/>
  <c r="G98" i="3"/>
  <c r="D98" i="3"/>
  <c r="C98" i="3"/>
  <c r="E98" i="3" s="1"/>
  <c r="X97" i="3"/>
  <c r="Y97" i="3" s="1"/>
  <c r="AA97" i="3" s="1"/>
  <c r="D97" i="3"/>
  <c r="C97" i="3"/>
  <c r="Y96" i="3"/>
  <c r="C96" i="3" s="1"/>
  <c r="X96" i="3"/>
  <c r="D96" i="3"/>
  <c r="X95" i="3"/>
  <c r="Y95" i="3" s="1"/>
  <c r="D95" i="3"/>
  <c r="Y94" i="3"/>
  <c r="C94" i="3" s="1"/>
  <c r="X94" i="3"/>
  <c r="D94" i="3"/>
  <c r="X93" i="3"/>
  <c r="Y93" i="3" s="1"/>
  <c r="C93" i="3" s="1"/>
  <c r="E93" i="3" s="1"/>
  <c r="G93" i="3"/>
  <c r="D93" i="3"/>
  <c r="X92" i="3"/>
  <c r="Y92" i="3" s="1"/>
  <c r="D92" i="3"/>
  <c r="X91" i="3"/>
  <c r="Y91" i="3" s="1"/>
  <c r="C91" i="3" s="1"/>
  <c r="D91" i="3"/>
  <c r="E90" i="3"/>
  <c r="D90" i="3"/>
  <c r="G90" i="3" s="1"/>
  <c r="J89" i="3"/>
  <c r="G89" i="3"/>
  <c r="E89" i="3"/>
  <c r="D89" i="3"/>
  <c r="H81" i="3"/>
  <c r="B81" i="3"/>
  <c r="B124" i="3" s="1"/>
  <c r="B167" i="3" s="1"/>
  <c r="B210" i="3" s="1"/>
  <c r="B254" i="3" s="1"/>
  <c r="N68" i="3"/>
  <c r="N65" i="3"/>
  <c r="H62" i="3"/>
  <c r="F62" i="3"/>
  <c r="B62" i="3"/>
  <c r="E61" i="3"/>
  <c r="G61" i="3" s="1"/>
  <c r="G60" i="3"/>
  <c r="E60" i="3"/>
  <c r="E59" i="3"/>
  <c r="G59" i="3" s="1"/>
  <c r="E58" i="3"/>
  <c r="G58" i="3" s="1"/>
  <c r="G57" i="3"/>
  <c r="E57" i="3"/>
  <c r="E56" i="3"/>
  <c r="G56" i="3" s="1"/>
  <c r="E55" i="3"/>
  <c r="G55" i="3" s="1"/>
  <c r="G54" i="3"/>
  <c r="E54" i="3"/>
  <c r="E53" i="3"/>
  <c r="G53" i="3" s="1"/>
  <c r="E52" i="3"/>
  <c r="G51" i="3"/>
  <c r="G50" i="3"/>
  <c r="K45" i="3"/>
  <c r="I83" i="3" s="1"/>
  <c r="I126" i="3" s="1"/>
  <c r="I169" i="3" s="1"/>
  <c r="I212" i="3" s="1"/>
  <c r="I256" i="3" s="1"/>
  <c r="K304" i="3" s="1"/>
  <c r="K354" i="3" s="1"/>
  <c r="K392" i="3" s="1"/>
  <c r="K430" i="3" s="1"/>
  <c r="K468" i="3" s="1"/>
  <c r="K506" i="3" s="1"/>
  <c r="K544" i="3" s="1"/>
  <c r="K582" i="3" s="1"/>
  <c r="K620" i="3" s="1"/>
  <c r="K658" i="3" s="1"/>
  <c r="K696" i="3" s="1"/>
  <c r="K734" i="3" s="1"/>
  <c r="K772" i="3" s="1"/>
  <c r="F43" i="3"/>
  <c r="B43" i="3"/>
  <c r="N30" i="3"/>
  <c r="N27" i="3"/>
  <c r="N26" i="3"/>
  <c r="K24" i="3"/>
  <c r="H24" i="3"/>
  <c r="F24" i="3"/>
  <c r="B24" i="3"/>
  <c r="K23" i="3"/>
  <c r="N23" i="3" s="1"/>
  <c r="E23" i="3"/>
  <c r="G23" i="3" s="1"/>
  <c r="N22" i="3"/>
  <c r="K22" i="3"/>
  <c r="G22" i="3"/>
  <c r="E22" i="3"/>
  <c r="K21" i="3"/>
  <c r="N21" i="3" s="1"/>
  <c r="E21" i="3"/>
  <c r="G21" i="3" s="1"/>
  <c r="K20" i="3"/>
  <c r="N20" i="3" s="1"/>
  <c r="E20" i="3"/>
  <c r="G20" i="3" s="1"/>
  <c r="N19" i="3"/>
  <c r="K19" i="3"/>
  <c r="G19" i="3"/>
  <c r="E19" i="3"/>
  <c r="K18" i="3"/>
  <c r="N18" i="3" s="1"/>
  <c r="E18" i="3"/>
  <c r="G18" i="3" s="1"/>
  <c r="K17" i="3"/>
  <c r="N17" i="3" s="1"/>
  <c r="E17" i="3"/>
  <c r="G17" i="3" s="1"/>
  <c r="N16" i="3"/>
  <c r="K16" i="3"/>
  <c r="G16" i="3"/>
  <c r="E16" i="3"/>
  <c r="K15" i="3"/>
  <c r="N15" i="3" s="1"/>
  <c r="E15" i="3"/>
  <c r="G15" i="3" s="1"/>
  <c r="K14" i="3"/>
  <c r="N14" i="3" s="1"/>
  <c r="E14" i="3"/>
  <c r="N13" i="3"/>
  <c r="K13" i="3"/>
  <c r="G13" i="3"/>
  <c r="N12" i="3"/>
  <c r="K12" i="3"/>
  <c r="G12" i="3"/>
  <c r="B7" i="3"/>
  <c r="B45" i="3" s="1"/>
  <c r="B83" i="3" s="1"/>
  <c r="B126" i="3" s="1"/>
  <c r="B169" i="3" s="1"/>
  <c r="B212" i="3" s="1"/>
  <c r="B256" i="3" s="1"/>
  <c r="O7" i="2"/>
  <c r="N7" i="2"/>
  <c r="P7" i="2" s="1"/>
  <c r="O6" i="2"/>
  <c r="N6" i="2"/>
  <c r="P6" i="2" s="1"/>
  <c r="O5" i="2"/>
  <c r="P5" i="2"/>
  <c r="P4" i="2"/>
  <c r="O4" i="2"/>
  <c r="E306" i="1"/>
  <c r="E307" i="1"/>
  <c r="E308" i="1"/>
  <c r="E309" i="1"/>
  <c r="E310" i="1"/>
  <c r="E311" i="1"/>
  <c r="E312" i="1"/>
  <c r="E313" i="1"/>
  <c r="E314" i="1"/>
  <c r="D315" i="1"/>
  <c r="E315" i="1"/>
  <c r="D316" i="1"/>
  <c r="E316" i="1"/>
  <c r="G316" i="1" s="1"/>
  <c r="E305" i="1"/>
  <c r="H317" i="1"/>
  <c r="L325" i="1" s="1"/>
  <c r="F317" i="1"/>
  <c r="L321" i="1" s="1"/>
  <c r="C317" i="1"/>
  <c r="E272" i="1"/>
  <c r="E271" i="1"/>
  <c r="E270" i="1"/>
  <c r="E269" i="1"/>
  <c r="E268" i="1"/>
  <c r="E267" i="1"/>
  <c r="E266" i="1"/>
  <c r="E264" i="1"/>
  <c r="E263" i="1"/>
  <c r="E262" i="1"/>
  <c r="H273" i="1"/>
  <c r="L281" i="1" s="1"/>
  <c r="F273" i="1"/>
  <c r="L277" i="1" s="1"/>
  <c r="E261" i="1"/>
  <c r="K4" i="9" l="1"/>
  <c r="J16" i="9"/>
  <c r="K16" i="9"/>
  <c r="R16" i="9"/>
  <c r="T9" i="11"/>
  <c r="O21" i="11"/>
  <c r="T19" i="11"/>
  <c r="U19" i="11" s="1"/>
  <c r="T7" i="11"/>
  <c r="T13" i="11"/>
  <c r="U13" i="11" s="1"/>
  <c r="T5" i="11"/>
  <c r="T8" i="11"/>
  <c r="U9" i="11"/>
  <c r="T18" i="11"/>
  <c r="U18" i="11" s="1"/>
  <c r="K12" i="11"/>
  <c r="T14" i="11"/>
  <c r="U14" i="11" s="1"/>
  <c r="Q21" i="11"/>
  <c r="P8" i="11"/>
  <c r="U8" i="11" s="1"/>
  <c r="R21" i="11"/>
  <c r="T10" i="11"/>
  <c r="S21" i="11"/>
  <c r="T4" i="11"/>
  <c r="T11" i="11"/>
  <c r="U11" i="11" s="1"/>
  <c r="T15" i="11"/>
  <c r="U15" i="11" s="1"/>
  <c r="P4" i="11"/>
  <c r="U4" i="11" s="1"/>
  <c r="J21" i="11"/>
  <c r="T6" i="11"/>
  <c r="U5" i="11"/>
  <c r="P7" i="11"/>
  <c r="U7" i="11" s="1"/>
  <c r="K6" i="11"/>
  <c r="P6" i="11"/>
  <c r="P10" i="11"/>
  <c r="U10" i="11" s="1"/>
  <c r="T17" i="11"/>
  <c r="U17" i="11" s="1"/>
  <c r="T37" i="8"/>
  <c r="U37" i="8" s="1"/>
  <c r="T32" i="8"/>
  <c r="U32" i="8" s="1"/>
  <c r="V18" i="8"/>
  <c r="T28" i="8"/>
  <c r="U28" i="8" s="1"/>
  <c r="P31" i="8"/>
  <c r="V31" i="8" s="1"/>
  <c r="T30" i="8"/>
  <c r="U30" i="8" s="1"/>
  <c r="V35" i="8"/>
  <c r="P29" i="8"/>
  <c r="V29" i="8" s="1"/>
  <c r="T36" i="8"/>
  <c r="U36" i="8" s="1"/>
  <c r="V37" i="8"/>
  <c r="T34" i="8"/>
  <c r="U34" i="8" s="1"/>
  <c r="K36" i="8"/>
  <c r="V36" i="8" s="1"/>
  <c r="K32" i="8"/>
  <c r="T33" i="8"/>
  <c r="U33" i="8" s="1"/>
  <c r="V30" i="8"/>
  <c r="V28" i="8"/>
  <c r="V34" i="8"/>
  <c r="V32" i="8"/>
  <c r="V33" i="8"/>
  <c r="T35" i="8"/>
  <c r="U35" i="8" s="1"/>
  <c r="V5" i="8"/>
  <c r="V17" i="8"/>
  <c r="V9" i="8"/>
  <c r="V22" i="8"/>
  <c r="B240" i="5"/>
  <c r="D240" i="5" s="1"/>
  <c r="G240" i="5" s="1"/>
  <c r="N707" i="5"/>
  <c r="N365" i="5"/>
  <c r="B149" i="5"/>
  <c r="D149" i="5" s="1"/>
  <c r="G149" i="5" s="1"/>
  <c r="C24" i="5"/>
  <c r="E24" i="5" s="1"/>
  <c r="N327" i="5"/>
  <c r="C195" i="5"/>
  <c r="E195" i="5" s="1"/>
  <c r="N669" i="5"/>
  <c r="N441" i="5"/>
  <c r="B195" i="5"/>
  <c r="J13" i="5"/>
  <c r="M13" i="5" s="1"/>
  <c r="B153" i="5"/>
  <c r="D153" i="5" s="1"/>
  <c r="G153" i="5" s="1"/>
  <c r="B186" i="5"/>
  <c r="D186" i="5" s="1"/>
  <c r="J186" i="5" s="1"/>
  <c r="N593" i="5"/>
  <c r="AA192" i="5"/>
  <c r="T4" i="10"/>
  <c r="T11" i="10"/>
  <c r="P11" i="10"/>
  <c r="T16" i="10"/>
  <c r="T17" i="10"/>
  <c r="T13" i="10"/>
  <c r="T23" i="10"/>
  <c r="P7" i="10"/>
  <c r="P25" i="10"/>
  <c r="T10" i="10"/>
  <c r="T19" i="10"/>
  <c r="T20" i="10"/>
  <c r="P19" i="10"/>
  <c r="T6" i="10"/>
  <c r="T14" i="10"/>
  <c r="T24" i="10"/>
  <c r="P6" i="10"/>
  <c r="P24" i="10"/>
  <c r="T8" i="10"/>
  <c r="T26" i="10"/>
  <c r="T5" i="10"/>
  <c r="T15" i="10"/>
  <c r="P12" i="10"/>
  <c r="C16" i="5"/>
  <c r="N555" i="5"/>
  <c r="B190" i="5"/>
  <c r="N479" i="5"/>
  <c r="T8" i="9"/>
  <c r="T4" i="9"/>
  <c r="K4" i="10"/>
  <c r="K8" i="10"/>
  <c r="K13" i="10"/>
  <c r="K17" i="10"/>
  <c r="K21" i="10"/>
  <c r="K26" i="10"/>
  <c r="P5" i="10"/>
  <c r="P10" i="10"/>
  <c r="P14" i="10"/>
  <c r="P23" i="10"/>
  <c r="T18" i="10"/>
  <c r="T9" i="9"/>
  <c r="T14" i="9"/>
  <c r="U14" i="9" s="1"/>
  <c r="T7" i="9"/>
  <c r="U7" i="9"/>
  <c r="P4" i="9"/>
  <c r="T12" i="9"/>
  <c r="U12" i="9" s="1"/>
  <c r="P14" i="9"/>
  <c r="P8" i="9"/>
  <c r="U8" i="9" s="1"/>
  <c r="T5" i="9"/>
  <c r="U6" i="9"/>
  <c r="U10" i="9"/>
  <c r="P12" i="9"/>
  <c r="P5" i="9"/>
  <c r="U5" i="9" s="1"/>
  <c r="P9" i="9"/>
  <c r="U9" i="9" s="1"/>
  <c r="T13" i="9"/>
  <c r="U13" i="9" s="1"/>
  <c r="T6" i="9"/>
  <c r="T10" i="9"/>
  <c r="AA15" i="5"/>
  <c r="C15" i="5"/>
  <c r="E15" i="5" s="1"/>
  <c r="AA99" i="5"/>
  <c r="B99" i="5"/>
  <c r="D99" i="5" s="1"/>
  <c r="AA105" i="5"/>
  <c r="B105" i="5"/>
  <c r="D105" i="5" s="1"/>
  <c r="K274" i="5"/>
  <c r="N274" i="5" s="1"/>
  <c r="G666" i="5"/>
  <c r="G242" i="5"/>
  <c r="X25" i="5"/>
  <c r="G243" i="5"/>
  <c r="B110" i="5"/>
  <c r="D110" i="5" s="1"/>
  <c r="N289" i="5"/>
  <c r="N631" i="5"/>
  <c r="G13" i="5"/>
  <c r="G106" i="5"/>
  <c r="N403" i="5"/>
  <c r="N517" i="5"/>
  <c r="AK16" i="5"/>
  <c r="AA106" i="5"/>
  <c r="B154" i="5"/>
  <c r="D154" i="5" s="1"/>
  <c r="T26" i="8"/>
  <c r="U26" i="8" s="1"/>
  <c r="O45" i="6"/>
  <c r="S45" i="6"/>
  <c r="R45" i="6"/>
  <c r="Q45" i="6"/>
  <c r="K45" i="6"/>
  <c r="T6" i="6"/>
  <c r="T11" i="6"/>
  <c r="T32" i="6"/>
  <c r="T43" i="6"/>
  <c r="T38" i="6"/>
  <c r="T37" i="6"/>
  <c r="J45" i="6"/>
  <c r="AA235" i="5"/>
  <c r="B235" i="5"/>
  <c r="AA236" i="5"/>
  <c r="B236" i="5"/>
  <c r="D236" i="5" s="1"/>
  <c r="G236" i="5" s="1"/>
  <c r="D237" i="5"/>
  <c r="G237" i="5" s="1"/>
  <c r="B232" i="5"/>
  <c r="D232" i="5" s="1"/>
  <c r="AA232" i="5"/>
  <c r="B238" i="5"/>
  <c r="D238" i="5" s="1"/>
  <c r="G238" i="5" s="1"/>
  <c r="AA238" i="5"/>
  <c r="X244" i="5"/>
  <c r="B233" i="5"/>
  <c r="D233" i="5" s="1"/>
  <c r="G233" i="5" s="1"/>
  <c r="B239" i="5"/>
  <c r="D239" i="5" s="1"/>
  <c r="AA200" i="5"/>
  <c r="B200" i="5"/>
  <c r="D200" i="5" s="1"/>
  <c r="G200" i="5" s="1"/>
  <c r="B198" i="5"/>
  <c r="D198" i="5" s="1"/>
  <c r="G202" i="5"/>
  <c r="B187" i="5"/>
  <c r="D187" i="5" s="1"/>
  <c r="G187" i="5" s="1"/>
  <c r="AA187" i="5"/>
  <c r="X203" i="5"/>
  <c r="Q4" i="2"/>
  <c r="L5" i="2" s="1"/>
  <c r="Q5" i="2" s="1"/>
  <c r="L6" i="2" s="1"/>
  <c r="Q6" i="2" s="1"/>
  <c r="L7" i="2" s="1"/>
  <c r="Q7" i="2" s="1"/>
  <c r="T39" i="6"/>
  <c r="T42" i="6"/>
  <c r="T41" i="6"/>
  <c r="AA143" i="5"/>
  <c r="U6" i="5" s="1"/>
  <c r="P26" i="8"/>
  <c r="V26" i="8" s="1"/>
  <c r="T25" i="8"/>
  <c r="U25" i="8" s="1"/>
  <c r="T22" i="8"/>
  <c r="U22" i="8" s="1"/>
  <c r="T18" i="8"/>
  <c r="U18" i="8" s="1"/>
  <c r="T13" i="8"/>
  <c r="U13" i="8" s="1"/>
  <c r="T7" i="8"/>
  <c r="U7" i="8" s="1"/>
  <c r="T21" i="8"/>
  <c r="U21" i="8" s="1"/>
  <c r="T19" i="8"/>
  <c r="U19" i="8" s="1"/>
  <c r="P21" i="8"/>
  <c r="V21" i="8" s="1"/>
  <c r="T5" i="8"/>
  <c r="U5" i="8" s="1"/>
  <c r="T12" i="8"/>
  <c r="U12" i="8" s="1"/>
  <c r="T8" i="8"/>
  <c r="U8" i="8" s="1"/>
  <c r="P12" i="8"/>
  <c r="V12" i="8" s="1"/>
  <c r="T4" i="8"/>
  <c r="U4" i="8" s="1"/>
  <c r="P8" i="8"/>
  <c r="V8" i="8" s="1"/>
  <c r="P4" i="8"/>
  <c r="V4" i="8" s="1"/>
  <c r="T24" i="8"/>
  <c r="U24" i="8" s="1"/>
  <c r="T20" i="8"/>
  <c r="U20" i="8" s="1"/>
  <c r="T16" i="8"/>
  <c r="U16" i="8" s="1"/>
  <c r="T23" i="8"/>
  <c r="U23" i="8" s="1"/>
  <c r="T9" i="8"/>
  <c r="U9" i="8" s="1"/>
  <c r="T17" i="8"/>
  <c r="U17" i="8" s="1"/>
  <c r="T15" i="8"/>
  <c r="U15" i="8" s="1"/>
  <c r="T10" i="8"/>
  <c r="U10" i="8" s="1"/>
  <c r="T6" i="8"/>
  <c r="U6" i="8" s="1"/>
  <c r="T11" i="8"/>
  <c r="U11" i="8" s="1"/>
  <c r="P7" i="8"/>
  <c r="V7" i="8" s="1"/>
  <c r="P11" i="8"/>
  <c r="V11" i="8" s="1"/>
  <c r="P16" i="8"/>
  <c r="V16" i="8" s="1"/>
  <c r="P20" i="8"/>
  <c r="V20" i="8" s="1"/>
  <c r="P24" i="8"/>
  <c r="V24" i="8" s="1"/>
  <c r="P6" i="8"/>
  <c r="V6" i="8" s="1"/>
  <c r="P10" i="8"/>
  <c r="V10" i="8" s="1"/>
  <c r="P15" i="8"/>
  <c r="V15" i="8" s="1"/>
  <c r="P19" i="8"/>
  <c r="V19" i="8" s="1"/>
  <c r="P23" i="8"/>
  <c r="V23" i="8" s="1"/>
  <c r="AA152" i="5"/>
  <c r="B151" i="5"/>
  <c r="D151" i="5" s="1"/>
  <c r="G151" i="5" s="1"/>
  <c r="B148" i="5"/>
  <c r="D148" i="5" s="1"/>
  <c r="B145" i="5"/>
  <c r="D145" i="5" s="1"/>
  <c r="J145" i="5" s="1"/>
  <c r="M145" i="5" s="1"/>
  <c r="AA65" i="5"/>
  <c r="AA59" i="5"/>
  <c r="I219" i="1"/>
  <c r="D219" i="1"/>
  <c r="J219" i="1" s="1"/>
  <c r="AI90" i="1"/>
  <c r="G315" i="1"/>
  <c r="T23" i="7"/>
  <c r="U23" i="7" s="1"/>
  <c r="T11" i="7"/>
  <c r="U11" i="7" s="1"/>
  <c r="T15" i="7"/>
  <c r="U15" i="7" s="1"/>
  <c r="T7" i="7"/>
  <c r="U7" i="7" s="1"/>
  <c r="T25" i="7"/>
  <c r="U25" i="7" s="1"/>
  <c r="T6" i="7"/>
  <c r="U6" i="7" s="1"/>
  <c r="P23" i="7"/>
  <c r="T13" i="7"/>
  <c r="U13" i="7" s="1"/>
  <c r="T10" i="7"/>
  <c r="U10" i="7" s="1"/>
  <c r="T16" i="7"/>
  <c r="U16" i="7" s="1"/>
  <c r="T19" i="7"/>
  <c r="U19" i="7" s="1"/>
  <c r="T5" i="7"/>
  <c r="U5" i="7" s="1"/>
  <c r="P19" i="7"/>
  <c r="T21" i="7"/>
  <c r="U21" i="7" s="1"/>
  <c r="P15" i="7"/>
  <c r="T17" i="7"/>
  <c r="U17" i="7" s="1"/>
  <c r="P10" i="7"/>
  <c r="T12" i="7"/>
  <c r="U12" i="7" s="1"/>
  <c r="P6" i="7"/>
  <c r="T8" i="7"/>
  <c r="U8" i="7" s="1"/>
  <c r="T26" i="7"/>
  <c r="U26" i="7" s="1"/>
  <c r="T22" i="7"/>
  <c r="U22" i="7" s="1"/>
  <c r="T18" i="7"/>
  <c r="U18" i="7" s="1"/>
  <c r="T4" i="7"/>
  <c r="U4" i="7" s="1"/>
  <c r="T9" i="7"/>
  <c r="U9" i="7" s="1"/>
  <c r="T24" i="7"/>
  <c r="U24" i="7" s="1"/>
  <c r="T20" i="7"/>
  <c r="U20" i="7" s="1"/>
  <c r="P5" i="7"/>
  <c r="P9" i="7"/>
  <c r="P13" i="7"/>
  <c r="P18" i="7"/>
  <c r="P22" i="7"/>
  <c r="P26" i="7"/>
  <c r="P4" i="7"/>
  <c r="P8" i="7"/>
  <c r="P12" i="7"/>
  <c r="P17" i="7"/>
  <c r="P21" i="7"/>
  <c r="P25" i="7"/>
  <c r="P38" i="6"/>
  <c r="T30" i="6"/>
  <c r="T28" i="6"/>
  <c r="T33" i="6"/>
  <c r="T29" i="6"/>
  <c r="T34" i="6"/>
  <c r="T36" i="6"/>
  <c r="T20" i="6"/>
  <c r="T25" i="6"/>
  <c r="T16" i="6"/>
  <c r="T21" i="6"/>
  <c r="T19" i="6"/>
  <c r="T23" i="6"/>
  <c r="T17" i="6"/>
  <c r="U17" i="6" s="1"/>
  <c r="T24" i="6"/>
  <c r="T15" i="6"/>
  <c r="T10" i="6"/>
  <c r="T8" i="6"/>
  <c r="T7" i="6"/>
  <c r="T12" i="6"/>
  <c r="T4" i="6"/>
  <c r="P4" i="6"/>
  <c r="P8" i="6"/>
  <c r="P12" i="6"/>
  <c r="P17" i="6"/>
  <c r="P21" i="6"/>
  <c r="P25" i="6"/>
  <c r="P30" i="6"/>
  <c r="T5" i="6"/>
  <c r="T9" i="6"/>
  <c r="T13" i="6"/>
  <c r="T18" i="6"/>
  <c r="U18" i="6" s="1"/>
  <c r="T22" i="6"/>
  <c r="T26" i="6"/>
  <c r="T31" i="6"/>
  <c r="T35" i="6"/>
  <c r="P7" i="6"/>
  <c r="P11" i="6"/>
  <c r="P16" i="6"/>
  <c r="P20" i="6"/>
  <c r="P24" i="6"/>
  <c r="P29" i="6"/>
  <c r="P33" i="6"/>
  <c r="P34" i="6"/>
  <c r="P6" i="6"/>
  <c r="P10" i="6"/>
  <c r="P15" i="6"/>
  <c r="P19" i="6"/>
  <c r="P23" i="6"/>
  <c r="P28" i="6"/>
  <c r="P32" i="6"/>
  <c r="P36" i="6"/>
  <c r="AA21" i="5"/>
  <c r="C21" i="5"/>
  <c r="AA58" i="5"/>
  <c r="C58" i="5"/>
  <c r="AA63" i="5"/>
  <c r="C63" i="5"/>
  <c r="AA146" i="5"/>
  <c r="B146" i="5"/>
  <c r="B109" i="5"/>
  <c r="AA109" i="5"/>
  <c r="K697" i="5"/>
  <c r="N696" i="5"/>
  <c r="C22" i="5"/>
  <c r="AA22" i="5"/>
  <c r="E64" i="5"/>
  <c r="G64" i="5" s="1"/>
  <c r="B199" i="5"/>
  <c r="AA199" i="5"/>
  <c r="G514" i="5"/>
  <c r="AA195" i="5"/>
  <c r="C62" i="5"/>
  <c r="AA62" i="5"/>
  <c r="D150" i="5"/>
  <c r="G150" i="5" s="1"/>
  <c r="E20" i="5"/>
  <c r="G20" i="5" s="1"/>
  <c r="D67" i="5"/>
  <c r="D68" i="5" s="1"/>
  <c r="B68" i="5"/>
  <c r="D102" i="5"/>
  <c r="G102" i="5" s="1"/>
  <c r="G464" i="5"/>
  <c r="G476" i="5" s="1"/>
  <c r="E476" i="5"/>
  <c r="N480" i="5" s="1"/>
  <c r="AA20" i="5"/>
  <c r="AA64" i="5"/>
  <c r="AA67" i="5"/>
  <c r="AA102" i="5"/>
  <c r="AA150" i="5"/>
  <c r="AA100" i="5"/>
  <c r="B100" i="5"/>
  <c r="AA104" i="5"/>
  <c r="B104" i="5"/>
  <c r="G324" i="5"/>
  <c r="F48" i="5"/>
  <c r="F91" i="5" s="1"/>
  <c r="F134" i="5" s="1"/>
  <c r="F178" i="5" s="1"/>
  <c r="F224" i="5" s="1"/>
  <c r="F267" i="5" s="1"/>
  <c r="F305" i="5" s="1"/>
  <c r="F343" i="5" s="1"/>
  <c r="F381" i="5" s="1"/>
  <c r="F419" i="5" s="1"/>
  <c r="F457" i="5" s="1"/>
  <c r="F495" i="5" s="1"/>
  <c r="F533" i="5" s="1"/>
  <c r="F571" i="5" s="1"/>
  <c r="F609" i="5" s="1"/>
  <c r="F647" i="5" s="1"/>
  <c r="F685" i="5" s="1"/>
  <c r="AA190" i="5"/>
  <c r="E324" i="5"/>
  <c r="N328" i="5" s="1"/>
  <c r="D25" i="5"/>
  <c r="Y19" i="5"/>
  <c r="AA56" i="5"/>
  <c r="C61" i="5"/>
  <c r="AA61" i="5"/>
  <c r="G65" i="5"/>
  <c r="G14" i="5"/>
  <c r="C17" i="5"/>
  <c r="Y191" i="5"/>
  <c r="C190" i="5" s="1"/>
  <c r="E552" i="5"/>
  <c r="N556" i="5" s="1"/>
  <c r="G540" i="5"/>
  <c r="G552" i="5" s="1"/>
  <c r="G628" i="5"/>
  <c r="I50" i="5"/>
  <c r="I93" i="5" s="1"/>
  <c r="I136" i="5" s="1"/>
  <c r="I180" i="5" s="1"/>
  <c r="K226" i="5" s="1"/>
  <c r="K269" i="5" s="1"/>
  <c r="K307" i="5" s="1"/>
  <c r="K345" i="5" s="1"/>
  <c r="K383" i="5" s="1"/>
  <c r="K421" i="5" s="1"/>
  <c r="K459" i="5" s="1"/>
  <c r="K497" i="5" s="1"/>
  <c r="K535" i="5" s="1"/>
  <c r="K573" i="5" s="1"/>
  <c r="K611" i="5" s="1"/>
  <c r="K649" i="5" s="1"/>
  <c r="K687" i="5" s="1"/>
  <c r="D108" i="5"/>
  <c r="G108" i="5" s="1"/>
  <c r="X155" i="5"/>
  <c r="D147" i="5"/>
  <c r="G147" i="5" s="1"/>
  <c r="AA237" i="5"/>
  <c r="G59" i="5"/>
  <c r="D101" i="5"/>
  <c r="G101" i="5" s="1"/>
  <c r="AA108" i="5"/>
  <c r="Y142" i="5"/>
  <c r="AA147" i="5"/>
  <c r="Y241" i="5"/>
  <c r="Y244" i="5" s="1"/>
  <c r="C18" i="5"/>
  <c r="AA18" i="5"/>
  <c r="C60" i="5"/>
  <c r="AA60" i="5"/>
  <c r="AA101" i="5"/>
  <c r="D234" i="5"/>
  <c r="G234" i="5" s="1"/>
  <c r="AA23" i="5"/>
  <c r="C23" i="5"/>
  <c r="C56" i="5"/>
  <c r="Y57" i="5"/>
  <c r="Y68" i="5" s="1"/>
  <c r="X68" i="5"/>
  <c r="AA202" i="5"/>
  <c r="AA234" i="5"/>
  <c r="E400" i="5"/>
  <c r="N404" i="5" s="1"/>
  <c r="C66" i="5"/>
  <c r="B188" i="5"/>
  <c r="AA189" i="5"/>
  <c r="B189" i="5"/>
  <c r="G275" i="5"/>
  <c r="G286" i="5" s="1"/>
  <c r="E286" i="5"/>
  <c r="N290" i="5" s="1"/>
  <c r="N288" i="5"/>
  <c r="E362" i="5"/>
  <c r="N366" i="5" s="1"/>
  <c r="G389" i="5"/>
  <c r="G400" i="5" s="1"/>
  <c r="E514" i="5"/>
  <c r="N518" i="5" s="1"/>
  <c r="G580" i="5"/>
  <c r="G590" i="5" s="1"/>
  <c r="E590" i="5"/>
  <c r="N594" i="5" s="1"/>
  <c r="E111" i="5"/>
  <c r="D143" i="5"/>
  <c r="B194" i="5"/>
  <c r="AA194" i="5"/>
  <c r="G362" i="5"/>
  <c r="AA103" i="5"/>
  <c r="B103" i="5"/>
  <c r="B107" i="5"/>
  <c r="AA107" i="5"/>
  <c r="C155" i="5"/>
  <c r="E143" i="5"/>
  <c r="E155" i="5" s="1"/>
  <c r="AA201" i="5"/>
  <c r="B201" i="5"/>
  <c r="Y111" i="5"/>
  <c r="E704" i="5"/>
  <c r="N708" i="5" s="1"/>
  <c r="D152" i="5"/>
  <c r="G152" i="5" s="1"/>
  <c r="X111" i="5"/>
  <c r="E244" i="5"/>
  <c r="E438" i="5"/>
  <c r="N442" i="5" s="1"/>
  <c r="G426" i="5"/>
  <c r="G438" i="5" s="1"/>
  <c r="G704" i="5"/>
  <c r="C95" i="3"/>
  <c r="AA95" i="3"/>
  <c r="G91" i="3"/>
  <c r="E91" i="3"/>
  <c r="C136" i="3"/>
  <c r="AA136" i="3"/>
  <c r="AA222" i="3"/>
  <c r="E96" i="3"/>
  <c r="G96" i="3" s="1"/>
  <c r="AA315" i="3"/>
  <c r="AA96" i="3"/>
  <c r="X144" i="3"/>
  <c r="Y135" i="3"/>
  <c r="AA186" i="3"/>
  <c r="AD81" i="3" s="1"/>
  <c r="AA225" i="3"/>
  <c r="D277" i="3"/>
  <c r="G277" i="3" s="1"/>
  <c r="N29" i="3"/>
  <c r="K782" i="3"/>
  <c r="N781" i="3"/>
  <c r="G141" i="3"/>
  <c r="E141" i="3"/>
  <c r="G476" i="3"/>
  <c r="AA92" i="3"/>
  <c r="C92" i="3"/>
  <c r="E94" i="3"/>
  <c r="G94" i="3" s="1"/>
  <c r="AA99" i="3"/>
  <c r="C99" i="3"/>
  <c r="D221" i="3"/>
  <c r="G221" i="3" s="1"/>
  <c r="D313" i="3"/>
  <c r="G313" i="3" s="1"/>
  <c r="E138" i="3"/>
  <c r="G138" i="3"/>
  <c r="M89" i="3"/>
  <c r="J90" i="3"/>
  <c r="G139" i="3"/>
  <c r="E139" i="3"/>
  <c r="AA141" i="3"/>
  <c r="Y176" i="3"/>
  <c r="X187" i="3"/>
  <c r="E24" i="3"/>
  <c r="N28" i="3" s="1"/>
  <c r="G14" i="3"/>
  <c r="G24" i="3" s="1"/>
  <c r="AA182" i="3"/>
  <c r="AA264" i="3"/>
  <c r="AA83" i="3" s="1"/>
  <c r="AA313" i="3"/>
  <c r="AA84" i="3" s="1"/>
  <c r="C140" i="3"/>
  <c r="AA140" i="3"/>
  <c r="D311" i="3"/>
  <c r="G311" i="3" s="1"/>
  <c r="G97" i="3"/>
  <c r="E97" i="3"/>
  <c r="C266" i="3"/>
  <c r="AA266" i="3"/>
  <c r="G675" i="3"/>
  <c r="D269" i="3"/>
  <c r="G269" i="3" s="1"/>
  <c r="AA177" i="3"/>
  <c r="AA269" i="3"/>
  <c r="AA219" i="3"/>
  <c r="AA82" i="3" s="1"/>
  <c r="AA132" i="3"/>
  <c r="C132" i="3"/>
  <c r="Y144" i="3"/>
  <c r="D180" i="3"/>
  <c r="G180" i="3" s="1"/>
  <c r="H124" i="3"/>
  <c r="H167" i="3" s="1"/>
  <c r="H210" i="3" s="1"/>
  <c r="H254" i="3" s="1"/>
  <c r="F124" i="3"/>
  <c r="F167" i="3" s="1"/>
  <c r="F210" i="3" s="1"/>
  <c r="F254" i="3" s="1"/>
  <c r="F302" i="3" s="1"/>
  <c r="F352" i="3" s="1"/>
  <c r="F390" i="3" s="1"/>
  <c r="F428" i="3" s="1"/>
  <c r="F466" i="3" s="1"/>
  <c r="F504" i="3" s="1"/>
  <c r="F542" i="3" s="1"/>
  <c r="F580" i="3" s="1"/>
  <c r="F618" i="3" s="1"/>
  <c r="F656" i="3" s="1"/>
  <c r="F694" i="3" s="1"/>
  <c r="F732" i="3" s="1"/>
  <c r="F770" i="3" s="1"/>
  <c r="G599" i="3"/>
  <c r="D229" i="3"/>
  <c r="G229" i="3" s="1"/>
  <c r="AA91" i="3"/>
  <c r="Y101" i="3"/>
  <c r="D319" i="3"/>
  <c r="G319" i="3"/>
  <c r="AA179" i="3"/>
  <c r="E137" i="3"/>
  <c r="G137" i="3" s="1"/>
  <c r="D224" i="3"/>
  <c r="G224" i="3" s="1"/>
  <c r="D101" i="3"/>
  <c r="AA137" i="3"/>
  <c r="AA178" i="3"/>
  <c r="AA228" i="3"/>
  <c r="D314" i="3"/>
  <c r="G314" i="3" s="1"/>
  <c r="D181" i="3"/>
  <c r="G181" i="3"/>
  <c r="AA317" i="3"/>
  <c r="AA94" i="3"/>
  <c r="AA227" i="3"/>
  <c r="AA230" i="3"/>
  <c r="D184" i="3"/>
  <c r="G184" i="3" s="1"/>
  <c r="AA224" i="3"/>
  <c r="AA276" i="3"/>
  <c r="B276" i="3"/>
  <c r="X322" i="3"/>
  <c r="G436" i="3"/>
  <c r="G447" i="3" s="1"/>
  <c r="E447" i="3"/>
  <c r="N451" i="3" s="1"/>
  <c r="E599" i="3"/>
  <c r="N603" i="3" s="1"/>
  <c r="AA100" i="3"/>
  <c r="C100" i="3"/>
  <c r="E371" i="3"/>
  <c r="N375" i="3" s="1"/>
  <c r="E62" i="3"/>
  <c r="N66" i="3" s="1"/>
  <c r="AA93" i="3"/>
  <c r="G52" i="3"/>
  <c r="G62" i="3" s="1"/>
  <c r="X101" i="3"/>
  <c r="AA134" i="3"/>
  <c r="X231" i="3"/>
  <c r="Y218" i="3"/>
  <c r="G265" i="3"/>
  <c r="Y312" i="3"/>
  <c r="Y322" i="3" s="1"/>
  <c r="Y262" i="3"/>
  <c r="X278" i="3"/>
  <c r="B304" i="3"/>
  <c r="B354" i="3" s="1"/>
  <c r="B392" i="3" s="1"/>
  <c r="B430" i="3" s="1"/>
  <c r="B468" i="3" s="1"/>
  <c r="B506" i="3" s="1"/>
  <c r="B544" i="3" s="1"/>
  <c r="B582" i="3" s="1"/>
  <c r="B620" i="3" s="1"/>
  <c r="B658" i="3" s="1"/>
  <c r="B696" i="3" s="1"/>
  <c r="B734" i="3" s="1"/>
  <c r="B772" i="3" s="1"/>
  <c r="E561" i="3"/>
  <c r="N565" i="3" s="1"/>
  <c r="G549" i="3"/>
  <c r="G561" i="3" s="1"/>
  <c r="E637" i="3"/>
  <c r="N641" i="3" s="1"/>
  <c r="G223" i="3"/>
  <c r="AA142" i="3"/>
  <c r="C142" i="3"/>
  <c r="D175" i="3"/>
  <c r="C231" i="3"/>
  <c r="E219" i="3"/>
  <c r="E231" i="3" s="1"/>
  <c r="D266" i="3"/>
  <c r="D268" i="3"/>
  <c r="G268" i="3" s="1"/>
  <c r="D310" i="3"/>
  <c r="G310" i="3" s="1"/>
  <c r="E409" i="3"/>
  <c r="N413" i="3" s="1"/>
  <c r="B143" i="3"/>
  <c r="E322" i="3"/>
  <c r="N24" i="3"/>
  <c r="N31" i="3" s="1"/>
  <c r="D226" i="3"/>
  <c r="G226" i="3"/>
  <c r="AA275" i="3"/>
  <c r="B275" i="3"/>
  <c r="N373" i="3"/>
  <c r="N376" i="3" s="1"/>
  <c r="G665" i="3"/>
  <c r="E675" i="3"/>
  <c r="N679" i="3" s="1"/>
  <c r="N450" i="3"/>
  <c r="G789" i="3"/>
  <c r="Y187" i="3"/>
  <c r="G485" i="3"/>
  <c r="N488" i="3"/>
  <c r="E523" i="3"/>
  <c r="N527" i="3" s="1"/>
  <c r="G511" i="3"/>
  <c r="G523" i="3" s="1"/>
  <c r="G318" i="3"/>
  <c r="N602" i="3"/>
  <c r="G273" i="3"/>
  <c r="AA316" i="3"/>
  <c r="N678" i="3"/>
  <c r="G751" i="3"/>
  <c r="G359" i="3"/>
  <c r="G371" i="3" s="1"/>
  <c r="T16" i="9" l="1"/>
  <c r="U4" i="9"/>
  <c r="P16" i="9"/>
  <c r="K21" i="11"/>
  <c r="U6" i="11"/>
  <c r="T21" i="11"/>
  <c r="P21" i="11"/>
  <c r="X7" i="5"/>
  <c r="U8" i="5"/>
  <c r="G110" i="5"/>
  <c r="U5" i="5"/>
  <c r="AA5" i="5" s="1"/>
  <c r="G24" i="5"/>
  <c r="G105" i="5"/>
  <c r="G15" i="5"/>
  <c r="G186" i="5"/>
  <c r="J14" i="5"/>
  <c r="J15" i="5" s="1"/>
  <c r="E16" i="5"/>
  <c r="G16" i="5" s="1"/>
  <c r="C203" i="5"/>
  <c r="E190" i="5"/>
  <c r="Y203" i="5"/>
  <c r="D190" i="5"/>
  <c r="G67" i="5"/>
  <c r="G198" i="5"/>
  <c r="G154" i="5"/>
  <c r="V39" i="8"/>
  <c r="T45" i="6"/>
  <c r="U45" i="6" s="1"/>
  <c r="P45" i="6"/>
  <c r="D235" i="5"/>
  <c r="G235" i="5" s="1"/>
  <c r="G239" i="5"/>
  <c r="U39" i="8"/>
  <c r="G148" i="5"/>
  <c r="I145" i="5"/>
  <c r="I146" i="5" s="1"/>
  <c r="G145" i="5"/>
  <c r="K145" i="5" s="1"/>
  <c r="G143" i="5"/>
  <c r="G219" i="1"/>
  <c r="K219" i="1" s="1"/>
  <c r="B226" i="5"/>
  <c r="B269" i="5" s="1"/>
  <c r="B307" i="5" s="1"/>
  <c r="B345" i="5" s="1"/>
  <c r="B383" i="5" s="1"/>
  <c r="B421" i="5" s="1"/>
  <c r="B459" i="5" s="1"/>
  <c r="B497" i="5" s="1"/>
  <c r="B535" i="5" s="1"/>
  <c r="B573" i="5" s="1"/>
  <c r="B611" i="5" s="1"/>
  <c r="B649" i="5" s="1"/>
  <c r="B687" i="5" s="1"/>
  <c r="D194" i="5"/>
  <c r="G194" i="5" s="1"/>
  <c r="D100" i="5"/>
  <c r="E62" i="5"/>
  <c r="G62" i="5" s="1"/>
  <c r="E63" i="5"/>
  <c r="G63" i="5" s="1"/>
  <c r="D189" i="5"/>
  <c r="G189" i="5" s="1"/>
  <c r="E61" i="5"/>
  <c r="G61" i="5" s="1"/>
  <c r="J232" i="5"/>
  <c r="E60" i="5"/>
  <c r="G60" i="5" s="1"/>
  <c r="E17" i="5"/>
  <c r="G17" i="5"/>
  <c r="E58" i="5"/>
  <c r="G58" i="5" s="1"/>
  <c r="D107" i="5"/>
  <c r="G107" i="5" s="1"/>
  <c r="D188" i="5"/>
  <c r="G188" i="5" s="1"/>
  <c r="C19" i="5"/>
  <c r="C25" i="5" s="1"/>
  <c r="L28" i="5" s="1"/>
  <c r="AA19" i="5"/>
  <c r="AA25" i="5" s="1"/>
  <c r="D103" i="5"/>
  <c r="G103" i="5" s="1"/>
  <c r="B111" i="5"/>
  <c r="L114" i="5" s="1"/>
  <c r="E18" i="5"/>
  <c r="G18" i="5" s="1"/>
  <c r="E21" i="5"/>
  <c r="G21" i="5" s="1"/>
  <c r="J99" i="5"/>
  <c r="G99" i="5"/>
  <c r="AA57" i="5"/>
  <c r="AA68" i="5" s="1"/>
  <c r="C57" i="5"/>
  <c r="C68" i="5" s="1"/>
  <c r="L71" i="5" s="1"/>
  <c r="Y25" i="5"/>
  <c r="E22" i="5"/>
  <c r="G22" i="5" s="1"/>
  <c r="AA111" i="5"/>
  <c r="E66" i="5"/>
  <c r="G66" i="5" s="1"/>
  <c r="E56" i="5"/>
  <c r="G56" i="5" s="1"/>
  <c r="K275" i="5"/>
  <c r="G232" i="5"/>
  <c r="N291" i="5"/>
  <c r="E23" i="5"/>
  <c r="G23" i="5" s="1"/>
  <c r="N697" i="5"/>
  <c r="K698" i="5"/>
  <c r="AA191" i="5"/>
  <c r="U7" i="5" s="1"/>
  <c r="D146" i="5"/>
  <c r="J146" i="5" s="1"/>
  <c r="B142" i="5"/>
  <c r="Y155" i="5"/>
  <c r="AA142" i="5"/>
  <c r="X6" i="5" s="1"/>
  <c r="J187" i="5"/>
  <c r="M186" i="5"/>
  <c r="D199" i="5"/>
  <c r="G199" i="5" s="1"/>
  <c r="D201" i="5"/>
  <c r="G201" i="5" s="1"/>
  <c r="B241" i="5"/>
  <c r="AA241" i="5"/>
  <c r="X8" i="5" s="1"/>
  <c r="D104" i="5"/>
  <c r="G104" i="5"/>
  <c r="D195" i="5"/>
  <c r="G195" i="5" s="1"/>
  <c r="D109" i="5"/>
  <c r="G109" i="5" s="1"/>
  <c r="D227" i="3"/>
  <c r="G227" i="3"/>
  <c r="E100" i="3"/>
  <c r="G100" i="3" s="1"/>
  <c r="J175" i="3"/>
  <c r="G175" i="3"/>
  <c r="E142" i="3"/>
  <c r="G142" i="3" s="1"/>
  <c r="Y278" i="3"/>
  <c r="AA262" i="3"/>
  <c r="AA312" i="3"/>
  <c r="E92" i="3"/>
  <c r="D316" i="3"/>
  <c r="G316" i="3" s="1"/>
  <c r="D178" i="3"/>
  <c r="G178" i="3" s="1"/>
  <c r="D225" i="3"/>
  <c r="G225" i="3" s="1"/>
  <c r="D143" i="3"/>
  <c r="D144" i="3" s="1"/>
  <c r="B144" i="3"/>
  <c r="G143" i="3"/>
  <c r="D228" i="3"/>
  <c r="G228" i="3" s="1"/>
  <c r="M90" i="3"/>
  <c r="J91" i="3"/>
  <c r="C144" i="3"/>
  <c r="E132" i="3"/>
  <c r="AA101" i="3"/>
  <c r="AA79" i="3"/>
  <c r="D264" i="3"/>
  <c r="G264" i="3" s="1"/>
  <c r="D222" i="3"/>
  <c r="G222" i="3" s="1"/>
  <c r="Y231" i="3"/>
  <c r="AA218" i="3"/>
  <c r="D219" i="3"/>
  <c r="G219" i="3" s="1"/>
  <c r="D182" i="3"/>
  <c r="G182" i="3" s="1"/>
  <c r="E266" i="3"/>
  <c r="C278" i="3"/>
  <c r="D186" i="3"/>
  <c r="G186" i="3" s="1"/>
  <c r="D276" i="3"/>
  <c r="G276" i="3" s="1"/>
  <c r="D317" i="3"/>
  <c r="G317" i="3" s="1"/>
  <c r="E136" i="3"/>
  <c r="G136" i="3" s="1"/>
  <c r="K359" i="3"/>
  <c r="J310" i="3"/>
  <c r="D185" i="3"/>
  <c r="G185" i="3" s="1"/>
  <c r="C135" i="3"/>
  <c r="AA135" i="3"/>
  <c r="AA144" i="3" s="1"/>
  <c r="D230" i="3"/>
  <c r="G230" i="3" s="1"/>
  <c r="E140" i="3"/>
  <c r="G140" i="3"/>
  <c r="AA176" i="3"/>
  <c r="C101" i="3"/>
  <c r="L104" i="3" s="1"/>
  <c r="L106" i="3" s="1"/>
  <c r="D275" i="3"/>
  <c r="G275" i="3"/>
  <c r="E99" i="3"/>
  <c r="G99" i="3" s="1"/>
  <c r="N782" i="3"/>
  <c r="K783" i="3"/>
  <c r="D315" i="3"/>
  <c r="G315" i="3"/>
  <c r="D177" i="3"/>
  <c r="G177" i="3" s="1"/>
  <c r="D263" i="3"/>
  <c r="G263" i="3" s="1"/>
  <c r="D179" i="3"/>
  <c r="G179" i="3" s="1"/>
  <c r="N32" i="3"/>
  <c r="K47" i="3" s="1"/>
  <c r="G95" i="3"/>
  <c r="E95" i="3"/>
  <c r="Z317" i="1"/>
  <c r="W317" i="1"/>
  <c r="V317" i="1"/>
  <c r="U317" i="1"/>
  <c r="E229" i="1"/>
  <c r="E228" i="1"/>
  <c r="E227" i="1"/>
  <c r="E226" i="1"/>
  <c r="E225" i="1"/>
  <c r="E224" i="1"/>
  <c r="E223" i="1"/>
  <c r="E222" i="1"/>
  <c r="E221" i="1"/>
  <c r="E220" i="1"/>
  <c r="E218" i="1"/>
  <c r="H230" i="1"/>
  <c r="L238" i="1" s="1"/>
  <c r="F230" i="1"/>
  <c r="L234" i="1" s="1"/>
  <c r="E186" i="1"/>
  <c r="E185" i="1"/>
  <c r="E184" i="1"/>
  <c r="E183" i="1"/>
  <c r="E182" i="1"/>
  <c r="E181" i="1"/>
  <c r="E180" i="1"/>
  <c r="E179" i="1"/>
  <c r="E178" i="1"/>
  <c r="E177" i="1"/>
  <c r="E176" i="1"/>
  <c r="E175" i="1"/>
  <c r="H187" i="1"/>
  <c r="L195" i="1" s="1"/>
  <c r="F187" i="1"/>
  <c r="L191" i="1" s="1"/>
  <c r="C187" i="1"/>
  <c r="F126" i="1"/>
  <c r="F169" i="1" s="1"/>
  <c r="F212" i="1" s="1"/>
  <c r="E143" i="1"/>
  <c r="D142" i="1"/>
  <c r="D141" i="1"/>
  <c r="D140" i="1"/>
  <c r="D139" i="1"/>
  <c r="D138" i="1"/>
  <c r="D137" i="1"/>
  <c r="D136" i="1"/>
  <c r="D135" i="1"/>
  <c r="D134" i="1"/>
  <c r="D133" i="1"/>
  <c r="D132" i="1"/>
  <c r="T20" i="9" l="1"/>
  <c r="U16" i="9"/>
  <c r="T25" i="11"/>
  <c r="U21" i="11"/>
  <c r="L116" i="5"/>
  <c r="AH5" i="5"/>
  <c r="L73" i="5"/>
  <c r="AH4" i="5"/>
  <c r="L30" i="5"/>
  <c r="AH3" i="5"/>
  <c r="AA7" i="5"/>
  <c r="U4" i="5"/>
  <c r="AA4" i="5" s="1"/>
  <c r="M14" i="5"/>
  <c r="AA8" i="5"/>
  <c r="D111" i="5"/>
  <c r="L117" i="5" s="1"/>
  <c r="AK5" i="5" s="1"/>
  <c r="E203" i="5"/>
  <c r="AA203" i="5"/>
  <c r="L145" i="5"/>
  <c r="N145" i="5" s="1"/>
  <c r="AA155" i="5"/>
  <c r="G100" i="5"/>
  <c r="G111" i="5" s="1"/>
  <c r="M15" i="5"/>
  <c r="J16" i="5"/>
  <c r="L146" i="5"/>
  <c r="I147" i="5"/>
  <c r="D142" i="5"/>
  <c r="B155" i="5"/>
  <c r="L158" i="5" s="1"/>
  <c r="D241" i="5"/>
  <c r="D244" i="5" s="1"/>
  <c r="L250" i="5" s="1"/>
  <c r="AK8" i="5" s="1"/>
  <c r="B244" i="5"/>
  <c r="L247" i="5" s="1"/>
  <c r="AA244" i="5"/>
  <c r="J147" i="5"/>
  <c r="M146" i="5"/>
  <c r="G146" i="5"/>
  <c r="K146" i="5" s="1"/>
  <c r="K147" i="5" s="1"/>
  <c r="K148" i="5" s="1"/>
  <c r="K149" i="5" s="1"/>
  <c r="K150" i="5" s="1"/>
  <c r="K151" i="5" s="1"/>
  <c r="K152" i="5" s="1"/>
  <c r="K153" i="5" s="1"/>
  <c r="K154" i="5" s="1"/>
  <c r="E57" i="5"/>
  <c r="G57" i="5" s="1"/>
  <c r="G68" i="5" s="1"/>
  <c r="B224" i="5"/>
  <c r="B267" i="5" s="1"/>
  <c r="B305" i="5" s="1"/>
  <c r="B343" i="5" s="1"/>
  <c r="B381" i="5" s="1"/>
  <c r="B419" i="5" s="1"/>
  <c r="B457" i="5" s="1"/>
  <c r="B495" i="5" s="1"/>
  <c r="B533" i="5" s="1"/>
  <c r="B571" i="5" s="1"/>
  <c r="B609" i="5" s="1"/>
  <c r="B647" i="5" s="1"/>
  <c r="B685" i="5" s="1"/>
  <c r="G190" i="5"/>
  <c r="B203" i="5"/>
  <c r="L206" i="5" s="1"/>
  <c r="K276" i="5"/>
  <c r="N275" i="5"/>
  <c r="U3" i="5"/>
  <c r="AA3" i="5" s="1"/>
  <c r="J188" i="5"/>
  <c r="M187" i="5"/>
  <c r="M232" i="5"/>
  <c r="J233" i="5"/>
  <c r="N698" i="5"/>
  <c r="K699" i="5"/>
  <c r="J100" i="5"/>
  <c r="M99" i="5"/>
  <c r="E19" i="5"/>
  <c r="G19" i="5" s="1"/>
  <c r="G25" i="5" s="1"/>
  <c r="J56" i="5"/>
  <c r="K784" i="3"/>
  <c r="N783" i="3"/>
  <c r="E144" i="3"/>
  <c r="L150" i="3" s="1"/>
  <c r="J132" i="3"/>
  <c r="N64" i="3"/>
  <c r="N67" i="3" s="1"/>
  <c r="K50" i="3"/>
  <c r="E135" i="3"/>
  <c r="G135" i="3" s="1"/>
  <c r="L234" i="3"/>
  <c r="L236" i="3" s="1"/>
  <c r="D218" i="3"/>
  <c r="G218" i="3"/>
  <c r="G231" i="3" s="1"/>
  <c r="AD82" i="3"/>
  <c r="AA231" i="3"/>
  <c r="AH85" i="3" s="1"/>
  <c r="E101" i="3"/>
  <c r="L107" i="3" s="1"/>
  <c r="G92" i="3"/>
  <c r="G101" i="3" s="1"/>
  <c r="M175" i="3"/>
  <c r="G266" i="3"/>
  <c r="E278" i="3"/>
  <c r="D312" i="3"/>
  <c r="D322" i="3" s="1"/>
  <c r="L328" i="3" s="1"/>
  <c r="B322" i="3"/>
  <c r="L325" i="3" s="1"/>
  <c r="L327" i="3" s="1"/>
  <c r="G132" i="3"/>
  <c r="AA80" i="3"/>
  <c r="AF80" i="3" s="1"/>
  <c r="M91" i="3"/>
  <c r="J92" i="3"/>
  <c r="J311" i="3"/>
  <c r="M310" i="3"/>
  <c r="D176" i="3"/>
  <c r="D187" i="3" s="1"/>
  <c r="L193" i="3" s="1"/>
  <c r="B187" i="3"/>
  <c r="L190" i="3" s="1"/>
  <c r="L192" i="3" s="1"/>
  <c r="K360" i="3"/>
  <c r="N359" i="3"/>
  <c r="L147" i="3"/>
  <c r="L149" i="3" s="1"/>
  <c r="AA81" i="3"/>
  <c r="AF81" i="3" s="1"/>
  <c r="AA187" i="3"/>
  <c r="D262" i="3"/>
  <c r="B278" i="3"/>
  <c r="L281" i="3" s="1"/>
  <c r="L283" i="3" s="1"/>
  <c r="AF79" i="3"/>
  <c r="AA278" i="3"/>
  <c r="AD83" i="3"/>
  <c r="AF83" i="3" s="1"/>
  <c r="AA322" i="3"/>
  <c r="AD84" i="3"/>
  <c r="AF84" i="3" s="1"/>
  <c r="E187" i="1"/>
  <c r="D100" i="1"/>
  <c r="D99" i="1"/>
  <c r="D98" i="1"/>
  <c r="D97" i="1"/>
  <c r="D96" i="1"/>
  <c r="D95" i="1"/>
  <c r="D94" i="1"/>
  <c r="D93" i="1"/>
  <c r="D92" i="1"/>
  <c r="D91" i="1"/>
  <c r="E90" i="1"/>
  <c r="D90" i="1"/>
  <c r="B101" i="1"/>
  <c r="E89" i="1"/>
  <c r="D89" i="1"/>
  <c r="X306" i="1"/>
  <c r="Y306" i="1" s="1"/>
  <c r="X307" i="1"/>
  <c r="Y307" i="1" s="1"/>
  <c r="X308" i="1"/>
  <c r="Y308" i="1" s="1"/>
  <c r="X309" i="1"/>
  <c r="Y309" i="1" s="1"/>
  <c r="X310" i="1"/>
  <c r="Y310" i="1" s="1"/>
  <c r="X311" i="1"/>
  <c r="Y311" i="1" s="1"/>
  <c r="X312" i="1"/>
  <c r="Y312" i="1" s="1"/>
  <c r="X313" i="1"/>
  <c r="Y313" i="1" s="1"/>
  <c r="X314" i="1"/>
  <c r="Y314" i="1" s="1"/>
  <c r="X305" i="1"/>
  <c r="Z273" i="1"/>
  <c r="W273" i="1"/>
  <c r="V273" i="1"/>
  <c r="U273" i="1"/>
  <c r="B7" i="1"/>
  <c r="B45" i="1" s="1"/>
  <c r="B83" i="1" s="1"/>
  <c r="B126" i="1" s="1"/>
  <c r="B169" i="1" s="1"/>
  <c r="G12" i="1"/>
  <c r="K12" i="1"/>
  <c r="N12" i="1" s="1"/>
  <c r="G13" i="1"/>
  <c r="K13" i="1"/>
  <c r="N13" i="1" s="1"/>
  <c r="E14" i="1"/>
  <c r="K14" i="1"/>
  <c r="N14" i="1" s="1"/>
  <c r="E15" i="1"/>
  <c r="G15" i="1" s="1"/>
  <c r="K15" i="1"/>
  <c r="N15" i="1" s="1"/>
  <c r="E16" i="1"/>
  <c r="G16" i="1" s="1"/>
  <c r="K16" i="1"/>
  <c r="N16" i="1" s="1"/>
  <c r="E17" i="1"/>
  <c r="G17" i="1" s="1"/>
  <c r="K17" i="1"/>
  <c r="N17" i="1" s="1"/>
  <c r="E18" i="1"/>
  <c r="G18" i="1" s="1"/>
  <c r="K18" i="1"/>
  <c r="N18" i="1" s="1"/>
  <c r="E19" i="1"/>
  <c r="G19" i="1" s="1"/>
  <c r="K19" i="1"/>
  <c r="N19" i="1" s="1"/>
  <c r="E20" i="1"/>
  <c r="G20" i="1" s="1"/>
  <c r="K20" i="1"/>
  <c r="N20" i="1" s="1"/>
  <c r="E21" i="1"/>
  <c r="G21" i="1" s="1"/>
  <c r="K21" i="1"/>
  <c r="N21" i="1" s="1"/>
  <c r="E22" i="1"/>
  <c r="G22" i="1" s="1"/>
  <c r="K22" i="1"/>
  <c r="N22" i="1" s="1"/>
  <c r="E23" i="1"/>
  <c r="G23" i="1" s="1"/>
  <c r="K23" i="1"/>
  <c r="N23" i="1" s="1"/>
  <c r="B24" i="1"/>
  <c r="F24" i="1"/>
  <c r="H24" i="1"/>
  <c r="N30" i="1" s="1"/>
  <c r="N26" i="1"/>
  <c r="B43" i="1"/>
  <c r="B81" i="1" s="1"/>
  <c r="B124" i="1" s="1"/>
  <c r="B167" i="1" s="1"/>
  <c r="F43" i="1"/>
  <c r="K45" i="1"/>
  <c r="I83" i="1" s="1"/>
  <c r="G50" i="1"/>
  <c r="G51" i="1"/>
  <c r="E52" i="1"/>
  <c r="G52" i="1" s="1"/>
  <c r="E53" i="1"/>
  <c r="G53" i="1" s="1"/>
  <c r="E54" i="1"/>
  <c r="G54" i="1" s="1"/>
  <c r="E55" i="1"/>
  <c r="G55" i="1" s="1"/>
  <c r="E56" i="1"/>
  <c r="G56" i="1" s="1"/>
  <c r="E57" i="1"/>
  <c r="G57" i="1" s="1"/>
  <c r="E58" i="1"/>
  <c r="G58" i="1" s="1"/>
  <c r="E59" i="1"/>
  <c r="G59" i="1" s="1"/>
  <c r="E60" i="1"/>
  <c r="G60" i="1" s="1"/>
  <c r="E61" i="1"/>
  <c r="G61" i="1" s="1"/>
  <c r="B62" i="1"/>
  <c r="F62" i="1"/>
  <c r="H62" i="1"/>
  <c r="N68" i="1" s="1"/>
  <c r="Z230" i="1"/>
  <c r="W230" i="1"/>
  <c r="V230" i="1"/>
  <c r="U230" i="1"/>
  <c r="X272" i="1"/>
  <c r="Y272" i="1" s="1"/>
  <c r="X271" i="1"/>
  <c r="Y271" i="1" s="1"/>
  <c r="X270" i="1"/>
  <c r="Y270" i="1" s="1"/>
  <c r="X269" i="1"/>
  <c r="Y269" i="1" s="1"/>
  <c r="X268" i="1"/>
  <c r="Y268" i="1" s="1"/>
  <c r="X266" i="1"/>
  <c r="Y266" i="1" s="1"/>
  <c r="B265" i="1"/>
  <c r="X264" i="1"/>
  <c r="Y264" i="1" s="1"/>
  <c r="X263" i="1"/>
  <c r="Y263" i="1" s="1"/>
  <c r="X262" i="1"/>
  <c r="Y262" i="1" s="1"/>
  <c r="X261" i="1"/>
  <c r="Y261" i="1" s="1"/>
  <c r="X229" i="1"/>
  <c r="Y229" i="1" s="1"/>
  <c r="X228" i="1"/>
  <c r="Y228" i="1" s="1"/>
  <c r="X227" i="1"/>
  <c r="Y227" i="1" s="1"/>
  <c r="X226" i="1"/>
  <c r="Y226" i="1" s="1"/>
  <c r="X225" i="1"/>
  <c r="Y225" i="1" s="1"/>
  <c r="X224" i="1"/>
  <c r="Y224" i="1" s="1"/>
  <c r="X223" i="1"/>
  <c r="Y223" i="1" s="1"/>
  <c r="X222" i="1"/>
  <c r="Y222" i="1" s="1"/>
  <c r="X221" i="1"/>
  <c r="Y221" i="1" s="1"/>
  <c r="X220" i="1"/>
  <c r="Y220" i="1" s="1"/>
  <c r="X218" i="1"/>
  <c r="Y218" i="1" s="1"/>
  <c r="Z101" i="1"/>
  <c r="Z144" i="1"/>
  <c r="Z187" i="1"/>
  <c r="X186" i="1"/>
  <c r="Y186" i="1" s="1"/>
  <c r="X185" i="1"/>
  <c r="Y185" i="1" s="1"/>
  <c r="X184" i="1"/>
  <c r="Y184" i="1" s="1"/>
  <c r="X183" i="1"/>
  <c r="Y183" i="1" s="1"/>
  <c r="X182" i="1"/>
  <c r="Y182" i="1" s="1"/>
  <c r="X181" i="1"/>
  <c r="Y181" i="1" s="1"/>
  <c r="X180" i="1"/>
  <c r="Y180" i="1" s="1"/>
  <c r="X179" i="1"/>
  <c r="Y179" i="1" s="1"/>
  <c r="X178" i="1"/>
  <c r="Y178" i="1" s="1"/>
  <c r="X177" i="1"/>
  <c r="Y177" i="1" s="1"/>
  <c r="X176" i="1"/>
  <c r="Y176" i="1" s="1"/>
  <c r="X175" i="1"/>
  <c r="Y175" i="1" s="1"/>
  <c r="W187" i="1"/>
  <c r="V187" i="1"/>
  <c r="U187" i="1"/>
  <c r="H784" i="1"/>
  <c r="N790" i="1" s="1"/>
  <c r="F784" i="1"/>
  <c r="B784" i="1"/>
  <c r="E783" i="1"/>
  <c r="G783" i="1" s="1"/>
  <c r="E782" i="1"/>
  <c r="G782" i="1" s="1"/>
  <c r="E781" i="1"/>
  <c r="G781" i="1" s="1"/>
  <c r="E780" i="1"/>
  <c r="G780" i="1" s="1"/>
  <c r="E779" i="1"/>
  <c r="G779" i="1" s="1"/>
  <c r="E778" i="1"/>
  <c r="G778" i="1" s="1"/>
  <c r="E777" i="1"/>
  <c r="G777" i="1" s="1"/>
  <c r="E776" i="1"/>
  <c r="G776" i="1" s="1"/>
  <c r="K776" i="1" s="1"/>
  <c r="N775" i="1"/>
  <c r="E775" i="1"/>
  <c r="G775" i="1" s="1"/>
  <c r="E774" i="1"/>
  <c r="G774" i="1" s="1"/>
  <c r="E773" i="1"/>
  <c r="G773" i="1" s="1"/>
  <c r="E772" i="1"/>
  <c r="H746" i="1"/>
  <c r="N752" i="1" s="1"/>
  <c r="F746" i="1"/>
  <c r="E746" i="1"/>
  <c r="N750" i="1" s="1"/>
  <c r="B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H708" i="1"/>
  <c r="N714" i="1" s="1"/>
  <c r="F708" i="1"/>
  <c r="E708" i="1"/>
  <c r="N712" i="1" s="1"/>
  <c r="B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H670" i="1"/>
  <c r="N676" i="1" s="1"/>
  <c r="F670" i="1"/>
  <c r="B670" i="1"/>
  <c r="E669" i="1"/>
  <c r="G669" i="1" s="1"/>
  <c r="E668" i="1"/>
  <c r="G668" i="1" s="1"/>
  <c r="E667" i="1"/>
  <c r="G667" i="1" s="1"/>
  <c r="E666" i="1"/>
  <c r="G666" i="1" s="1"/>
  <c r="E665" i="1"/>
  <c r="G665" i="1" s="1"/>
  <c r="E664" i="1"/>
  <c r="G664" i="1" s="1"/>
  <c r="E663" i="1"/>
  <c r="G663" i="1" s="1"/>
  <c r="E662" i="1"/>
  <c r="G662" i="1" s="1"/>
  <c r="E661" i="1"/>
  <c r="G661" i="1" s="1"/>
  <c r="E660" i="1"/>
  <c r="G660" i="1" s="1"/>
  <c r="E659" i="1"/>
  <c r="G659" i="1" s="1"/>
  <c r="E658" i="1"/>
  <c r="H632" i="1"/>
  <c r="N638" i="1" s="1"/>
  <c r="F632" i="1"/>
  <c r="B632" i="1"/>
  <c r="E631" i="1"/>
  <c r="G631" i="1" s="1"/>
  <c r="E630" i="1"/>
  <c r="G630" i="1" s="1"/>
  <c r="E629" i="1"/>
  <c r="G629" i="1" s="1"/>
  <c r="E628" i="1"/>
  <c r="G628" i="1" s="1"/>
  <c r="E627" i="1"/>
  <c r="G627" i="1" s="1"/>
  <c r="E626" i="1"/>
  <c r="G626" i="1" s="1"/>
  <c r="E625" i="1"/>
  <c r="G625" i="1" s="1"/>
  <c r="E624" i="1"/>
  <c r="G624" i="1" s="1"/>
  <c r="E623" i="1"/>
  <c r="G623" i="1" s="1"/>
  <c r="E622" i="1"/>
  <c r="G622" i="1" s="1"/>
  <c r="E621" i="1"/>
  <c r="G621" i="1" s="1"/>
  <c r="E620" i="1"/>
  <c r="G620" i="1" s="1"/>
  <c r="H594" i="1"/>
  <c r="N600" i="1" s="1"/>
  <c r="F594" i="1"/>
  <c r="B594" i="1"/>
  <c r="E593" i="1"/>
  <c r="G593" i="1" s="1"/>
  <c r="E592" i="1"/>
  <c r="G592" i="1" s="1"/>
  <c r="E591" i="1"/>
  <c r="G591" i="1" s="1"/>
  <c r="E590" i="1"/>
  <c r="G590" i="1" s="1"/>
  <c r="E589" i="1"/>
  <c r="G589" i="1" s="1"/>
  <c r="E588" i="1"/>
  <c r="G588" i="1" s="1"/>
  <c r="E587" i="1"/>
  <c r="G587" i="1" s="1"/>
  <c r="E586" i="1"/>
  <c r="G586" i="1" s="1"/>
  <c r="E585" i="1"/>
  <c r="G585" i="1" s="1"/>
  <c r="E584" i="1"/>
  <c r="G584" i="1" s="1"/>
  <c r="E583" i="1"/>
  <c r="G583" i="1" s="1"/>
  <c r="E582" i="1"/>
  <c r="H556" i="1"/>
  <c r="N562" i="1" s="1"/>
  <c r="F556" i="1"/>
  <c r="B556" i="1"/>
  <c r="E555" i="1"/>
  <c r="G555" i="1" s="1"/>
  <c r="E554" i="1"/>
  <c r="G554" i="1" s="1"/>
  <c r="E553" i="1"/>
  <c r="G553" i="1" s="1"/>
  <c r="E552" i="1"/>
  <c r="G552" i="1" s="1"/>
  <c r="E551" i="1"/>
  <c r="G551" i="1" s="1"/>
  <c r="E550" i="1"/>
  <c r="G550" i="1" s="1"/>
  <c r="E549" i="1"/>
  <c r="G549" i="1" s="1"/>
  <c r="E548" i="1"/>
  <c r="G548" i="1" s="1"/>
  <c r="E547" i="1"/>
  <c r="G547" i="1" s="1"/>
  <c r="E546" i="1"/>
  <c r="G546" i="1" s="1"/>
  <c r="E545" i="1"/>
  <c r="G545" i="1" s="1"/>
  <c r="E544" i="1"/>
  <c r="H518" i="1"/>
  <c r="N524" i="1" s="1"/>
  <c r="F518" i="1"/>
  <c r="B518" i="1"/>
  <c r="E517" i="1"/>
  <c r="G517" i="1" s="1"/>
  <c r="E516" i="1"/>
  <c r="G516" i="1" s="1"/>
  <c r="E515" i="1"/>
  <c r="G515" i="1" s="1"/>
  <c r="E514" i="1"/>
  <c r="G514" i="1" s="1"/>
  <c r="E513" i="1"/>
  <c r="G513" i="1" s="1"/>
  <c r="E512" i="1"/>
  <c r="G512" i="1" s="1"/>
  <c r="E511" i="1"/>
  <c r="G511" i="1" s="1"/>
  <c r="E510" i="1"/>
  <c r="G510" i="1" s="1"/>
  <c r="E509" i="1"/>
  <c r="G509" i="1" s="1"/>
  <c r="E508" i="1"/>
  <c r="G508" i="1" s="1"/>
  <c r="E507" i="1"/>
  <c r="G507" i="1" s="1"/>
  <c r="E506" i="1"/>
  <c r="G506" i="1" s="1"/>
  <c r="H480" i="1"/>
  <c r="N486" i="1" s="1"/>
  <c r="F480" i="1"/>
  <c r="B480" i="1"/>
  <c r="E479" i="1"/>
  <c r="G479" i="1" s="1"/>
  <c r="E478" i="1"/>
  <c r="G478" i="1" s="1"/>
  <c r="E477" i="1"/>
  <c r="G477" i="1" s="1"/>
  <c r="E476" i="1"/>
  <c r="G476" i="1" s="1"/>
  <c r="E475" i="1"/>
  <c r="G475" i="1" s="1"/>
  <c r="E474" i="1"/>
  <c r="G474" i="1" s="1"/>
  <c r="E473" i="1"/>
  <c r="G473" i="1" s="1"/>
  <c r="E472" i="1"/>
  <c r="G472" i="1" s="1"/>
  <c r="E471" i="1"/>
  <c r="G471" i="1" s="1"/>
  <c r="E470" i="1"/>
  <c r="G470" i="1" s="1"/>
  <c r="E469" i="1"/>
  <c r="G469" i="1" s="1"/>
  <c r="E468" i="1"/>
  <c r="H442" i="1"/>
  <c r="N448" i="1" s="1"/>
  <c r="F442" i="1"/>
  <c r="B442" i="1"/>
  <c r="E441" i="1"/>
  <c r="G441" i="1" s="1"/>
  <c r="E440" i="1"/>
  <c r="G440" i="1" s="1"/>
  <c r="E439" i="1"/>
  <c r="G439" i="1" s="1"/>
  <c r="E438" i="1"/>
  <c r="G438" i="1" s="1"/>
  <c r="E437" i="1"/>
  <c r="G437" i="1" s="1"/>
  <c r="E436" i="1"/>
  <c r="G436" i="1" s="1"/>
  <c r="E435" i="1"/>
  <c r="G435" i="1" s="1"/>
  <c r="E434" i="1"/>
  <c r="G434" i="1" s="1"/>
  <c r="E433" i="1"/>
  <c r="G433" i="1" s="1"/>
  <c r="E432" i="1"/>
  <c r="G432" i="1" s="1"/>
  <c r="E431" i="1"/>
  <c r="G431" i="1" s="1"/>
  <c r="E430" i="1"/>
  <c r="G430" i="1" s="1"/>
  <c r="H404" i="1"/>
  <c r="N410" i="1" s="1"/>
  <c r="F404" i="1"/>
  <c r="B404" i="1"/>
  <c r="E403" i="1"/>
  <c r="G403" i="1" s="1"/>
  <c r="E402" i="1"/>
  <c r="G402" i="1" s="1"/>
  <c r="E401" i="1"/>
  <c r="G401" i="1" s="1"/>
  <c r="E400" i="1"/>
  <c r="G400" i="1" s="1"/>
  <c r="E399" i="1"/>
  <c r="G399" i="1" s="1"/>
  <c r="E398" i="1"/>
  <c r="G398" i="1" s="1"/>
  <c r="E397" i="1"/>
  <c r="G397" i="1" s="1"/>
  <c r="E396" i="1"/>
  <c r="G396" i="1" s="1"/>
  <c r="E395" i="1"/>
  <c r="G395" i="1" s="1"/>
  <c r="E394" i="1"/>
  <c r="G394" i="1" s="1"/>
  <c r="E393" i="1"/>
  <c r="G393" i="1" s="1"/>
  <c r="E392" i="1"/>
  <c r="H366" i="1"/>
  <c r="N372" i="1" s="1"/>
  <c r="F366" i="1"/>
  <c r="B366" i="1"/>
  <c r="E365" i="1"/>
  <c r="G365" i="1" s="1"/>
  <c r="E364" i="1"/>
  <c r="G364" i="1" s="1"/>
  <c r="E363" i="1"/>
  <c r="G363" i="1" s="1"/>
  <c r="E362" i="1"/>
  <c r="G362" i="1" s="1"/>
  <c r="E361" i="1"/>
  <c r="G361" i="1" s="1"/>
  <c r="E360" i="1"/>
  <c r="G360" i="1" s="1"/>
  <c r="E359" i="1"/>
  <c r="G359" i="1" s="1"/>
  <c r="E358" i="1"/>
  <c r="G358" i="1" s="1"/>
  <c r="E357" i="1"/>
  <c r="G357" i="1" s="1"/>
  <c r="E356" i="1"/>
  <c r="G356" i="1" s="1"/>
  <c r="E355" i="1"/>
  <c r="G355" i="1" s="1"/>
  <c r="E354" i="1"/>
  <c r="W144" i="1"/>
  <c r="V144" i="1"/>
  <c r="U144" i="1"/>
  <c r="H144" i="1"/>
  <c r="L152" i="1" s="1"/>
  <c r="F144" i="1"/>
  <c r="L148" i="1" s="1"/>
  <c r="X143" i="1"/>
  <c r="Y143" i="1" s="1"/>
  <c r="X142" i="1"/>
  <c r="Y142" i="1" s="1"/>
  <c r="X141" i="1"/>
  <c r="Y141" i="1" s="1"/>
  <c r="X140" i="1"/>
  <c r="Y140" i="1" s="1"/>
  <c r="X139" i="1"/>
  <c r="Y139" i="1" s="1"/>
  <c r="X138" i="1"/>
  <c r="Y138" i="1" s="1"/>
  <c r="X137" i="1"/>
  <c r="Y137" i="1" s="1"/>
  <c r="X136" i="1"/>
  <c r="Y136" i="1" s="1"/>
  <c r="X135" i="1"/>
  <c r="Y135" i="1" s="1"/>
  <c r="X134" i="1"/>
  <c r="Y134" i="1" s="1"/>
  <c r="X133" i="1"/>
  <c r="Y133" i="1" s="1"/>
  <c r="X132" i="1"/>
  <c r="W101" i="1"/>
  <c r="V101" i="1"/>
  <c r="U101" i="1"/>
  <c r="H101" i="1"/>
  <c r="L109" i="1" s="1"/>
  <c r="F101" i="1"/>
  <c r="L105" i="1" s="1"/>
  <c r="X100" i="1"/>
  <c r="Y100" i="1" s="1"/>
  <c r="X99" i="1"/>
  <c r="Y99" i="1" s="1"/>
  <c r="X98" i="1"/>
  <c r="Y98" i="1" s="1"/>
  <c r="X97" i="1"/>
  <c r="Y97" i="1" s="1"/>
  <c r="X96" i="1"/>
  <c r="Y96" i="1" s="1"/>
  <c r="X95" i="1"/>
  <c r="Y95" i="1" s="1"/>
  <c r="X94" i="1"/>
  <c r="Y94" i="1" s="1"/>
  <c r="X93" i="1"/>
  <c r="Y93" i="1" s="1"/>
  <c r="X92" i="1"/>
  <c r="Y92" i="1" s="1"/>
  <c r="X91" i="1"/>
  <c r="L249" i="5" l="1"/>
  <c r="AH8" i="5"/>
  <c r="L160" i="5"/>
  <c r="AH6" i="5"/>
  <c r="L208" i="5"/>
  <c r="AK7" i="5"/>
  <c r="AH7" i="5"/>
  <c r="G241" i="5"/>
  <c r="G244" i="5" s="1"/>
  <c r="AA6" i="5"/>
  <c r="X9" i="5"/>
  <c r="E25" i="5"/>
  <c r="L31" i="5" s="1"/>
  <c r="AK3" i="5" s="1"/>
  <c r="N146" i="5"/>
  <c r="G203" i="5"/>
  <c r="D203" i="5"/>
  <c r="L209" i="5" s="1"/>
  <c r="C230" i="1"/>
  <c r="K700" i="5"/>
  <c r="N699" i="5"/>
  <c r="E68" i="5"/>
  <c r="L74" i="5" s="1"/>
  <c r="AK4" i="5" s="1"/>
  <c r="M147" i="5"/>
  <c r="J148" i="5"/>
  <c r="J101" i="5"/>
  <c r="M100" i="5"/>
  <c r="D155" i="5"/>
  <c r="L161" i="5" s="1"/>
  <c r="AK6" i="5" s="1"/>
  <c r="J142" i="5"/>
  <c r="K277" i="5"/>
  <c r="N276" i="5"/>
  <c r="I148" i="5"/>
  <c r="L147" i="5"/>
  <c r="J57" i="5"/>
  <c r="M56" i="5"/>
  <c r="J234" i="5"/>
  <c r="M233" i="5"/>
  <c r="M16" i="5"/>
  <c r="J17" i="5"/>
  <c r="M188" i="5"/>
  <c r="J189" i="5"/>
  <c r="J190" i="5" s="1"/>
  <c r="M190" i="5" s="1"/>
  <c r="U9" i="5"/>
  <c r="G142" i="5"/>
  <c r="G155" i="5" s="1"/>
  <c r="J262" i="3"/>
  <c r="D278" i="3"/>
  <c r="L284" i="3" s="1"/>
  <c r="K51" i="3"/>
  <c r="N50" i="3"/>
  <c r="G312" i="3"/>
  <c r="G322" i="3" s="1"/>
  <c r="G176" i="3"/>
  <c r="G187" i="3" s="1"/>
  <c r="G262" i="3"/>
  <c r="G278" i="3" s="1"/>
  <c r="M311" i="3"/>
  <c r="J312" i="3"/>
  <c r="J218" i="3"/>
  <c r="D231" i="3"/>
  <c r="L237" i="3" s="1"/>
  <c r="AA85" i="3"/>
  <c r="J176" i="3"/>
  <c r="M132" i="3"/>
  <c r="J133" i="3"/>
  <c r="M92" i="3"/>
  <c r="J93" i="3"/>
  <c r="K785" i="3"/>
  <c r="N784" i="3"/>
  <c r="K361" i="3"/>
  <c r="N360" i="3"/>
  <c r="G144" i="3"/>
  <c r="AD85" i="3"/>
  <c r="AF82" i="3"/>
  <c r="AA309" i="1"/>
  <c r="B309" i="1"/>
  <c r="AA308" i="1"/>
  <c r="B308" i="1"/>
  <c r="AA307" i="1"/>
  <c r="B307" i="1"/>
  <c r="AA306" i="1"/>
  <c r="B306" i="1"/>
  <c r="AA314" i="1"/>
  <c r="B314" i="1"/>
  <c r="AA313" i="1"/>
  <c r="B313" i="1"/>
  <c r="AA312" i="1"/>
  <c r="B312" i="1"/>
  <c r="D265" i="1"/>
  <c r="B297" i="1"/>
  <c r="AA311" i="1"/>
  <c r="B311" i="1"/>
  <c r="AA310" i="1"/>
  <c r="B310" i="1"/>
  <c r="E317" i="1"/>
  <c r="AA264" i="1"/>
  <c r="B264" i="1"/>
  <c r="AA263" i="1"/>
  <c r="B263" i="1"/>
  <c r="AA266" i="1"/>
  <c r="B266" i="1"/>
  <c r="B299" i="1" s="1"/>
  <c r="B267" i="1"/>
  <c r="AA268" i="1"/>
  <c r="B268" i="1"/>
  <c r="AA269" i="1"/>
  <c r="B269" i="1"/>
  <c r="AA270" i="1"/>
  <c r="B270" i="1"/>
  <c r="AA262" i="1"/>
  <c r="B262" i="1"/>
  <c r="AA271" i="1"/>
  <c r="B271" i="1"/>
  <c r="J89" i="1"/>
  <c r="J90" i="1" s="1"/>
  <c r="M90" i="1" s="1"/>
  <c r="AA272" i="1"/>
  <c r="B272" i="1"/>
  <c r="AA261" i="1"/>
  <c r="B261" i="1"/>
  <c r="B210" i="1"/>
  <c r="B253" i="1" s="1"/>
  <c r="AA227" i="1"/>
  <c r="B227" i="1"/>
  <c r="AA228" i="1"/>
  <c r="B228" i="1"/>
  <c r="AA229" i="1"/>
  <c r="B229" i="1"/>
  <c r="AA220" i="1"/>
  <c r="B220" i="1"/>
  <c r="AA221" i="1"/>
  <c r="B221" i="1"/>
  <c r="AA82" i="1"/>
  <c r="Y305" i="1"/>
  <c r="B305" i="1" s="1"/>
  <c r="X317" i="1"/>
  <c r="AA218" i="1"/>
  <c r="B218" i="1"/>
  <c r="AA222" i="1"/>
  <c r="B222" i="1"/>
  <c r="AA223" i="1"/>
  <c r="B223" i="1"/>
  <c r="AA224" i="1"/>
  <c r="B224" i="1"/>
  <c r="AA225" i="1"/>
  <c r="B225" i="1"/>
  <c r="B212" i="1"/>
  <c r="B255" i="1" s="1"/>
  <c r="AA226" i="1"/>
  <c r="B226" i="1"/>
  <c r="E230" i="1"/>
  <c r="AA183" i="1"/>
  <c r="B183" i="1"/>
  <c r="AA180" i="1"/>
  <c r="B180" i="1"/>
  <c r="AA184" i="1"/>
  <c r="B184" i="1"/>
  <c r="AA97" i="1"/>
  <c r="C97" i="1"/>
  <c r="AA100" i="1"/>
  <c r="C100" i="1"/>
  <c r="AA185" i="1"/>
  <c r="B185" i="1"/>
  <c r="AA135" i="1"/>
  <c r="C135" i="1"/>
  <c r="E135" i="1" s="1"/>
  <c r="G135" i="1" s="1"/>
  <c r="AA139" i="1"/>
  <c r="C139" i="1"/>
  <c r="E139" i="1" s="1"/>
  <c r="G139" i="1" s="1"/>
  <c r="AA186" i="1"/>
  <c r="AD81" i="1" s="1"/>
  <c r="B186" i="1"/>
  <c r="AA99" i="1"/>
  <c r="C99" i="1"/>
  <c r="E99" i="1" s="1"/>
  <c r="G99" i="1" s="1"/>
  <c r="AA182" i="1"/>
  <c r="B182" i="1"/>
  <c r="AA175" i="1"/>
  <c r="B175" i="1"/>
  <c r="AA138" i="1"/>
  <c r="C138" i="1"/>
  <c r="E138" i="1" s="1"/>
  <c r="G138" i="1" s="1"/>
  <c r="AA140" i="1"/>
  <c r="C140" i="1"/>
  <c r="E140" i="1" s="1"/>
  <c r="G140" i="1" s="1"/>
  <c r="AA141" i="1"/>
  <c r="C141" i="1"/>
  <c r="E141" i="1" s="1"/>
  <c r="G141" i="1" s="1"/>
  <c r="AA92" i="1"/>
  <c r="C92" i="1"/>
  <c r="AA93" i="1"/>
  <c r="C93" i="1"/>
  <c r="E93" i="1" s="1"/>
  <c r="AA143" i="1"/>
  <c r="B143" i="1"/>
  <c r="D143" i="1" s="1"/>
  <c r="D144" i="1" s="1"/>
  <c r="AA176" i="1"/>
  <c r="B176" i="1"/>
  <c r="AA142" i="1"/>
  <c r="C142" i="1"/>
  <c r="E142" i="1" s="1"/>
  <c r="G142" i="1" s="1"/>
  <c r="AA94" i="1"/>
  <c r="C94" i="1"/>
  <c r="AA177" i="1"/>
  <c r="B177" i="1"/>
  <c r="AA137" i="1"/>
  <c r="C137" i="1"/>
  <c r="E137" i="1" s="1"/>
  <c r="G137" i="1" s="1"/>
  <c r="AA95" i="1"/>
  <c r="C95" i="1"/>
  <c r="AA133" i="1"/>
  <c r="C133" i="1"/>
  <c r="E133" i="1" s="1"/>
  <c r="G133" i="1" s="1"/>
  <c r="AA178" i="1"/>
  <c r="B178" i="1"/>
  <c r="G90" i="1"/>
  <c r="AA96" i="1"/>
  <c r="C96" i="1"/>
  <c r="AA134" i="1"/>
  <c r="C134" i="1"/>
  <c r="E134" i="1" s="1"/>
  <c r="G134" i="1" s="1"/>
  <c r="AA179" i="1"/>
  <c r="B179" i="1"/>
  <c r="AA98" i="1"/>
  <c r="C98" i="1"/>
  <c r="E98" i="1" s="1"/>
  <c r="G98" i="1" s="1"/>
  <c r="AA136" i="1"/>
  <c r="C136" i="1"/>
  <c r="E136" i="1" s="1"/>
  <c r="G136" i="1" s="1"/>
  <c r="AA181" i="1"/>
  <c r="B181" i="1"/>
  <c r="K126" i="1"/>
  <c r="K169" i="1" s="1"/>
  <c r="I126" i="1"/>
  <c r="I169" i="1" s="1"/>
  <c r="I212" i="1" s="1"/>
  <c r="I255" i="1" s="1"/>
  <c r="K299" i="1" s="1"/>
  <c r="H81" i="1"/>
  <c r="G89" i="1"/>
  <c r="D101" i="1"/>
  <c r="X273" i="1"/>
  <c r="Y273" i="1"/>
  <c r="N483" i="1"/>
  <c r="E24" i="1"/>
  <c r="N28" i="1" s="1"/>
  <c r="K24" i="1"/>
  <c r="N27" i="1"/>
  <c r="N65" i="1"/>
  <c r="N24" i="1"/>
  <c r="N31" i="1" s="1"/>
  <c r="G62" i="1"/>
  <c r="N673" i="1"/>
  <c r="G14" i="1"/>
  <c r="G24" i="1" s="1"/>
  <c r="E62" i="1"/>
  <c r="N66" i="1" s="1"/>
  <c r="N445" i="1"/>
  <c r="N369" i="1"/>
  <c r="X230" i="1"/>
  <c r="Y230" i="1"/>
  <c r="N597" i="1"/>
  <c r="E518" i="1"/>
  <c r="N522" i="1" s="1"/>
  <c r="N749" i="1"/>
  <c r="N635" i="1"/>
  <c r="G518" i="1"/>
  <c r="E556" i="1"/>
  <c r="N560" i="1" s="1"/>
  <c r="G544" i="1"/>
  <c r="G556" i="1" s="1"/>
  <c r="N711" i="1"/>
  <c r="E632" i="1"/>
  <c r="N636" i="1" s="1"/>
  <c r="X101" i="1"/>
  <c r="E366" i="1"/>
  <c r="N370" i="1" s="1"/>
  <c r="G708" i="1"/>
  <c r="G442" i="1"/>
  <c r="X144" i="1"/>
  <c r="N521" i="1"/>
  <c r="E784" i="1"/>
  <c r="N788" i="1" s="1"/>
  <c r="G772" i="1"/>
  <c r="G784" i="1" s="1"/>
  <c r="N407" i="1"/>
  <c r="Y187" i="1"/>
  <c r="X187" i="1"/>
  <c r="Y91" i="1"/>
  <c r="C91" i="1" s="1"/>
  <c r="E442" i="1"/>
  <c r="N446" i="1" s="1"/>
  <c r="Y132" i="1"/>
  <c r="C132" i="1" s="1"/>
  <c r="E480" i="1"/>
  <c r="N484" i="1" s="1"/>
  <c r="G468" i="1"/>
  <c r="G480" i="1" s="1"/>
  <c r="E404" i="1"/>
  <c r="N408" i="1" s="1"/>
  <c r="G392" i="1"/>
  <c r="G404" i="1" s="1"/>
  <c r="G632" i="1"/>
  <c r="E670" i="1"/>
  <c r="N674" i="1" s="1"/>
  <c r="G658" i="1"/>
  <c r="G670" i="1" s="1"/>
  <c r="N776" i="1"/>
  <c r="K777" i="1"/>
  <c r="G354" i="1"/>
  <c r="G366" i="1" s="1"/>
  <c r="G746" i="1"/>
  <c r="N559" i="1"/>
  <c r="E594" i="1"/>
  <c r="N598" i="1" s="1"/>
  <c r="G582" i="1"/>
  <c r="G594" i="1" s="1"/>
  <c r="N787" i="1"/>
  <c r="AH9" i="5" l="1"/>
  <c r="AK9" i="5"/>
  <c r="AA9" i="5"/>
  <c r="N147" i="5"/>
  <c r="J102" i="5"/>
  <c r="M101" i="5"/>
  <c r="L148" i="5"/>
  <c r="I149" i="5"/>
  <c r="M189" i="5"/>
  <c r="K278" i="5"/>
  <c r="N277" i="5"/>
  <c r="J143" i="5"/>
  <c r="M143" i="5" s="1"/>
  <c r="M142" i="5"/>
  <c r="M148" i="5"/>
  <c r="J149" i="5"/>
  <c r="J18" i="5"/>
  <c r="M17" i="5"/>
  <c r="M234" i="5"/>
  <c r="J235" i="5"/>
  <c r="K701" i="5"/>
  <c r="N700" i="5"/>
  <c r="J58" i="5"/>
  <c r="M57" i="5"/>
  <c r="N51" i="3"/>
  <c r="K52" i="3"/>
  <c r="J177" i="3"/>
  <c r="M176" i="3"/>
  <c r="AF85" i="3"/>
  <c r="AJ85" i="3" s="1"/>
  <c r="J94" i="3"/>
  <c r="M93" i="3"/>
  <c r="K362" i="3"/>
  <c r="N361" i="3"/>
  <c r="J219" i="3"/>
  <c r="M218" i="3"/>
  <c r="J263" i="3"/>
  <c r="M262" i="3"/>
  <c r="J134" i="3"/>
  <c r="M133" i="3"/>
  <c r="N785" i="3"/>
  <c r="K786" i="3"/>
  <c r="M312" i="3"/>
  <c r="J313" i="3"/>
  <c r="AA84" i="1"/>
  <c r="B349" i="1"/>
  <c r="B387" i="1" s="1"/>
  <c r="B425" i="1" s="1"/>
  <c r="B463" i="1" s="1"/>
  <c r="B501" i="1" s="1"/>
  <c r="B539" i="1" s="1"/>
  <c r="B577" i="1" s="1"/>
  <c r="B615" i="1" s="1"/>
  <c r="B653" i="1" s="1"/>
  <c r="B691" i="1" s="1"/>
  <c r="B729" i="1" s="1"/>
  <c r="B767" i="1" s="1"/>
  <c r="AA273" i="1"/>
  <c r="D313" i="1"/>
  <c r="G313" i="1" s="1"/>
  <c r="D310" i="1"/>
  <c r="G310" i="1" s="1"/>
  <c r="D314" i="1"/>
  <c r="G314" i="1" s="1"/>
  <c r="D311" i="1"/>
  <c r="G311" i="1" s="1"/>
  <c r="D306" i="1"/>
  <c r="G306" i="1" s="1"/>
  <c r="D307" i="1"/>
  <c r="G307" i="1" s="1"/>
  <c r="D305" i="1"/>
  <c r="J305" i="1" s="1"/>
  <c r="B317" i="1"/>
  <c r="L320" i="1" s="1"/>
  <c r="L322" i="1" s="1"/>
  <c r="B347" i="1"/>
  <c r="B385" i="1" s="1"/>
  <c r="B423" i="1" s="1"/>
  <c r="B461" i="1" s="1"/>
  <c r="B499" i="1" s="1"/>
  <c r="B537" i="1" s="1"/>
  <c r="B575" i="1" s="1"/>
  <c r="B613" i="1" s="1"/>
  <c r="B651" i="1" s="1"/>
  <c r="B689" i="1" s="1"/>
  <c r="B727" i="1" s="1"/>
  <c r="B765" i="1" s="1"/>
  <c r="E265" i="1"/>
  <c r="E273" i="1" s="1"/>
  <c r="C273" i="1"/>
  <c r="D308" i="1"/>
  <c r="G308" i="1" s="1"/>
  <c r="D312" i="1"/>
  <c r="G312" i="1" s="1"/>
  <c r="D309" i="1"/>
  <c r="G309" i="1" s="1"/>
  <c r="AD83" i="1"/>
  <c r="D271" i="1"/>
  <c r="G271" i="1" s="1"/>
  <c r="D268" i="1"/>
  <c r="G268" i="1" s="1"/>
  <c r="AA83" i="1"/>
  <c r="D262" i="1"/>
  <c r="G262" i="1" s="1"/>
  <c r="D270" i="1"/>
  <c r="G270" i="1" s="1"/>
  <c r="D267" i="1"/>
  <c r="G267" i="1" s="1"/>
  <c r="D269" i="1"/>
  <c r="G269" i="1" s="1"/>
  <c r="D266" i="1"/>
  <c r="G266" i="1" s="1"/>
  <c r="D261" i="1"/>
  <c r="B273" i="1"/>
  <c r="D263" i="1"/>
  <c r="G263" i="1" s="1"/>
  <c r="D272" i="1"/>
  <c r="G272" i="1" s="1"/>
  <c r="D264" i="1"/>
  <c r="G264" i="1" s="1"/>
  <c r="AD82" i="1"/>
  <c r="AF82" i="1" s="1"/>
  <c r="K212" i="1"/>
  <c r="K255" i="1" s="1"/>
  <c r="D221" i="1"/>
  <c r="G221" i="1" s="1"/>
  <c r="D223" i="1"/>
  <c r="G223" i="1" s="1"/>
  <c r="AA81" i="1"/>
  <c r="AF81" i="1" s="1"/>
  <c r="AA305" i="1"/>
  <c r="Y317" i="1"/>
  <c r="D220" i="1"/>
  <c r="G220" i="1" s="1"/>
  <c r="D222" i="1"/>
  <c r="G222" i="1" s="1"/>
  <c r="D226" i="1"/>
  <c r="G226" i="1" s="1"/>
  <c r="D229" i="1"/>
  <c r="G229" i="1" s="1"/>
  <c r="D218" i="1"/>
  <c r="G218" i="1" s="1"/>
  <c r="B230" i="1"/>
  <c r="L233" i="1" s="1"/>
  <c r="L235" i="1" s="1"/>
  <c r="D228" i="1"/>
  <c r="G228" i="1" s="1"/>
  <c r="D225" i="1"/>
  <c r="G225" i="1" s="1"/>
  <c r="D227" i="1"/>
  <c r="G227" i="1" s="1"/>
  <c r="AA230" i="1"/>
  <c r="D224" i="1"/>
  <c r="G224" i="1" s="1"/>
  <c r="AA187" i="1"/>
  <c r="D182" i="1"/>
  <c r="G182" i="1" s="1"/>
  <c r="E92" i="1"/>
  <c r="G92" i="1" s="1"/>
  <c r="D175" i="1"/>
  <c r="J175" i="1" s="1"/>
  <c r="B187" i="1"/>
  <c r="L190" i="1" s="1"/>
  <c r="L192" i="1" s="1"/>
  <c r="D186" i="1"/>
  <c r="G186" i="1" s="1"/>
  <c r="D184" i="1"/>
  <c r="G184" i="1" s="1"/>
  <c r="D185" i="1"/>
  <c r="G185" i="1" s="1"/>
  <c r="D181" i="1"/>
  <c r="G181" i="1" s="1"/>
  <c r="D177" i="1"/>
  <c r="G177" i="1" s="1"/>
  <c r="D178" i="1"/>
  <c r="G178" i="1" s="1"/>
  <c r="D180" i="1"/>
  <c r="G180" i="1" s="1"/>
  <c r="D176" i="1"/>
  <c r="G176" i="1" s="1"/>
  <c r="D183" i="1"/>
  <c r="G183" i="1" s="1"/>
  <c r="D179" i="1"/>
  <c r="G179" i="1" s="1"/>
  <c r="F124" i="1"/>
  <c r="F167" i="1" s="1"/>
  <c r="H124" i="1"/>
  <c r="H167" i="1" s="1"/>
  <c r="H210" i="1" s="1"/>
  <c r="H253" i="1" s="1"/>
  <c r="M89" i="1"/>
  <c r="G143" i="1"/>
  <c r="G93" i="1"/>
  <c r="E95" i="1"/>
  <c r="G95" i="1" s="1"/>
  <c r="E100" i="1"/>
  <c r="G100" i="1" s="1"/>
  <c r="E96" i="1"/>
  <c r="G96" i="1" s="1"/>
  <c r="E94" i="1"/>
  <c r="G94" i="1" s="1"/>
  <c r="E97" i="1"/>
  <c r="G97" i="1" s="1"/>
  <c r="AA132" i="1"/>
  <c r="AA80" i="1" s="1"/>
  <c r="AF80" i="1" s="1"/>
  <c r="AA91" i="1"/>
  <c r="AA79" i="1" s="1"/>
  <c r="N29" i="1"/>
  <c r="N32" i="1" s="1"/>
  <c r="K47" i="1" s="1"/>
  <c r="K50" i="1" s="1"/>
  <c r="N777" i="1"/>
  <c r="K778" i="1"/>
  <c r="Y144" i="1"/>
  <c r="Y101" i="1"/>
  <c r="N148" i="5" l="1"/>
  <c r="K279" i="5"/>
  <c r="N278" i="5"/>
  <c r="J194" i="5"/>
  <c r="M58" i="5"/>
  <c r="J59" i="5"/>
  <c r="J19" i="5"/>
  <c r="M18" i="5"/>
  <c r="L149" i="5"/>
  <c r="I150" i="5"/>
  <c r="M149" i="5"/>
  <c r="J150" i="5"/>
  <c r="K702" i="5"/>
  <c r="N701" i="5"/>
  <c r="J103" i="5"/>
  <c r="M102" i="5"/>
  <c r="M235" i="5"/>
  <c r="J236" i="5"/>
  <c r="J95" i="3"/>
  <c r="M94" i="3"/>
  <c r="J264" i="3"/>
  <c r="M263" i="3"/>
  <c r="J178" i="3"/>
  <c r="M177" i="3"/>
  <c r="M313" i="3"/>
  <c r="J314" i="3"/>
  <c r="K363" i="3"/>
  <c r="N362" i="3"/>
  <c r="J135" i="3"/>
  <c r="M134" i="3"/>
  <c r="M219" i="3"/>
  <c r="K53" i="3"/>
  <c r="N52" i="3"/>
  <c r="K787" i="3"/>
  <c r="N786" i="3"/>
  <c r="J306" i="1"/>
  <c r="M306" i="1" s="1"/>
  <c r="M305" i="1"/>
  <c r="G305" i="1"/>
  <c r="G317" i="1" s="1"/>
  <c r="L276" i="1"/>
  <c r="L278" i="1" s="1"/>
  <c r="G261" i="1"/>
  <c r="J261" i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D317" i="1"/>
  <c r="L323" i="1" s="1"/>
  <c r="G265" i="1"/>
  <c r="AF83" i="1"/>
  <c r="G273" i="1"/>
  <c r="AA85" i="1"/>
  <c r="AF79" i="1"/>
  <c r="D273" i="1"/>
  <c r="L279" i="1" s="1"/>
  <c r="F210" i="1"/>
  <c r="F253" i="1" s="1"/>
  <c r="G230" i="1"/>
  <c r="AA317" i="1"/>
  <c r="AD84" i="1"/>
  <c r="J218" i="1"/>
  <c r="D230" i="1"/>
  <c r="L236" i="1" s="1"/>
  <c r="J176" i="1"/>
  <c r="M175" i="1"/>
  <c r="G175" i="1"/>
  <c r="G187" i="1" s="1"/>
  <c r="D187" i="1"/>
  <c r="L193" i="1" s="1"/>
  <c r="AA144" i="1"/>
  <c r="AA101" i="1"/>
  <c r="B144" i="1"/>
  <c r="N64" i="1"/>
  <c r="N67" i="1" s="1"/>
  <c r="N50" i="1"/>
  <c r="K51" i="1"/>
  <c r="N778" i="1"/>
  <c r="K779" i="1"/>
  <c r="J307" i="1" l="1"/>
  <c r="J308" i="1" s="1"/>
  <c r="AH85" i="1"/>
  <c r="M59" i="5"/>
  <c r="J60" i="5"/>
  <c r="J104" i="5"/>
  <c r="M103" i="5"/>
  <c r="J195" i="5"/>
  <c r="M194" i="5"/>
  <c r="K703" i="5"/>
  <c r="N703" i="5" s="1"/>
  <c r="N702" i="5"/>
  <c r="J151" i="5"/>
  <c r="M150" i="5"/>
  <c r="I151" i="5"/>
  <c r="L150" i="5"/>
  <c r="N149" i="5"/>
  <c r="K280" i="5"/>
  <c r="N279" i="5"/>
  <c r="J237" i="5"/>
  <c r="M236" i="5"/>
  <c r="J20" i="5"/>
  <c r="M19" i="5"/>
  <c r="K788" i="3"/>
  <c r="N788" i="3" s="1"/>
  <c r="N787" i="3"/>
  <c r="M178" i="3"/>
  <c r="J179" i="3"/>
  <c r="K54" i="3"/>
  <c r="N53" i="3"/>
  <c r="J96" i="3"/>
  <c r="M95" i="3"/>
  <c r="M264" i="3"/>
  <c r="J265" i="3"/>
  <c r="J221" i="3"/>
  <c r="J136" i="3"/>
  <c r="M135" i="3"/>
  <c r="N363" i="3"/>
  <c r="K364" i="3"/>
  <c r="J315" i="3"/>
  <c r="M314" i="3"/>
  <c r="F297" i="1"/>
  <c r="F347" i="1" s="1"/>
  <c r="F385" i="1" s="1"/>
  <c r="F423" i="1" s="1"/>
  <c r="F461" i="1" s="1"/>
  <c r="F499" i="1" s="1"/>
  <c r="F537" i="1" s="1"/>
  <c r="F575" i="1" s="1"/>
  <c r="F613" i="1" s="1"/>
  <c r="F651" i="1" s="1"/>
  <c r="F689" i="1" s="1"/>
  <c r="F727" i="1" s="1"/>
  <c r="F765" i="1" s="1"/>
  <c r="M261" i="1"/>
  <c r="AD85" i="1"/>
  <c r="AF85" i="1" s="1"/>
  <c r="AF84" i="1"/>
  <c r="M218" i="1"/>
  <c r="J177" i="1"/>
  <c r="M176" i="1"/>
  <c r="E91" i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C101" i="1"/>
  <c r="L104" i="1" s="1"/>
  <c r="L106" i="1" s="1"/>
  <c r="E132" i="1"/>
  <c r="G132" i="1" s="1"/>
  <c r="G144" i="1" s="1"/>
  <c r="C144" i="1"/>
  <c r="L147" i="1" s="1"/>
  <c r="L149" i="1" s="1"/>
  <c r="K52" i="1"/>
  <c r="N51" i="1"/>
  <c r="N779" i="1"/>
  <c r="K780" i="1"/>
  <c r="N150" i="5" l="1"/>
  <c r="M219" i="1"/>
  <c r="M307" i="1"/>
  <c r="AJ85" i="1"/>
  <c r="M237" i="5"/>
  <c r="J238" i="5"/>
  <c r="K281" i="5"/>
  <c r="N280" i="5"/>
  <c r="J198" i="5"/>
  <c r="M195" i="5"/>
  <c r="I152" i="5"/>
  <c r="L151" i="5"/>
  <c r="J105" i="5"/>
  <c r="M104" i="5"/>
  <c r="J61" i="5"/>
  <c r="M60" i="5"/>
  <c r="J21" i="5"/>
  <c r="M20" i="5"/>
  <c r="M151" i="5"/>
  <c r="J152" i="5"/>
  <c r="N54" i="3"/>
  <c r="K55" i="3"/>
  <c r="M265" i="3"/>
  <c r="J266" i="3"/>
  <c r="J316" i="3"/>
  <c r="M315" i="3"/>
  <c r="M136" i="3"/>
  <c r="J137" i="3"/>
  <c r="J180" i="3"/>
  <c r="M179" i="3"/>
  <c r="J222" i="3"/>
  <c r="M221" i="3"/>
  <c r="N364" i="3"/>
  <c r="K365" i="3"/>
  <c r="M96" i="3"/>
  <c r="J97" i="3"/>
  <c r="M308" i="1"/>
  <c r="J309" i="1"/>
  <c r="M262" i="1"/>
  <c r="E101" i="1"/>
  <c r="L107" i="1" s="1"/>
  <c r="G91" i="1"/>
  <c r="G101" i="1" s="1"/>
  <c r="M177" i="1"/>
  <c r="J178" i="1"/>
  <c r="M91" i="1"/>
  <c r="J132" i="1"/>
  <c r="E144" i="1"/>
  <c r="L150" i="1" s="1"/>
  <c r="M92" i="1"/>
  <c r="N52" i="1"/>
  <c r="K53" i="1"/>
  <c r="N780" i="1"/>
  <c r="K781" i="1"/>
  <c r="N151" i="5" l="1"/>
  <c r="M152" i="5"/>
  <c r="J153" i="5"/>
  <c r="L152" i="5"/>
  <c r="I153" i="5"/>
  <c r="M198" i="5"/>
  <c r="J199" i="5"/>
  <c r="J22" i="5"/>
  <c r="M21" i="5"/>
  <c r="N281" i="5"/>
  <c r="K282" i="5"/>
  <c r="J62" i="5"/>
  <c r="M61" i="5"/>
  <c r="M238" i="5"/>
  <c r="J239" i="5"/>
  <c r="M105" i="5"/>
  <c r="J106" i="5"/>
  <c r="M316" i="3"/>
  <c r="J317" i="3"/>
  <c r="M97" i="3"/>
  <c r="J98" i="3"/>
  <c r="K56" i="3"/>
  <c r="N55" i="3"/>
  <c r="M137" i="3"/>
  <c r="J138" i="3"/>
  <c r="J268" i="3"/>
  <c r="M266" i="3"/>
  <c r="K366" i="3"/>
  <c r="N365" i="3"/>
  <c r="J223" i="3"/>
  <c r="M222" i="3"/>
  <c r="J181" i="3"/>
  <c r="M180" i="3"/>
  <c r="J310" i="1"/>
  <c r="M309" i="1"/>
  <c r="M263" i="1"/>
  <c r="J220" i="1"/>
  <c r="M178" i="1"/>
  <c r="J179" i="1"/>
  <c r="M132" i="1"/>
  <c r="J133" i="1"/>
  <c r="M93" i="1"/>
  <c r="N53" i="1"/>
  <c r="K54" i="1"/>
  <c r="N781" i="1"/>
  <c r="K782" i="1"/>
  <c r="N152" i="5" l="1"/>
  <c r="J23" i="5"/>
  <c r="M22" i="5"/>
  <c r="M106" i="5"/>
  <c r="J107" i="5"/>
  <c r="J200" i="5"/>
  <c r="M199" i="5"/>
  <c r="M239" i="5"/>
  <c r="J240" i="5"/>
  <c r="L153" i="5"/>
  <c r="I154" i="5"/>
  <c r="L154" i="5" s="1"/>
  <c r="J63" i="5"/>
  <c r="M62" i="5"/>
  <c r="M153" i="5"/>
  <c r="J154" i="5"/>
  <c r="N282" i="5"/>
  <c r="K283" i="5"/>
  <c r="M138" i="3"/>
  <c r="J139" i="3"/>
  <c r="M223" i="3"/>
  <c r="J224" i="3"/>
  <c r="J269" i="3"/>
  <c r="M268" i="3"/>
  <c r="J182" i="3"/>
  <c r="M181" i="3"/>
  <c r="N56" i="3"/>
  <c r="K57" i="3"/>
  <c r="J99" i="3"/>
  <c r="M98" i="3"/>
  <c r="K367" i="3"/>
  <c r="N366" i="3"/>
  <c r="M317" i="3"/>
  <c r="J318" i="3"/>
  <c r="J311" i="1"/>
  <c r="M310" i="1"/>
  <c r="M264" i="1"/>
  <c r="M220" i="1"/>
  <c r="J221" i="1"/>
  <c r="J180" i="1"/>
  <c r="M179" i="1"/>
  <c r="M133" i="1"/>
  <c r="J134" i="1"/>
  <c r="M94" i="1"/>
  <c r="N54" i="1"/>
  <c r="K55" i="1"/>
  <c r="N782" i="1"/>
  <c r="K783" i="1"/>
  <c r="N783" i="1" s="1"/>
  <c r="N153" i="5" l="1"/>
  <c r="M240" i="5"/>
  <c r="J241" i="5"/>
  <c r="N283" i="5"/>
  <c r="K284" i="5"/>
  <c r="J201" i="5"/>
  <c r="M200" i="5"/>
  <c r="M107" i="5"/>
  <c r="J108" i="5"/>
  <c r="M154" i="5"/>
  <c r="M155" i="5" s="1"/>
  <c r="L165" i="5" s="1"/>
  <c r="J155" i="5"/>
  <c r="M23" i="5"/>
  <c r="J24" i="5"/>
  <c r="J64" i="5"/>
  <c r="M63" i="5"/>
  <c r="M269" i="3"/>
  <c r="J273" i="3"/>
  <c r="K58" i="3"/>
  <c r="N57" i="3"/>
  <c r="J183" i="3"/>
  <c r="M182" i="3"/>
  <c r="J319" i="3"/>
  <c r="M318" i="3"/>
  <c r="J225" i="3"/>
  <c r="M224" i="3"/>
  <c r="K368" i="3"/>
  <c r="N367" i="3"/>
  <c r="M139" i="3"/>
  <c r="J140" i="3"/>
  <c r="M99" i="3"/>
  <c r="J100" i="3"/>
  <c r="J312" i="1"/>
  <c r="M311" i="1"/>
  <c r="M265" i="1"/>
  <c r="J222" i="1"/>
  <c r="M221" i="1"/>
  <c r="M180" i="1"/>
  <c r="J181" i="1"/>
  <c r="J135" i="1"/>
  <c r="M134" i="1"/>
  <c r="M95" i="1"/>
  <c r="K56" i="1"/>
  <c r="N55" i="1"/>
  <c r="AL6" i="5" l="1"/>
  <c r="AM6" i="5" s="1"/>
  <c r="M24" i="5"/>
  <c r="M25" i="5" s="1"/>
  <c r="L35" i="5" s="1"/>
  <c r="AL3" i="5" s="1"/>
  <c r="AM3" i="5" s="1"/>
  <c r="J25" i="5"/>
  <c r="J109" i="5"/>
  <c r="M108" i="5"/>
  <c r="N154" i="5"/>
  <c r="J202" i="5"/>
  <c r="M201" i="5"/>
  <c r="N284" i="5"/>
  <c r="K285" i="5"/>
  <c r="J242" i="5"/>
  <c r="M241" i="5"/>
  <c r="J65" i="5"/>
  <c r="M64" i="5"/>
  <c r="M225" i="3"/>
  <c r="J226" i="3"/>
  <c r="M319" i="3"/>
  <c r="J320" i="3"/>
  <c r="J184" i="3"/>
  <c r="M183" i="3"/>
  <c r="M100" i="3"/>
  <c r="M101" i="3" s="1"/>
  <c r="L111" i="3" s="1"/>
  <c r="J101" i="3"/>
  <c r="J141" i="3"/>
  <c r="M140" i="3"/>
  <c r="K59" i="3"/>
  <c r="N58" i="3"/>
  <c r="J274" i="3"/>
  <c r="M273" i="3"/>
  <c r="N368" i="3"/>
  <c r="K369" i="3"/>
  <c r="J313" i="1"/>
  <c r="M312" i="1"/>
  <c r="M222" i="1"/>
  <c r="J223" i="1"/>
  <c r="J182" i="1"/>
  <c r="M181" i="1"/>
  <c r="M135" i="1"/>
  <c r="J136" i="1"/>
  <c r="M96" i="1"/>
  <c r="K57" i="1"/>
  <c r="N56" i="1"/>
  <c r="M242" i="5" l="1"/>
  <c r="J243" i="5"/>
  <c r="N285" i="5"/>
  <c r="N286" i="5" s="1"/>
  <c r="N293" i="5" s="1"/>
  <c r="N294" i="5" s="1"/>
  <c r="K309" i="5" s="1"/>
  <c r="K286" i="5"/>
  <c r="M202" i="5"/>
  <c r="M203" i="5" s="1"/>
  <c r="L213" i="5" s="1"/>
  <c r="AL7" i="5" s="1"/>
  <c r="AM7" i="5" s="1"/>
  <c r="J203" i="5"/>
  <c r="J110" i="5"/>
  <c r="M109" i="5"/>
  <c r="J66" i="5"/>
  <c r="M65" i="5"/>
  <c r="N59" i="3"/>
  <c r="K60" i="3"/>
  <c r="K370" i="3"/>
  <c r="N369" i="3"/>
  <c r="J142" i="3"/>
  <c r="M141" i="3"/>
  <c r="M184" i="3"/>
  <c r="J185" i="3"/>
  <c r="M320" i="3"/>
  <c r="J321" i="3"/>
  <c r="J227" i="3"/>
  <c r="M226" i="3"/>
  <c r="J275" i="3"/>
  <c r="M274" i="3"/>
  <c r="J314" i="1"/>
  <c r="M313" i="1"/>
  <c r="M266" i="1"/>
  <c r="M223" i="1"/>
  <c r="J224" i="1"/>
  <c r="M182" i="1"/>
  <c r="J183" i="1"/>
  <c r="M136" i="1"/>
  <c r="J137" i="1"/>
  <c r="M97" i="1"/>
  <c r="K58" i="1"/>
  <c r="N57" i="1"/>
  <c r="J67" i="5" l="1"/>
  <c r="M66" i="5"/>
  <c r="M110" i="5"/>
  <c r="M111" i="5" s="1"/>
  <c r="L121" i="5" s="1"/>
  <c r="J111" i="5"/>
  <c r="K312" i="5"/>
  <c r="N326" i="5"/>
  <c r="N329" i="5" s="1"/>
  <c r="M243" i="5"/>
  <c r="M244" i="5" s="1"/>
  <c r="L254" i="5" s="1"/>
  <c r="AL8" i="5" s="1"/>
  <c r="J244" i="5"/>
  <c r="J143" i="3"/>
  <c r="M142" i="3"/>
  <c r="J228" i="3"/>
  <c r="M227" i="3"/>
  <c r="M321" i="3"/>
  <c r="M322" i="3" s="1"/>
  <c r="L332" i="3" s="1"/>
  <c r="J322" i="3"/>
  <c r="M185" i="3"/>
  <c r="J186" i="3"/>
  <c r="N370" i="3"/>
  <c r="N371" i="3" s="1"/>
  <c r="N378" i="3" s="1"/>
  <c r="N379" i="3" s="1"/>
  <c r="K394" i="3" s="1"/>
  <c r="K371" i="3"/>
  <c r="K61" i="3"/>
  <c r="N60" i="3"/>
  <c r="M275" i="3"/>
  <c r="J276" i="3"/>
  <c r="J315" i="1"/>
  <c r="M314" i="1"/>
  <c r="M267" i="1"/>
  <c r="J225" i="1"/>
  <c r="M224" i="1"/>
  <c r="J184" i="1"/>
  <c r="M183" i="1"/>
  <c r="M137" i="1"/>
  <c r="J138" i="1"/>
  <c r="M98" i="1"/>
  <c r="N58" i="1"/>
  <c r="K59" i="1"/>
  <c r="AM8" i="5" l="1"/>
  <c r="AL5" i="5"/>
  <c r="AM5" i="5" s="1"/>
  <c r="N312" i="5"/>
  <c r="K313" i="5"/>
  <c r="L27" i="5"/>
  <c r="L32" i="5" s="1"/>
  <c r="K13" i="5"/>
  <c r="I13" i="5"/>
  <c r="M67" i="5"/>
  <c r="M68" i="5" s="1"/>
  <c r="L78" i="5" s="1"/>
  <c r="J68" i="5"/>
  <c r="M228" i="3"/>
  <c r="J229" i="3"/>
  <c r="N411" i="3"/>
  <c r="N414" i="3" s="1"/>
  <c r="K397" i="3"/>
  <c r="M276" i="3"/>
  <c r="J277" i="3"/>
  <c r="N61" i="3"/>
  <c r="N62" i="3" s="1"/>
  <c r="N69" i="3" s="1"/>
  <c r="N70" i="3" s="1"/>
  <c r="K85" i="3" s="1"/>
  <c r="K62" i="3"/>
  <c r="M186" i="3"/>
  <c r="M187" i="3" s="1"/>
  <c r="L197" i="3" s="1"/>
  <c r="J187" i="3"/>
  <c r="M143" i="3"/>
  <c r="M144" i="3" s="1"/>
  <c r="L154" i="3" s="1"/>
  <c r="J144" i="3"/>
  <c r="J316" i="1"/>
  <c r="M316" i="1" s="1"/>
  <c r="M315" i="1"/>
  <c r="J317" i="1"/>
  <c r="J226" i="1"/>
  <c r="M225" i="1"/>
  <c r="J185" i="1"/>
  <c r="M184" i="1"/>
  <c r="M138" i="1"/>
  <c r="J139" i="1"/>
  <c r="M100" i="1"/>
  <c r="M99" i="1"/>
  <c r="K60" i="1"/>
  <c r="N59" i="1"/>
  <c r="AL4" i="5" l="1"/>
  <c r="AL9" i="5" s="1"/>
  <c r="L13" i="5"/>
  <c r="I14" i="5"/>
  <c r="K14" i="5"/>
  <c r="K15" i="5" s="1"/>
  <c r="K16" i="5" s="1"/>
  <c r="K17" i="5" s="1"/>
  <c r="K18" i="5" s="1"/>
  <c r="K19" i="5" s="1"/>
  <c r="K20" i="5" s="1"/>
  <c r="K21" i="5" s="1"/>
  <c r="K22" i="5" s="1"/>
  <c r="K23" i="5" s="1"/>
  <c r="K24" i="5" s="1"/>
  <c r="K314" i="5"/>
  <c r="N313" i="5"/>
  <c r="M277" i="3"/>
  <c r="M278" i="3" s="1"/>
  <c r="L288" i="3" s="1"/>
  <c r="J278" i="3"/>
  <c r="L103" i="3"/>
  <c r="L108" i="3" s="1"/>
  <c r="K89" i="3"/>
  <c r="I89" i="3"/>
  <c r="K398" i="3"/>
  <c r="N397" i="3"/>
  <c r="M229" i="3"/>
  <c r="J230" i="3"/>
  <c r="M317" i="1"/>
  <c r="L327" i="1" s="1"/>
  <c r="J227" i="1"/>
  <c r="M226" i="1"/>
  <c r="J186" i="1"/>
  <c r="M185" i="1"/>
  <c r="M139" i="1"/>
  <c r="J140" i="1"/>
  <c r="K61" i="1"/>
  <c r="N60" i="1"/>
  <c r="AM4" i="5" l="1"/>
  <c r="AM9" i="5" s="1"/>
  <c r="K25" i="5"/>
  <c r="N314" i="5"/>
  <c r="K315" i="5"/>
  <c r="L14" i="5"/>
  <c r="N14" i="5" s="1"/>
  <c r="I15" i="5"/>
  <c r="N13" i="5"/>
  <c r="M230" i="3"/>
  <c r="M231" i="3" s="1"/>
  <c r="L241" i="3" s="1"/>
  <c r="J231" i="3"/>
  <c r="K399" i="3"/>
  <c r="N398" i="3"/>
  <c r="K90" i="3"/>
  <c r="K91" i="3" s="1"/>
  <c r="K92" i="3" s="1"/>
  <c r="K93" i="3" s="1"/>
  <c r="K94" i="3" s="1"/>
  <c r="K95" i="3" s="1"/>
  <c r="K96" i="3" s="1"/>
  <c r="K97" i="3" s="1"/>
  <c r="K98" i="3" s="1"/>
  <c r="K99" i="3" s="1"/>
  <c r="K100" i="3" s="1"/>
  <c r="I90" i="3"/>
  <c r="L89" i="3"/>
  <c r="J228" i="1"/>
  <c r="M227" i="1"/>
  <c r="M186" i="1"/>
  <c r="M187" i="1" s="1"/>
  <c r="L197" i="1" s="1"/>
  <c r="J187" i="1"/>
  <c r="M140" i="1"/>
  <c r="J141" i="1"/>
  <c r="N61" i="1"/>
  <c r="N62" i="1" s="1"/>
  <c r="N69" i="1" s="1"/>
  <c r="N70" i="1" s="1"/>
  <c r="K85" i="1" s="1"/>
  <c r="K62" i="1"/>
  <c r="L15" i="5" l="1"/>
  <c r="I16" i="5"/>
  <c r="N315" i="5"/>
  <c r="K316" i="5"/>
  <c r="N89" i="3"/>
  <c r="L90" i="3"/>
  <c r="N90" i="3" s="1"/>
  <c r="I91" i="3"/>
  <c r="K101" i="3"/>
  <c r="K400" i="3"/>
  <c r="N399" i="3"/>
  <c r="I89" i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M269" i="1"/>
  <c r="M268" i="1"/>
  <c r="J229" i="1"/>
  <c r="M228" i="1"/>
  <c r="M141" i="1"/>
  <c r="J142" i="1"/>
  <c r="K89" i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L103" i="1"/>
  <c r="L108" i="1" s="1"/>
  <c r="K317" i="5" l="1"/>
  <c r="N316" i="5"/>
  <c r="L16" i="5"/>
  <c r="N16" i="5" s="1"/>
  <c r="I17" i="5"/>
  <c r="N15" i="5"/>
  <c r="L91" i="3"/>
  <c r="I92" i="3"/>
  <c r="K401" i="3"/>
  <c r="N400" i="3"/>
  <c r="M270" i="1"/>
  <c r="M229" i="1"/>
  <c r="M230" i="1" s="1"/>
  <c r="L240" i="1" s="1"/>
  <c r="J230" i="1"/>
  <c r="J143" i="1"/>
  <c r="M143" i="1" s="1"/>
  <c r="M142" i="1"/>
  <c r="L89" i="1"/>
  <c r="N89" i="1" s="1"/>
  <c r="L17" i="5" l="1"/>
  <c r="I18" i="5"/>
  <c r="K318" i="5"/>
  <c r="N317" i="5"/>
  <c r="K402" i="3"/>
  <c r="N401" i="3"/>
  <c r="L92" i="3"/>
  <c r="N92" i="3" s="1"/>
  <c r="I93" i="3"/>
  <c r="N91" i="3"/>
  <c r="J144" i="1"/>
  <c r="M271" i="1"/>
  <c r="M144" i="1"/>
  <c r="L154" i="1" s="1"/>
  <c r="L90" i="1"/>
  <c r="N90" i="1" s="1"/>
  <c r="K319" i="5" l="1"/>
  <c r="N318" i="5"/>
  <c r="I19" i="5"/>
  <c r="L18" i="5"/>
  <c r="N18" i="5" s="1"/>
  <c r="N17" i="5"/>
  <c r="N402" i="3"/>
  <c r="K403" i="3"/>
  <c r="L93" i="3"/>
  <c r="N93" i="3" s="1"/>
  <c r="I94" i="3"/>
  <c r="M272" i="1"/>
  <c r="L91" i="1"/>
  <c r="N91" i="1" s="1"/>
  <c r="I20" i="5" l="1"/>
  <c r="L19" i="5"/>
  <c r="K320" i="5"/>
  <c r="N319" i="5"/>
  <c r="I95" i="3"/>
  <c r="L94" i="3"/>
  <c r="N94" i="3" s="1"/>
  <c r="K404" i="3"/>
  <c r="N403" i="3"/>
  <c r="M273" i="1"/>
  <c r="L283" i="1" s="1"/>
  <c r="J273" i="1"/>
  <c r="L92" i="1"/>
  <c r="N92" i="1" s="1"/>
  <c r="K321" i="5" l="1"/>
  <c r="N320" i="5"/>
  <c r="N19" i="5"/>
  <c r="I21" i="5"/>
  <c r="L20" i="5"/>
  <c r="N20" i="5" s="1"/>
  <c r="K405" i="3"/>
  <c r="N404" i="3"/>
  <c r="I96" i="3"/>
  <c r="L95" i="3"/>
  <c r="L93" i="1"/>
  <c r="N93" i="1" s="1"/>
  <c r="I22" i="5" l="1"/>
  <c r="L21" i="5"/>
  <c r="N21" i="5" s="1"/>
  <c r="N321" i="5"/>
  <c r="K322" i="5"/>
  <c r="N95" i="3"/>
  <c r="L96" i="3"/>
  <c r="N96" i="3" s="1"/>
  <c r="I97" i="3"/>
  <c r="K406" i="3"/>
  <c r="N405" i="3"/>
  <c r="L94" i="1"/>
  <c r="N94" i="1" s="1"/>
  <c r="L22" i="5" l="1"/>
  <c r="N22" i="5" s="1"/>
  <c r="I23" i="5"/>
  <c r="K323" i="5"/>
  <c r="N322" i="5"/>
  <c r="L97" i="3"/>
  <c r="N97" i="3" s="1"/>
  <c r="I98" i="3"/>
  <c r="K407" i="3"/>
  <c r="N406" i="3"/>
  <c r="L95" i="1"/>
  <c r="N95" i="1" s="1"/>
  <c r="N323" i="5" l="1"/>
  <c r="N324" i="5" s="1"/>
  <c r="N331" i="5" s="1"/>
  <c r="N332" i="5" s="1"/>
  <c r="K347" i="5" s="1"/>
  <c r="K324" i="5"/>
  <c r="L23" i="5"/>
  <c r="N23" i="5" s="1"/>
  <c r="I24" i="5"/>
  <c r="K408" i="3"/>
  <c r="N407" i="3"/>
  <c r="L98" i="3"/>
  <c r="N98" i="3" s="1"/>
  <c r="I99" i="3"/>
  <c r="L96" i="1"/>
  <c r="N96" i="1" s="1"/>
  <c r="L24" i="5" l="1"/>
  <c r="I25" i="5"/>
  <c r="N364" i="5"/>
  <c r="N367" i="5" s="1"/>
  <c r="K350" i="5"/>
  <c r="I100" i="3"/>
  <c r="L99" i="3"/>
  <c r="N99" i="3" s="1"/>
  <c r="N408" i="3"/>
  <c r="N409" i="3" s="1"/>
  <c r="N416" i="3" s="1"/>
  <c r="N417" i="3" s="1"/>
  <c r="K432" i="3" s="1"/>
  <c r="K409" i="3"/>
  <c r="L97" i="1"/>
  <c r="N97" i="1" s="1"/>
  <c r="N350" i="5" l="1"/>
  <c r="K351" i="5"/>
  <c r="N24" i="5"/>
  <c r="N25" i="5" s="1"/>
  <c r="L36" i="5" s="1"/>
  <c r="L37" i="5" s="1"/>
  <c r="K52" i="5" s="1"/>
  <c r="L25" i="5"/>
  <c r="L34" i="5" s="1"/>
  <c r="AI3" i="5" s="1"/>
  <c r="N449" i="3"/>
  <c r="N452" i="3" s="1"/>
  <c r="K435" i="3"/>
  <c r="L100" i="3"/>
  <c r="I101" i="3"/>
  <c r="L98" i="1"/>
  <c r="N98" i="1" s="1"/>
  <c r="AJ3" i="5" l="1"/>
  <c r="L70" i="5"/>
  <c r="L75" i="5" s="1"/>
  <c r="I56" i="5"/>
  <c r="K56" i="5"/>
  <c r="K352" i="5"/>
  <c r="N351" i="5"/>
  <c r="N435" i="3"/>
  <c r="K436" i="3"/>
  <c r="N100" i="3"/>
  <c r="N101" i="3" s="1"/>
  <c r="L112" i="3" s="1"/>
  <c r="L113" i="3" s="1"/>
  <c r="K128" i="3" s="1"/>
  <c r="L101" i="3"/>
  <c r="L110" i="3" s="1"/>
  <c r="L99" i="1"/>
  <c r="N99" i="1" s="1"/>
  <c r="L100" i="1"/>
  <c r="N100" i="1" s="1"/>
  <c r="J101" i="1"/>
  <c r="I101" i="1"/>
  <c r="AN3" i="5" l="1"/>
  <c r="K353" i="5"/>
  <c r="N352" i="5"/>
  <c r="K57" i="5"/>
  <c r="K58" i="5" s="1"/>
  <c r="K59" i="5" s="1"/>
  <c r="K60" i="5" s="1"/>
  <c r="K61" i="5" s="1"/>
  <c r="K62" i="5" s="1"/>
  <c r="K63" i="5" s="1"/>
  <c r="K64" i="5" s="1"/>
  <c r="K65" i="5" s="1"/>
  <c r="K66" i="5" s="1"/>
  <c r="K67" i="5" s="1"/>
  <c r="K68" i="5" s="1"/>
  <c r="L56" i="5"/>
  <c r="I57" i="5"/>
  <c r="L146" i="3"/>
  <c r="L151" i="3" s="1"/>
  <c r="K132" i="3"/>
  <c r="I132" i="3"/>
  <c r="K437" i="3"/>
  <c r="N436" i="3"/>
  <c r="M101" i="1"/>
  <c r="L111" i="1" s="1"/>
  <c r="L101" i="1"/>
  <c r="L110" i="1" s="1"/>
  <c r="N101" i="1"/>
  <c r="K101" i="1"/>
  <c r="N56" i="5" l="1"/>
  <c r="L57" i="5"/>
  <c r="N57" i="5" s="1"/>
  <c r="I58" i="5"/>
  <c r="N353" i="5"/>
  <c r="K354" i="5"/>
  <c r="N437" i="3"/>
  <c r="K438" i="3"/>
  <c r="L132" i="3"/>
  <c r="I133" i="3"/>
  <c r="K133" i="3"/>
  <c r="K134" i="3" s="1"/>
  <c r="K135" i="3" s="1"/>
  <c r="K136" i="3" s="1"/>
  <c r="K137" i="3" s="1"/>
  <c r="K138" i="3" s="1"/>
  <c r="K139" i="3" s="1"/>
  <c r="K140" i="3" s="1"/>
  <c r="K141" i="3" s="1"/>
  <c r="K142" i="3" s="1"/>
  <c r="K143" i="3" s="1"/>
  <c r="K144" i="3"/>
  <c r="L112" i="1"/>
  <c r="L113" i="1" s="1"/>
  <c r="I59" i="5" l="1"/>
  <c r="L58" i="5"/>
  <c r="N58" i="5" s="1"/>
  <c r="N354" i="5"/>
  <c r="K355" i="5"/>
  <c r="L133" i="3"/>
  <c r="N133" i="3" s="1"/>
  <c r="I134" i="3"/>
  <c r="N132" i="3"/>
  <c r="N438" i="3"/>
  <c r="K439" i="3"/>
  <c r="K128" i="1"/>
  <c r="N355" i="5" l="1"/>
  <c r="K356" i="5"/>
  <c r="L59" i="5"/>
  <c r="I60" i="5"/>
  <c r="K440" i="3"/>
  <c r="N439" i="3"/>
  <c r="I135" i="3"/>
  <c r="L134" i="3"/>
  <c r="K132" i="1"/>
  <c r="L146" i="1"/>
  <c r="L151" i="1" s="1"/>
  <c r="I132" i="1"/>
  <c r="I61" i="5" l="1"/>
  <c r="L60" i="5"/>
  <c r="N60" i="5" s="1"/>
  <c r="N59" i="5"/>
  <c r="N356" i="5"/>
  <c r="K357" i="5"/>
  <c r="N134" i="3"/>
  <c r="I136" i="3"/>
  <c r="L135" i="3"/>
  <c r="N135" i="3" s="1"/>
  <c r="N440" i="3"/>
  <c r="K441" i="3"/>
  <c r="L132" i="1"/>
  <c r="N132" i="1" s="1"/>
  <c r="I133" i="1"/>
  <c r="K133" i="1"/>
  <c r="K358" i="5" l="1"/>
  <c r="N357" i="5"/>
  <c r="I62" i="5"/>
  <c r="L61" i="5"/>
  <c r="N61" i="5" s="1"/>
  <c r="L136" i="3"/>
  <c r="N136" i="3" s="1"/>
  <c r="I137" i="3"/>
  <c r="N441" i="3"/>
  <c r="K442" i="3"/>
  <c r="K134" i="1"/>
  <c r="L133" i="1"/>
  <c r="N133" i="1" s="1"/>
  <c r="I134" i="1"/>
  <c r="I63" i="5" l="1"/>
  <c r="L62" i="5"/>
  <c r="N62" i="5" s="1"/>
  <c r="K359" i="5"/>
  <c r="N358" i="5"/>
  <c r="K443" i="3"/>
  <c r="N442" i="3"/>
  <c r="L137" i="3"/>
  <c r="I138" i="3"/>
  <c r="L134" i="1"/>
  <c r="N134" i="1" s="1"/>
  <c r="I135" i="1"/>
  <c r="K135" i="1"/>
  <c r="I64" i="5" l="1"/>
  <c r="L63" i="5"/>
  <c r="N63" i="5" s="1"/>
  <c r="N359" i="5"/>
  <c r="K360" i="5"/>
  <c r="L138" i="3"/>
  <c r="N138" i="3" s="1"/>
  <c r="I139" i="3"/>
  <c r="N137" i="3"/>
  <c r="N443" i="3"/>
  <c r="K444" i="3"/>
  <c r="K136" i="1"/>
  <c r="I136" i="1"/>
  <c r="L135" i="1"/>
  <c r="N135" i="1" s="1"/>
  <c r="K361" i="5" l="1"/>
  <c r="N360" i="5"/>
  <c r="L64" i="5"/>
  <c r="N64" i="5" s="1"/>
  <c r="I65" i="5"/>
  <c r="N444" i="3"/>
  <c r="K445" i="3"/>
  <c r="I140" i="3"/>
  <c r="L139" i="3"/>
  <c r="L136" i="1"/>
  <c r="N136" i="1" s="1"/>
  <c r="I137" i="1"/>
  <c r="K137" i="1"/>
  <c r="N361" i="5" l="1"/>
  <c r="N362" i="5" s="1"/>
  <c r="N369" i="5" s="1"/>
  <c r="N370" i="5" s="1"/>
  <c r="K385" i="5" s="1"/>
  <c r="K362" i="5"/>
  <c r="I66" i="5"/>
  <c r="L65" i="5"/>
  <c r="N65" i="5" s="1"/>
  <c r="N139" i="3"/>
  <c r="I141" i="3"/>
  <c r="L140" i="3"/>
  <c r="N140" i="3" s="1"/>
  <c r="K446" i="3"/>
  <c r="N445" i="3"/>
  <c r="K138" i="1"/>
  <c r="I138" i="1"/>
  <c r="L137" i="1"/>
  <c r="N137" i="1" s="1"/>
  <c r="I67" i="5" l="1"/>
  <c r="L66" i="5"/>
  <c r="N66" i="5" s="1"/>
  <c r="N402" i="5"/>
  <c r="N405" i="5" s="1"/>
  <c r="K388" i="5"/>
  <c r="I142" i="3"/>
  <c r="L141" i="3"/>
  <c r="N141" i="3" s="1"/>
  <c r="N446" i="3"/>
  <c r="N447" i="3" s="1"/>
  <c r="N454" i="3" s="1"/>
  <c r="N455" i="3" s="1"/>
  <c r="K470" i="3" s="1"/>
  <c r="K447" i="3"/>
  <c r="L138" i="1"/>
  <c r="N138" i="1" s="1"/>
  <c r="I139" i="1"/>
  <c r="K139" i="1"/>
  <c r="K389" i="5" l="1"/>
  <c r="N388" i="5"/>
  <c r="L67" i="5"/>
  <c r="I68" i="5"/>
  <c r="K473" i="3"/>
  <c r="N487" i="3"/>
  <c r="N490" i="3" s="1"/>
  <c r="L142" i="3"/>
  <c r="N142" i="3" s="1"/>
  <c r="I143" i="3"/>
  <c r="K140" i="1"/>
  <c r="I140" i="1"/>
  <c r="L139" i="1"/>
  <c r="N139" i="1" s="1"/>
  <c r="N67" i="5" l="1"/>
  <c r="N68" i="5" s="1"/>
  <c r="L79" i="5" s="1"/>
  <c r="L80" i="5" s="1"/>
  <c r="K95" i="5" s="1"/>
  <c r="L68" i="5"/>
  <c r="L77" i="5" s="1"/>
  <c r="AI4" i="5" s="1"/>
  <c r="K390" i="5"/>
  <c r="N389" i="5"/>
  <c r="L143" i="3"/>
  <c r="I144" i="3"/>
  <c r="N473" i="3"/>
  <c r="K474" i="3"/>
  <c r="L140" i="1"/>
  <c r="N140" i="1" s="1"/>
  <c r="I141" i="1"/>
  <c r="K141" i="1"/>
  <c r="AJ4" i="5" l="1"/>
  <c r="I99" i="5"/>
  <c r="L113" i="5"/>
  <c r="L118" i="5" s="1"/>
  <c r="K99" i="5"/>
  <c r="N390" i="5"/>
  <c r="K391" i="5"/>
  <c r="N474" i="3"/>
  <c r="K475" i="3"/>
  <c r="N143" i="3"/>
  <c r="N144" i="3" s="1"/>
  <c r="L155" i="3" s="1"/>
  <c r="L156" i="3" s="1"/>
  <c r="L144" i="3"/>
  <c r="L153" i="3" s="1"/>
  <c r="K142" i="1"/>
  <c r="L141" i="1"/>
  <c r="N141" i="1" s="1"/>
  <c r="I142" i="1"/>
  <c r="AN4" i="5" l="1"/>
  <c r="K392" i="5"/>
  <c r="N391" i="5"/>
  <c r="K100" i="5"/>
  <c r="K101" i="5" s="1"/>
  <c r="K102" i="5" s="1"/>
  <c r="K103" i="5" s="1"/>
  <c r="K104" i="5" s="1"/>
  <c r="K105" i="5" s="1"/>
  <c r="K106" i="5" s="1"/>
  <c r="K107" i="5" s="1"/>
  <c r="K108" i="5" s="1"/>
  <c r="K109" i="5" s="1"/>
  <c r="K110" i="5" s="1"/>
  <c r="I100" i="5"/>
  <c r="L99" i="5"/>
  <c r="L189" i="3"/>
  <c r="L194" i="3" s="1"/>
  <c r="K175" i="3"/>
  <c r="I175" i="3"/>
  <c r="K476" i="3"/>
  <c r="N475" i="3"/>
  <c r="K143" i="1"/>
  <c r="I143" i="1"/>
  <c r="L142" i="1"/>
  <c r="N142" i="1" s="1"/>
  <c r="N99" i="5" l="1"/>
  <c r="I101" i="5"/>
  <c r="L100" i="5"/>
  <c r="N100" i="5" s="1"/>
  <c r="K111" i="5"/>
  <c r="K393" i="5"/>
  <c r="N392" i="5"/>
  <c r="N476" i="3"/>
  <c r="K477" i="3"/>
  <c r="L175" i="3"/>
  <c r="I176" i="3"/>
  <c r="K176" i="3"/>
  <c r="K177" i="3" s="1"/>
  <c r="K178" i="3" s="1"/>
  <c r="K179" i="3" s="1"/>
  <c r="K180" i="3" s="1"/>
  <c r="K181" i="3" s="1"/>
  <c r="K182" i="3" s="1"/>
  <c r="K183" i="3" s="1"/>
  <c r="K184" i="3" s="1"/>
  <c r="K185" i="3" s="1"/>
  <c r="K186" i="3" s="1"/>
  <c r="K187" i="3" s="1"/>
  <c r="L143" i="1"/>
  <c r="I144" i="1"/>
  <c r="K144" i="1"/>
  <c r="N393" i="5" l="1"/>
  <c r="K394" i="5"/>
  <c r="I102" i="5"/>
  <c r="L101" i="5"/>
  <c r="I177" i="3"/>
  <c r="L176" i="3"/>
  <c r="N176" i="3" s="1"/>
  <c r="N175" i="3"/>
  <c r="N477" i="3"/>
  <c r="K478" i="3"/>
  <c r="L144" i="1"/>
  <c r="L153" i="1" s="1"/>
  <c r="N143" i="1"/>
  <c r="N144" i="1" s="1"/>
  <c r="L155" i="1" s="1"/>
  <c r="L156" i="1" s="1"/>
  <c r="K171" i="1" s="1"/>
  <c r="L189" i="1" s="1"/>
  <c r="L194" i="1" s="1"/>
  <c r="N101" i="5" l="1"/>
  <c r="I103" i="5"/>
  <c r="L102" i="5"/>
  <c r="N102" i="5" s="1"/>
  <c r="N394" i="5"/>
  <c r="K395" i="5"/>
  <c r="K479" i="3"/>
  <c r="N478" i="3"/>
  <c r="I178" i="3"/>
  <c r="L177" i="3"/>
  <c r="I175" i="1"/>
  <c r="I176" i="1" s="1"/>
  <c r="K175" i="1"/>
  <c r="K176" i="1" s="1"/>
  <c r="N395" i="5" l="1"/>
  <c r="K396" i="5"/>
  <c r="I104" i="5"/>
  <c r="L103" i="5"/>
  <c r="N103" i="5" s="1"/>
  <c r="N177" i="3"/>
  <c r="I179" i="3"/>
  <c r="L178" i="3"/>
  <c r="N178" i="3" s="1"/>
  <c r="N479" i="3"/>
  <c r="K480" i="3"/>
  <c r="L175" i="1"/>
  <c r="N175" i="1" s="1"/>
  <c r="I177" i="1"/>
  <c r="L176" i="1"/>
  <c r="N176" i="1" s="1"/>
  <c r="K177" i="1"/>
  <c r="L104" i="5" l="1"/>
  <c r="I105" i="5"/>
  <c r="N396" i="5"/>
  <c r="K397" i="5"/>
  <c r="N480" i="3"/>
  <c r="K481" i="3"/>
  <c r="L179" i="3"/>
  <c r="N179" i="3" s="1"/>
  <c r="I180" i="3"/>
  <c r="K178" i="1"/>
  <c r="L177" i="1"/>
  <c r="N177" i="1" s="1"/>
  <c r="I178" i="1"/>
  <c r="N104" i="5" l="1"/>
  <c r="N397" i="5"/>
  <c r="K398" i="5"/>
  <c r="L105" i="5"/>
  <c r="N105" i="5" s="1"/>
  <c r="I106" i="5"/>
  <c r="L180" i="3"/>
  <c r="N180" i="3" s="1"/>
  <c r="I181" i="3"/>
  <c r="N481" i="3"/>
  <c r="K482" i="3"/>
  <c r="I179" i="1"/>
  <c r="L178" i="1"/>
  <c r="N178" i="1" s="1"/>
  <c r="K179" i="1"/>
  <c r="L106" i="5" l="1"/>
  <c r="N106" i="5" s="1"/>
  <c r="I107" i="5"/>
  <c r="N398" i="5"/>
  <c r="K399" i="5"/>
  <c r="I182" i="3"/>
  <c r="L181" i="3"/>
  <c r="N482" i="3"/>
  <c r="K483" i="3"/>
  <c r="K180" i="1"/>
  <c r="L179" i="1"/>
  <c r="N179" i="1" s="1"/>
  <c r="I180" i="1"/>
  <c r="N399" i="5" l="1"/>
  <c r="N400" i="5" s="1"/>
  <c r="N407" i="5" s="1"/>
  <c r="N408" i="5" s="1"/>
  <c r="K423" i="5" s="1"/>
  <c r="K400" i="5"/>
  <c r="I108" i="5"/>
  <c r="L107" i="5"/>
  <c r="N107" i="5" s="1"/>
  <c r="K484" i="3"/>
  <c r="N483" i="3"/>
  <c r="N181" i="3"/>
  <c r="I183" i="3"/>
  <c r="L182" i="3"/>
  <c r="N182" i="3" s="1"/>
  <c r="L180" i="1"/>
  <c r="N180" i="1" s="1"/>
  <c r="I181" i="1"/>
  <c r="K181" i="1"/>
  <c r="L108" i="5" l="1"/>
  <c r="N108" i="5" s="1"/>
  <c r="I109" i="5"/>
  <c r="N440" i="5"/>
  <c r="N443" i="5" s="1"/>
  <c r="K426" i="5"/>
  <c r="I184" i="3"/>
  <c r="L183" i="3"/>
  <c r="N183" i="3" s="1"/>
  <c r="N484" i="3"/>
  <c r="N485" i="3" s="1"/>
  <c r="N492" i="3" s="1"/>
  <c r="N493" i="3" s="1"/>
  <c r="K508" i="3" s="1"/>
  <c r="K485" i="3"/>
  <c r="L181" i="1"/>
  <c r="N181" i="1" s="1"/>
  <c r="I182" i="1"/>
  <c r="K182" i="1"/>
  <c r="N426" i="5" l="1"/>
  <c r="K427" i="5"/>
  <c r="L109" i="5"/>
  <c r="N109" i="5" s="1"/>
  <c r="I110" i="5"/>
  <c r="N525" i="3"/>
  <c r="N528" i="3" s="1"/>
  <c r="K511" i="3"/>
  <c r="I185" i="3"/>
  <c r="L184" i="3"/>
  <c r="N184" i="3" s="1"/>
  <c r="K183" i="1"/>
  <c r="L182" i="1"/>
  <c r="N182" i="1" s="1"/>
  <c r="I183" i="1"/>
  <c r="L110" i="5" l="1"/>
  <c r="I111" i="5"/>
  <c r="N427" i="5"/>
  <c r="K428" i="5"/>
  <c r="I186" i="3"/>
  <c r="L185" i="3"/>
  <c r="N185" i="3" s="1"/>
  <c r="K512" i="3"/>
  <c r="N511" i="3"/>
  <c r="L183" i="1"/>
  <c r="N183" i="1" s="1"/>
  <c r="I184" i="1"/>
  <c r="K184" i="1"/>
  <c r="K429" i="5" l="1"/>
  <c r="N428" i="5"/>
  <c r="N110" i="5"/>
  <c r="N111" i="5" s="1"/>
  <c r="L122" i="5" s="1"/>
  <c r="L123" i="5" s="1"/>
  <c r="K138" i="5" s="1"/>
  <c r="L111" i="5"/>
  <c r="L120" i="5" s="1"/>
  <c r="AI5" i="5" s="1"/>
  <c r="N512" i="3"/>
  <c r="K513" i="3"/>
  <c r="L186" i="3"/>
  <c r="I187" i="3"/>
  <c r="L184" i="1"/>
  <c r="N184" i="1" s="1"/>
  <c r="I185" i="1"/>
  <c r="K185" i="1"/>
  <c r="AJ5" i="5" l="1"/>
  <c r="I142" i="5"/>
  <c r="K142" i="5"/>
  <c r="L157" i="5"/>
  <c r="L162" i="5" s="1"/>
  <c r="K430" i="5"/>
  <c r="N429" i="5"/>
  <c r="N186" i="3"/>
  <c r="N187" i="3" s="1"/>
  <c r="L198" i="3" s="1"/>
  <c r="L199" i="3" s="1"/>
  <c r="K214" i="3" s="1"/>
  <c r="L187" i="3"/>
  <c r="L196" i="3" s="1"/>
  <c r="N513" i="3"/>
  <c r="K514" i="3"/>
  <c r="K186" i="1"/>
  <c r="I186" i="1"/>
  <c r="L185" i="1"/>
  <c r="N185" i="1" s="1"/>
  <c r="AN5" i="5" l="1"/>
  <c r="N430" i="5"/>
  <c r="K431" i="5"/>
  <c r="K143" i="5"/>
  <c r="K155" i="5" s="1"/>
  <c r="I143" i="5"/>
  <c r="L143" i="5" s="1"/>
  <c r="N143" i="5" s="1"/>
  <c r="L142" i="5"/>
  <c r="L233" i="3"/>
  <c r="L238" i="3" s="1"/>
  <c r="I218" i="3"/>
  <c r="K218" i="3"/>
  <c r="K515" i="3"/>
  <c r="N514" i="3"/>
  <c r="L186" i="1"/>
  <c r="I187" i="1"/>
  <c r="K187" i="1"/>
  <c r="L155" i="5" l="1"/>
  <c r="L164" i="5" s="1"/>
  <c r="AI6" i="5" s="1"/>
  <c r="N142" i="5"/>
  <c r="N155" i="5" s="1"/>
  <c r="L166" i="5" s="1"/>
  <c r="L167" i="5" s="1"/>
  <c r="K182" i="5" s="1"/>
  <c r="I155" i="5"/>
  <c r="N431" i="5"/>
  <c r="K432" i="5"/>
  <c r="K516" i="3"/>
  <c r="N515" i="3"/>
  <c r="K219" i="3"/>
  <c r="K221" i="3" s="1"/>
  <c r="K222" i="3" s="1"/>
  <c r="K223" i="3" s="1"/>
  <c r="K224" i="3" s="1"/>
  <c r="K225" i="3" s="1"/>
  <c r="K226" i="3" s="1"/>
  <c r="K227" i="3" s="1"/>
  <c r="K228" i="3" s="1"/>
  <c r="K229" i="3" s="1"/>
  <c r="K230" i="3" s="1"/>
  <c r="I219" i="3"/>
  <c r="L218" i="3"/>
  <c r="L187" i="1"/>
  <c r="L196" i="1" s="1"/>
  <c r="N186" i="1"/>
  <c r="N187" i="1" s="1"/>
  <c r="L198" i="1" s="1"/>
  <c r="L199" i="1" s="1"/>
  <c r="K214" i="1" s="1"/>
  <c r="I218" i="1" s="1"/>
  <c r="AJ6" i="5" l="1"/>
  <c r="K433" i="5"/>
  <c r="N432" i="5"/>
  <c r="L205" i="5"/>
  <c r="L210" i="5" s="1"/>
  <c r="I186" i="5"/>
  <c r="K186" i="5"/>
  <c r="K231" i="3"/>
  <c r="K517" i="3"/>
  <c r="N516" i="3"/>
  <c r="N218" i="3"/>
  <c r="L219" i="3"/>
  <c r="N219" i="3" s="1"/>
  <c r="L232" i="1"/>
  <c r="L237" i="1" s="1"/>
  <c r="K218" i="1"/>
  <c r="AN6" i="5" l="1"/>
  <c r="L219" i="1"/>
  <c r="N219" i="1" s="1"/>
  <c r="K220" i="1"/>
  <c r="L186" i="5"/>
  <c r="I187" i="5"/>
  <c r="K187" i="5"/>
  <c r="K188" i="5" s="1"/>
  <c r="K189" i="5" s="1"/>
  <c r="N433" i="5"/>
  <c r="K434" i="5"/>
  <c r="N517" i="3"/>
  <c r="K518" i="3"/>
  <c r="I221" i="3"/>
  <c r="L218" i="1"/>
  <c r="K190" i="5" l="1"/>
  <c r="K194" i="5" s="1"/>
  <c r="K221" i="1"/>
  <c r="K222" i="1" s="1"/>
  <c r="K223" i="1" s="1"/>
  <c r="K224" i="1" s="1"/>
  <c r="K225" i="1" s="1"/>
  <c r="K226" i="1" s="1"/>
  <c r="K227" i="1" s="1"/>
  <c r="K228" i="1" s="1"/>
  <c r="K229" i="1" s="1"/>
  <c r="K435" i="5"/>
  <c r="N434" i="5"/>
  <c r="L187" i="5"/>
  <c r="N187" i="5" s="1"/>
  <c r="I188" i="5"/>
  <c r="N186" i="5"/>
  <c r="K519" i="3"/>
  <c r="N518" i="3"/>
  <c r="L221" i="3"/>
  <c r="I222" i="3"/>
  <c r="N218" i="1"/>
  <c r="K195" i="5" l="1"/>
  <c r="K198" i="5" s="1"/>
  <c r="K199" i="5" s="1"/>
  <c r="K200" i="5" s="1"/>
  <c r="K201" i="5" s="1"/>
  <c r="K202" i="5" s="1"/>
  <c r="K230" i="1"/>
  <c r="I189" i="5"/>
  <c r="I190" i="5" s="1"/>
  <c r="L190" i="5" s="1"/>
  <c r="N190" i="5" s="1"/>
  <c r="L188" i="5"/>
  <c r="K436" i="5"/>
  <c r="N435" i="5"/>
  <c r="I223" i="3"/>
  <c r="L222" i="3"/>
  <c r="N222" i="3" s="1"/>
  <c r="N221" i="3"/>
  <c r="N519" i="3"/>
  <c r="K520" i="3"/>
  <c r="I220" i="1"/>
  <c r="K203" i="5" l="1"/>
  <c r="K437" i="5"/>
  <c r="N436" i="5"/>
  <c r="N188" i="5"/>
  <c r="L189" i="5"/>
  <c r="N189" i="5" s="1"/>
  <c r="K521" i="3"/>
  <c r="N520" i="3"/>
  <c r="I224" i="3"/>
  <c r="L223" i="3"/>
  <c r="N223" i="3" s="1"/>
  <c r="L220" i="1"/>
  <c r="N220" i="1" s="1"/>
  <c r="I221" i="1"/>
  <c r="I194" i="5" l="1"/>
  <c r="N437" i="5"/>
  <c r="N438" i="5" s="1"/>
  <c r="N445" i="5" s="1"/>
  <c r="N446" i="5" s="1"/>
  <c r="K461" i="5" s="1"/>
  <c r="K438" i="5"/>
  <c r="I225" i="3"/>
  <c r="L224" i="3"/>
  <c r="N224" i="3" s="1"/>
  <c r="K522" i="3"/>
  <c r="N521" i="3"/>
  <c r="I222" i="1"/>
  <c r="L221" i="1"/>
  <c r="N478" i="5" l="1"/>
  <c r="N481" i="5" s="1"/>
  <c r="K464" i="5"/>
  <c r="I195" i="5"/>
  <c r="L194" i="5"/>
  <c r="N522" i="3"/>
  <c r="N523" i="3" s="1"/>
  <c r="N530" i="3" s="1"/>
  <c r="N531" i="3" s="1"/>
  <c r="K546" i="3" s="1"/>
  <c r="K523" i="3"/>
  <c r="L225" i="3"/>
  <c r="N225" i="3" s="1"/>
  <c r="I226" i="3"/>
  <c r="N221" i="1"/>
  <c r="L222" i="1"/>
  <c r="N222" i="1" s="1"/>
  <c r="I223" i="1"/>
  <c r="N194" i="5" l="1"/>
  <c r="L195" i="5"/>
  <c r="N195" i="5" s="1"/>
  <c r="I198" i="5"/>
  <c r="K465" i="5"/>
  <c r="N464" i="5"/>
  <c r="I227" i="3"/>
  <c r="L226" i="3"/>
  <c r="N226" i="3" s="1"/>
  <c r="K549" i="3"/>
  <c r="N563" i="3"/>
  <c r="N566" i="3" s="1"/>
  <c r="I224" i="1"/>
  <c r="L223" i="1"/>
  <c r="N223" i="1" s="1"/>
  <c r="N465" i="5" l="1"/>
  <c r="K466" i="5"/>
  <c r="I199" i="5"/>
  <c r="L198" i="5"/>
  <c r="N198" i="5" s="1"/>
  <c r="K550" i="3"/>
  <c r="N549" i="3"/>
  <c r="I228" i="3"/>
  <c r="L227" i="3"/>
  <c r="N227" i="3" s="1"/>
  <c r="L224" i="1"/>
  <c r="N224" i="1" s="1"/>
  <c r="I225" i="1"/>
  <c r="I200" i="5" l="1"/>
  <c r="L199" i="5"/>
  <c r="N199" i="5" s="1"/>
  <c r="K467" i="5"/>
  <c r="N466" i="5"/>
  <c r="L228" i="3"/>
  <c r="N228" i="3" s="1"/>
  <c r="I229" i="3"/>
  <c r="N550" i="3"/>
  <c r="K551" i="3"/>
  <c r="I226" i="1"/>
  <c r="L225" i="1"/>
  <c r="N225" i="1" s="1"/>
  <c r="K468" i="5" l="1"/>
  <c r="N467" i="5"/>
  <c r="I201" i="5"/>
  <c r="L200" i="5"/>
  <c r="N200" i="5" s="1"/>
  <c r="I230" i="3"/>
  <c r="L229" i="3"/>
  <c r="N229" i="3" s="1"/>
  <c r="K552" i="3"/>
  <c r="N551" i="3"/>
  <c r="I227" i="1"/>
  <c r="L226" i="1"/>
  <c r="N226" i="1" s="1"/>
  <c r="I202" i="5" l="1"/>
  <c r="L201" i="5"/>
  <c r="N201" i="5" s="1"/>
  <c r="K469" i="5"/>
  <c r="N468" i="5"/>
  <c r="K553" i="3"/>
  <c r="N552" i="3"/>
  <c r="L230" i="3"/>
  <c r="I231" i="3"/>
  <c r="I228" i="1"/>
  <c r="L227" i="1"/>
  <c r="N227" i="1" s="1"/>
  <c r="K470" i="5" l="1"/>
  <c r="N469" i="5"/>
  <c r="L202" i="5"/>
  <c r="I203" i="5"/>
  <c r="K554" i="3"/>
  <c r="N553" i="3"/>
  <c r="N230" i="3"/>
  <c r="L242" i="3" s="1"/>
  <c r="L243" i="3" s="1"/>
  <c r="K258" i="3" s="1"/>
  <c r="L231" i="3"/>
  <c r="L240" i="3" s="1"/>
  <c r="L228" i="1"/>
  <c r="N228" i="1" s="1"/>
  <c r="I229" i="1"/>
  <c r="N202" i="5" l="1"/>
  <c r="N203" i="5" s="1"/>
  <c r="L214" i="5" s="1"/>
  <c r="L215" i="5" s="1"/>
  <c r="K228" i="5" s="1"/>
  <c r="L203" i="5"/>
  <c r="L212" i="5" s="1"/>
  <c r="AI7" i="5" s="1"/>
  <c r="K471" i="5"/>
  <c r="N470" i="5"/>
  <c r="K262" i="3"/>
  <c r="I262" i="3"/>
  <c r="L280" i="3"/>
  <c r="L285" i="3" s="1"/>
  <c r="K555" i="3"/>
  <c r="N554" i="3"/>
  <c r="L229" i="1"/>
  <c r="I230" i="1"/>
  <c r="AJ7" i="5" l="1"/>
  <c r="N471" i="5"/>
  <c r="K472" i="5"/>
  <c r="I232" i="5"/>
  <c r="K232" i="5"/>
  <c r="L246" i="5"/>
  <c r="L251" i="5" s="1"/>
  <c r="K556" i="3"/>
  <c r="N555" i="3"/>
  <c r="L262" i="3"/>
  <c r="I263" i="3"/>
  <c r="K263" i="3"/>
  <c r="K264" i="3" s="1"/>
  <c r="K265" i="3" s="1"/>
  <c r="K266" i="3" s="1"/>
  <c r="K268" i="3" s="1"/>
  <c r="K269" i="3" s="1"/>
  <c r="K273" i="3" s="1"/>
  <c r="K274" i="3" s="1"/>
  <c r="K275" i="3" s="1"/>
  <c r="K276" i="3" s="1"/>
  <c r="K277" i="3" s="1"/>
  <c r="N229" i="1"/>
  <c r="N230" i="1" s="1"/>
  <c r="L241" i="1" s="1"/>
  <c r="L242" i="1" s="1"/>
  <c r="K257" i="1" s="1"/>
  <c r="L230" i="1"/>
  <c r="L239" i="1" s="1"/>
  <c r="AN7" i="5" l="1"/>
  <c r="K233" i="5"/>
  <c r="K234" i="5" s="1"/>
  <c r="K235" i="5" s="1"/>
  <c r="K236" i="5" s="1"/>
  <c r="K237" i="5" s="1"/>
  <c r="K238" i="5" s="1"/>
  <c r="K239" i="5" s="1"/>
  <c r="K240" i="5" s="1"/>
  <c r="K241" i="5" s="1"/>
  <c r="K242" i="5" s="1"/>
  <c r="K243" i="5" s="1"/>
  <c r="L232" i="5"/>
  <c r="I233" i="5"/>
  <c r="N472" i="5"/>
  <c r="K473" i="5"/>
  <c r="I264" i="3"/>
  <c r="L263" i="3"/>
  <c r="N263" i="3" s="1"/>
  <c r="K278" i="3"/>
  <c r="N262" i="3"/>
  <c r="N556" i="3"/>
  <c r="K557" i="3"/>
  <c r="I261" i="1"/>
  <c r="L261" i="1" s="1"/>
  <c r="N261" i="1" s="1"/>
  <c r="K261" i="1"/>
  <c r="L275" i="1"/>
  <c r="L280" i="1" s="1"/>
  <c r="K244" i="5" l="1"/>
  <c r="K474" i="5"/>
  <c r="N473" i="5"/>
  <c r="I234" i="5"/>
  <c r="L233" i="5"/>
  <c r="N233" i="5" s="1"/>
  <c r="N232" i="5"/>
  <c r="K558" i="3"/>
  <c r="N557" i="3"/>
  <c r="I265" i="3"/>
  <c r="L264" i="3"/>
  <c r="N264" i="3" s="1"/>
  <c r="K262" i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I262" i="1"/>
  <c r="I263" i="1" s="1"/>
  <c r="I264" i="1" s="1"/>
  <c r="I265" i="1" l="1"/>
  <c r="I266" i="1" s="1"/>
  <c r="I267" i="1" s="1"/>
  <c r="I268" i="1" s="1"/>
  <c r="I269" i="1" s="1"/>
  <c r="I270" i="1" s="1"/>
  <c r="I271" i="1" s="1"/>
  <c r="I272" i="1" s="1"/>
  <c r="I273" i="1" s="1"/>
  <c r="I235" i="5"/>
  <c r="L234" i="5"/>
  <c r="N474" i="5"/>
  <c r="K475" i="5"/>
  <c r="L262" i="1"/>
  <c r="N262" i="1" s="1"/>
  <c r="K273" i="1"/>
  <c r="I266" i="3"/>
  <c r="L265" i="3"/>
  <c r="K559" i="3"/>
  <c r="N558" i="3"/>
  <c r="L263" i="1"/>
  <c r="N263" i="1" s="1"/>
  <c r="N475" i="5" l="1"/>
  <c r="N476" i="5" s="1"/>
  <c r="N483" i="5" s="1"/>
  <c r="N484" i="5" s="1"/>
  <c r="K499" i="5" s="1"/>
  <c r="K476" i="5"/>
  <c r="N234" i="5"/>
  <c r="L235" i="5"/>
  <c r="N235" i="5" s="1"/>
  <c r="I236" i="5"/>
  <c r="K560" i="3"/>
  <c r="N559" i="3"/>
  <c r="N265" i="3"/>
  <c r="L266" i="3"/>
  <c r="N266" i="3" s="1"/>
  <c r="I268" i="3"/>
  <c r="L264" i="1"/>
  <c r="N264" i="1" s="1"/>
  <c r="L236" i="5" l="1"/>
  <c r="N236" i="5" s="1"/>
  <c r="I237" i="5"/>
  <c r="N516" i="5"/>
  <c r="N519" i="5" s="1"/>
  <c r="K502" i="5"/>
  <c r="I269" i="3"/>
  <c r="L268" i="3"/>
  <c r="N268" i="3" s="1"/>
  <c r="N560" i="3"/>
  <c r="N561" i="3" s="1"/>
  <c r="N568" i="3" s="1"/>
  <c r="N569" i="3" s="1"/>
  <c r="K584" i="3" s="1"/>
  <c r="K561" i="3"/>
  <c r="L265" i="1"/>
  <c r="N265" i="1" s="1"/>
  <c r="N502" i="5" l="1"/>
  <c r="K503" i="5"/>
  <c r="I238" i="5"/>
  <c r="L237" i="5"/>
  <c r="N601" i="3"/>
  <c r="N604" i="3" s="1"/>
  <c r="K587" i="3"/>
  <c r="I273" i="3"/>
  <c r="L269" i="3"/>
  <c r="N269" i="3" s="1"/>
  <c r="K349" i="1"/>
  <c r="K387" i="1" s="1"/>
  <c r="K425" i="1" s="1"/>
  <c r="K463" i="1" s="1"/>
  <c r="K501" i="1" s="1"/>
  <c r="K539" i="1" s="1"/>
  <c r="K577" i="1" s="1"/>
  <c r="K615" i="1" s="1"/>
  <c r="K653" i="1" s="1"/>
  <c r="K691" i="1" s="1"/>
  <c r="K729" i="1" s="1"/>
  <c r="K767" i="1" s="1"/>
  <c r="N237" i="5" l="1"/>
  <c r="L238" i="5"/>
  <c r="N238" i="5" s="1"/>
  <c r="I239" i="5"/>
  <c r="N503" i="5"/>
  <c r="K504" i="5"/>
  <c r="I274" i="3"/>
  <c r="L273" i="3"/>
  <c r="N273" i="3" s="1"/>
  <c r="K588" i="3"/>
  <c r="N587" i="3"/>
  <c r="L266" i="1"/>
  <c r="N266" i="1" s="1"/>
  <c r="N504" i="5" l="1"/>
  <c r="K505" i="5"/>
  <c r="L239" i="5"/>
  <c r="N239" i="5" s="1"/>
  <c r="I240" i="5"/>
  <c r="N588" i="3"/>
  <c r="K589" i="3"/>
  <c r="I275" i="3"/>
  <c r="L274" i="3"/>
  <c r="N274" i="3" s="1"/>
  <c r="L267" i="1"/>
  <c r="N267" i="1" s="1"/>
  <c r="I241" i="5" l="1"/>
  <c r="L240" i="5"/>
  <c r="N240" i="5" s="1"/>
  <c r="K506" i="5"/>
  <c r="N505" i="5"/>
  <c r="I276" i="3"/>
  <c r="L275" i="3"/>
  <c r="N275" i="3" s="1"/>
  <c r="N589" i="3"/>
  <c r="K590" i="3"/>
  <c r="L269" i="1"/>
  <c r="L268" i="1"/>
  <c r="N268" i="1" s="1"/>
  <c r="K507" i="5" l="1"/>
  <c r="N506" i="5"/>
  <c r="I242" i="5"/>
  <c r="L241" i="5"/>
  <c r="N241" i="5" s="1"/>
  <c r="K591" i="3"/>
  <c r="N590" i="3"/>
  <c r="L276" i="3"/>
  <c r="N276" i="3" s="1"/>
  <c r="I277" i="3"/>
  <c r="L270" i="1"/>
  <c r="N269" i="1"/>
  <c r="I243" i="5" l="1"/>
  <c r="L242" i="5"/>
  <c r="N242" i="5" s="1"/>
  <c r="N507" i="5"/>
  <c r="K508" i="5"/>
  <c r="N591" i="3"/>
  <c r="K592" i="3"/>
  <c r="L277" i="3"/>
  <c r="I278" i="3"/>
  <c r="L271" i="1"/>
  <c r="N270" i="1"/>
  <c r="N508" i="5" l="1"/>
  <c r="K509" i="5"/>
  <c r="L243" i="5"/>
  <c r="I244" i="5"/>
  <c r="N277" i="3"/>
  <c r="N278" i="3" s="1"/>
  <c r="L289" i="3" s="1"/>
  <c r="L290" i="3" s="1"/>
  <c r="K306" i="3" s="1"/>
  <c r="L278" i="3"/>
  <c r="L287" i="3" s="1"/>
  <c r="N592" i="3"/>
  <c r="K593" i="3"/>
  <c r="L272" i="1"/>
  <c r="N271" i="1"/>
  <c r="N243" i="5" l="1"/>
  <c r="N244" i="5" s="1"/>
  <c r="L255" i="5" s="1"/>
  <c r="L256" i="5" s="1"/>
  <c r="L244" i="5"/>
  <c r="L253" i="5" s="1"/>
  <c r="AI8" i="5" s="1"/>
  <c r="N509" i="5"/>
  <c r="K510" i="5"/>
  <c r="K594" i="3"/>
  <c r="N593" i="3"/>
  <c r="K310" i="3"/>
  <c r="L324" i="3"/>
  <c r="L329" i="3" s="1"/>
  <c r="I310" i="3"/>
  <c r="N272" i="1"/>
  <c r="N273" i="1" s="1"/>
  <c r="L273" i="1"/>
  <c r="L282" i="1" s="1"/>
  <c r="AJ8" i="5" l="1"/>
  <c r="AI9" i="5"/>
  <c r="N510" i="5"/>
  <c r="K511" i="5"/>
  <c r="Q6" i="5"/>
  <c r="Q9" i="5" s="1"/>
  <c r="K311" i="3"/>
  <c r="K312" i="3" s="1"/>
  <c r="K313" i="3" s="1"/>
  <c r="K314" i="3" s="1"/>
  <c r="K315" i="3" s="1"/>
  <c r="K316" i="3" s="1"/>
  <c r="K317" i="3" s="1"/>
  <c r="K318" i="3" s="1"/>
  <c r="K319" i="3" s="1"/>
  <c r="K320" i="3" s="1"/>
  <c r="K321" i="3" s="1"/>
  <c r="I311" i="3"/>
  <c r="L310" i="3"/>
  <c r="N594" i="3"/>
  <c r="K595" i="3"/>
  <c r="L284" i="1"/>
  <c r="L285" i="1" s="1"/>
  <c r="AN8" i="5" l="1"/>
  <c r="AJ9" i="5"/>
  <c r="AN9" i="5" s="1"/>
  <c r="N511" i="5"/>
  <c r="K512" i="5"/>
  <c r="N310" i="3"/>
  <c r="I312" i="3"/>
  <c r="L311" i="3"/>
  <c r="N311" i="3" s="1"/>
  <c r="K322" i="3"/>
  <c r="N595" i="3"/>
  <c r="K596" i="3"/>
  <c r="K301" i="1"/>
  <c r="L319" i="1" s="1"/>
  <c r="L324" i="1" s="1"/>
  <c r="K513" i="5" l="1"/>
  <c r="N512" i="5"/>
  <c r="K597" i="3"/>
  <c r="N596" i="3"/>
  <c r="L312" i="3"/>
  <c r="N312" i="3" s="1"/>
  <c r="I313" i="3"/>
  <c r="K305" i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I305" i="1"/>
  <c r="N513" i="5" l="1"/>
  <c r="N514" i="5" s="1"/>
  <c r="N521" i="5" s="1"/>
  <c r="N522" i="5" s="1"/>
  <c r="K514" i="5"/>
  <c r="L313" i="3"/>
  <c r="I314" i="3"/>
  <c r="N597" i="3"/>
  <c r="K598" i="3"/>
  <c r="I306" i="1"/>
  <c r="L305" i="1"/>
  <c r="K317" i="1"/>
  <c r="K537" i="5" l="1"/>
  <c r="K540" i="5" s="1"/>
  <c r="N554" i="5"/>
  <c r="N557" i="5" s="1"/>
  <c r="N598" i="3"/>
  <c r="N599" i="3" s="1"/>
  <c r="N606" i="3" s="1"/>
  <c r="N607" i="3" s="1"/>
  <c r="K599" i="3"/>
  <c r="L314" i="3"/>
  <c r="N314" i="3" s="1"/>
  <c r="I315" i="3"/>
  <c r="N313" i="3"/>
  <c r="N305" i="1"/>
  <c r="I307" i="1"/>
  <c r="L306" i="1"/>
  <c r="N306" i="1" s="1"/>
  <c r="K541" i="5" l="1"/>
  <c r="N540" i="5"/>
  <c r="I316" i="3"/>
  <c r="L315" i="3"/>
  <c r="N315" i="3" s="1"/>
  <c r="K622" i="3"/>
  <c r="K625" i="3" s="1"/>
  <c r="N639" i="3"/>
  <c r="N642" i="3" s="1"/>
  <c r="I308" i="1"/>
  <c r="L307" i="1"/>
  <c r="N307" i="1" s="1"/>
  <c r="K542" i="5" l="1"/>
  <c r="N541" i="5"/>
  <c r="K626" i="3"/>
  <c r="N625" i="3"/>
  <c r="I317" i="3"/>
  <c r="L316" i="3"/>
  <c r="N316" i="3" s="1"/>
  <c r="I309" i="1"/>
  <c r="L308" i="1"/>
  <c r="N542" i="5" l="1"/>
  <c r="K543" i="5"/>
  <c r="L317" i="3"/>
  <c r="N317" i="3" s="1"/>
  <c r="I318" i="3"/>
  <c r="N626" i="3"/>
  <c r="K627" i="3"/>
  <c r="N308" i="1"/>
  <c r="I310" i="1"/>
  <c r="L309" i="1"/>
  <c r="N309" i="1" s="1"/>
  <c r="K544" i="5" l="1"/>
  <c r="N543" i="5"/>
  <c r="N627" i="3"/>
  <c r="K628" i="3"/>
  <c r="L318" i="3"/>
  <c r="N318" i="3" s="1"/>
  <c r="I319" i="3"/>
  <c r="I311" i="1"/>
  <c r="L310" i="1"/>
  <c r="N310" i="1" s="1"/>
  <c r="K545" i="5" l="1"/>
  <c r="N544" i="5"/>
  <c r="I320" i="3"/>
  <c r="L319" i="3"/>
  <c r="N319" i="3" s="1"/>
  <c r="K629" i="3"/>
  <c r="N628" i="3"/>
  <c r="I312" i="1"/>
  <c r="L311" i="1"/>
  <c r="N545" i="5" l="1"/>
  <c r="K546" i="5"/>
  <c r="I321" i="3"/>
  <c r="L320" i="3"/>
  <c r="N320" i="3" s="1"/>
  <c r="K630" i="3"/>
  <c r="N629" i="3"/>
  <c r="N311" i="1"/>
  <c r="I313" i="1"/>
  <c r="L312" i="1"/>
  <c r="N312" i="1" s="1"/>
  <c r="N546" i="5" l="1"/>
  <c r="K547" i="5"/>
  <c r="N630" i="3"/>
  <c r="K631" i="3"/>
  <c r="L321" i="3"/>
  <c r="I322" i="3"/>
  <c r="I314" i="1"/>
  <c r="L313" i="1"/>
  <c r="N313" i="1" s="1"/>
  <c r="K548" i="5" l="1"/>
  <c r="N547" i="5"/>
  <c r="N321" i="3"/>
  <c r="N322" i="3" s="1"/>
  <c r="L333" i="3" s="1"/>
  <c r="L334" i="3" s="1"/>
  <c r="L322" i="3"/>
  <c r="L331" i="3" s="1"/>
  <c r="K632" i="3"/>
  <c r="N631" i="3"/>
  <c r="I315" i="1"/>
  <c r="L314" i="1"/>
  <c r="N314" i="1" s="1"/>
  <c r="K549" i="5" l="1"/>
  <c r="N548" i="5"/>
  <c r="N632" i="3"/>
  <c r="K633" i="3"/>
  <c r="P334" i="3"/>
  <c r="V82" i="3"/>
  <c r="V85" i="3" s="1"/>
  <c r="I316" i="1"/>
  <c r="L315" i="1"/>
  <c r="N315" i="1" s="1"/>
  <c r="N549" i="5" l="1"/>
  <c r="K550" i="5"/>
  <c r="N633" i="3"/>
  <c r="K634" i="3"/>
  <c r="L316" i="1"/>
  <c r="I317" i="1"/>
  <c r="K551" i="5" l="1"/>
  <c r="N550" i="5"/>
  <c r="K635" i="3"/>
  <c r="N634" i="3"/>
  <c r="N316" i="1"/>
  <c r="N317" i="1" s="1"/>
  <c r="L317" i="1"/>
  <c r="L326" i="1" s="1"/>
  <c r="N551" i="5" l="1"/>
  <c r="N552" i="5" s="1"/>
  <c r="N559" i="5" s="1"/>
  <c r="N560" i="5" s="1"/>
  <c r="K552" i="5"/>
  <c r="K351" i="1"/>
  <c r="L328" i="1"/>
  <c r="L329" i="1" s="1"/>
  <c r="N635" i="3"/>
  <c r="K636" i="3"/>
  <c r="N368" i="1"/>
  <c r="N371" i="1" s="1"/>
  <c r="K354" i="1"/>
  <c r="N592" i="5" l="1"/>
  <c r="N595" i="5" s="1"/>
  <c r="K575" i="5"/>
  <c r="K578" i="5" s="1"/>
  <c r="V82" i="1"/>
  <c r="V85" i="1" s="1"/>
  <c r="AL85" i="1" s="1"/>
  <c r="P329" i="1"/>
  <c r="N636" i="3"/>
  <c r="N637" i="3" s="1"/>
  <c r="N644" i="3" s="1"/>
  <c r="N645" i="3" s="1"/>
  <c r="K637" i="3"/>
  <c r="N354" i="1"/>
  <c r="K355" i="1"/>
  <c r="N578" i="5" l="1"/>
  <c r="K579" i="5"/>
  <c r="N677" i="3"/>
  <c r="N680" i="3" s="1"/>
  <c r="K660" i="3"/>
  <c r="K663" i="3" s="1"/>
  <c r="N355" i="1"/>
  <c r="K356" i="1"/>
  <c r="N579" i="5" l="1"/>
  <c r="K580" i="5"/>
  <c r="K664" i="3"/>
  <c r="N663" i="3"/>
  <c r="N356" i="1"/>
  <c r="K357" i="1"/>
  <c r="K581" i="5" l="1"/>
  <c r="N580" i="5"/>
  <c r="N664" i="3"/>
  <c r="K665" i="3"/>
  <c r="K358" i="1"/>
  <c r="N357" i="1"/>
  <c r="K582" i="5" l="1"/>
  <c r="N581" i="5"/>
  <c r="K666" i="3"/>
  <c r="N665" i="3"/>
  <c r="N358" i="1"/>
  <c r="K359" i="1"/>
  <c r="N582" i="5" l="1"/>
  <c r="K583" i="5"/>
  <c r="K667" i="3"/>
  <c r="N666" i="3"/>
  <c r="N359" i="1"/>
  <c r="K360" i="1"/>
  <c r="K584" i="5" l="1"/>
  <c r="N583" i="5"/>
  <c r="N667" i="3"/>
  <c r="K668" i="3"/>
  <c r="N360" i="1"/>
  <c r="K361" i="1"/>
  <c r="K585" i="5" l="1"/>
  <c r="N584" i="5"/>
  <c r="K669" i="3"/>
  <c r="N668" i="3"/>
  <c r="K362" i="1"/>
  <c r="N361" i="1"/>
  <c r="K586" i="5" l="1"/>
  <c r="N585" i="5"/>
  <c r="N669" i="3"/>
  <c r="K670" i="3"/>
  <c r="K363" i="1"/>
  <c r="N362" i="1"/>
  <c r="N586" i="5" l="1"/>
  <c r="K587" i="5"/>
  <c r="K671" i="3"/>
  <c r="N670" i="3"/>
  <c r="K364" i="1"/>
  <c r="N363" i="1"/>
  <c r="K588" i="5" l="1"/>
  <c r="N587" i="5"/>
  <c r="K672" i="3"/>
  <c r="N671" i="3"/>
  <c r="K365" i="1"/>
  <c r="N364" i="1"/>
  <c r="N588" i="5" l="1"/>
  <c r="K589" i="5"/>
  <c r="N672" i="3"/>
  <c r="K673" i="3"/>
  <c r="N365" i="1"/>
  <c r="N366" i="1" s="1"/>
  <c r="N373" i="1" s="1"/>
  <c r="N374" i="1" s="1"/>
  <c r="K389" i="1" s="1"/>
  <c r="K366" i="1"/>
  <c r="N589" i="5" l="1"/>
  <c r="N590" i="5" s="1"/>
  <c r="N597" i="5" s="1"/>
  <c r="N598" i="5" s="1"/>
  <c r="K590" i="5"/>
  <c r="N673" i="3"/>
  <c r="K674" i="3"/>
  <c r="K392" i="1"/>
  <c r="N406" i="1"/>
  <c r="N409" i="1" s="1"/>
  <c r="K613" i="5" l="1"/>
  <c r="K616" i="5" s="1"/>
  <c r="N630" i="5"/>
  <c r="N633" i="5" s="1"/>
  <c r="N674" i="3"/>
  <c r="N675" i="3" s="1"/>
  <c r="N682" i="3" s="1"/>
  <c r="N683" i="3" s="1"/>
  <c r="K675" i="3"/>
  <c r="K393" i="1"/>
  <c r="N392" i="1"/>
  <c r="N616" i="5" l="1"/>
  <c r="K617" i="5"/>
  <c r="K698" i="3"/>
  <c r="K701" i="3" s="1"/>
  <c r="N715" i="3"/>
  <c r="N718" i="3" s="1"/>
  <c r="K394" i="1"/>
  <c r="N393" i="1"/>
  <c r="K618" i="5" l="1"/>
  <c r="N617" i="5"/>
  <c r="N701" i="3"/>
  <c r="K702" i="3"/>
  <c r="N394" i="1"/>
  <c r="K395" i="1"/>
  <c r="K619" i="5" l="1"/>
  <c r="N618" i="5"/>
  <c r="K703" i="3"/>
  <c r="N702" i="3"/>
  <c r="N395" i="1"/>
  <c r="K396" i="1"/>
  <c r="N619" i="5" l="1"/>
  <c r="K620" i="5"/>
  <c r="K704" i="3"/>
  <c r="N703" i="3"/>
  <c r="K397" i="1"/>
  <c r="N396" i="1"/>
  <c r="N620" i="5" l="1"/>
  <c r="K621" i="5"/>
  <c r="K705" i="3"/>
  <c r="N704" i="3"/>
  <c r="K398" i="1"/>
  <c r="N397" i="1"/>
  <c r="K622" i="5" l="1"/>
  <c r="N621" i="5"/>
  <c r="N705" i="3"/>
  <c r="K706" i="3"/>
  <c r="K399" i="1"/>
  <c r="N398" i="1"/>
  <c r="K623" i="5" l="1"/>
  <c r="N622" i="5"/>
  <c r="K707" i="3"/>
  <c r="N706" i="3"/>
  <c r="N399" i="1"/>
  <c r="K400" i="1"/>
  <c r="N623" i="5" l="1"/>
  <c r="K624" i="5"/>
  <c r="K708" i="3"/>
  <c r="N707" i="3"/>
  <c r="K401" i="1"/>
  <c r="N400" i="1"/>
  <c r="N624" i="5" l="1"/>
  <c r="K625" i="5"/>
  <c r="K709" i="3"/>
  <c r="N708" i="3"/>
  <c r="N401" i="1"/>
  <c r="K402" i="1"/>
  <c r="N625" i="5" l="1"/>
  <c r="K626" i="5"/>
  <c r="N709" i="3"/>
  <c r="K710" i="3"/>
  <c r="N402" i="1"/>
  <c r="K403" i="1"/>
  <c r="N626" i="5" l="1"/>
  <c r="K627" i="5"/>
  <c r="K711" i="3"/>
  <c r="N710" i="3"/>
  <c r="N403" i="1"/>
  <c r="N404" i="1" s="1"/>
  <c r="N411" i="1" s="1"/>
  <c r="N412" i="1" s="1"/>
  <c r="K427" i="1" s="1"/>
  <c r="K404" i="1"/>
  <c r="N627" i="5" l="1"/>
  <c r="N628" i="5" s="1"/>
  <c r="N635" i="5" s="1"/>
  <c r="N636" i="5" s="1"/>
  <c r="K628" i="5"/>
  <c r="K712" i="3"/>
  <c r="N711" i="3"/>
  <c r="K430" i="1"/>
  <c r="N444" i="1"/>
  <c r="N447" i="1" s="1"/>
  <c r="N668" i="5" l="1"/>
  <c r="N671" i="5" s="1"/>
  <c r="K651" i="5"/>
  <c r="K654" i="5" s="1"/>
  <c r="N712" i="3"/>
  <c r="N713" i="3" s="1"/>
  <c r="N720" i="3" s="1"/>
  <c r="N721" i="3" s="1"/>
  <c r="K713" i="3"/>
  <c r="K431" i="1"/>
  <c r="N430" i="1"/>
  <c r="N654" i="5" l="1"/>
  <c r="K655" i="5"/>
  <c r="N753" i="3"/>
  <c r="N756" i="3" s="1"/>
  <c r="K736" i="3"/>
  <c r="K739" i="3" s="1"/>
  <c r="K432" i="1"/>
  <c r="N431" i="1"/>
  <c r="K656" i="5" l="1"/>
  <c r="N655" i="5"/>
  <c r="K740" i="3"/>
  <c r="N739" i="3"/>
  <c r="K433" i="1"/>
  <c r="N432" i="1"/>
  <c r="K657" i="5" l="1"/>
  <c r="N656" i="5"/>
  <c r="K741" i="3"/>
  <c r="N740" i="3"/>
  <c r="K434" i="1"/>
  <c r="N433" i="1"/>
  <c r="K658" i="5" l="1"/>
  <c r="N657" i="5"/>
  <c r="K742" i="3"/>
  <c r="N741" i="3"/>
  <c r="K435" i="1"/>
  <c r="N434" i="1"/>
  <c r="K659" i="5" l="1"/>
  <c r="N658" i="5"/>
  <c r="K743" i="3"/>
  <c r="N742" i="3"/>
  <c r="N435" i="1"/>
  <c r="K436" i="1"/>
  <c r="K660" i="5" l="1"/>
  <c r="N659" i="5"/>
  <c r="K744" i="3"/>
  <c r="N743" i="3"/>
  <c r="K437" i="1"/>
  <c r="N436" i="1"/>
  <c r="N660" i="5" l="1"/>
  <c r="K661" i="5"/>
  <c r="K745" i="3"/>
  <c r="N744" i="3"/>
  <c r="N437" i="1"/>
  <c r="K438" i="1"/>
  <c r="K662" i="5" l="1"/>
  <c r="N661" i="5"/>
  <c r="N745" i="3"/>
  <c r="K746" i="3"/>
  <c r="K439" i="1"/>
  <c r="N438" i="1"/>
  <c r="K663" i="5" l="1"/>
  <c r="N662" i="5"/>
  <c r="N746" i="3"/>
  <c r="K747" i="3"/>
  <c r="K440" i="1"/>
  <c r="N439" i="1"/>
  <c r="K664" i="5" l="1"/>
  <c r="N663" i="5"/>
  <c r="K748" i="3"/>
  <c r="N747" i="3"/>
  <c r="N440" i="1"/>
  <c r="K441" i="1"/>
  <c r="K665" i="5" l="1"/>
  <c r="N664" i="5"/>
  <c r="K749" i="3"/>
  <c r="N748" i="3"/>
  <c r="N441" i="1"/>
  <c r="N442" i="1" s="1"/>
  <c r="N449" i="1" s="1"/>
  <c r="N450" i="1" s="1"/>
  <c r="K465" i="1" s="1"/>
  <c r="K442" i="1"/>
  <c r="N665" i="5" l="1"/>
  <c r="N666" i="5" s="1"/>
  <c r="N673" i="5" s="1"/>
  <c r="N674" i="5" s="1"/>
  <c r="K666" i="5"/>
  <c r="N749" i="3"/>
  <c r="K750" i="3"/>
  <c r="K468" i="1"/>
  <c r="N482" i="1"/>
  <c r="N485" i="1" s="1"/>
  <c r="K689" i="5" l="1"/>
  <c r="K692" i="5" s="1"/>
  <c r="N706" i="5"/>
  <c r="N709" i="5" s="1"/>
  <c r="N750" i="3"/>
  <c r="N751" i="3" s="1"/>
  <c r="N758" i="3" s="1"/>
  <c r="N759" i="3" s="1"/>
  <c r="K751" i="3"/>
  <c r="N468" i="1"/>
  <c r="K469" i="1"/>
  <c r="K693" i="5" l="1"/>
  <c r="N692" i="5"/>
  <c r="K774" i="3"/>
  <c r="K777" i="3" s="1"/>
  <c r="N791" i="3"/>
  <c r="N794" i="3" s="1"/>
  <c r="K470" i="1"/>
  <c r="N469" i="1"/>
  <c r="N693" i="5" l="1"/>
  <c r="K694" i="5"/>
  <c r="N694" i="5" s="1"/>
  <c r="K778" i="3"/>
  <c r="N777" i="3"/>
  <c r="N470" i="1"/>
  <c r="K471" i="1"/>
  <c r="K704" i="5" l="1"/>
  <c r="N704" i="5"/>
  <c r="N711" i="5" s="1"/>
  <c r="N712" i="5" s="1"/>
  <c r="K779" i="3"/>
  <c r="N778" i="3"/>
  <c r="N471" i="1"/>
  <c r="K472" i="1"/>
  <c r="N789" i="3" l="1"/>
  <c r="N796" i="3" s="1"/>
  <c r="N797" i="3" s="1"/>
  <c r="N779" i="3"/>
  <c r="K789" i="3"/>
  <c r="N472" i="1"/>
  <c r="K473" i="1"/>
  <c r="K474" i="1" l="1"/>
  <c r="N473" i="1"/>
  <c r="N474" i="1" l="1"/>
  <c r="K475" i="1"/>
  <c r="N475" i="1" l="1"/>
  <c r="K476" i="1"/>
  <c r="K477" i="1" l="1"/>
  <c r="N476" i="1"/>
  <c r="K478" i="1" l="1"/>
  <c r="N477" i="1"/>
  <c r="K479" i="1" l="1"/>
  <c r="N478" i="1"/>
  <c r="N479" i="1" l="1"/>
  <c r="N480" i="1" s="1"/>
  <c r="N487" i="1" s="1"/>
  <c r="N488" i="1" s="1"/>
  <c r="K503" i="1" s="1"/>
  <c r="K480" i="1"/>
  <c r="N520" i="1" l="1"/>
  <c r="N523" i="1" s="1"/>
  <c r="K506" i="1"/>
  <c r="N506" i="1" l="1"/>
  <c r="K507" i="1"/>
  <c r="N507" i="1" l="1"/>
  <c r="K508" i="1"/>
  <c r="N508" i="1" l="1"/>
  <c r="K509" i="1"/>
  <c r="K510" i="1" l="1"/>
  <c r="N509" i="1"/>
  <c r="N510" i="1" l="1"/>
  <c r="K511" i="1"/>
  <c r="K512" i="1" l="1"/>
  <c r="N511" i="1"/>
  <c r="K513" i="1" l="1"/>
  <c r="N512" i="1"/>
  <c r="K514" i="1" l="1"/>
  <c r="N513" i="1"/>
  <c r="K515" i="1" l="1"/>
  <c r="N514" i="1"/>
  <c r="K516" i="1" l="1"/>
  <c r="N515" i="1"/>
  <c r="K517" i="1" l="1"/>
  <c r="N516" i="1"/>
  <c r="N517" i="1" l="1"/>
  <c r="N518" i="1" s="1"/>
  <c r="N525" i="1" s="1"/>
  <c r="N526" i="1" s="1"/>
  <c r="K541" i="1" s="1"/>
  <c r="K518" i="1"/>
  <c r="N558" i="1" l="1"/>
  <c r="N561" i="1" s="1"/>
  <c r="K544" i="1"/>
  <c r="N544" i="1" l="1"/>
  <c r="K545" i="1"/>
  <c r="N545" i="1" l="1"/>
  <c r="K546" i="1"/>
  <c r="N546" i="1" l="1"/>
  <c r="K547" i="1"/>
  <c r="N547" i="1" l="1"/>
  <c r="K548" i="1"/>
  <c r="N548" i="1" l="1"/>
  <c r="K549" i="1"/>
  <c r="N549" i="1" l="1"/>
  <c r="K550" i="1"/>
  <c r="N550" i="1" l="1"/>
  <c r="K551" i="1"/>
  <c r="K552" i="1" l="1"/>
  <c r="N551" i="1"/>
  <c r="K553" i="1" l="1"/>
  <c r="N552" i="1"/>
  <c r="N553" i="1" l="1"/>
  <c r="K554" i="1"/>
  <c r="K555" i="1" l="1"/>
  <c r="N554" i="1"/>
  <c r="N555" i="1" l="1"/>
  <c r="N556" i="1" s="1"/>
  <c r="N563" i="1" s="1"/>
  <c r="N564" i="1" s="1"/>
  <c r="K579" i="1" s="1"/>
  <c r="K556" i="1"/>
  <c r="K582" i="1" l="1"/>
  <c r="N596" i="1"/>
  <c r="N599" i="1" s="1"/>
  <c r="N582" i="1" l="1"/>
  <c r="K583" i="1"/>
  <c r="N583" i="1" l="1"/>
  <c r="K584" i="1"/>
  <c r="K585" i="1" l="1"/>
  <c r="N584" i="1"/>
  <c r="K586" i="1" l="1"/>
  <c r="N585" i="1"/>
  <c r="K587" i="1" l="1"/>
  <c r="N586" i="1"/>
  <c r="N587" i="1" l="1"/>
  <c r="K588" i="1"/>
  <c r="N588" i="1" l="1"/>
  <c r="K589" i="1"/>
  <c r="N589" i="1" l="1"/>
  <c r="K590" i="1"/>
  <c r="N590" i="1" l="1"/>
  <c r="K591" i="1"/>
  <c r="K592" i="1" l="1"/>
  <c r="N591" i="1"/>
  <c r="N592" i="1" l="1"/>
  <c r="K593" i="1"/>
  <c r="N593" i="1" l="1"/>
  <c r="N594" i="1" s="1"/>
  <c r="N601" i="1" s="1"/>
  <c r="N602" i="1" s="1"/>
  <c r="K594" i="1"/>
  <c r="K617" i="1" l="1"/>
  <c r="K620" i="1" s="1"/>
  <c r="N634" i="1"/>
  <c r="N637" i="1" s="1"/>
  <c r="N620" i="1" l="1"/>
  <c r="K621" i="1"/>
  <c r="K622" i="1" l="1"/>
  <c r="N621" i="1"/>
  <c r="N622" i="1" l="1"/>
  <c r="K623" i="1"/>
  <c r="K624" i="1" l="1"/>
  <c r="N623" i="1"/>
  <c r="K625" i="1" l="1"/>
  <c r="N624" i="1"/>
  <c r="N625" i="1" l="1"/>
  <c r="K626" i="1"/>
  <c r="K627" i="1" l="1"/>
  <c r="N626" i="1"/>
  <c r="N627" i="1" l="1"/>
  <c r="K628" i="1"/>
  <c r="K629" i="1" l="1"/>
  <c r="N628" i="1"/>
  <c r="K630" i="1" l="1"/>
  <c r="N629" i="1"/>
  <c r="N630" i="1" l="1"/>
  <c r="K631" i="1"/>
  <c r="N631" i="1" l="1"/>
  <c r="N632" i="1" s="1"/>
  <c r="N639" i="1" s="1"/>
  <c r="N640" i="1" s="1"/>
  <c r="K632" i="1"/>
  <c r="K655" i="1" l="1"/>
  <c r="K658" i="1" s="1"/>
  <c r="N672" i="1"/>
  <c r="N675" i="1" s="1"/>
  <c r="K659" i="1" l="1"/>
  <c r="N658" i="1"/>
  <c r="N659" i="1" l="1"/>
  <c r="K660" i="1"/>
  <c r="N660" i="1" l="1"/>
  <c r="K661" i="1"/>
  <c r="N661" i="1" l="1"/>
  <c r="K662" i="1"/>
  <c r="K663" i="1" l="1"/>
  <c r="N662" i="1"/>
  <c r="K664" i="1" l="1"/>
  <c r="N663" i="1"/>
  <c r="K665" i="1" l="1"/>
  <c r="N664" i="1"/>
  <c r="N665" i="1" l="1"/>
  <c r="K666" i="1"/>
  <c r="N666" i="1" l="1"/>
  <c r="K667" i="1"/>
  <c r="N667" i="1" l="1"/>
  <c r="K668" i="1"/>
  <c r="K669" i="1" l="1"/>
  <c r="N668" i="1"/>
  <c r="N669" i="1" l="1"/>
  <c r="N670" i="1" s="1"/>
  <c r="N677" i="1" s="1"/>
  <c r="N678" i="1" s="1"/>
  <c r="K670" i="1"/>
  <c r="N710" i="1" l="1"/>
  <c r="N713" i="1" s="1"/>
  <c r="K693" i="1"/>
  <c r="K696" i="1" s="1"/>
  <c r="N696" i="1" l="1"/>
  <c r="K697" i="1"/>
  <c r="N697" i="1" l="1"/>
  <c r="K698" i="1"/>
  <c r="N698" i="1" l="1"/>
  <c r="K699" i="1"/>
  <c r="N699" i="1" l="1"/>
  <c r="K700" i="1"/>
  <c r="K701" i="1" l="1"/>
  <c r="N700" i="1"/>
  <c r="K702" i="1" l="1"/>
  <c r="N701" i="1"/>
  <c r="K703" i="1" l="1"/>
  <c r="N702" i="1"/>
  <c r="K704" i="1" l="1"/>
  <c r="N703" i="1"/>
  <c r="K705" i="1" l="1"/>
  <c r="N704" i="1"/>
  <c r="K706" i="1" l="1"/>
  <c r="N705" i="1"/>
  <c r="K707" i="1" l="1"/>
  <c r="N706" i="1"/>
  <c r="N707" i="1" l="1"/>
  <c r="N708" i="1" s="1"/>
  <c r="N715" i="1" s="1"/>
  <c r="N716" i="1" s="1"/>
  <c r="K708" i="1"/>
  <c r="K731" i="1" l="1"/>
  <c r="K734" i="1" s="1"/>
  <c r="N748" i="1"/>
  <c r="N751" i="1" s="1"/>
  <c r="N734" i="1" l="1"/>
  <c r="K735" i="1"/>
  <c r="K736" i="1" l="1"/>
  <c r="N735" i="1"/>
  <c r="K737" i="1" l="1"/>
  <c r="N736" i="1"/>
  <c r="N737" i="1" l="1"/>
  <c r="K738" i="1"/>
  <c r="N738" i="1" l="1"/>
  <c r="K739" i="1"/>
  <c r="N739" i="1" l="1"/>
  <c r="K740" i="1"/>
  <c r="K741" i="1" l="1"/>
  <c r="N740" i="1"/>
  <c r="N741" i="1" l="1"/>
  <c r="K742" i="1"/>
  <c r="N742" i="1" l="1"/>
  <c r="K743" i="1"/>
  <c r="N743" i="1" l="1"/>
  <c r="K744" i="1"/>
  <c r="N744" i="1" l="1"/>
  <c r="K745" i="1"/>
  <c r="N745" i="1" l="1"/>
  <c r="N746" i="1" s="1"/>
  <c r="N753" i="1" s="1"/>
  <c r="N754" i="1" s="1"/>
  <c r="K746" i="1"/>
  <c r="N786" i="1" l="1"/>
  <c r="N789" i="1" s="1"/>
  <c r="K769" i="1"/>
  <c r="K772" i="1" s="1"/>
  <c r="N772" i="1" l="1"/>
  <c r="K773" i="1"/>
  <c r="N773" i="1" l="1"/>
  <c r="K774" i="1"/>
  <c r="N774" i="1" l="1"/>
  <c r="N784" i="1" s="1"/>
  <c r="N791" i="1" s="1"/>
  <c r="N792" i="1" s="1"/>
  <c r="K784" i="1"/>
</calcChain>
</file>

<file path=xl/sharedStrings.xml><?xml version="1.0" encoding="utf-8"?>
<sst xmlns="http://schemas.openxmlformats.org/spreadsheetml/2006/main" count="4893" uniqueCount="514">
  <si>
    <t>नाशिक महानगरपालिका,नाशिक</t>
  </si>
  <si>
    <t>परिभाषित अंशदान निवृत्ती वेतन योजना - वार्षिक विवरणपत्र</t>
  </si>
  <si>
    <t>2005-06</t>
  </si>
  <si>
    <t>कर्मचारी क्रमांक</t>
  </si>
  <si>
    <t>कर्मचारी नाव</t>
  </si>
  <si>
    <t>Mahajan Ganesh Trambak</t>
  </si>
  <si>
    <t>कर्मचारी नियुक्ती दिनांक</t>
  </si>
  <si>
    <t>पे सेंटर</t>
  </si>
  <si>
    <t>हुद्दा</t>
  </si>
  <si>
    <t>Asst. Jr. Engineer</t>
  </si>
  <si>
    <t>व्याज दर (1)</t>
  </si>
  <si>
    <t xml:space="preserve">व्याज दर (2) </t>
  </si>
  <si>
    <t>सुरवातीची शिल्लक</t>
  </si>
  <si>
    <t>महिना</t>
  </si>
  <si>
    <t>कर्मचारी वर्गणी</t>
  </si>
  <si>
    <t>कर्मचाऱ्याने काढलेल्या कर्ज रक्कमेचा हप्ता</t>
  </si>
  <si>
    <t>एकूण जमा</t>
  </si>
  <si>
    <t>काढलेल्या कर्जाची रक्कम</t>
  </si>
  <si>
    <t>व्याज आकारली जाते ती मासिक रक्कम</t>
  </si>
  <si>
    <t>मिळणाऱ्या व्याजाची रक्कम</t>
  </si>
  <si>
    <t xml:space="preserve">व्याज दर </t>
  </si>
  <si>
    <t>Basic</t>
  </si>
  <si>
    <t>GP</t>
  </si>
  <si>
    <t>DA</t>
  </si>
  <si>
    <t>Total</t>
  </si>
  <si>
    <t>10% Emp Contri</t>
  </si>
  <si>
    <t>Diff in Emp Contri</t>
  </si>
  <si>
    <t>Bunch No</t>
  </si>
  <si>
    <t>File No</t>
  </si>
  <si>
    <t>Voc. No.</t>
  </si>
  <si>
    <t>Voc. Date</t>
  </si>
  <si>
    <t>From Salary Duration</t>
  </si>
  <si>
    <t>To Salary Duration</t>
  </si>
  <si>
    <t>एप्रिल 2005</t>
  </si>
  <si>
    <t>व्याज दर 8.00%</t>
  </si>
  <si>
    <t>मे 2005</t>
  </si>
  <si>
    <t>जुन 2005</t>
  </si>
  <si>
    <t>जुलै 2005</t>
  </si>
  <si>
    <t>ऑगस्ट 2005</t>
  </si>
  <si>
    <t>सप्टेंबर 2005</t>
  </si>
  <si>
    <t>ऑक्टोबर 2005</t>
  </si>
  <si>
    <t>नोव्हेंबर 2005</t>
  </si>
  <si>
    <t>डिसेंबर 2005</t>
  </si>
  <si>
    <t>जानेवारी 2006</t>
  </si>
  <si>
    <t>फेब्रुवारी 2006</t>
  </si>
  <si>
    <t>मार्च 2006</t>
  </si>
  <si>
    <t>एकुण 2005-06</t>
  </si>
  <si>
    <t>सुरुवातीची शिल्लक</t>
  </si>
  <si>
    <t>एकुण कर्मचारी वर्गणी व कर्मचाऱ्याने काढलेल्या कर्ज रक्कमेचा हप्ता : जमा (+)</t>
  </si>
  <si>
    <t>एकुण जमा (सुरवातीची शिलकेसह)</t>
  </si>
  <si>
    <t>काढलेल्या कर्जाची रक्कम (-)</t>
  </si>
  <si>
    <t>मिळणाऱ्या व्याजाची रक्कम (+)</t>
  </si>
  <si>
    <t>मार्च अखेर शिल्लक</t>
  </si>
  <si>
    <t>क. लिपीक</t>
  </si>
  <si>
    <t>उपलेखापाल</t>
  </si>
  <si>
    <t>उपमुख्यलेखाधिकारी</t>
  </si>
  <si>
    <t>2006-07</t>
  </si>
  <si>
    <t>एप्रिल 2006</t>
  </si>
  <si>
    <t>मे 2006</t>
  </si>
  <si>
    <t>जुन 2006</t>
  </si>
  <si>
    <t>जुलै 2006</t>
  </si>
  <si>
    <t>ऑगस्ट 2006</t>
  </si>
  <si>
    <t>सप्टेंबर 2006</t>
  </si>
  <si>
    <t>ऑक्टोबर 2006</t>
  </si>
  <si>
    <t>नोव्हेंबर 2006</t>
  </si>
  <si>
    <t>डिसेंबर 2006</t>
  </si>
  <si>
    <t>जानेवारी 2007</t>
  </si>
  <si>
    <t>फेब्रुवारी 2007</t>
  </si>
  <si>
    <t>मार्च 2007</t>
  </si>
  <si>
    <t>एकुण 2006-07</t>
  </si>
  <si>
    <t>2007-08</t>
  </si>
  <si>
    <t>एप्रिल 2007</t>
  </si>
  <si>
    <t>मे 2007</t>
  </si>
  <si>
    <t>जुन 2007</t>
  </si>
  <si>
    <t>Supp. Salary</t>
  </si>
  <si>
    <t>जुलै 2007</t>
  </si>
  <si>
    <t>ऑगस्ट 2007</t>
  </si>
  <si>
    <t>सप्टेंबर 2007</t>
  </si>
  <si>
    <t>ऑक्टोबर 2007</t>
  </si>
  <si>
    <t>नोव्हेंबर 2007</t>
  </si>
  <si>
    <t>डिसेंबर 2007</t>
  </si>
  <si>
    <t>जानेवारी 2008</t>
  </si>
  <si>
    <t>फेब्रुवारी 2008</t>
  </si>
  <si>
    <t>मार्च 2008</t>
  </si>
  <si>
    <t>एकुण 2007-08</t>
  </si>
  <si>
    <t>2008-09</t>
  </si>
  <si>
    <t>एप्रिल 2008</t>
  </si>
  <si>
    <t>मे 2008</t>
  </si>
  <si>
    <t>जुन 2008</t>
  </si>
  <si>
    <t>जुलै 2008</t>
  </si>
  <si>
    <t>ऑगस्ट 2008</t>
  </si>
  <si>
    <t>सप्टेंबर 2008</t>
  </si>
  <si>
    <t>ऑक्टोबर 2008</t>
  </si>
  <si>
    <t>नोव्हेंबर 2008</t>
  </si>
  <si>
    <t>डिसेंबर 2008</t>
  </si>
  <si>
    <t>जानेवारी 2009</t>
  </si>
  <si>
    <t>फेब्रुवारी 2009</t>
  </si>
  <si>
    <t>मार्च 2009</t>
  </si>
  <si>
    <t>Regular Salary</t>
  </si>
  <si>
    <t>एकुण 2008-09</t>
  </si>
  <si>
    <t>2009-2010</t>
  </si>
  <si>
    <t>एप्रिल 2009</t>
  </si>
  <si>
    <t>मे 2009</t>
  </si>
  <si>
    <t>जुन 2009</t>
  </si>
  <si>
    <t>जुलै 2009</t>
  </si>
  <si>
    <t>ऑगस्ट 2009</t>
  </si>
  <si>
    <t>सप्टेंबर 2009</t>
  </si>
  <si>
    <t>ऑक्टोबर 2009</t>
  </si>
  <si>
    <t>नोव्हेंबर 2009</t>
  </si>
  <si>
    <t>डिसेंबर 2009</t>
  </si>
  <si>
    <t>जानेवारी 2010</t>
  </si>
  <si>
    <t>फेब्रुवारी 2010</t>
  </si>
  <si>
    <t>मार्च 2010</t>
  </si>
  <si>
    <t>एकुण 2009-10</t>
  </si>
  <si>
    <t>2010-2011</t>
  </si>
  <si>
    <t>एप्रिल 2010</t>
  </si>
  <si>
    <t>मे 2010</t>
  </si>
  <si>
    <t>जुन 2010</t>
  </si>
  <si>
    <t>जुलै 2010</t>
  </si>
  <si>
    <t>ऑगस्ट 2010</t>
  </si>
  <si>
    <t>सप्टेंबर 2010</t>
  </si>
  <si>
    <t>ऑक्टोबर 2010</t>
  </si>
  <si>
    <t>नोव्हेंबर 2010</t>
  </si>
  <si>
    <t>डिसेंबर 2010</t>
  </si>
  <si>
    <t>जानेवारी 2011</t>
  </si>
  <si>
    <t>फेब्रुवारी 2011</t>
  </si>
  <si>
    <t>मार्च 2011</t>
  </si>
  <si>
    <t>एकुण 2010-11</t>
  </si>
  <si>
    <t>2011-12</t>
  </si>
  <si>
    <t>एप्रिल 2011</t>
  </si>
  <si>
    <t>मे 2011</t>
  </si>
  <si>
    <t>जुन 2011</t>
  </si>
  <si>
    <t>जुलै 2011</t>
  </si>
  <si>
    <t>ऑगस्ट 2011</t>
  </si>
  <si>
    <t>सप्टेंबर 2011</t>
  </si>
  <si>
    <t>ऑक्टोबर 2011</t>
  </si>
  <si>
    <t>नोव्हेंबर 2011</t>
  </si>
  <si>
    <t>डिसेंबर 2011</t>
  </si>
  <si>
    <t>व्याज दर 8.60%</t>
  </si>
  <si>
    <t>जानेवारी 2012</t>
  </si>
  <si>
    <t>फेब्रुवारी 2012</t>
  </si>
  <si>
    <t>मार्च 2012</t>
  </si>
  <si>
    <t>एकुण 2011-12</t>
  </si>
  <si>
    <t>2012-13</t>
  </si>
  <si>
    <t>एप्रिल 2012</t>
  </si>
  <si>
    <t>व्याज दर 8.80%</t>
  </si>
  <si>
    <t>मे 2012</t>
  </si>
  <si>
    <t>जुन 2012</t>
  </si>
  <si>
    <t>जुलै 2012</t>
  </si>
  <si>
    <t>ऑगस्ट 2012</t>
  </si>
  <si>
    <t>सप्टेंबर 2012</t>
  </si>
  <si>
    <t>ऑक्टोबर 2012</t>
  </si>
  <si>
    <t>नोव्हेंबर 2012</t>
  </si>
  <si>
    <t>डिसेंबर 2012</t>
  </si>
  <si>
    <t>जानेवारी 2013</t>
  </si>
  <si>
    <t>फेब्रुवारी 2013</t>
  </si>
  <si>
    <t>मार्च 2013</t>
  </si>
  <si>
    <t>एकुण 2012-13</t>
  </si>
  <si>
    <t>2013-14</t>
  </si>
  <si>
    <t>एप्रिल 2013</t>
  </si>
  <si>
    <t>व्याज दर 8.70%</t>
  </si>
  <si>
    <t>मे 2013</t>
  </si>
  <si>
    <t>जुन 2013</t>
  </si>
  <si>
    <t>जुलै 2013</t>
  </si>
  <si>
    <t>ऑगस्ट 2013</t>
  </si>
  <si>
    <t>सप्टेंबर 2013</t>
  </si>
  <si>
    <t>ऑक्टोबर 2013</t>
  </si>
  <si>
    <t>नोव्हेंबर 2013</t>
  </si>
  <si>
    <t>डिसेंबर 2013</t>
  </si>
  <si>
    <t>जानेवारी 2014</t>
  </si>
  <si>
    <t>फेब्रुवारी 2014</t>
  </si>
  <si>
    <t>मार्च 2014</t>
  </si>
  <si>
    <t>एकुण 2013-14</t>
  </si>
  <si>
    <t>2014-2015</t>
  </si>
  <si>
    <t>एप्रिल 2014</t>
  </si>
  <si>
    <t>मे 2014</t>
  </si>
  <si>
    <t>जुन 2014</t>
  </si>
  <si>
    <t>जुलै 2014</t>
  </si>
  <si>
    <t>ऑगस्ट 2014</t>
  </si>
  <si>
    <t>सप्टेंबर 2014</t>
  </si>
  <si>
    <t>ऑक्टोबर 2014</t>
  </si>
  <si>
    <t>नोव्हेंबर 2014</t>
  </si>
  <si>
    <t>डिसेंबर 2014</t>
  </si>
  <si>
    <t>जानेवारी 2015</t>
  </si>
  <si>
    <t>फेब्रुवारी 2015</t>
  </si>
  <si>
    <t>मार्च 2015</t>
  </si>
  <si>
    <t>एकुण 2014-15</t>
  </si>
  <si>
    <t>2015-16</t>
  </si>
  <si>
    <t>एप्रिल 2015</t>
  </si>
  <si>
    <t>मे 2015</t>
  </si>
  <si>
    <t>जुन 2015</t>
  </si>
  <si>
    <t>जुलै 2015</t>
  </si>
  <si>
    <t>ऑगस्ट 2015</t>
  </si>
  <si>
    <t>सप्टेंबर 2015</t>
  </si>
  <si>
    <t>ऑक्टोबर 2015</t>
  </si>
  <si>
    <t>नोव्हेंबर 2015</t>
  </si>
  <si>
    <t>डिसेंबर 2015</t>
  </si>
  <si>
    <t>जानेवारी 2016</t>
  </si>
  <si>
    <t>फेब्रुवारी 2016</t>
  </si>
  <si>
    <t>मार्च 2016</t>
  </si>
  <si>
    <t>एकुण 2015-16</t>
  </si>
  <si>
    <t>2016-17</t>
  </si>
  <si>
    <t>एप्रिल 2016</t>
  </si>
  <si>
    <t>व्याज दर 8.10%</t>
  </si>
  <si>
    <t>मे 2016</t>
  </si>
  <si>
    <t>जुन 2016</t>
  </si>
  <si>
    <t>जुलै 2016</t>
  </si>
  <si>
    <t>ऑगस्ट 2016</t>
  </si>
  <si>
    <t>सप्टेंबर 2016</t>
  </si>
  <si>
    <t>ऑक्टोबर 2016</t>
  </si>
  <si>
    <t>नोव्हेंबर 2016</t>
  </si>
  <si>
    <t>डिसेंबर 2016</t>
  </si>
  <si>
    <t>जानेवारी 2017</t>
  </si>
  <si>
    <t>फेब्रुवारी 2017</t>
  </si>
  <si>
    <t>मार्च 2017</t>
  </si>
  <si>
    <t>एकुण 2016-17</t>
  </si>
  <si>
    <t>2017-18</t>
  </si>
  <si>
    <t xml:space="preserve">     7.8%    7.6%</t>
  </si>
  <si>
    <t>एप्रिल 2017</t>
  </si>
  <si>
    <t>व्याज दर 7.90%</t>
  </si>
  <si>
    <t>मे 2017</t>
  </si>
  <si>
    <t>जुन 2017</t>
  </si>
  <si>
    <t>जुलै 2017</t>
  </si>
  <si>
    <t>व्याज दर 7.80%</t>
  </si>
  <si>
    <t>ऑगस्ट 2017</t>
  </si>
  <si>
    <t>सप्टेंबर 2017</t>
  </si>
  <si>
    <t>ऑक्टोबर 2017</t>
  </si>
  <si>
    <t>नोव्हेंबर 2017</t>
  </si>
  <si>
    <t>डिसेंबर 2017</t>
  </si>
  <si>
    <t>जानेवारी 2018</t>
  </si>
  <si>
    <t>व्याज दर 7.60%</t>
  </si>
  <si>
    <t>फेब्रुवारी 2018</t>
  </si>
  <si>
    <t>मार्च 2018</t>
  </si>
  <si>
    <t>एकुण 2017-18</t>
  </si>
  <si>
    <t>2018-19</t>
  </si>
  <si>
    <t>एप्रिल 2018</t>
  </si>
  <si>
    <t>मे 2018</t>
  </si>
  <si>
    <t>जुन 2018</t>
  </si>
  <si>
    <t>जुलै 2018</t>
  </si>
  <si>
    <t>ऑगस्ट 2018</t>
  </si>
  <si>
    <t>सप्टेंबर 2018</t>
  </si>
  <si>
    <t>ऑक्टोबर 2018</t>
  </si>
  <si>
    <t>नोव्हेंबर 2018</t>
  </si>
  <si>
    <t>डिसेंबर 2018</t>
  </si>
  <si>
    <t>जानेवारी 2019</t>
  </si>
  <si>
    <t>फेब्रुवारी 2019</t>
  </si>
  <si>
    <t>मार्च 2019</t>
  </si>
  <si>
    <t>एकुण 2018-19</t>
  </si>
  <si>
    <t>2019-2020</t>
  </si>
  <si>
    <t>एप्रिल 2019</t>
  </si>
  <si>
    <t>मे 2019</t>
  </si>
  <si>
    <t>जुन 2019</t>
  </si>
  <si>
    <t>जुलै 2019</t>
  </si>
  <si>
    <t>ऑगस्ट 2019</t>
  </si>
  <si>
    <t>सप्टेंबर 2019</t>
  </si>
  <si>
    <t>ऑक्टोबर 2019</t>
  </si>
  <si>
    <t>नोव्हेंबर 2019</t>
  </si>
  <si>
    <t>डिसेंबर 2019</t>
  </si>
  <si>
    <t>जानेवारी 2020</t>
  </si>
  <si>
    <t>फेब्रुवारी 2020</t>
  </si>
  <si>
    <t>मार्च 2020</t>
  </si>
  <si>
    <t>एकुण 2019-20</t>
  </si>
  <si>
    <t>2020-21</t>
  </si>
  <si>
    <t>एप्रिल 2020</t>
  </si>
  <si>
    <t>व्याज दर 7.10%</t>
  </si>
  <si>
    <t>मे 2020</t>
  </si>
  <si>
    <t>जुन 2020</t>
  </si>
  <si>
    <t>जुलै 2020</t>
  </si>
  <si>
    <t>ऑगस्ट 2020</t>
  </si>
  <si>
    <t>सप्टेंबर 2020</t>
  </si>
  <si>
    <t>ऑक्टोबर 2020</t>
  </si>
  <si>
    <t>नोव्हेंबर 2020</t>
  </si>
  <si>
    <t>डिसेंबर 2020</t>
  </si>
  <si>
    <t>जानेवारी 2021</t>
  </si>
  <si>
    <t>फेब्रुवारी 2021</t>
  </si>
  <si>
    <t>मार्च 2021</t>
  </si>
  <si>
    <t>एकुण 2020-21</t>
  </si>
  <si>
    <t>2021-22</t>
  </si>
  <si>
    <t>एप्रिल 2021</t>
  </si>
  <si>
    <t>मे 2021</t>
  </si>
  <si>
    <t>जुन 2021</t>
  </si>
  <si>
    <t>जुलै 2021</t>
  </si>
  <si>
    <t>ऑगस्ट 2021</t>
  </si>
  <si>
    <t>सप्टेंबर 2021</t>
  </si>
  <si>
    <t>ऑक्टोबर 2021</t>
  </si>
  <si>
    <t>नोव्हेंबर 2021</t>
  </si>
  <si>
    <t>डिसेंबर 2021</t>
  </si>
  <si>
    <t>जानेवारी 2022</t>
  </si>
  <si>
    <t>फेब्रुवारी 2022</t>
  </si>
  <si>
    <t>मार्च 2022</t>
  </si>
  <si>
    <t>एकुण 2021-22</t>
  </si>
  <si>
    <t>2022-23</t>
  </si>
  <si>
    <t>एप्रिल 2022</t>
  </si>
  <si>
    <t>मे 2022</t>
  </si>
  <si>
    <t>जुन 2022</t>
  </si>
  <si>
    <t>जुलै 2022</t>
  </si>
  <si>
    <t>ऑगस्ट 2022</t>
  </si>
  <si>
    <t>सप्टेंबर 2022</t>
  </si>
  <si>
    <t>ऑक्टोबर 2022</t>
  </si>
  <si>
    <t>नोव्हेंबर 2022</t>
  </si>
  <si>
    <t>डिसेंबर 2022</t>
  </si>
  <si>
    <t>जानेवारी 2023</t>
  </si>
  <si>
    <t>फेब्रुवारी 2023</t>
  </si>
  <si>
    <t>मार्च 2023</t>
  </si>
  <si>
    <t>एकुण 2022-23</t>
  </si>
  <si>
    <t>2023-24</t>
  </si>
  <si>
    <t>एप्रिल 2023</t>
  </si>
  <si>
    <t>मे 2023</t>
  </si>
  <si>
    <t>जुन 2023</t>
  </si>
  <si>
    <t>जुलै 2023</t>
  </si>
  <si>
    <t>ऑगस्ट 2023</t>
  </si>
  <si>
    <t>सप्टेंबर 2023</t>
  </si>
  <si>
    <t>ऑक्टोबर 2023</t>
  </si>
  <si>
    <t>नोव्हेंबर 2023</t>
  </si>
  <si>
    <t>डिसेंबर 2023</t>
  </si>
  <si>
    <t>जानेवारी 2024</t>
  </si>
  <si>
    <t>फेब्रुवारी 2024</t>
  </si>
  <si>
    <t>मार्च 2024</t>
  </si>
  <si>
    <t>एकुण 2023-24</t>
  </si>
  <si>
    <t>2024-25</t>
  </si>
  <si>
    <t>एप्रिल 2024</t>
  </si>
  <si>
    <t>मे 2024</t>
  </si>
  <si>
    <t>जुन 2024</t>
  </si>
  <si>
    <t>जुलै 2024</t>
  </si>
  <si>
    <t>ऑगस्ट 2024</t>
  </si>
  <si>
    <t>सप्टेंबर 2024</t>
  </si>
  <si>
    <t>ऑक्टोबर 2024</t>
  </si>
  <si>
    <t>नोव्हेंबर 2024</t>
  </si>
  <si>
    <t>डिसेंबर 2024</t>
  </si>
  <si>
    <t>जानेवारी 2025</t>
  </si>
  <si>
    <t>फेब्रुवारी 2025</t>
  </si>
  <si>
    <t>मार्च 2025</t>
  </si>
  <si>
    <t>एकुण 2024-25</t>
  </si>
  <si>
    <t>Salary Type</t>
  </si>
  <si>
    <t>-</t>
  </si>
  <si>
    <t>31-04-2009</t>
  </si>
  <si>
    <t>10% Emp  Actual Contribution as per Voucher</t>
  </si>
  <si>
    <t>Check</t>
  </si>
  <si>
    <t>Death on 17-01-2013</t>
  </si>
  <si>
    <t>31-11-2012</t>
  </si>
  <si>
    <t>कर्मचारी वर्गणी - मिळणाऱ्या व्याजाची रक्कम</t>
  </si>
  <si>
    <t>कर्मचारी वर्गणी - व्याज आकारली जाते ती मासिक रक्कम</t>
  </si>
  <si>
    <t>कर्मचाऱ्याने काढलेल्या कर्ज रक्कमेचा हप्ता (जमा)</t>
  </si>
  <si>
    <t>मिळणाऱ्या व्याजाची एकूण रक्कम</t>
  </si>
  <si>
    <t>एकुण कर्मचारी वर्गणी</t>
  </si>
  <si>
    <t>कर्मचाऱ्याने काढलेल्या कर्ज रक्कमेचा एकुण हप्ता</t>
  </si>
  <si>
    <t>एकुण कर्मचारी वर्गणी व कर्मचाऱ्याने काढलेल्या कर्ज रक्कमेचा हप्ता : जमा (2+3)</t>
  </si>
  <si>
    <t>एकुण जमा (सुरवातीची शिलकेसह) (1+4+5)</t>
  </si>
  <si>
    <t>एकुण मिळणाऱ्या व्याजाची रक्कम (8+9)</t>
  </si>
  <si>
    <t>मनपा वर्गणी</t>
  </si>
  <si>
    <t>नियमित वेतन</t>
  </si>
  <si>
    <t>पुरवणी वेतन</t>
  </si>
  <si>
    <t>कर्मचाऱ्याने काढलेल्या कर्ज रक्कमेचा एकुण हप्ता (जमा)</t>
  </si>
  <si>
    <t>व्याज आकारली जाते ती मासिक एकूण रक्कम</t>
  </si>
  <si>
    <t>मनपा वर्गणी - व्याज आकारली जाते ती मासिक रक्कम</t>
  </si>
  <si>
    <t>मनपा वर्गणी - मिळणाऱ्या व्याजाची रक्कम</t>
  </si>
  <si>
    <t>10% Emp Ideal Contri</t>
  </si>
  <si>
    <t>मार्च 2008 अखेर शिल्लक (6-7+10)</t>
  </si>
  <si>
    <t>मार्च 2009 अखेर शिल्लक (6-7+10)</t>
  </si>
  <si>
    <t>मार्च 2010 अखेर शिल्लक (6-7+10)</t>
  </si>
  <si>
    <t>Total DCPS Contribution Recovery Amount</t>
  </si>
  <si>
    <t>Total DCPS Contribution Excess Recovery Amount</t>
  </si>
  <si>
    <t>2009-10</t>
  </si>
  <si>
    <t>2010-11</t>
  </si>
  <si>
    <t>Year</t>
  </si>
  <si>
    <t>2007-2008</t>
  </si>
  <si>
    <t>Month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</si>
  <si>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</si>
  <si>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</si>
  <si>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</si>
  <si>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</si>
  <si>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</si>
  <si>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</si>
  <si>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</si>
  <si>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</si>
  <si>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</si>
  <si>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</si>
  <si>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</si>
  <si>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</si>
  <si>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2008-2009</t>
  </si>
  <si>
    <t>2011-2012</t>
  </si>
  <si>
    <t>2012-2013</t>
  </si>
  <si>
    <t>DCPS Amount Settled</t>
  </si>
  <si>
    <t>Updated Final Closing Amount</t>
  </si>
  <si>
    <t>Difference</t>
  </si>
  <si>
    <t>Emp Cont</t>
  </si>
  <si>
    <t>Int on Emp Cont</t>
  </si>
  <si>
    <t>NMC Cont</t>
  </si>
  <si>
    <t>Int on NMC Cont</t>
  </si>
  <si>
    <t>O.B.</t>
  </si>
  <si>
    <t>Closing</t>
  </si>
  <si>
    <t>DP</t>
  </si>
  <si>
    <t>10% DCPS</t>
  </si>
  <si>
    <t>Start Date</t>
  </si>
  <si>
    <t>End Date</t>
  </si>
  <si>
    <t>Duration</t>
  </si>
  <si>
    <t>Paid Salary</t>
  </si>
  <si>
    <t>Payble Salary</t>
  </si>
  <si>
    <t>Salary Difference</t>
  </si>
  <si>
    <t>Voucher Details</t>
  </si>
  <si>
    <t xml:space="preserve">Salary Difference Calculations - Shri. Ganesh T. Mahajan, Jr. Engineer, Emp. No. 9255, Electrical Department, Nashik Municipal Corporation, Nashik via Hon. Comm. Order No. 1079, Outward No./Est./WS/3867/2009, dated 31-12-2009 </t>
  </si>
  <si>
    <t>Salary Difference Calculations - Shri. Ganesh T. Mahajan, Jr. Engineer, Emp. No. 9255, Electrical Department, Nashik Municipal Corporation, Nashik via Hon. Comm. Order No. 1122, Outward No./Est./WS/1828/2011, dated 26-07-2011</t>
  </si>
  <si>
    <t>Salary Voucher Type</t>
  </si>
  <si>
    <t>Checked, Verfied &amp; Validated</t>
  </si>
  <si>
    <t>To be Checked, Verfied &amp; Validated</t>
  </si>
  <si>
    <t>Diff from Jan 06 to Mar 09</t>
  </si>
  <si>
    <t>Recovery as per Ord. No 05, dated 05.01.09</t>
  </si>
  <si>
    <t>Net</t>
  </si>
  <si>
    <t>1st Installment</t>
  </si>
  <si>
    <t>2nd Installment</t>
  </si>
  <si>
    <t>3rd Installment</t>
  </si>
  <si>
    <t>4th Installment</t>
  </si>
  <si>
    <t>5th Installment</t>
  </si>
  <si>
    <t>2013-2014</t>
  </si>
  <si>
    <t>DCPS Difference</t>
  </si>
  <si>
    <t>HRA</t>
  </si>
  <si>
    <t>Total Paid</t>
  </si>
  <si>
    <t>Remarks</t>
  </si>
  <si>
    <t>Difference in Total DCPS Contribution Recovery Amount &amp; Excess Recovery Amount</t>
  </si>
  <si>
    <t>To be deleted</t>
  </si>
  <si>
    <t>Remarks 1</t>
  </si>
  <si>
    <t>Honororium Bill for the month of June 2007</t>
  </si>
  <si>
    <t>Honororium Bill for the month of July 2007</t>
  </si>
  <si>
    <t>Honororium Bill for the month of August 2007</t>
  </si>
  <si>
    <t>Honororium Bill for the month of September 2007</t>
  </si>
  <si>
    <t>Honororium Bill for the month of October 2007</t>
  </si>
  <si>
    <t>Honororium Bill for the month of November 2007</t>
  </si>
  <si>
    <t>Honororium Bill for the month of December 2007</t>
  </si>
  <si>
    <t>Honororium Bill for the month of January 2008</t>
  </si>
  <si>
    <t>Honororium Bill for the month of February 2008</t>
  </si>
  <si>
    <t>Regular Salary Bill for the month of March 2009</t>
  </si>
  <si>
    <t>Regular Salary Difference Bill for the month of February 2009</t>
  </si>
  <si>
    <t>6th Pay Arrears 1st Installment</t>
  </si>
  <si>
    <t>6th Pay Arrears 2nd Installment</t>
  </si>
  <si>
    <t>Regular Salary Bill for the month of June 2009</t>
  </si>
  <si>
    <t>Regular Salary Bill for the month of July 2009</t>
  </si>
  <si>
    <t>Regular Salary Bill for the month of August 2009</t>
  </si>
  <si>
    <t>Regular Salary Bill for the month of September 2009</t>
  </si>
  <si>
    <t>Regular Salary Bill for the month of October 2009</t>
  </si>
  <si>
    <t>Regular Salary Bill for the month of November 2009</t>
  </si>
  <si>
    <t>Regular Salary Bill for the month of December 2009</t>
  </si>
  <si>
    <t>Regular Salary Bill for the month of January 2010</t>
  </si>
  <si>
    <t>Regular Salary Bill for the month of February 2010</t>
  </si>
  <si>
    <t>Regular Salary Bill for the month of March 2010</t>
  </si>
  <si>
    <t>Regular Salary Bill for the month of April 2009</t>
  </si>
  <si>
    <t>Regular Salary Bill for the month of May 2009</t>
  </si>
  <si>
    <t>Regular Salary Bill for the month of January 2011</t>
  </si>
  <si>
    <t>Regular Salary Bill for the month of February 2011</t>
  </si>
  <si>
    <t>Regular Salary Bill for the month of March 2011</t>
  </si>
  <si>
    <t>Regular Salary Bill for the month of April 2010</t>
  </si>
  <si>
    <t>Regular Salary Bill for the month of May 2010</t>
  </si>
  <si>
    <t>Regular Salary Bill for the month of June 2010</t>
  </si>
  <si>
    <t>Regular Salary Bill for the month of July 2010</t>
  </si>
  <si>
    <t>Regular Salary Bill for the month of August 2010</t>
  </si>
  <si>
    <t>Regular Salary Bill for the month of September 2010</t>
  </si>
  <si>
    <t>Regular Salary Bill for the month of October 2010</t>
  </si>
  <si>
    <t>Regular Salary Bill for the month of November 2010</t>
  </si>
  <si>
    <t>Regular Salary Bill for the month of December 2010</t>
  </si>
  <si>
    <t>Regular Salary Difference Bill from June 2007 to March 2009</t>
  </si>
  <si>
    <t>Regular Salary Difference Bill from June 2007 to June 2010</t>
  </si>
  <si>
    <t>Regular Salary DA Difference Bill from January 2009 to October 2009</t>
  </si>
  <si>
    <t>Regular Salary Bill for the month of April 2011</t>
  </si>
  <si>
    <t>Regular Salary Bill for the month of May 2011</t>
  </si>
  <si>
    <t>Regular Salary Bill for the month of June 2011</t>
  </si>
  <si>
    <t>Regular Salary Bill for the month of July 2011</t>
  </si>
  <si>
    <t>Regular Salary Difference Bill from November 2009 to July 2011</t>
  </si>
  <si>
    <t>Regular Salary Bill for the month of August 2011</t>
  </si>
  <si>
    <t>Regular Salary Bill for the month of September 2011</t>
  </si>
  <si>
    <t>Regular Salary Bill for the month of January 2012</t>
  </si>
  <si>
    <t>Regular Salary Bill for the month of February 2012</t>
  </si>
  <si>
    <t>Regular Salary Bill for the month of March 2012</t>
  </si>
  <si>
    <t>Regular Salary Bill for the month of October 2011</t>
  </si>
  <si>
    <t>Regular Salary Bill for the month of November 2011</t>
  </si>
  <si>
    <t>Regular Salary Bill for the month of December 2011</t>
  </si>
  <si>
    <t>मार्च 2011 अखेर शिल्लक (6-7+10)</t>
  </si>
  <si>
    <t>मार्च 2012 अखेर शिल्लक (6-7+10)</t>
  </si>
  <si>
    <t>मार्च 2013 अखेर शिल्लक (6-7+10)</t>
  </si>
  <si>
    <t>Received</t>
  </si>
  <si>
    <t>Fixed Pay Bill for the month of April 2008</t>
  </si>
  <si>
    <t>Fixed Pay Bill for the month of May 2008</t>
  </si>
  <si>
    <t>Fixed Pay Bill for the month of June 2008</t>
  </si>
  <si>
    <t>Fixed Pay Bill for the month of July 2008</t>
  </si>
  <si>
    <t>Fixed Pay Bill for the month of August 2008</t>
  </si>
  <si>
    <t>Fixed Pay Bill for the month of September 2008</t>
  </si>
  <si>
    <t>Fixed Pay Bill for the month of October 2008</t>
  </si>
  <si>
    <t>Fixed Pay Bill for the month of November 2008</t>
  </si>
  <si>
    <t>Fixed Pay Bill for the month of December 2008</t>
  </si>
  <si>
    <t>Fixed Pay Bill for the month of January 2009</t>
  </si>
  <si>
    <t>Regular Salary Bill for the month of April 2012</t>
  </si>
  <si>
    <t>Regular Salary Bill for the month of May 2012</t>
  </si>
  <si>
    <t>Regular Salary Bill for the month of June 2012</t>
  </si>
  <si>
    <t>Regular Salary Bill for the month of July 2012</t>
  </si>
  <si>
    <t>Regular Salary Bill for the month of August 2012</t>
  </si>
  <si>
    <t>Regular Salary Bill for the month of September 2012</t>
  </si>
  <si>
    <t>Regular Salary Bill for the month of October 2012</t>
  </si>
  <si>
    <t>Regular Salary Bill for the month of November 2012</t>
  </si>
  <si>
    <t>Regular Salary Bill for the month of December 2012</t>
  </si>
  <si>
    <t>Regular Salary Bill for the month of January 2013</t>
  </si>
  <si>
    <t>Bill Scanning Status</t>
  </si>
  <si>
    <t>Bill Scanned</t>
  </si>
  <si>
    <t>NMC Share</t>
  </si>
  <si>
    <t>NMC Share Interest</t>
  </si>
  <si>
    <t>Honororium Bill for the month of March 2008</t>
  </si>
  <si>
    <t>Check Bill No.</t>
  </si>
  <si>
    <t>06.06.2007</t>
  </si>
  <si>
    <t>Employee Share</t>
  </si>
  <si>
    <t>Employee Share Interest</t>
  </si>
  <si>
    <t>Total Employee Share + Interest</t>
  </si>
  <si>
    <t>Grand Total</t>
  </si>
  <si>
    <t>(श्री. केतन अ. रेवर)</t>
  </si>
  <si>
    <t>(श्री. साहेबराव मा. पाटील)</t>
  </si>
  <si>
    <t>(श्री. गुलाब वा. गावीत)</t>
  </si>
  <si>
    <r>
      <rPr>
        <b/>
        <sz val="8"/>
        <color rgb="FF000000"/>
        <rFont val="Calibri"/>
        <family val="2"/>
        <scheme val="minor"/>
      </rPr>
      <t>प्रमाणपत्र</t>
    </r>
    <r>
      <rPr>
        <sz val="8"/>
        <color indexed="8"/>
        <rFont val="Calibri"/>
        <family val="2"/>
        <scheme val="minor"/>
      </rPr>
      <t xml:space="preserve">
विभागाने 
1. कर्मचारी अंशदान वर्गणी कपात नमूना-2, आणि / किंवा 
2. वेतन देयक आणि / किंवा 
3. वेतन पत्रिका इ. 
अन्वये सदर कर्मचाऱ्याच्या नविन परिभाषित अंशदान निवृत्तीवेतन योजनेबाबतच्या अंशदान वर्गणी कपाती विभागाने प्रमाणित केलेल्या असून त्यानूसार  सदर लेखांकन अचुक व बरोबर आहे.</t>
    </r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</si>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</sst>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DVOT-SurekhMR"/>
    </font>
    <font>
      <sz val="8"/>
      <color theme="1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1"/>
      <name val="DVOT-SurekhMR"/>
    </font>
    <font>
      <b/>
      <sz val="11"/>
      <color indexed="8"/>
      <name val="DVOT-SurekhMR"/>
    </font>
    <font>
      <sz val="8"/>
      <color indexed="8"/>
      <name val="DV-otsurekh"/>
    </font>
    <font>
      <sz val="11"/>
      <color rgb="FF00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DVOT-SurekhMR"/>
    </font>
    <font>
      <sz val="11"/>
      <color indexed="8"/>
      <name val="DVOT-SurekhMR"/>
    </font>
    <font>
      <b/>
      <sz val="8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5">
    <xf numFmtId="0" fontId="0" fillId="0" borderId="0" xfId="0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 wrapText="1"/>
    </xf>
    <xf numFmtId="10" fontId="4" fillId="0" borderId="2" xfId="0" applyNumberFormat="1" applyFont="1" applyBorder="1" applyAlignment="1">
      <alignment horizontal="center" vertical="center" wrapText="1"/>
    </xf>
    <xf numFmtId="2" fontId="4" fillId="0" borderId="3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5" fillId="0" borderId="7" xfId="0" applyNumberFormat="1" applyFont="1" applyBorder="1" applyAlignment="1">
      <alignment horizontal="center" vertical="center" wrapText="1"/>
    </xf>
    <xf numFmtId="2" fontId="5" fillId="0" borderId="8" xfId="0" applyNumberFormat="1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2" fontId="5" fillId="0" borderId="2" xfId="0" applyNumberFormat="1" applyFon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9" fillId="0" borderId="0" xfId="0" applyFont="1"/>
    <xf numFmtId="0" fontId="0" fillId="2" borderId="0" xfId="0" applyFill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2" fontId="0" fillId="0" borderId="0" xfId="0" applyNumberFormat="1" applyAlignment="1">
      <alignment horizontal="right" vertical="center" wrapText="1"/>
    </xf>
    <xf numFmtId="0" fontId="0" fillId="2" borderId="0" xfId="0" applyFill="1" applyAlignment="1">
      <alignment horizontal="right" vertical="center" wrapText="1"/>
    </xf>
    <xf numFmtId="2" fontId="0" fillId="2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14" fontId="0" fillId="3" borderId="0" xfId="0" applyNumberForma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2" fontId="4" fillId="0" borderId="7" xfId="0" applyNumberFormat="1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2" fontId="4" fillId="0" borderId="20" xfId="0" applyNumberFormat="1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2" fontId="5" fillId="0" borderId="17" xfId="0" applyNumberFormat="1" applyFont="1" applyBorder="1" applyAlignment="1">
      <alignment horizontal="center" vertical="center" wrapText="1"/>
    </xf>
    <xf numFmtId="2" fontId="5" fillId="0" borderId="6" xfId="0" applyNumberFormat="1" applyFont="1" applyBorder="1" applyAlignment="1">
      <alignment horizontal="center" vertical="center" wrapText="1"/>
    </xf>
    <xf numFmtId="2" fontId="5" fillId="0" borderId="15" xfId="0" applyNumberFormat="1" applyFont="1" applyBorder="1" applyAlignment="1">
      <alignment horizontal="center" vertical="center" wrapText="1"/>
    </xf>
    <xf numFmtId="0" fontId="10" fillId="2" borderId="0" xfId="0" applyFont="1" applyFill="1"/>
    <xf numFmtId="0" fontId="4" fillId="0" borderId="22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2" fontId="5" fillId="0" borderId="25" xfId="0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2" fontId="4" fillId="0" borderId="12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 wrapText="1"/>
    </xf>
    <xf numFmtId="10" fontId="4" fillId="0" borderId="12" xfId="0" applyNumberFormat="1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2" fontId="1" fillId="0" borderId="0" xfId="0" applyNumberFormat="1" applyFont="1" applyAlignment="1">
      <alignment horizontal="right" vertical="center" wrapText="1"/>
    </xf>
    <xf numFmtId="0" fontId="6" fillId="0" borderId="0" xfId="0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 wrapText="1"/>
    </xf>
    <xf numFmtId="17" fontId="0" fillId="0" borderId="0" xfId="0" applyNumberFormat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14" fontId="0" fillId="4" borderId="0" xfId="0" applyNumberFormat="1" applyFill="1" applyAlignment="1">
      <alignment horizontal="center" vertical="center" wrapText="1"/>
    </xf>
    <xf numFmtId="0" fontId="0" fillId="4" borderId="0" xfId="0" applyFill="1" applyAlignment="1">
      <alignment horizontal="right" vertical="center" wrapText="1"/>
    </xf>
    <xf numFmtId="2" fontId="0" fillId="4" borderId="0" xfId="0" applyNumberFormat="1" applyFill="1" applyAlignment="1">
      <alignment horizontal="right" vertical="center" wrapText="1"/>
    </xf>
    <xf numFmtId="0" fontId="6" fillId="0" borderId="18" xfId="0" applyFont="1" applyBorder="1" applyAlignment="1">
      <alignment vertical="center" wrapText="1"/>
    </xf>
    <xf numFmtId="0" fontId="6" fillId="0" borderId="21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2" borderId="2" xfId="0" applyFill="1" applyBorder="1" applyAlignment="1">
      <alignment horizontal="right" vertical="center" wrapText="1"/>
    </xf>
    <xf numFmtId="0" fontId="3" fillId="0" borderId="18" xfId="0" applyFont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2" fontId="1" fillId="0" borderId="12" xfId="0" applyNumberFormat="1" applyFont="1" applyBorder="1" applyAlignment="1">
      <alignment horizontal="right" vertical="center" wrapText="1"/>
    </xf>
    <xf numFmtId="2" fontId="0" fillId="0" borderId="41" xfId="0" applyNumberFormat="1" applyBorder="1" applyAlignment="1">
      <alignment horizontal="right" vertical="center" wrapText="1"/>
    </xf>
    <xf numFmtId="2" fontId="0" fillId="0" borderId="35" xfId="0" applyNumberFormat="1" applyBorder="1" applyAlignment="1">
      <alignment horizontal="right" vertical="center" wrapText="1"/>
    </xf>
    <xf numFmtId="2" fontId="1" fillId="0" borderId="35" xfId="0" applyNumberFormat="1" applyFont="1" applyBorder="1" applyAlignment="1">
      <alignment horizontal="right" vertical="center" wrapText="1"/>
    </xf>
    <xf numFmtId="2" fontId="1" fillId="0" borderId="42" xfId="0" applyNumberFormat="1" applyFont="1" applyBorder="1" applyAlignment="1">
      <alignment horizontal="right" vertical="center" wrapText="1"/>
    </xf>
    <xf numFmtId="0" fontId="8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1" fillId="0" borderId="12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14" fontId="12" fillId="0" borderId="13" xfId="0" applyNumberFormat="1" applyFont="1" applyBorder="1" applyAlignment="1">
      <alignment horizontal="center" vertical="center" wrapText="1"/>
    </xf>
    <xf numFmtId="14" fontId="12" fillId="0" borderId="16" xfId="0" applyNumberFormat="1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1" fontId="12" fillId="0" borderId="13" xfId="0" applyNumberFormat="1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14" fontId="12" fillId="0" borderId="18" xfId="0" applyNumberFormat="1" applyFont="1" applyBorder="1" applyAlignment="1">
      <alignment horizontal="center" vertical="center" wrapText="1"/>
    </xf>
    <xf numFmtId="14" fontId="12" fillId="0" borderId="17" xfId="0" applyNumberFormat="1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1" fontId="12" fillId="0" borderId="18" xfId="0" applyNumberFormat="1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14" fontId="12" fillId="0" borderId="21" xfId="0" applyNumberFormat="1" applyFont="1" applyBorder="1" applyAlignment="1">
      <alignment horizontal="center" vertical="center" wrapText="1"/>
    </xf>
    <xf numFmtId="14" fontId="12" fillId="0" borderId="19" xfId="0" applyNumberFormat="1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1" fontId="12" fillId="0" borderId="21" xfId="0" applyNumberFormat="1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14" fontId="12" fillId="0" borderId="6" xfId="0" applyNumberFormat="1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14" fontId="12" fillId="0" borderId="2" xfId="0" applyNumberFormat="1" applyFont="1" applyBorder="1" applyAlignment="1">
      <alignment horizontal="center" vertical="center" wrapText="1"/>
    </xf>
    <xf numFmtId="1" fontId="11" fillId="0" borderId="12" xfId="0" applyNumberFormat="1" applyFont="1" applyBorder="1" applyAlignment="1">
      <alignment horizontal="center" vertical="center" wrapText="1"/>
    </xf>
    <xf numFmtId="0" fontId="1" fillId="0" borderId="0" xfId="0" applyFont="1"/>
    <xf numFmtId="0" fontId="11" fillId="0" borderId="20" xfId="0" applyFont="1" applyBorder="1" applyAlignment="1">
      <alignment horizontal="center" vertical="center" wrapText="1"/>
    </xf>
    <xf numFmtId="0" fontId="1" fillId="0" borderId="7" xfId="0" applyFont="1" applyBorder="1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/>
    <xf numFmtId="1" fontId="1" fillId="0" borderId="18" xfId="0" applyNumberFormat="1" applyFont="1" applyBorder="1"/>
    <xf numFmtId="1" fontId="1" fillId="0" borderId="2" xfId="0" applyNumberFormat="1" applyFont="1" applyBorder="1"/>
    <xf numFmtId="1" fontId="0" fillId="0" borderId="18" xfId="0" applyNumberFormat="1" applyBorder="1"/>
    <xf numFmtId="0" fontId="1" fillId="0" borderId="20" xfId="0" applyFont="1" applyBorder="1" applyAlignment="1">
      <alignment horizontal="center" vertical="center"/>
    </xf>
    <xf numFmtId="1" fontId="1" fillId="0" borderId="20" xfId="0" applyNumberFormat="1" applyFont="1" applyBorder="1"/>
    <xf numFmtId="0" fontId="1" fillId="0" borderId="20" xfId="0" applyFont="1" applyBorder="1"/>
    <xf numFmtId="1" fontId="0" fillId="0" borderId="21" xfId="0" applyNumberFormat="1" applyBorder="1"/>
    <xf numFmtId="0" fontId="0" fillId="0" borderId="0" xfId="0" applyAlignment="1">
      <alignment horizontal="left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7" xfId="0" applyBorder="1" applyAlignment="1">
      <alignment horizontal="center" vertical="center" wrapText="1"/>
    </xf>
    <xf numFmtId="14" fontId="0" fillId="0" borderId="13" xfId="0" applyNumberForma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4" fontId="0" fillId="0" borderId="18" xfId="0" applyNumberForma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14" fontId="0" fillId="0" borderId="21" xfId="0" applyNumberForma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2" fontId="0" fillId="0" borderId="2" xfId="0" applyNumberFormat="1" applyBorder="1" applyAlignment="1">
      <alignment horizontal="right" vertical="center" wrapText="1"/>
    </xf>
    <xf numFmtId="0" fontId="1" fillId="0" borderId="22" xfId="0" applyFont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right" vertical="center" wrapText="1"/>
    </xf>
    <xf numFmtId="1" fontId="0" fillId="0" borderId="2" xfId="0" applyNumberFormat="1" applyBorder="1" applyAlignment="1">
      <alignment horizontal="right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right" vertical="center" wrapText="1"/>
    </xf>
    <xf numFmtId="1" fontId="10" fillId="0" borderId="2" xfId="0" applyNumberFormat="1" applyFont="1" applyBorder="1" applyAlignment="1">
      <alignment vertical="center"/>
    </xf>
    <xf numFmtId="0" fontId="6" fillId="0" borderId="18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4" fontId="11" fillId="0" borderId="19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1" fontId="12" fillId="5" borderId="18" xfId="0" applyNumberFormat="1" applyFont="1" applyFill="1" applyBorder="1" applyAlignment="1">
      <alignment horizontal="center" vertical="center" wrapText="1"/>
    </xf>
    <xf numFmtId="0" fontId="12" fillId="5" borderId="18" xfId="0" applyFont="1" applyFill="1" applyBorder="1" applyAlignment="1">
      <alignment horizontal="center" vertical="center" wrapText="1"/>
    </xf>
    <xf numFmtId="1" fontId="11" fillId="5" borderId="21" xfId="0" applyNumberFormat="1" applyFont="1" applyFill="1" applyBorder="1" applyAlignment="1">
      <alignment horizontal="center" vertical="center" wrapText="1"/>
    </xf>
    <xf numFmtId="1" fontId="12" fillId="5" borderId="21" xfId="0" applyNumberFormat="1" applyFont="1" applyFill="1" applyBorder="1" applyAlignment="1">
      <alignment horizontal="center" vertical="center" wrapText="1"/>
    </xf>
    <xf numFmtId="0" fontId="12" fillId="5" borderId="29" xfId="0" applyFont="1" applyFill="1" applyBorder="1" applyAlignment="1">
      <alignment horizontal="center" vertical="center" wrapText="1"/>
    </xf>
    <xf numFmtId="1" fontId="11" fillId="5" borderId="12" xfId="0" applyNumberFormat="1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14" fontId="11" fillId="0" borderId="13" xfId="0" applyNumberFormat="1" applyFont="1" applyBorder="1" applyAlignment="1">
      <alignment horizontal="center" vertical="center" wrapText="1"/>
    </xf>
    <xf numFmtId="14" fontId="11" fillId="0" borderId="16" xfId="0" applyNumberFormat="1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1" fontId="11" fillId="5" borderId="13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4" fontId="11" fillId="0" borderId="18" xfId="0" applyNumberFormat="1" applyFont="1" applyBorder="1" applyAlignment="1">
      <alignment horizontal="center" vertical="center" wrapText="1"/>
    </xf>
    <xf numFmtId="14" fontId="11" fillId="0" borderId="17" xfId="0" applyNumberFormat="1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1" fontId="11" fillId="5" borderId="18" xfId="0" applyNumberFormat="1" applyFont="1" applyFill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14" fontId="11" fillId="0" borderId="21" xfId="0" applyNumberFormat="1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14" fontId="11" fillId="0" borderId="2" xfId="0" applyNumberFormat="1" applyFont="1" applyBorder="1" applyAlignment="1">
      <alignment horizontal="center" vertical="center" wrapText="1"/>
    </xf>
    <xf numFmtId="14" fontId="1" fillId="0" borderId="13" xfId="0" applyNumberFormat="1" applyFont="1" applyBorder="1" applyAlignment="1">
      <alignment horizontal="center" vertical="center" wrapText="1"/>
    </xf>
    <xf numFmtId="14" fontId="1" fillId="5" borderId="13" xfId="0" applyNumberFormat="1" applyFont="1" applyFill="1" applyBorder="1" applyAlignment="1">
      <alignment horizontal="center" vertical="center" wrapText="1"/>
    </xf>
    <xf numFmtId="17" fontId="1" fillId="0" borderId="0" xfId="0" applyNumberFormat="1" applyFont="1"/>
    <xf numFmtId="14" fontId="1" fillId="0" borderId="18" xfId="0" applyNumberFormat="1" applyFont="1" applyBorder="1" applyAlignment="1">
      <alignment horizontal="center" vertical="center" wrapText="1"/>
    </xf>
    <xf numFmtId="14" fontId="1" fillId="5" borderId="18" xfId="0" applyNumberFormat="1" applyFont="1" applyFill="1" applyBorder="1" applyAlignment="1">
      <alignment horizontal="center" vertical="center" wrapText="1"/>
    </xf>
    <xf numFmtId="14" fontId="1" fillId="0" borderId="21" xfId="0" applyNumberFormat="1" applyFont="1" applyBorder="1" applyAlignment="1">
      <alignment horizontal="center" vertical="center" wrapText="1"/>
    </xf>
    <xf numFmtId="14" fontId="1" fillId="5" borderId="21" xfId="0" applyNumberFormat="1" applyFont="1" applyFill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14" fontId="1" fillId="5" borderId="2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right" vertical="center" wrapText="1"/>
    </xf>
    <xf numFmtId="1" fontId="1" fillId="0" borderId="2" xfId="0" applyNumberFormat="1" applyFont="1" applyBorder="1" applyAlignment="1">
      <alignment horizontal="right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14" fontId="11" fillId="0" borderId="30" xfId="0" applyNumberFormat="1" applyFont="1" applyBorder="1" applyAlignment="1">
      <alignment horizontal="center" vertical="center" wrapText="1"/>
    </xf>
    <xf numFmtId="14" fontId="11" fillId="0" borderId="35" xfId="0" applyNumberFormat="1" applyFont="1" applyBorder="1" applyAlignment="1">
      <alignment horizontal="center" vertical="center" wrapText="1"/>
    </xf>
    <xf numFmtId="14" fontId="11" fillId="0" borderId="31" xfId="0" applyNumberFormat="1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/>
    </xf>
    <xf numFmtId="0" fontId="11" fillId="0" borderId="37" xfId="0" applyFont="1" applyBorder="1" applyAlignment="1">
      <alignment horizontal="center"/>
    </xf>
    <xf numFmtId="0" fontId="11" fillId="0" borderId="38" xfId="0" applyFont="1" applyBorder="1" applyAlignment="1">
      <alignment horizontal="center"/>
    </xf>
    <xf numFmtId="0" fontId="11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2" fontId="5" fillId="0" borderId="6" xfId="0" applyNumberFormat="1" applyFont="1" applyBorder="1" applyAlignment="1">
      <alignment horizontal="center" vertical="center" wrapText="1"/>
    </xf>
    <xf numFmtId="2" fontId="5" fillId="0" borderId="14" xfId="0" applyNumberFormat="1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2" fontId="5" fillId="0" borderId="15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2" fontId="0" fillId="0" borderId="15" xfId="0" applyNumberFormat="1" applyBorder="1" applyAlignment="1">
      <alignment horizontal="right" vertical="center" wrapText="1"/>
    </xf>
    <xf numFmtId="2" fontId="0" fillId="0" borderId="27" xfId="0" applyNumberFormat="1" applyBorder="1" applyAlignment="1">
      <alignment horizontal="right" vertical="center" wrapText="1"/>
    </xf>
    <xf numFmtId="2" fontId="0" fillId="0" borderId="24" xfId="0" applyNumberFormat="1" applyBorder="1" applyAlignment="1">
      <alignment horizontal="center" vertical="center" wrapText="1"/>
    </xf>
    <xf numFmtId="2" fontId="0" fillId="0" borderId="27" xfId="0" applyNumberFormat="1" applyBorder="1" applyAlignment="1">
      <alignment horizontal="center" vertical="center" wrapText="1"/>
    </xf>
    <xf numFmtId="2" fontId="1" fillId="0" borderId="19" xfId="0" applyNumberFormat="1" applyFont="1" applyBorder="1" applyAlignment="1">
      <alignment horizontal="center" vertical="center" wrapText="1"/>
    </xf>
    <xf numFmtId="2" fontId="0" fillId="0" borderId="2" xfId="0" applyNumberFormat="1" applyBorder="1" applyAlignment="1">
      <alignment horizontal="right" vertical="center" wrapText="1"/>
    </xf>
    <xf numFmtId="2" fontId="0" fillId="0" borderId="18" xfId="0" applyNumberFormat="1" applyBorder="1" applyAlignment="1">
      <alignment horizontal="right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2" fontId="0" fillId="0" borderId="6" xfId="0" applyNumberFormat="1" applyBorder="1" applyAlignment="1">
      <alignment horizontal="right" vertical="center" wrapText="1"/>
    </xf>
    <xf numFmtId="2" fontId="0" fillId="0" borderId="29" xfId="0" applyNumberFormat="1" applyBorder="1" applyAlignment="1">
      <alignment horizontal="righ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2" fontId="4" fillId="0" borderId="9" xfId="0" applyNumberFormat="1" applyFont="1" applyBorder="1" applyAlignment="1">
      <alignment horizontal="center" vertical="center" wrapText="1"/>
    </xf>
    <xf numFmtId="2" fontId="4" fillId="0" borderId="10" xfId="0" applyNumberFormat="1" applyFont="1" applyBorder="1" applyAlignment="1">
      <alignment horizontal="center" vertical="center" wrapText="1"/>
    </xf>
    <xf numFmtId="2" fontId="4" fillId="0" borderId="11" xfId="0" applyNumberFormat="1" applyFont="1" applyBorder="1" applyAlignment="1">
      <alignment horizontal="center" vertical="center" wrapText="1"/>
    </xf>
    <xf numFmtId="2" fontId="1" fillId="0" borderId="30" xfId="0" applyNumberFormat="1" applyFont="1" applyBorder="1" applyAlignment="1">
      <alignment horizontal="right" vertical="center" wrapText="1"/>
    </xf>
    <xf numFmtId="2" fontId="1" fillId="0" borderId="31" xfId="0" applyNumberFormat="1" applyFont="1" applyBorder="1" applyAlignment="1">
      <alignment horizontal="right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 vertical="justify" wrapText="1"/>
    </xf>
    <xf numFmtId="0" fontId="6" fillId="0" borderId="27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2" fontId="4" fillId="0" borderId="28" xfId="0" applyNumberFormat="1" applyFont="1" applyBorder="1" applyAlignment="1">
      <alignment horizontal="center" vertical="center" wrapText="1"/>
    </xf>
    <xf numFmtId="2" fontId="4" fillId="0" borderId="26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2" fontId="4" fillId="0" borderId="3" xfId="0" applyNumberFormat="1" applyFont="1" applyBorder="1" applyAlignment="1">
      <alignment horizontal="center" vertical="center" wrapText="1"/>
    </xf>
    <xf numFmtId="2" fontId="4" fillId="0" borderId="4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2" fontId="5" fillId="0" borderId="2" xfId="0" applyNumberFormat="1" applyFont="1" applyBorder="1" applyAlignment="1">
      <alignment horizontal="center" vertical="center" wrapText="1"/>
    </xf>
    <xf numFmtId="2" fontId="4" fillId="0" borderId="5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2" fontId="5" fillId="0" borderId="3" xfId="0" applyNumberFormat="1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2" fontId="5" fillId="0" borderId="5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2" fontId="0" fillId="0" borderId="17" xfId="0" applyNumberFormat="1" applyBorder="1" applyAlignment="1">
      <alignment horizontal="center" vertical="center" wrapText="1"/>
    </xf>
    <xf numFmtId="2" fontId="0" fillId="0" borderId="18" xfId="0" applyNumberFormat="1" applyBorder="1" applyAlignment="1">
      <alignment horizontal="center" vertical="center" wrapText="1"/>
    </xf>
    <xf numFmtId="2" fontId="0" fillId="0" borderId="22" xfId="0" applyNumberFormat="1" applyBorder="1" applyAlignment="1">
      <alignment horizontal="center" vertical="center" wrapText="1"/>
    </xf>
    <xf numFmtId="2" fontId="0" fillId="0" borderId="29" xfId="0" applyNumberFormat="1" applyBorder="1" applyAlignment="1">
      <alignment horizontal="center" vertical="center" wrapText="1"/>
    </xf>
    <xf numFmtId="2" fontId="1" fillId="0" borderId="30" xfId="0" applyNumberFormat="1" applyFont="1" applyBorder="1" applyAlignment="1">
      <alignment horizontal="center" vertical="center" wrapText="1"/>
    </xf>
    <xf numFmtId="2" fontId="1" fillId="0" borderId="31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4" fontId="11" fillId="0" borderId="19" xfId="0" applyNumberFormat="1" applyFont="1" applyBorder="1" applyAlignment="1">
      <alignment horizontal="center" vertical="center" wrapText="1"/>
    </xf>
    <xf numFmtId="14" fontId="11" fillId="0" borderId="20" xfId="0" applyNumberFormat="1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2" fontId="0" fillId="0" borderId="0" xfId="0" applyNumberFormat="1" applyAlignment="1">
      <alignment horizontal="right" vertical="center" wrapText="1"/>
    </xf>
    <xf numFmtId="2" fontId="1" fillId="0" borderId="0" xfId="0" applyNumberFormat="1" applyFont="1" applyAlignment="1">
      <alignment horizontal="right"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CPS%20%20NPS%20-%20F.Y.%202022%20Onwards\Ketan%20Files\DCPS%20&#2330;&#2368;%20&#2350;&#2361;&#2367;&#2340;&#2368;\DCPS%20Base%20Data%20Updated%20(16.12.16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PS - Year 2011-2012"/>
      <sheetName val="Ledger Print Slip-DCPS-Yr 11-12"/>
      <sheetName val="Broadsheet-DCPS - Year 2011-12"/>
      <sheetName val="DCPS - Year 2012-2013"/>
      <sheetName val="Ledger Print Slip-DCPS-Yr 12-13"/>
      <sheetName val="DCPS - Year 2013-14"/>
      <sheetName val="Ledger Print Slip-DCPS-Yr 13-14"/>
      <sheetName val="DCPS - Year 2014-15"/>
      <sheetName val="Ledger Print Slip-DCPS-Yr 14-15"/>
      <sheetName val="Sheet1"/>
      <sheetName val="Base Data 2011-2012 &amp; 2012-2013"/>
      <sheetName val="Base Data 2013-14 &amp; 2014-15"/>
      <sheetName val="Double Entries"/>
      <sheetName val="Details Not Found"/>
    </sheetNames>
    <sheetDataSet>
      <sheetData sheetId="0">
        <row r="1">
          <cell r="B1" t="str">
            <v>Emp. No.</v>
          </cell>
          <cell r="C1" t="str">
            <v>Date of Joining</v>
          </cell>
          <cell r="D1" t="str">
            <v>Emp. Name</v>
          </cell>
          <cell r="F1" t="str">
            <v>Mandatory DCPS Contribution of an Emp. to be recovered as per DCPS Rules On May 2011</v>
          </cell>
          <cell r="G1" t="str">
            <v>Recovery Balance upto May 2011</v>
          </cell>
          <cell r="H1" t="str">
            <v>PF Contribution of an Emp. as per On May 2011</v>
          </cell>
          <cell r="I1" t="str">
            <v>PF Contribution of an NMC as per On May 2011</v>
          </cell>
          <cell r="J1" t="str">
            <v>Total PF Contribution of an Emp. + NMC as per On May 2011</v>
          </cell>
          <cell r="K1" t="str">
            <v xml:space="preserve"> DCPS Recovery Balance on May 2011</v>
          </cell>
          <cell r="M1" t="str">
            <v>June 2011 - Emp's DCPS Contribution</v>
          </cell>
          <cell r="N1" t="str">
            <v>June 2011 - Emp's DCPS Supplimentory Contribution</v>
          </cell>
          <cell r="O1" t="str">
            <v>June 2011 - NMC's DCPS Contribution</v>
          </cell>
          <cell r="P1" t="str">
            <v>June 2011 - NMC's Supplimentory DCPS Contribution</v>
          </cell>
          <cell r="Q1" t="str">
            <v>June 2011 - Loan Installment Paid Through Salary</v>
          </cell>
          <cell r="R1" t="str">
            <v>June 2011 - Supplimentory Loan Installment Paid</v>
          </cell>
          <cell r="S1" t="str">
            <v>June 2011 - Loan Installment Paid In Cash</v>
          </cell>
          <cell r="T1" t="str">
            <v>June 2011 - Total Amount Of Loan Installments Paid</v>
          </cell>
          <cell r="U1" t="str">
            <v>June 2011 - DCPS Loan Taken by an Employee</v>
          </cell>
          <cell r="W1" t="str">
            <v>July 2011 - Emp's DCPS Contribution</v>
          </cell>
          <cell r="X1" t="str">
            <v>July 2011 - Emp's DCPS Supplimentory Contribution</v>
          </cell>
          <cell r="Y1" t="str">
            <v>July 2011 - NMC's DCPS Contribution</v>
          </cell>
          <cell r="Z1" t="str">
            <v>July 2011 - NMC's Supplimentory DCPS Contribution</v>
          </cell>
          <cell r="AA1" t="str">
            <v>July 2011 - Loan Installment Paid Through Salary</v>
          </cell>
          <cell r="AB1" t="str">
            <v>July 2011 - Supplimentory Loan Installment Paid</v>
          </cell>
          <cell r="AC1" t="str">
            <v>July 2011 - Loan Installment Paid In Cash</v>
          </cell>
          <cell r="AD1" t="str">
            <v>July 2011 - Total Amount Of Loan Installments Paid</v>
          </cell>
          <cell r="AE1" t="str">
            <v>July 2011 - DCPS Loan Taken by an Employee</v>
          </cell>
          <cell r="AG1" t="str">
            <v>Aug 2011 - Emp's DCPS Contribution</v>
          </cell>
          <cell r="AH1" t="str">
            <v>Aug 2011 - Emp's DCPS Supplimentory Contribution</v>
          </cell>
          <cell r="AI1" t="str">
            <v>Aug 2011 - NMC's DCPS Contribution</v>
          </cell>
          <cell r="AJ1" t="str">
            <v>Aug 2011 - NMC's Supplimentory DCPS Contribution</v>
          </cell>
          <cell r="AK1" t="str">
            <v>Aug 2011 - Loan Installment Paid Through Salary</v>
          </cell>
          <cell r="AL1" t="str">
            <v>Aug 2011 - Supplimentory Loan Installment Paid</v>
          </cell>
          <cell r="AM1" t="str">
            <v>Aug 2011 - Loan Installment Paid In Cash</v>
          </cell>
          <cell r="AN1" t="str">
            <v>Aug 2011 - Total Amount Of Loan Installments Paid</v>
          </cell>
          <cell r="AO1" t="str">
            <v>Aug 2011 - DCPS Loan Taken by an Employee</v>
          </cell>
          <cell r="AQ1" t="str">
            <v>Sept 2011 - Emp's DCPS Contribution</v>
          </cell>
          <cell r="AR1" t="str">
            <v>Sept 2011 - Emp's DCPS Supplimentory Contribution</v>
          </cell>
          <cell r="AS1" t="str">
            <v>Sept 2011 - NMC's DCPS Contribution</v>
          </cell>
          <cell r="AT1" t="str">
            <v>Sept 2011 - NMC's Supplimentory DCPS Contribution</v>
          </cell>
          <cell r="AU1" t="str">
            <v>Sept 2011 - Loan Installment Paid Through Salary</v>
          </cell>
          <cell r="AV1" t="str">
            <v>Sept 2011 - Supplimentory Loan Installment Paid</v>
          </cell>
          <cell r="AW1" t="str">
            <v>Sept 2011 - Loan Installment Paid In Cash</v>
          </cell>
          <cell r="AX1" t="str">
            <v>Sept 2011 - Total Amount Of Loan Installments Paid</v>
          </cell>
          <cell r="AY1" t="str">
            <v>Sept 2011 - DCPS Loan Taken by an Employee</v>
          </cell>
          <cell r="BA1" t="str">
            <v>Oct 2011 - Emp's DCPS Contribution</v>
          </cell>
          <cell r="BB1" t="str">
            <v>Oct 2011 - Emp's DCPS Supplimentory Contribution</v>
          </cell>
          <cell r="BC1" t="str">
            <v>Oct 2011 - NMC's DCPS Contribution</v>
          </cell>
          <cell r="BD1" t="str">
            <v>Oct 2011 - NMC's Supplimentory DCPS Contribution</v>
          </cell>
          <cell r="BE1" t="str">
            <v>Oct 2011 - Loan Installment Paid Through Salary</v>
          </cell>
          <cell r="BF1" t="str">
            <v>Oct 2011 - Supplimentory Loan Installment Paid</v>
          </cell>
          <cell r="BG1" t="str">
            <v>Oct 2011 - Loan Installment Paid In Cash</v>
          </cell>
          <cell r="BH1" t="str">
            <v>Oct 2011 - Total Amount Of Loan Installments Paid</v>
          </cell>
          <cell r="BI1" t="str">
            <v>Oct 2011 - DCPS Loan Taken by an Employee</v>
          </cell>
          <cell r="BK1" t="str">
            <v>Nov 2011 - Emp's DCPS Contribution</v>
          </cell>
          <cell r="BL1" t="str">
            <v>Nov 2011 - Emp's DCPS Supplimentory Contribution</v>
          </cell>
          <cell r="BM1" t="str">
            <v>Nov 2011 - NMC's DCPS Contribution</v>
          </cell>
          <cell r="BN1" t="str">
            <v>Nov 2011 - NMC's Supplimentory DCPS Contribution</v>
          </cell>
          <cell r="BO1" t="str">
            <v>Nov 2011 - Loan Installment Paid Through Salary</v>
          </cell>
          <cell r="BP1" t="str">
            <v>Nov 2011 - Supplimentory Loan Installment Paid</v>
          </cell>
          <cell r="BQ1" t="str">
            <v>Nov 2011 - Loan Installment Paid In Cash</v>
          </cell>
          <cell r="BR1" t="str">
            <v>Nov 2011 - Total Amount Of Loan Installments Paid</v>
          </cell>
          <cell r="BS1" t="str">
            <v>Nov 2011 - DCPS Loan Taken by an Employee</v>
          </cell>
          <cell r="BU1" t="str">
            <v>Dec 2011 - Emp's DCPS Contribution</v>
          </cell>
          <cell r="BV1" t="str">
            <v>Dec 2011 - Emp's DCPS Supplimentory Contribution</v>
          </cell>
          <cell r="BW1" t="str">
            <v>Dec 2011 - NMC's DCPS Contribution</v>
          </cell>
          <cell r="BX1" t="str">
            <v>Dec 2011 - NMC's Supplimentory DCPS Contribution</v>
          </cell>
          <cell r="BY1" t="str">
            <v>Dec 2011 - Loan Installment Paid Through Salary</v>
          </cell>
          <cell r="BZ1" t="str">
            <v>Dec 2011 - Supplimentory Loan Installment Paid</v>
          </cell>
          <cell r="CA1" t="str">
            <v>Dec 2011 - Loan Installment Paid In Cash</v>
          </cell>
          <cell r="CB1" t="str">
            <v>Dec 2011 - Total Amount Of Loan Installments Paid</v>
          </cell>
          <cell r="CC1" t="str">
            <v>Dec 2011 - DCPS Loan Taken by an Employee</v>
          </cell>
          <cell r="CE1" t="str">
            <v>Jan 2012 - Emp's DCPS Contribution</v>
          </cell>
          <cell r="CF1" t="str">
            <v>Jan 2012 - Emp's DCPS Supplimentory Contribution</v>
          </cell>
          <cell r="CG1" t="str">
            <v>Jan 2012 - NMC's DCPS Contribution</v>
          </cell>
          <cell r="CH1" t="str">
            <v>Jan 2012 - NMC's Supplimentory DCPS Contribution</v>
          </cell>
          <cell r="CI1" t="str">
            <v>Jan 2012 - Loan Installment Paid Through Salary</v>
          </cell>
          <cell r="CJ1" t="str">
            <v>Jan 2012 - Supplimentory Loan Installment Paid</v>
          </cell>
          <cell r="CK1" t="str">
            <v>Jan 2012 - Loan Installment Paid In Cash</v>
          </cell>
          <cell r="CL1" t="str">
            <v>Jan 2012 - Total Amount Of Loan Installments Paid</v>
          </cell>
          <cell r="CM1" t="str">
            <v>Jan 2012 - DCPS Loan Taken by an Employee</v>
          </cell>
          <cell r="CO1" t="str">
            <v>Feb 2012 - Emp's DCPS Contribution</v>
          </cell>
          <cell r="CP1" t="str">
            <v>Feb 2012 - Emp's DCPS Supplimentory Contribution</v>
          </cell>
          <cell r="CQ1" t="str">
            <v>Feb 2012 - NMC's DCPS Contribution</v>
          </cell>
          <cell r="CR1" t="str">
            <v>Feb 2012 - NMC's Supplimentory DCPS Contribution</v>
          </cell>
          <cell r="CS1" t="str">
            <v>Feb 2012 - Loan Installment Paid Through Salary</v>
          </cell>
          <cell r="CT1" t="str">
            <v>Feb 2012 - Supplimentory Loan Installment Paid</v>
          </cell>
          <cell r="CU1" t="str">
            <v>Feb 2012 - Loan Installment Paid In Cash</v>
          </cell>
          <cell r="CV1" t="str">
            <v>Feb 2012 - Total Amount Of Loan Installments Paid</v>
          </cell>
          <cell r="CW1" t="str">
            <v>Feb 2012 - DCPS Loan Taken by an Employee</v>
          </cell>
          <cell r="CY1" t="str">
            <v>March 2012 - Emp's DCPS Contribution</v>
          </cell>
          <cell r="CZ1" t="str">
            <v>March 2012 - Emp's DCPS Supplimentory Contribution</v>
          </cell>
          <cell r="DA1" t="str">
            <v>March 2012 - NMC's DCPS Contribution</v>
          </cell>
          <cell r="DB1" t="str">
            <v>March 2012 - NMC's Supplimentory DCPS Contribution</v>
          </cell>
          <cell r="DC1" t="str">
            <v>March 2012 - Loan Installment Paid Through Salary</v>
          </cell>
          <cell r="DD1" t="str">
            <v>March 2012 - Supplimentory Loan Installment Paid</v>
          </cell>
          <cell r="DE1" t="str">
            <v>March 2012 - Loan Installment Paid In Cash</v>
          </cell>
          <cell r="DF1" t="str">
            <v>March 2012 - Total Amount Of Loan Installments Paid</v>
          </cell>
          <cell r="DG1" t="str">
            <v>March 2012 - DCPS Loan Taken by an Employee</v>
          </cell>
          <cell r="DI1" t="str">
            <v>Opening Balance On May 2011-12</v>
          </cell>
          <cell r="DJ1" t="str">
            <v>Year 2011-12  Emp's DCPS Contribution (A)</v>
          </cell>
          <cell r="DK1" t="str">
            <v>Year 2011-12 Emp's. DCPS Suplimentory Contribution (B)</v>
          </cell>
          <cell r="DL1" t="str">
            <v>Year 2011-12 Total Emp's. DCPS Contribution = Emp's. DCPS Contribution + Emp's. DCPS Suplimentory Contribution (C) = (A + B)</v>
          </cell>
          <cell r="DM1" t="str">
            <v>Year 2011-12 - NMC DCPS Contribution (D)</v>
          </cell>
          <cell r="DN1" t="str">
            <v>Year 2011-12 NMC DCPS Suplimentory Contribution (E)</v>
          </cell>
          <cell r="DO1" t="str">
            <v>Year 2011-12 Total NMC's DCPS Contribution = NMC's DCPS Contribution + NMC's DCPS Suplimentory Contribution (F) = (D) + (E)</v>
          </cell>
          <cell r="DP1" t="str">
            <v>Year 2011-12 Total Amount Of Loan Installment Paid by an Employee through Salary (G)</v>
          </cell>
          <cell r="DQ1" t="str">
            <v>Year 2011-12 Total Amount Of Supplimentory Loan Installment Paid (H)</v>
          </cell>
          <cell r="DR1" t="str">
            <v>Year 2011-12 Total Amount Of Loan Installment Paid In Cash (I)</v>
          </cell>
          <cell r="DS1" t="str">
            <v>Year 2011-12 Total Amount Of Loan Installments Paid by an Employee (J) =         (G) + (H) + (I)</v>
          </cell>
          <cell r="DT1" t="str">
            <v>Year 2011-12 Total (Emp's. + NMC's) DCPS Contribution Deposited (K) = (C) + (F) + (J)</v>
          </cell>
          <cell r="DU1" t="str">
            <v>Total Amount Of Loan Taken by an Employee (L)</v>
          </cell>
          <cell r="DW1" t="str">
            <v>Amount of an Emp's DCPS On Which The Interest Is Calculated for April 2011</v>
          </cell>
          <cell r="DX1" t="str">
            <v>Amount of an Emp's DCPS On Which The Interest Is Calculated for May 2011</v>
          </cell>
          <cell r="DY1" t="str">
            <v>Amount of an Emp's DCPS On Which The Interest Is Calculated for June 2011</v>
          </cell>
          <cell r="DZ1" t="str">
            <v>Amount of an Emp's DCPS On Which The Interest Is Calculated for July 2011</v>
          </cell>
          <cell r="EA1" t="str">
            <v>Amount of an Emp's DCPS On Which The Interest Is Calculated for Aug 2011</v>
          </cell>
          <cell r="EB1" t="str">
            <v>Amount of an Emp's DCPS On Which The Interest Is Calculated for Sept 2011</v>
          </cell>
          <cell r="EC1" t="str">
            <v>Amount of an Emp's DCPS On Which The Interest Is Calculated for Oct 2011</v>
          </cell>
          <cell r="ED1" t="str">
            <v>Amount of an Emp's DCPS On Which The Interest Is Calculated for Nov 2011</v>
          </cell>
          <cell r="EE1" t="str">
            <v>Amount of an Emp's DCPS On Which The Interest Is Calculated for Dec 2011</v>
          </cell>
          <cell r="EF1" t="str">
            <v>Amount of an Emp's DCPS On Which The Interest Is Calculated for Jan 2012</v>
          </cell>
          <cell r="EG1" t="str">
            <v>Amount of an Emp's DCPS On Which The Interest Is Calculated for Feb 2012</v>
          </cell>
          <cell r="EH1" t="str">
            <v>Amount of an Emp's DCPS On Which The Interest Is Calculated for March 2012</v>
          </cell>
          <cell r="EI1" t="str">
            <v>Total Amount of an Emp's DCPS On Which The Interest Is Calculated (M)</v>
          </cell>
          <cell r="EK1" t="str">
            <v>DCPS Interest Amount of April 2011</v>
          </cell>
          <cell r="EL1" t="str">
            <v>DCPS Interest Amount of May 2011</v>
          </cell>
          <cell r="EM1" t="str">
            <v>DCPS Interest Amount of June 2011</v>
          </cell>
          <cell r="EN1" t="str">
            <v>DCPS Interest Amount of July 2011</v>
          </cell>
          <cell r="EO1" t="str">
            <v>DCPS Interest Amount of Aug 2011</v>
          </cell>
          <cell r="EP1" t="str">
            <v>DCPS Interest Amount of Sept 2011</v>
          </cell>
          <cell r="EQ1" t="str">
            <v>DCPS Interest Amount of Oct 2011</v>
          </cell>
          <cell r="ER1" t="str">
            <v>DCPS Interest Amount of Nov 2011</v>
          </cell>
          <cell r="ES1" t="str">
            <v>DCPS Interest Amount of Dec 2011</v>
          </cell>
          <cell r="ET1" t="str">
            <v>DCPS Interest Amount of Jan 2012</v>
          </cell>
          <cell r="EU1" t="str">
            <v>DCPS Interest Amount of Feb 2012</v>
          </cell>
          <cell r="EV1" t="str">
            <v>DCPS Interest Amount of March 2012</v>
          </cell>
          <cell r="EW1" t="str">
            <v>Total DCPS Interest Amount from April 2011 to March 2012</v>
          </cell>
          <cell r="EY1" t="str">
            <v>Total Amount of an Emp's DCPS On Which The Interest Is Calculated from April 2011 to Nov 2011</v>
          </cell>
          <cell r="EZ1" t="str">
            <v>DCPS Interest Rate (%) from April 2011 to Nov 2011</v>
          </cell>
          <cell r="FA1" t="str">
            <v>DCPS Interest Amount from April 2011 to Nov 2011</v>
          </cell>
          <cell r="FB1" t="str">
            <v>Total Amount of an Emp's DCPS On Which The Interest Is Calculated from Dec 2011 to March 2012</v>
          </cell>
          <cell r="FC1" t="str">
            <v>DCPS Interest Rate (%) from Dec 2011 to March 2012</v>
          </cell>
          <cell r="FD1" t="str">
            <v>DCPS Interest Amount from Dec 2011 to March 2012</v>
          </cell>
          <cell r="FE1" t="str">
            <v>Total Amount of DCPS Interest Amount from April 2011 to March 2012</v>
          </cell>
          <cell r="FF1" t="str">
            <v>Total Emp's. DCPS Contribution from April 2011 to March 2012</v>
          </cell>
          <cell r="FH1" t="str">
            <v>Closing Balance Year 2011-12</v>
          </cell>
        </row>
        <row r="2">
          <cell r="B2">
            <v>9250</v>
          </cell>
          <cell r="C2" t="str">
            <v>09.11.2005</v>
          </cell>
          <cell r="D2" t="str">
            <v>Kacchavey Prakash Ganesh</v>
          </cell>
          <cell r="F2">
            <v>24177</v>
          </cell>
          <cell r="H2">
            <v>-1674</v>
          </cell>
          <cell r="I2">
            <v>-1674</v>
          </cell>
          <cell r="J2">
            <v>-3348</v>
          </cell>
          <cell r="K2">
            <v>-27525</v>
          </cell>
          <cell r="M2">
            <v>1121</v>
          </cell>
          <cell r="N2">
            <v>0</v>
          </cell>
          <cell r="O2">
            <v>1121</v>
          </cell>
          <cell r="P2">
            <v>0</v>
          </cell>
          <cell r="Q2">
            <v>400</v>
          </cell>
          <cell r="R2">
            <v>0</v>
          </cell>
          <cell r="S2">
            <v>0</v>
          </cell>
          <cell r="T2">
            <v>400</v>
          </cell>
          <cell r="U2">
            <v>0</v>
          </cell>
          <cell r="W2">
            <v>1121</v>
          </cell>
          <cell r="X2">
            <v>0</v>
          </cell>
          <cell r="Y2">
            <v>1121</v>
          </cell>
          <cell r="Z2">
            <v>0</v>
          </cell>
          <cell r="AA2">
            <v>400</v>
          </cell>
          <cell r="AB2">
            <v>0</v>
          </cell>
          <cell r="AC2">
            <v>0</v>
          </cell>
          <cell r="AD2">
            <v>400</v>
          </cell>
          <cell r="AE2">
            <v>0</v>
          </cell>
          <cell r="AG2">
            <v>1156</v>
          </cell>
          <cell r="AH2">
            <v>0</v>
          </cell>
          <cell r="AI2">
            <v>1156</v>
          </cell>
          <cell r="AJ2">
            <v>0</v>
          </cell>
          <cell r="AK2">
            <v>400</v>
          </cell>
          <cell r="AL2">
            <v>0</v>
          </cell>
          <cell r="AM2">
            <v>0</v>
          </cell>
          <cell r="AN2">
            <v>400</v>
          </cell>
          <cell r="AO2">
            <v>0</v>
          </cell>
          <cell r="AQ2">
            <v>1156</v>
          </cell>
          <cell r="AR2">
            <v>0</v>
          </cell>
          <cell r="AS2">
            <v>1156</v>
          </cell>
          <cell r="AT2">
            <v>0</v>
          </cell>
          <cell r="AU2">
            <v>400</v>
          </cell>
          <cell r="AV2">
            <v>0</v>
          </cell>
          <cell r="AW2">
            <v>0</v>
          </cell>
          <cell r="AX2">
            <v>400</v>
          </cell>
          <cell r="AY2">
            <v>0</v>
          </cell>
          <cell r="BA2">
            <v>1156</v>
          </cell>
          <cell r="BB2">
            <v>0</v>
          </cell>
          <cell r="BC2">
            <v>1156</v>
          </cell>
          <cell r="BD2">
            <v>0</v>
          </cell>
          <cell r="BE2">
            <v>1360</v>
          </cell>
          <cell r="BF2">
            <v>0</v>
          </cell>
          <cell r="BG2">
            <v>0</v>
          </cell>
          <cell r="BH2">
            <v>1360</v>
          </cell>
          <cell r="BI2">
            <v>0</v>
          </cell>
          <cell r="BK2">
            <v>1210</v>
          </cell>
          <cell r="BL2">
            <v>0</v>
          </cell>
          <cell r="BM2">
            <v>1210</v>
          </cell>
          <cell r="BN2">
            <v>0</v>
          </cell>
          <cell r="BO2">
            <v>1360</v>
          </cell>
          <cell r="BP2">
            <v>0</v>
          </cell>
          <cell r="BQ2">
            <v>0</v>
          </cell>
          <cell r="BR2">
            <v>1360</v>
          </cell>
          <cell r="BS2">
            <v>0</v>
          </cell>
          <cell r="BU2">
            <v>1210</v>
          </cell>
          <cell r="BV2">
            <v>0</v>
          </cell>
          <cell r="BW2">
            <v>1210</v>
          </cell>
          <cell r="BX2">
            <v>0</v>
          </cell>
          <cell r="BY2">
            <v>1360</v>
          </cell>
          <cell r="BZ2">
            <v>0</v>
          </cell>
          <cell r="CA2">
            <v>0</v>
          </cell>
          <cell r="CB2">
            <v>1360</v>
          </cell>
          <cell r="CC2">
            <v>0</v>
          </cell>
          <cell r="CE2">
            <v>1210</v>
          </cell>
          <cell r="CF2">
            <v>0</v>
          </cell>
          <cell r="CG2">
            <v>1210</v>
          </cell>
          <cell r="CH2">
            <v>0</v>
          </cell>
          <cell r="CI2">
            <v>1360</v>
          </cell>
          <cell r="CJ2">
            <v>0</v>
          </cell>
          <cell r="CK2">
            <v>0</v>
          </cell>
          <cell r="CL2">
            <v>1360</v>
          </cell>
          <cell r="CM2">
            <v>0</v>
          </cell>
          <cell r="CO2">
            <v>1210</v>
          </cell>
          <cell r="CP2">
            <v>0</v>
          </cell>
          <cell r="CQ2">
            <v>1210</v>
          </cell>
          <cell r="CR2">
            <v>0</v>
          </cell>
          <cell r="CS2">
            <v>1360</v>
          </cell>
          <cell r="CT2">
            <v>0</v>
          </cell>
          <cell r="CU2">
            <v>0</v>
          </cell>
          <cell r="CV2">
            <v>1360</v>
          </cell>
          <cell r="CW2">
            <v>0</v>
          </cell>
          <cell r="CY2">
            <v>1210</v>
          </cell>
          <cell r="CZ2">
            <v>0</v>
          </cell>
          <cell r="DA2">
            <v>1210</v>
          </cell>
          <cell r="DB2">
            <v>0</v>
          </cell>
          <cell r="DC2">
            <v>1360</v>
          </cell>
          <cell r="DD2">
            <v>0</v>
          </cell>
          <cell r="DE2">
            <v>0</v>
          </cell>
          <cell r="DF2">
            <v>1360</v>
          </cell>
          <cell r="DG2">
            <v>0</v>
          </cell>
          <cell r="DI2">
            <v>-3348</v>
          </cell>
          <cell r="DJ2">
            <v>11760</v>
          </cell>
          <cell r="DK2">
            <v>0</v>
          </cell>
          <cell r="DL2">
            <v>11760</v>
          </cell>
          <cell r="DM2">
            <v>11760</v>
          </cell>
          <cell r="DN2">
            <v>0</v>
          </cell>
          <cell r="DO2">
            <v>11760</v>
          </cell>
          <cell r="DP2">
            <v>9760</v>
          </cell>
          <cell r="DQ2">
            <v>0</v>
          </cell>
          <cell r="DR2">
            <v>0</v>
          </cell>
          <cell r="DS2">
            <v>9760</v>
          </cell>
          <cell r="DT2">
            <v>33280</v>
          </cell>
          <cell r="DU2">
            <v>0</v>
          </cell>
          <cell r="DW2">
            <v>0</v>
          </cell>
          <cell r="DX2">
            <v>0</v>
          </cell>
          <cell r="DY2">
            <v>-706</v>
          </cell>
          <cell r="DZ2">
            <v>1936</v>
          </cell>
          <cell r="EA2">
            <v>4648</v>
          </cell>
          <cell r="EB2">
            <v>7360</v>
          </cell>
          <cell r="EC2">
            <v>11032</v>
          </cell>
          <cell r="ED2">
            <v>14812</v>
          </cell>
          <cell r="EE2">
            <v>18592</v>
          </cell>
          <cell r="EF2">
            <v>22372</v>
          </cell>
          <cell r="EG2">
            <v>26152</v>
          </cell>
          <cell r="EH2">
            <v>29932</v>
          </cell>
          <cell r="EI2">
            <v>136130</v>
          </cell>
          <cell r="EK2">
            <v>0</v>
          </cell>
          <cell r="EL2">
            <v>0</v>
          </cell>
          <cell r="EM2">
            <v>-4.7066666666666661</v>
          </cell>
          <cell r="EN2">
            <v>12.906666666666666</v>
          </cell>
          <cell r="EO2">
            <v>30.986666666666665</v>
          </cell>
          <cell r="EP2">
            <v>49.066666666666663</v>
          </cell>
          <cell r="EQ2">
            <v>73.546666666666667</v>
          </cell>
          <cell r="ER2">
            <v>98.74666666666667</v>
          </cell>
          <cell r="ES2">
            <v>133.24266666666665</v>
          </cell>
          <cell r="ET2">
            <v>160.33266666666665</v>
          </cell>
          <cell r="EU2">
            <v>187.42266666666663</v>
          </cell>
          <cell r="EV2">
            <v>214.51266666666666</v>
          </cell>
          <cell r="EW2">
            <v>956.05733333333319</v>
          </cell>
          <cell r="EY2">
            <v>39082</v>
          </cell>
          <cell r="EZ2">
            <v>8</v>
          </cell>
          <cell r="FA2">
            <v>260.54666666666668</v>
          </cell>
          <cell r="FB2">
            <v>97048</v>
          </cell>
          <cell r="FC2">
            <v>8.6</v>
          </cell>
          <cell r="FD2">
            <v>695.51066666666657</v>
          </cell>
          <cell r="FE2">
            <v>956.05733333333319</v>
          </cell>
          <cell r="FF2">
            <v>30888</v>
          </cell>
          <cell r="FH2">
            <v>30888</v>
          </cell>
        </row>
        <row r="3">
          <cell r="B3">
            <v>9271</v>
          </cell>
          <cell r="C3" t="str">
            <v>14.11.2005</v>
          </cell>
          <cell r="D3" t="str">
            <v>Rathod Nitu Nanji</v>
          </cell>
          <cell r="F3">
            <v>22617</v>
          </cell>
          <cell r="H3">
            <v>3634</v>
          </cell>
          <cell r="I3">
            <v>3634</v>
          </cell>
          <cell r="J3">
            <v>7268</v>
          </cell>
          <cell r="K3">
            <v>-15349</v>
          </cell>
          <cell r="M3">
            <v>1121</v>
          </cell>
          <cell r="N3">
            <v>0</v>
          </cell>
          <cell r="O3">
            <v>1121</v>
          </cell>
          <cell r="P3">
            <v>0</v>
          </cell>
          <cell r="Q3">
            <v>200</v>
          </cell>
          <cell r="R3">
            <v>0</v>
          </cell>
          <cell r="S3">
            <v>0</v>
          </cell>
          <cell r="T3">
            <v>200</v>
          </cell>
          <cell r="U3">
            <v>0</v>
          </cell>
          <cell r="W3">
            <v>1121</v>
          </cell>
          <cell r="X3">
            <v>0</v>
          </cell>
          <cell r="Y3">
            <v>1121</v>
          </cell>
          <cell r="Z3">
            <v>0</v>
          </cell>
          <cell r="AA3">
            <v>200</v>
          </cell>
          <cell r="AB3">
            <v>0</v>
          </cell>
          <cell r="AC3">
            <v>0</v>
          </cell>
          <cell r="AD3">
            <v>200</v>
          </cell>
          <cell r="AE3">
            <v>0</v>
          </cell>
          <cell r="AG3">
            <v>1156</v>
          </cell>
          <cell r="AH3">
            <v>0</v>
          </cell>
          <cell r="AI3">
            <v>1156</v>
          </cell>
          <cell r="AJ3">
            <v>0</v>
          </cell>
          <cell r="AK3">
            <v>200</v>
          </cell>
          <cell r="AL3">
            <v>0</v>
          </cell>
          <cell r="AM3">
            <v>0</v>
          </cell>
          <cell r="AN3">
            <v>200</v>
          </cell>
          <cell r="AO3">
            <v>0</v>
          </cell>
          <cell r="AQ3">
            <v>1156</v>
          </cell>
          <cell r="AR3">
            <v>0</v>
          </cell>
          <cell r="AS3">
            <v>1156</v>
          </cell>
          <cell r="AT3">
            <v>0</v>
          </cell>
          <cell r="AU3">
            <v>200</v>
          </cell>
          <cell r="AV3">
            <v>0</v>
          </cell>
          <cell r="AW3">
            <v>0</v>
          </cell>
          <cell r="AX3">
            <v>200</v>
          </cell>
          <cell r="AY3">
            <v>0</v>
          </cell>
          <cell r="BA3">
            <v>1156</v>
          </cell>
          <cell r="BB3">
            <v>0</v>
          </cell>
          <cell r="BC3">
            <v>1156</v>
          </cell>
          <cell r="BD3">
            <v>0</v>
          </cell>
          <cell r="BE3">
            <v>200</v>
          </cell>
          <cell r="BF3">
            <v>0</v>
          </cell>
          <cell r="BG3">
            <v>0</v>
          </cell>
          <cell r="BH3">
            <v>200</v>
          </cell>
          <cell r="BI3">
            <v>0</v>
          </cell>
          <cell r="BK3">
            <v>1210</v>
          </cell>
          <cell r="BL3">
            <v>0</v>
          </cell>
          <cell r="BM3">
            <v>1210</v>
          </cell>
          <cell r="BN3">
            <v>0</v>
          </cell>
          <cell r="BO3">
            <v>200</v>
          </cell>
          <cell r="BP3">
            <v>0</v>
          </cell>
          <cell r="BQ3">
            <v>0</v>
          </cell>
          <cell r="BR3">
            <v>200</v>
          </cell>
          <cell r="BS3">
            <v>0</v>
          </cell>
          <cell r="BU3">
            <v>1210</v>
          </cell>
          <cell r="BV3">
            <v>0</v>
          </cell>
          <cell r="BW3">
            <v>1210</v>
          </cell>
          <cell r="BX3">
            <v>0</v>
          </cell>
          <cell r="BY3">
            <v>200</v>
          </cell>
          <cell r="BZ3">
            <v>0</v>
          </cell>
          <cell r="CA3">
            <v>0</v>
          </cell>
          <cell r="CB3">
            <v>200</v>
          </cell>
          <cell r="CC3">
            <v>0</v>
          </cell>
          <cell r="CE3">
            <v>1210</v>
          </cell>
          <cell r="CF3">
            <v>0</v>
          </cell>
          <cell r="CG3">
            <v>1210</v>
          </cell>
          <cell r="CH3">
            <v>0</v>
          </cell>
          <cell r="CI3">
            <v>200</v>
          </cell>
          <cell r="CJ3">
            <v>0</v>
          </cell>
          <cell r="CK3">
            <v>0</v>
          </cell>
          <cell r="CL3">
            <v>200</v>
          </cell>
          <cell r="CM3">
            <v>0</v>
          </cell>
          <cell r="CO3">
            <v>1210</v>
          </cell>
          <cell r="CP3">
            <v>0</v>
          </cell>
          <cell r="CQ3">
            <v>1210</v>
          </cell>
          <cell r="CR3">
            <v>0</v>
          </cell>
          <cell r="CS3">
            <v>200</v>
          </cell>
          <cell r="CT3">
            <v>0</v>
          </cell>
          <cell r="CU3">
            <v>0</v>
          </cell>
          <cell r="CV3">
            <v>200</v>
          </cell>
          <cell r="CW3">
            <v>0</v>
          </cell>
          <cell r="CY3">
            <v>1210</v>
          </cell>
          <cell r="CZ3">
            <v>0</v>
          </cell>
          <cell r="DA3">
            <v>1210</v>
          </cell>
          <cell r="DB3">
            <v>0</v>
          </cell>
          <cell r="DC3">
            <v>200</v>
          </cell>
          <cell r="DD3">
            <v>0</v>
          </cell>
          <cell r="DE3">
            <v>0</v>
          </cell>
          <cell r="DF3">
            <v>200</v>
          </cell>
          <cell r="DG3">
            <v>0</v>
          </cell>
          <cell r="DI3">
            <v>7268</v>
          </cell>
          <cell r="DJ3">
            <v>11760</v>
          </cell>
          <cell r="DK3">
            <v>0</v>
          </cell>
          <cell r="DL3">
            <v>11760</v>
          </cell>
          <cell r="DM3">
            <v>11760</v>
          </cell>
          <cell r="DN3">
            <v>0</v>
          </cell>
          <cell r="DO3">
            <v>11760</v>
          </cell>
          <cell r="DP3">
            <v>2000</v>
          </cell>
          <cell r="DQ3">
            <v>0</v>
          </cell>
          <cell r="DR3">
            <v>0</v>
          </cell>
          <cell r="DS3">
            <v>2000</v>
          </cell>
          <cell r="DT3">
            <v>25520</v>
          </cell>
          <cell r="DU3">
            <v>0</v>
          </cell>
          <cell r="DW3">
            <v>0</v>
          </cell>
          <cell r="DX3">
            <v>0</v>
          </cell>
          <cell r="DY3">
            <v>9710</v>
          </cell>
          <cell r="DZ3">
            <v>12152</v>
          </cell>
          <cell r="EA3">
            <v>14664</v>
          </cell>
          <cell r="EB3">
            <v>17176</v>
          </cell>
          <cell r="EC3">
            <v>19688</v>
          </cell>
          <cell r="ED3">
            <v>22308</v>
          </cell>
          <cell r="EE3">
            <v>24928</v>
          </cell>
          <cell r="EF3">
            <v>27548</v>
          </cell>
          <cell r="EG3">
            <v>30168</v>
          </cell>
          <cell r="EH3">
            <v>32788</v>
          </cell>
          <cell r="EI3">
            <v>211130</v>
          </cell>
          <cell r="EK3">
            <v>0</v>
          </cell>
          <cell r="EL3">
            <v>0</v>
          </cell>
          <cell r="EM3">
            <v>64.733333333333334</v>
          </cell>
          <cell r="EN3">
            <v>81.013333333333335</v>
          </cell>
          <cell r="EO3">
            <v>97.759999999999991</v>
          </cell>
          <cell r="EP3">
            <v>114.50666666666666</v>
          </cell>
          <cell r="EQ3">
            <v>131.25333333333333</v>
          </cell>
          <cell r="ER3">
            <v>148.72</v>
          </cell>
          <cell r="ES3">
            <v>178.65066666666667</v>
          </cell>
          <cell r="ET3">
            <v>197.42733333333331</v>
          </cell>
          <cell r="EU3">
            <v>216.20399999999998</v>
          </cell>
          <cell r="EV3">
            <v>234.98066666666668</v>
          </cell>
          <cell r="EW3">
            <v>1465.2493333333332</v>
          </cell>
          <cell r="EY3">
            <v>95698</v>
          </cell>
          <cell r="EZ3">
            <v>8</v>
          </cell>
          <cell r="FA3">
            <v>637.98666666666668</v>
          </cell>
          <cell r="FB3">
            <v>115432</v>
          </cell>
          <cell r="FC3">
            <v>8.6</v>
          </cell>
          <cell r="FD3">
            <v>827.26266666666663</v>
          </cell>
          <cell r="FE3">
            <v>1465.2493333333332</v>
          </cell>
          <cell r="FF3">
            <v>34253</v>
          </cell>
          <cell r="FH3">
            <v>34253</v>
          </cell>
        </row>
        <row r="4">
          <cell r="B4">
            <v>9253</v>
          </cell>
          <cell r="C4" t="str">
            <v>22.11.2005</v>
          </cell>
          <cell r="D4" t="str">
            <v>Thorat Sonu Bhaurao</v>
          </cell>
          <cell r="F4">
            <v>23433</v>
          </cell>
          <cell r="H4">
            <v>7264</v>
          </cell>
          <cell r="I4">
            <v>7264</v>
          </cell>
          <cell r="J4">
            <v>14528</v>
          </cell>
          <cell r="K4">
            <v>-8905</v>
          </cell>
          <cell r="M4">
            <v>1088</v>
          </cell>
          <cell r="N4">
            <v>0</v>
          </cell>
          <cell r="O4">
            <v>1088</v>
          </cell>
          <cell r="P4">
            <v>0</v>
          </cell>
          <cell r="Q4">
            <v>680</v>
          </cell>
          <cell r="R4">
            <v>0</v>
          </cell>
          <cell r="S4">
            <v>0</v>
          </cell>
          <cell r="T4">
            <v>680</v>
          </cell>
          <cell r="U4">
            <v>5040</v>
          </cell>
          <cell r="W4">
            <v>1088</v>
          </cell>
          <cell r="X4">
            <v>0</v>
          </cell>
          <cell r="Y4">
            <v>1088</v>
          </cell>
          <cell r="Z4">
            <v>0</v>
          </cell>
          <cell r="AA4">
            <v>830</v>
          </cell>
          <cell r="AB4">
            <v>0</v>
          </cell>
          <cell r="AC4">
            <v>0</v>
          </cell>
          <cell r="AD4">
            <v>830</v>
          </cell>
          <cell r="AE4">
            <v>0</v>
          </cell>
          <cell r="AG4">
            <v>1121</v>
          </cell>
          <cell r="AH4">
            <v>0</v>
          </cell>
          <cell r="AI4">
            <v>1121</v>
          </cell>
          <cell r="AJ4">
            <v>0</v>
          </cell>
          <cell r="AK4">
            <v>830</v>
          </cell>
          <cell r="AL4">
            <v>0</v>
          </cell>
          <cell r="AM4">
            <v>0</v>
          </cell>
          <cell r="AN4">
            <v>830</v>
          </cell>
          <cell r="AO4">
            <v>0</v>
          </cell>
          <cell r="AQ4">
            <v>1121</v>
          </cell>
          <cell r="AR4">
            <v>0</v>
          </cell>
          <cell r="AS4">
            <v>1121</v>
          </cell>
          <cell r="AT4">
            <v>0</v>
          </cell>
          <cell r="AU4">
            <v>830</v>
          </cell>
          <cell r="AV4">
            <v>0</v>
          </cell>
          <cell r="AW4">
            <v>0</v>
          </cell>
          <cell r="AX4">
            <v>830</v>
          </cell>
          <cell r="AY4">
            <v>4990</v>
          </cell>
          <cell r="BA4">
            <v>1121</v>
          </cell>
          <cell r="BB4">
            <v>0</v>
          </cell>
          <cell r="BC4">
            <v>1121</v>
          </cell>
          <cell r="BD4">
            <v>0</v>
          </cell>
          <cell r="BE4">
            <v>955</v>
          </cell>
          <cell r="BF4">
            <v>0</v>
          </cell>
          <cell r="BG4">
            <v>0</v>
          </cell>
          <cell r="BH4">
            <v>955</v>
          </cell>
          <cell r="BI4">
            <v>0</v>
          </cell>
          <cell r="BK4">
            <v>1173</v>
          </cell>
          <cell r="BL4">
            <v>0</v>
          </cell>
          <cell r="BM4">
            <v>1173</v>
          </cell>
          <cell r="BN4">
            <v>0</v>
          </cell>
          <cell r="BO4">
            <v>955</v>
          </cell>
          <cell r="BP4">
            <v>0</v>
          </cell>
          <cell r="BQ4">
            <v>0</v>
          </cell>
          <cell r="BR4">
            <v>955</v>
          </cell>
          <cell r="BS4">
            <v>0</v>
          </cell>
          <cell r="BU4">
            <v>1173</v>
          </cell>
          <cell r="BV4">
            <v>0</v>
          </cell>
          <cell r="BW4">
            <v>1173</v>
          </cell>
          <cell r="BX4">
            <v>0</v>
          </cell>
          <cell r="BY4">
            <v>955</v>
          </cell>
          <cell r="BZ4">
            <v>0</v>
          </cell>
          <cell r="CA4">
            <v>0</v>
          </cell>
          <cell r="CB4">
            <v>955</v>
          </cell>
          <cell r="CC4">
            <v>0</v>
          </cell>
          <cell r="CE4">
            <v>1173</v>
          </cell>
          <cell r="CF4">
            <v>0</v>
          </cell>
          <cell r="CG4">
            <v>1173</v>
          </cell>
          <cell r="CH4">
            <v>0</v>
          </cell>
          <cell r="CI4">
            <v>955</v>
          </cell>
          <cell r="CJ4">
            <v>0</v>
          </cell>
          <cell r="CK4">
            <v>0</v>
          </cell>
          <cell r="CL4">
            <v>955</v>
          </cell>
          <cell r="CM4">
            <v>0</v>
          </cell>
          <cell r="CO4">
            <v>1173</v>
          </cell>
          <cell r="CP4">
            <v>0</v>
          </cell>
          <cell r="CQ4">
            <v>1173</v>
          </cell>
          <cell r="CR4">
            <v>0</v>
          </cell>
          <cell r="CS4">
            <v>955</v>
          </cell>
          <cell r="CT4">
            <v>0</v>
          </cell>
          <cell r="CU4">
            <v>0</v>
          </cell>
          <cell r="CV4">
            <v>955</v>
          </cell>
          <cell r="CW4">
            <v>10675</v>
          </cell>
          <cell r="CY4">
            <v>1173</v>
          </cell>
          <cell r="CZ4">
            <v>0</v>
          </cell>
          <cell r="DA4">
            <v>1173</v>
          </cell>
          <cell r="DB4">
            <v>0</v>
          </cell>
          <cell r="DC4">
            <v>1250</v>
          </cell>
          <cell r="DD4">
            <v>0</v>
          </cell>
          <cell r="DE4">
            <v>0</v>
          </cell>
          <cell r="DF4">
            <v>1250</v>
          </cell>
          <cell r="DG4">
            <v>0</v>
          </cell>
          <cell r="DI4">
            <v>14528</v>
          </cell>
          <cell r="DJ4">
            <v>11404</v>
          </cell>
          <cell r="DK4">
            <v>0</v>
          </cell>
          <cell r="DL4">
            <v>11404</v>
          </cell>
          <cell r="DM4">
            <v>11404</v>
          </cell>
          <cell r="DN4">
            <v>0</v>
          </cell>
          <cell r="DO4">
            <v>11404</v>
          </cell>
          <cell r="DP4">
            <v>9195</v>
          </cell>
          <cell r="DQ4">
            <v>0</v>
          </cell>
          <cell r="DR4">
            <v>0</v>
          </cell>
          <cell r="DS4">
            <v>9195</v>
          </cell>
          <cell r="DT4">
            <v>32003</v>
          </cell>
          <cell r="DU4">
            <v>20705</v>
          </cell>
          <cell r="DW4">
            <v>0</v>
          </cell>
          <cell r="DX4">
            <v>0</v>
          </cell>
          <cell r="DY4">
            <v>12344</v>
          </cell>
          <cell r="DZ4">
            <v>15350</v>
          </cell>
          <cell r="EA4">
            <v>18422</v>
          </cell>
          <cell r="EB4">
            <v>16504</v>
          </cell>
          <cell r="EC4">
            <v>19701</v>
          </cell>
          <cell r="ED4">
            <v>23002</v>
          </cell>
          <cell r="EE4">
            <v>26303</v>
          </cell>
          <cell r="EF4">
            <v>29604</v>
          </cell>
          <cell r="EG4">
            <v>22230</v>
          </cell>
          <cell r="EH4">
            <v>25826</v>
          </cell>
          <cell r="EI4">
            <v>209286</v>
          </cell>
          <cell r="EK4">
            <v>0</v>
          </cell>
          <cell r="EL4">
            <v>0</v>
          </cell>
          <cell r="EM4">
            <v>82.293333333333337</v>
          </cell>
          <cell r="EN4">
            <v>102.33333333333333</v>
          </cell>
          <cell r="EO4">
            <v>122.81333333333333</v>
          </cell>
          <cell r="EP4">
            <v>110.02666666666666</v>
          </cell>
          <cell r="EQ4">
            <v>131.34</v>
          </cell>
          <cell r="ER4">
            <v>153.34666666666666</v>
          </cell>
          <cell r="ES4">
            <v>188.50483333333332</v>
          </cell>
          <cell r="ET4">
            <v>212.16200000000001</v>
          </cell>
          <cell r="EU4">
            <v>159.315</v>
          </cell>
          <cell r="EV4">
            <v>185.0863333333333</v>
          </cell>
          <cell r="EW4">
            <v>1447.2215000000001</v>
          </cell>
          <cell r="EY4">
            <v>105323</v>
          </cell>
          <cell r="EZ4">
            <v>8</v>
          </cell>
          <cell r="FA4">
            <v>702.15333333333331</v>
          </cell>
          <cell r="FB4">
            <v>103963</v>
          </cell>
          <cell r="FC4">
            <v>8.6</v>
          </cell>
          <cell r="FD4">
            <v>745.06816666666657</v>
          </cell>
          <cell r="FE4">
            <v>1447.2214999999999</v>
          </cell>
          <cell r="FF4">
            <v>27273</v>
          </cell>
          <cell r="FH4">
            <v>27273</v>
          </cell>
        </row>
        <row r="5">
          <cell r="B5">
            <v>9251</v>
          </cell>
          <cell r="C5" t="str">
            <v>23.11.2005</v>
          </cell>
          <cell r="D5" t="str">
            <v>Barve Shrikant Ratan</v>
          </cell>
          <cell r="F5">
            <v>23638</v>
          </cell>
          <cell r="H5">
            <v>8358</v>
          </cell>
          <cell r="I5">
            <v>8358</v>
          </cell>
          <cell r="J5">
            <v>16716</v>
          </cell>
          <cell r="K5">
            <v>-6922</v>
          </cell>
          <cell r="M5">
            <v>1088</v>
          </cell>
          <cell r="N5">
            <v>0</v>
          </cell>
          <cell r="O5">
            <v>1088</v>
          </cell>
          <cell r="P5">
            <v>0</v>
          </cell>
          <cell r="Q5">
            <v>650</v>
          </cell>
          <cell r="R5">
            <v>0</v>
          </cell>
          <cell r="S5">
            <v>0</v>
          </cell>
          <cell r="T5">
            <v>650</v>
          </cell>
          <cell r="U5">
            <v>6300</v>
          </cell>
          <cell r="W5">
            <v>1088</v>
          </cell>
          <cell r="X5">
            <v>0</v>
          </cell>
          <cell r="Y5">
            <v>1088</v>
          </cell>
          <cell r="Z5">
            <v>0</v>
          </cell>
          <cell r="AA5">
            <v>650</v>
          </cell>
          <cell r="AB5">
            <v>0</v>
          </cell>
          <cell r="AC5">
            <v>0</v>
          </cell>
          <cell r="AD5">
            <v>650</v>
          </cell>
          <cell r="AE5">
            <v>0</v>
          </cell>
          <cell r="AG5">
            <v>1121</v>
          </cell>
          <cell r="AH5">
            <v>0</v>
          </cell>
          <cell r="AI5">
            <v>1121</v>
          </cell>
          <cell r="AJ5">
            <v>0</v>
          </cell>
          <cell r="AK5">
            <v>650</v>
          </cell>
          <cell r="AL5">
            <v>0</v>
          </cell>
          <cell r="AM5">
            <v>0</v>
          </cell>
          <cell r="AN5">
            <v>650</v>
          </cell>
          <cell r="AO5">
            <v>0</v>
          </cell>
          <cell r="AQ5">
            <v>1121</v>
          </cell>
          <cell r="AR5">
            <v>0</v>
          </cell>
          <cell r="AS5">
            <v>1121</v>
          </cell>
          <cell r="AT5">
            <v>0</v>
          </cell>
          <cell r="AU5">
            <v>900</v>
          </cell>
          <cell r="AV5">
            <v>0</v>
          </cell>
          <cell r="AW5">
            <v>0</v>
          </cell>
          <cell r="AX5">
            <v>900</v>
          </cell>
          <cell r="AY5">
            <v>0</v>
          </cell>
          <cell r="BA5">
            <v>1121</v>
          </cell>
          <cell r="BB5">
            <v>0</v>
          </cell>
          <cell r="BC5">
            <v>1121</v>
          </cell>
          <cell r="BD5">
            <v>0</v>
          </cell>
          <cell r="BE5">
            <v>650</v>
          </cell>
          <cell r="BF5">
            <v>0</v>
          </cell>
          <cell r="BG5">
            <v>0</v>
          </cell>
          <cell r="BH5">
            <v>650</v>
          </cell>
          <cell r="BI5">
            <v>0</v>
          </cell>
          <cell r="BK5">
            <v>1173</v>
          </cell>
          <cell r="BL5">
            <v>0</v>
          </cell>
          <cell r="BM5">
            <v>1173</v>
          </cell>
          <cell r="BN5">
            <v>0</v>
          </cell>
          <cell r="BO5">
            <v>650</v>
          </cell>
          <cell r="BP5">
            <v>0</v>
          </cell>
          <cell r="BQ5">
            <v>0</v>
          </cell>
          <cell r="BR5">
            <v>650</v>
          </cell>
          <cell r="BS5">
            <v>0</v>
          </cell>
          <cell r="BU5">
            <v>1173</v>
          </cell>
          <cell r="BV5">
            <v>0</v>
          </cell>
          <cell r="BW5">
            <v>1173</v>
          </cell>
          <cell r="BX5">
            <v>0</v>
          </cell>
          <cell r="BY5">
            <v>650</v>
          </cell>
          <cell r="BZ5">
            <v>0</v>
          </cell>
          <cell r="CA5">
            <v>0</v>
          </cell>
          <cell r="CB5">
            <v>650</v>
          </cell>
          <cell r="CC5">
            <v>0</v>
          </cell>
          <cell r="CE5">
            <v>1173</v>
          </cell>
          <cell r="CF5">
            <v>0</v>
          </cell>
          <cell r="CG5">
            <v>1173</v>
          </cell>
          <cell r="CH5">
            <v>0</v>
          </cell>
          <cell r="CI5">
            <v>650</v>
          </cell>
          <cell r="CJ5">
            <v>0</v>
          </cell>
          <cell r="CK5">
            <v>0</v>
          </cell>
          <cell r="CL5">
            <v>650</v>
          </cell>
          <cell r="CM5">
            <v>9850</v>
          </cell>
          <cell r="CO5">
            <v>1173</v>
          </cell>
          <cell r="CP5">
            <v>0</v>
          </cell>
          <cell r="CQ5">
            <v>1173</v>
          </cell>
          <cell r="CR5">
            <v>0</v>
          </cell>
          <cell r="CS5">
            <v>850</v>
          </cell>
          <cell r="CT5">
            <v>0</v>
          </cell>
          <cell r="CU5">
            <v>0</v>
          </cell>
          <cell r="CV5">
            <v>850</v>
          </cell>
          <cell r="CW5">
            <v>0</v>
          </cell>
          <cell r="CY5">
            <v>1173</v>
          </cell>
          <cell r="CZ5">
            <v>0</v>
          </cell>
          <cell r="DA5">
            <v>1173</v>
          </cell>
          <cell r="DB5">
            <v>0</v>
          </cell>
          <cell r="DC5">
            <v>850</v>
          </cell>
          <cell r="DD5">
            <v>0</v>
          </cell>
          <cell r="DE5">
            <v>0</v>
          </cell>
          <cell r="DF5">
            <v>850</v>
          </cell>
          <cell r="DG5">
            <v>0</v>
          </cell>
          <cell r="DI5">
            <v>16716</v>
          </cell>
          <cell r="DJ5">
            <v>11404</v>
          </cell>
          <cell r="DK5">
            <v>0</v>
          </cell>
          <cell r="DL5">
            <v>11404</v>
          </cell>
          <cell r="DM5">
            <v>11404</v>
          </cell>
          <cell r="DN5">
            <v>0</v>
          </cell>
          <cell r="DO5">
            <v>11404</v>
          </cell>
          <cell r="DP5">
            <v>7150</v>
          </cell>
          <cell r="DQ5">
            <v>0</v>
          </cell>
          <cell r="DR5">
            <v>0</v>
          </cell>
          <cell r="DS5">
            <v>7150</v>
          </cell>
          <cell r="DT5">
            <v>29958</v>
          </cell>
          <cell r="DU5">
            <v>16150</v>
          </cell>
          <cell r="DW5">
            <v>0</v>
          </cell>
          <cell r="DX5">
            <v>0</v>
          </cell>
          <cell r="DY5">
            <v>13242</v>
          </cell>
          <cell r="DZ5">
            <v>16068</v>
          </cell>
          <cell r="EA5">
            <v>18960</v>
          </cell>
          <cell r="EB5">
            <v>22102</v>
          </cell>
          <cell r="EC5">
            <v>24994</v>
          </cell>
          <cell r="ED5">
            <v>27990</v>
          </cell>
          <cell r="EE5">
            <v>30986</v>
          </cell>
          <cell r="EF5">
            <v>24132</v>
          </cell>
          <cell r="EG5">
            <v>27328</v>
          </cell>
          <cell r="EH5">
            <v>30524</v>
          </cell>
          <cell r="EI5">
            <v>236326</v>
          </cell>
          <cell r="EK5">
            <v>0</v>
          </cell>
          <cell r="EL5">
            <v>0</v>
          </cell>
          <cell r="EM5">
            <v>88.279999999999987</v>
          </cell>
          <cell r="EN5">
            <v>107.12</v>
          </cell>
          <cell r="EO5">
            <v>126.39999999999999</v>
          </cell>
          <cell r="EP5">
            <v>147.34666666666666</v>
          </cell>
          <cell r="EQ5">
            <v>166.62666666666667</v>
          </cell>
          <cell r="ER5">
            <v>186.6</v>
          </cell>
          <cell r="ES5">
            <v>222.06633333333332</v>
          </cell>
          <cell r="ET5">
            <v>172.946</v>
          </cell>
          <cell r="EU5">
            <v>195.85066666666668</v>
          </cell>
          <cell r="EV5">
            <v>218.75533333333331</v>
          </cell>
          <cell r="EW5">
            <v>1631.9916666666666</v>
          </cell>
          <cell r="EY5">
            <v>123356</v>
          </cell>
          <cell r="EZ5">
            <v>8</v>
          </cell>
          <cell r="FA5">
            <v>822.37333333333333</v>
          </cell>
          <cell r="FB5">
            <v>112970</v>
          </cell>
          <cell r="FC5">
            <v>8.6</v>
          </cell>
          <cell r="FD5">
            <v>809.61833333333334</v>
          </cell>
          <cell r="FE5">
            <v>1631.9916666666668</v>
          </cell>
          <cell r="FF5">
            <v>32156</v>
          </cell>
          <cell r="FH5">
            <v>32156</v>
          </cell>
        </row>
        <row r="6">
          <cell r="B6">
            <v>9275</v>
          </cell>
          <cell r="C6" t="str">
            <v>23.11.2005</v>
          </cell>
          <cell r="D6" t="str">
            <v>Ghegadmal Yogesh Suresh</v>
          </cell>
          <cell r="F6">
            <v>22769</v>
          </cell>
          <cell r="G6">
            <v>38318</v>
          </cell>
          <cell r="H6">
            <v>20646</v>
          </cell>
          <cell r="I6">
            <v>20646</v>
          </cell>
          <cell r="J6">
            <v>41292</v>
          </cell>
          <cell r="K6">
            <v>18523</v>
          </cell>
          <cell r="M6">
            <v>1121</v>
          </cell>
          <cell r="N6">
            <v>0</v>
          </cell>
          <cell r="O6">
            <v>1121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W6">
            <v>1121</v>
          </cell>
          <cell r="X6">
            <v>0</v>
          </cell>
          <cell r="Y6">
            <v>1121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G6">
            <v>1156</v>
          </cell>
          <cell r="AH6">
            <v>0</v>
          </cell>
          <cell r="AI6">
            <v>1156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Q6">
            <v>1156</v>
          </cell>
          <cell r="AR6">
            <v>0</v>
          </cell>
          <cell r="AS6">
            <v>1156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BA6">
            <v>1156</v>
          </cell>
          <cell r="BB6">
            <v>0</v>
          </cell>
          <cell r="BC6">
            <v>1156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K6">
            <v>1210</v>
          </cell>
          <cell r="BL6">
            <v>0</v>
          </cell>
          <cell r="BM6">
            <v>1210</v>
          </cell>
          <cell r="BN6">
            <v>0</v>
          </cell>
          <cell r="BO6">
            <v>0</v>
          </cell>
          <cell r="BP6">
            <v>0</v>
          </cell>
          <cell r="BQ6">
            <v>0</v>
          </cell>
          <cell r="BR6">
            <v>0</v>
          </cell>
          <cell r="BS6">
            <v>0</v>
          </cell>
          <cell r="BU6">
            <v>1210</v>
          </cell>
          <cell r="BV6">
            <v>0</v>
          </cell>
          <cell r="BW6">
            <v>1210</v>
          </cell>
          <cell r="BX6">
            <v>0</v>
          </cell>
          <cell r="BY6">
            <v>0</v>
          </cell>
          <cell r="BZ6">
            <v>0</v>
          </cell>
          <cell r="CA6">
            <v>0</v>
          </cell>
          <cell r="CB6">
            <v>0</v>
          </cell>
          <cell r="CC6">
            <v>0</v>
          </cell>
          <cell r="CE6">
            <v>1210</v>
          </cell>
          <cell r="CF6">
            <v>0</v>
          </cell>
          <cell r="CG6">
            <v>1210</v>
          </cell>
          <cell r="CH6">
            <v>0</v>
          </cell>
          <cell r="CI6">
            <v>0</v>
          </cell>
          <cell r="CJ6">
            <v>0</v>
          </cell>
          <cell r="CK6">
            <v>0</v>
          </cell>
          <cell r="CL6">
            <v>0</v>
          </cell>
          <cell r="CM6">
            <v>0</v>
          </cell>
          <cell r="CO6">
            <v>1210</v>
          </cell>
          <cell r="CP6">
            <v>0</v>
          </cell>
          <cell r="CQ6">
            <v>1210</v>
          </cell>
          <cell r="CR6">
            <v>0</v>
          </cell>
          <cell r="CS6">
            <v>0</v>
          </cell>
          <cell r="CT6">
            <v>0</v>
          </cell>
          <cell r="CU6">
            <v>0</v>
          </cell>
          <cell r="CV6">
            <v>0</v>
          </cell>
          <cell r="CW6">
            <v>0</v>
          </cell>
          <cell r="CY6">
            <v>1210</v>
          </cell>
          <cell r="CZ6">
            <v>0</v>
          </cell>
          <cell r="DA6">
            <v>1210</v>
          </cell>
          <cell r="DB6">
            <v>0</v>
          </cell>
          <cell r="DC6">
            <v>0</v>
          </cell>
          <cell r="DD6">
            <v>0</v>
          </cell>
          <cell r="DE6">
            <v>0</v>
          </cell>
          <cell r="DF6">
            <v>0</v>
          </cell>
          <cell r="DG6">
            <v>0</v>
          </cell>
          <cell r="DI6">
            <v>41292</v>
          </cell>
          <cell r="DJ6">
            <v>11760</v>
          </cell>
          <cell r="DK6">
            <v>0</v>
          </cell>
          <cell r="DL6">
            <v>11760</v>
          </cell>
          <cell r="DM6">
            <v>11760</v>
          </cell>
          <cell r="DN6">
            <v>0</v>
          </cell>
          <cell r="DO6">
            <v>11760</v>
          </cell>
          <cell r="DP6">
            <v>0</v>
          </cell>
          <cell r="DQ6">
            <v>0</v>
          </cell>
          <cell r="DR6">
            <v>0</v>
          </cell>
          <cell r="DS6">
            <v>0</v>
          </cell>
          <cell r="DT6">
            <v>23520</v>
          </cell>
          <cell r="DU6">
            <v>0</v>
          </cell>
          <cell r="DW6">
            <v>0</v>
          </cell>
          <cell r="DX6">
            <v>0</v>
          </cell>
          <cell r="DY6">
            <v>43534</v>
          </cell>
          <cell r="DZ6">
            <v>45776</v>
          </cell>
          <cell r="EA6">
            <v>48088</v>
          </cell>
          <cell r="EB6">
            <v>50400</v>
          </cell>
          <cell r="EC6">
            <v>52712</v>
          </cell>
          <cell r="ED6">
            <v>55132</v>
          </cell>
          <cell r="EE6">
            <v>57552</v>
          </cell>
          <cell r="EF6">
            <v>59972</v>
          </cell>
          <cell r="EG6">
            <v>62392</v>
          </cell>
          <cell r="EH6">
            <v>64812</v>
          </cell>
          <cell r="EI6">
            <v>540370</v>
          </cell>
          <cell r="EK6">
            <v>0</v>
          </cell>
          <cell r="EL6">
            <v>0</v>
          </cell>
          <cell r="EM6">
            <v>290.22666666666663</v>
          </cell>
          <cell r="EN6">
            <v>305.17333333333335</v>
          </cell>
          <cell r="EO6">
            <v>320.58666666666664</v>
          </cell>
          <cell r="EP6">
            <v>336</v>
          </cell>
          <cell r="EQ6">
            <v>351.41333333333336</v>
          </cell>
          <cell r="ER6">
            <v>367.54666666666668</v>
          </cell>
          <cell r="ES6">
            <v>412.45599999999996</v>
          </cell>
          <cell r="ET6">
            <v>429.79933333333332</v>
          </cell>
          <cell r="EU6">
            <v>447.14266666666663</v>
          </cell>
          <cell r="EV6">
            <v>464.48599999999993</v>
          </cell>
          <cell r="EW6">
            <v>3724.8306666666667</v>
          </cell>
          <cell r="EY6">
            <v>295642</v>
          </cell>
          <cell r="EZ6">
            <v>8</v>
          </cell>
          <cell r="FA6">
            <v>1970.9466666666667</v>
          </cell>
          <cell r="FB6">
            <v>244728</v>
          </cell>
          <cell r="FC6">
            <v>8.6</v>
          </cell>
          <cell r="FD6">
            <v>1753.8839999999998</v>
          </cell>
          <cell r="FE6">
            <v>3724.8306666666667</v>
          </cell>
          <cell r="FF6">
            <v>68537</v>
          </cell>
          <cell r="FH6">
            <v>68537</v>
          </cell>
        </row>
        <row r="7">
          <cell r="B7">
            <v>9252</v>
          </cell>
          <cell r="C7" t="str">
            <v>24.11.2005</v>
          </cell>
          <cell r="D7" t="str">
            <v>Soudagar Archana Manoj</v>
          </cell>
          <cell r="F7">
            <v>24177</v>
          </cell>
          <cell r="H7">
            <v>17435</v>
          </cell>
          <cell r="I7">
            <v>17435</v>
          </cell>
          <cell r="J7">
            <v>34870</v>
          </cell>
          <cell r="K7">
            <v>10693</v>
          </cell>
          <cell r="M7">
            <v>1121</v>
          </cell>
          <cell r="N7">
            <v>0</v>
          </cell>
          <cell r="O7">
            <v>1121</v>
          </cell>
          <cell r="P7">
            <v>0</v>
          </cell>
          <cell r="Q7">
            <v>1010</v>
          </cell>
          <cell r="R7">
            <v>0</v>
          </cell>
          <cell r="S7">
            <v>0</v>
          </cell>
          <cell r="T7">
            <v>1010</v>
          </cell>
          <cell r="U7">
            <v>0</v>
          </cell>
          <cell r="W7">
            <v>1121</v>
          </cell>
          <cell r="X7">
            <v>0</v>
          </cell>
          <cell r="Y7">
            <v>1121</v>
          </cell>
          <cell r="Z7">
            <v>0</v>
          </cell>
          <cell r="AA7">
            <v>1010</v>
          </cell>
          <cell r="AB7">
            <v>0</v>
          </cell>
          <cell r="AC7">
            <v>0</v>
          </cell>
          <cell r="AD7">
            <v>1010</v>
          </cell>
          <cell r="AE7">
            <v>0</v>
          </cell>
          <cell r="AG7">
            <v>1156</v>
          </cell>
          <cell r="AH7">
            <v>0</v>
          </cell>
          <cell r="AI7">
            <v>1156</v>
          </cell>
          <cell r="AJ7">
            <v>0</v>
          </cell>
          <cell r="AK7">
            <v>1010</v>
          </cell>
          <cell r="AL7">
            <v>0</v>
          </cell>
          <cell r="AM7">
            <v>0</v>
          </cell>
          <cell r="AN7">
            <v>1010</v>
          </cell>
          <cell r="AO7">
            <v>0</v>
          </cell>
          <cell r="AQ7">
            <v>1156</v>
          </cell>
          <cell r="AR7">
            <v>0</v>
          </cell>
          <cell r="AS7">
            <v>1156</v>
          </cell>
          <cell r="AT7">
            <v>0</v>
          </cell>
          <cell r="AU7">
            <v>1010</v>
          </cell>
          <cell r="AV7">
            <v>0</v>
          </cell>
          <cell r="AW7">
            <v>0</v>
          </cell>
          <cell r="AX7">
            <v>1010</v>
          </cell>
          <cell r="AY7">
            <v>0</v>
          </cell>
          <cell r="BA7">
            <v>1156</v>
          </cell>
          <cell r="BB7">
            <v>0</v>
          </cell>
          <cell r="BC7">
            <v>1156</v>
          </cell>
          <cell r="BD7">
            <v>0</v>
          </cell>
          <cell r="BE7">
            <v>1010</v>
          </cell>
          <cell r="BF7">
            <v>0</v>
          </cell>
          <cell r="BG7">
            <v>0</v>
          </cell>
          <cell r="BH7">
            <v>1010</v>
          </cell>
          <cell r="BI7">
            <v>0</v>
          </cell>
          <cell r="BK7">
            <v>1210</v>
          </cell>
          <cell r="BL7">
            <v>0</v>
          </cell>
          <cell r="BM7">
            <v>1210</v>
          </cell>
          <cell r="BN7">
            <v>0</v>
          </cell>
          <cell r="BO7">
            <v>1010</v>
          </cell>
          <cell r="BP7">
            <v>0</v>
          </cell>
          <cell r="BQ7">
            <v>0</v>
          </cell>
          <cell r="BR7">
            <v>1010</v>
          </cell>
          <cell r="BS7">
            <v>0</v>
          </cell>
          <cell r="BU7">
            <v>1210</v>
          </cell>
          <cell r="BV7">
            <v>0</v>
          </cell>
          <cell r="BW7">
            <v>1210</v>
          </cell>
          <cell r="BX7">
            <v>0</v>
          </cell>
          <cell r="BY7">
            <v>1010</v>
          </cell>
          <cell r="BZ7">
            <v>0</v>
          </cell>
          <cell r="CA7">
            <v>0</v>
          </cell>
          <cell r="CB7">
            <v>1010</v>
          </cell>
          <cell r="CC7">
            <v>0</v>
          </cell>
          <cell r="CE7">
            <v>1210</v>
          </cell>
          <cell r="CF7">
            <v>0</v>
          </cell>
          <cell r="CG7">
            <v>1210</v>
          </cell>
          <cell r="CH7">
            <v>0</v>
          </cell>
          <cell r="CI7">
            <v>1010</v>
          </cell>
          <cell r="CJ7">
            <v>0</v>
          </cell>
          <cell r="CK7">
            <v>0</v>
          </cell>
          <cell r="CL7">
            <v>1010</v>
          </cell>
          <cell r="CM7">
            <v>0</v>
          </cell>
          <cell r="CO7">
            <v>1210</v>
          </cell>
          <cell r="CP7">
            <v>0</v>
          </cell>
          <cell r="CQ7">
            <v>1210</v>
          </cell>
          <cell r="CR7">
            <v>0</v>
          </cell>
          <cell r="CS7">
            <v>1010</v>
          </cell>
          <cell r="CT7">
            <v>0</v>
          </cell>
          <cell r="CU7">
            <v>0</v>
          </cell>
          <cell r="CV7">
            <v>1010</v>
          </cell>
          <cell r="CW7">
            <v>0</v>
          </cell>
          <cell r="CY7">
            <v>1210</v>
          </cell>
          <cell r="CZ7">
            <v>0</v>
          </cell>
          <cell r="DA7">
            <v>1210</v>
          </cell>
          <cell r="DB7">
            <v>0</v>
          </cell>
          <cell r="DC7">
            <v>1010</v>
          </cell>
          <cell r="DD7">
            <v>0</v>
          </cell>
          <cell r="DE7">
            <v>0</v>
          </cell>
          <cell r="DF7">
            <v>1010</v>
          </cell>
          <cell r="DG7">
            <v>0</v>
          </cell>
          <cell r="DI7">
            <v>34870</v>
          </cell>
          <cell r="DJ7">
            <v>11760</v>
          </cell>
          <cell r="DK7">
            <v>0</v>
          </cell>
          <cell r="DL7">
            <v>11760</v>
          </cell>
          <cell r="DM7">
            <v>11760</v>
          </cell>
          <cell r="DN7">
            <v>0</v>
          </cell>
          <cell r="DO7">
            <v>11760</v>
          </cell>
          <cell r="DP7">
            <v>10100</v>
          </cell>
          <cell r="DQ7">
            <v>0</v>
          </cell>
          <cell r="DR7">
            <v>0</v>
          </cell>
          <cell r="DS7">
            <v>10100</v>
          </cell>
          <cell r="DT7">
            <v>33620</v>
          </cell>
          <cell r="DU7">
            <v>0</v>
          </cell>
          <cell r="DW7">
            <v>0</v>
          </cell>
          <cell r="DX7">
            <v>0</v>
          </cell>
          <cell r="DY7">
            <v>38122</v>
          </cell>
          <cell r="DZ7">
            <v>41374</v>
          </cell>
          <cell r="EA7">
            <v>44696</v>
          </cell>
          <cell r="EB7">
            <v>48018</v>
          </cell>
          <cell r="EC7">
            <v>51340</v>
          </cell>
          <cell r="ED7">
            <v>54770</v>
          </cell>
          <cell r="EE7">
            <v>58200</v>
          </cell>
          <cell r="EF7">
            <v>61630</v>
          </cell>
          <cell r="EG7">
            <v>65060</v>
          </cell>
          <cell r="EH7">
            <v>68490</v>
          </cell>
          <cell r="EI7">
            <v>531700</v>
          </cell>
          <cell r="EK7">
            <v>0</v>
          </cell>
          <cell r="EL7">
            <v>0</v>
          </cell>
          <cell r="EM7">
            <v>254.14666666666668</v>
          </cell>
          <cell r="EN7">
            <v>275.82666666666665</v>
          </cell>
          <cell r="EO7">
            <v>297.9733333333333</v>
          </cell>
          <cell r="EP7">
            <v>320.12</v>
          </cell>
          <cell r="EQ7">
            <v>342.26666666666665</v>
          </cell>
          <cell r="ER7">
            <v>365.13333333333338</v>
          </cell>
          <cell r="ES7">
            <v>417.09999999999997</v>
          </cell>
          <cell r="ET7">
            <v>441.68166666666667</v>
          </cell>
          <cell r="EU7">
            <v>466.26333333333332</v>
          </cell>
          <cell r="EV7">
            <v>490.84500000000003</v>
          </cell>
          <cell r="EW7">
            <v>3671.3566666666666</v>
          </cell>
          <cell r="EY7">
            <v>278320</v>
          </cell>
          <cell r="EZ7">
            <v>8</v>
          </cell>
          <cell r="FA7">
            <v>1855.4666666666665</v>
          </cell>
          <cell r="FB7">
            <v>253380</v>
          </cell>
          <cell r="FC7">
            <v>8.6</v>
          </cell>
          <cell r="FD7">
            <v>1815.89</v>
          </cell>
          <cell r="FE7">
            <v>3671.3566666666666</v>
          </cell>
          <cell r="FF7">
            <v>72161</v>
          </cell>
          <cell r="FH7">
            <v>72161</v>
          </cell>
        </row>
        <row r="8">
          <cell r="B8">
            <v>9273</v>
          </cell>
          <cell r="C8" t="str">
            <v>28.11.2005</v>
          </cell>
          <cell r="D8" t="str">
            <v>Gangurde Sagar Ramesh</v>
          </cell>
          <cell r="E8" t="str">
            <v>F</v>
          </cell>
          <cell r="F8">
            <v>21493</v>
          </cell>
          <cell r="H8">
            <v>8180</v>
          </cell>
          <cell r="I8">
            <v>8180</v>
          </cell>
          <cell r="J8">
            <v>16360</v>
          </cell>
          <cell r="K8">
            <v>-5133</v>
          </cell>
          <cell r="M8">
            <v>1121</v>
          </cell>
          <cell r="N8">
            <v>0</v>
          </cell>
          <cell r="O8">
            <v>1121</v>
          </cell>
          <cell r="P8">
            <v>0</v>
          </cell>
          <cell r="Q8">
            <v>680</v>
          </cell>
          <cell r="R8">
            <v>0</v>
          </cell>
          <cell r="S8">
            <v>0</v>
          </cell>
          <cell r="T8">
            <v>680</v>
          </cell>
          <cell r="U8">
            <v>0</v>
          </cell>
          <cell r="W8">
            <v>1121</v>
          </cell>
          <cell r="X8">
            <v>0</v>
          </cell>
          <cell r="Y8">
            <v>1121</v>
          </cell>
          <cell r="Z8">
            <v>0</v>
          </cell>
          <cell r="AA8">
            <v>680</v>
          </cell>
          <cell r="AB8">
            <v>0</v>
          </cell>
          <cell r="AC8">
            <v>0</v>
          </cell>
          <cell r="AD8">
            <v>680</v>
          </cell>
          <cell r="AE8">
            <v>0</v>
          </cell>
          <cell r="AG8">
            <v>1156</v>
          </cell>
          <cell r="AH8">
            <v>0</v>
          </cell>
          <cell r="AI8">
            <v>1156</v>
          </cell>
          <cell r="AJ8">
            <v>0</v>
          </cell>
          <cell r="AK8">
            <v>680</v>
          </cell>
          <cell r="AL8">
            <v>0</v>
          </cell>
          <cell r="AM8">
            <v>0</v>
          </cell>
          <cell r="AN8">
            <v>680</v>
          </cell>
          <cell r="AO8">
            <v>0</v>
          </cell>
          <cell r="AQ8">
            <v>1156</v>
          </cell>
          <cell r="AR8">
            <v>0</v>
          </cell>
          <cell r="AS8">
            <v>1156</v>
          </cell>
          <cell r="AT8">
            <v>0</v>
          </cell>
          <cell r="AU8">
            <v>680</v>
          </cell>
          <cell r="AV8">
            <v>0</v>
          </cell>
          <cell r="AW8">
            <v>0</v>
          </cell>
          <cell r="AX8">
            <v>680</v>
          </cell>
          <cell r="AY8">
            <v>9520</v>
          </cell>
          <cell r="BA8">
            <v>1156</v>
          </cell>
          <cell r="BB8">
            <v>0</v>
          </cell>
          <cell r="BC8">
            <v>1156</v>
          </cell>
          <cell r="BD8">
            <v>0</v>
          </cell>
          <cell r="BE8">
            <v>1020</v>
          </cell>
          <cell r="BF8">
            <v>0</v>
          </cell>
          <cell r="BG8">
            <v>0</v>
          </cell>
          <cell r="BH8">
            <v>1020</v>
          </cell>
          <cell r="BI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U8">
            <v>1210</v>
          </cell>
          <cell r="BV8">
            <v>0</v>
          </cell>
          <cell r="BW8">
            <v>1210</v>
          </cell>
          <cell r="BX8">
            <v>0</v>
          </cell>
          <cell r="BY8">
            <v>1020</v>
          </cell>
          <cell r="BZ8">
            <v>0</v>
          </cell>
          <cell r="CA8">
            <v>0</v>
          </cell>
          <cell r="CB8">
            <v>1020</v>
          </cell>
          <cell r="CC8">
            <v>0</v>
          </cell>
          <cell r="CE8">
            <v>1210</v>
          </cell>
          <cell r="CF8">
            <v>0</v>
          </cell>
          <cell r="CG8">
            <v>1210</v>
          </cell>
          <cell r="CH8">
            <v>0</v>
          </cell>
          <cell r="CI8">
            <v>1020</v>
          </cell>
          <cell r="CJ8">
            <v>0</v>
          </cell>
          <cell r="CK8">
            <v>0</v>
          </cell>
          <cell r="CL8">
            <v>1020</v>
          </cell>
          <cell r="CM8">
            <v>0</v>
          </cell>
          <cell r="CO8">
            <v>1210</v>
          </cell>
          <cell r="CP8">
            <v>0</v>
          </cell>
          <cell r="CQ8">
            <v>1210</v>
          </cell>
          <cell r="CR8">
            <v>0</v>
          </cell>
          <cell r="CS8">
            <v>1020</v>
          </cell>
          <cell r="CT8">
            <v>0</v>
          </cell>
          <cell r="CU8">
            <v>0</v>
          </cell>
          <cell r="CV8">
            <v>1020</v>
          </cell>
          <cell r="CW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I8">
            <v>16360</v>
          </cell>
          <cell r="DJ8">
            <v>9340</v>
          </cell>
          <cell r="DK8">
            <v>0</v>
          </cell>
          <cell r="DL8">
            <v>9340</v>
          </cell>
          <cell r="DM8">
            <v>9340</v>
          </cell>
          <cell r="DN8">
            <v>0</v>
          </cell>
          <cell r="DO8">
            <v>9340</v>
          </cell>
          <cell r="DP8">
            <v>6800</v>
          </cell>
          <cell r="DQ8">
            <v>0</v>
          </cell>
          <cell r="DR8">
            <v>0</v>
          </cell>
          <cell r="DS8">
            <v>6800</v>
          </cell>
          <cell r="DT8">
            <v>25480</v>
          </cell>
          <cell r="DU8">
            <v>9520</v>
          </cell>
          <cell r="DW8">
            <v>0</v>
          </cell>
          <cell r="DX8">
            <v>0</v>
          </cell>
          <cell r="DY8">
            <v>19282</v>
          </cell>
          <cell r="DZ8">
            <v>22204</v>
          </cell>
          <cell r="EA8">
            <v>25196</v>
          </cell>
          <cell r="EB8">
            <v>18668</v>
          </cell>
          <cell r="EC8">
            <v>22000</v>
          </cell>
          <cell r="ED8">
            <v>22000</v>
          </cell>
          <cell r="EE8">
            <v>25440</v>
          </cell>
          <cell r="EF8">
            <v>28880</v>
          </cell>
          <cell r="EG8">
            <v>32320</v>
          </cell>
          <cell r="EH8">
            <v>32320</v>
          </cell>
          <cell r="EI8">
            <v>248310</v>
          </cell>
          <cell r="EK8">
            <v>0</v>
          </cell>
          <cell r="EL8">
            <v>0</v>
          </cell>
          <cell r="EM8">
            <v>128.54666666666665</v>
          </cell>
          <cell r="EN8">
            <v>148.02666666666667</v>
          </cell>
          <cell r="EO8">
            <v>167.97333333333333</v>
          </cell>
          <cell r="EP8">
            <v>124.45333333333333</v>
          </cell>
          <cell r="EQ8">
            <v>146.66666666666666</v>
          </cell>
          <cell r="ER8">
            <v>146.66666666666666</v>
          </cell>
          <cell r="ES8">
            <v>182.32000000000002</v>
          </cell>
          <cell r="ET8">
            <v>206.97333333333333</v>
          </cell>
          <cell r="EU8">
            <v>231.62666666666667</v>
          </cell>
          <cell r="EV8">
            <v>231.62666666666667</v>
          </cell>
          <cell r="EW8">
            <v>1714.8799999999997</v>
          </cell>
          <cell r="EY8">
            <v>129350</v>
          </cell>
          <cell r="EZ8">
            <v>8</v>
          </cell>
          <cell r="FA8">
            <v>862.33333333333337</v>
          </cell>
          <cell r="FB8">
            <v>118960</v>
          </cell>
          <cell r="FC8">
            <v>8.6</v>
          </cell>
          <cell r="FD8">
            <v>852.54666666666662</v>
          </cell>
          <cell r="FE8">
            <v>1714.88</v>
          </cell>
          <cell r="FF8">
            <v>34035</v>
          </cell>
          <cell r="FH8">
            <v>34035</v>
          </cell>
        </row>
        <row r="9">
          <cell r="B9">
            <v>9290</v>
          </cell>
          <cell r="C9" t="str">
            <v>30.11.2005</v>
          </cell>
          <cell r="D9" t="str">
            <v>More Machindra Namdev</v>
          </cell>
          <cell r="F9">
            <v>20401</v>
          </cell>
          <cell r="H9">
            <v>4270</v>
          </cell>
          <cell r="I9">
            <v>4270</v>
          </cell>
          <cell r="J9">
            <v>8540</v>
          </cell>
          <cell r="K9">
            <v>-11861</v>
          </cell>
          <cell r="M9">
            <v>1121</v>
          </cell>
          <cell r="N9">
            <v>0</v>
          </cell>
          <cell r="O9">
            <v>1121</v>
          </cell>
          <cell r="P9">
            <v>0</v>
          </cell>
          <cell r="Q9">
            <v>210</v>
          </cell>
          <cell r="R9">
            <v>0</v>
          </cell>
          <cell r="S9">
            <v>0</v>
          </cell>
          <cell r="T9">
            <v>210</v>
          </cell>
          <cell r="U9">
            <v>0</v>
          </cell>
          <cell r="W9">
            <v>1121</v>
          </cell>
          <cell r="X9">
            <v>0</v>
          </cell>
          <cell r="Y9">
            <v>1121</v>
          </cell>
          <cell r="Z9">
            <v>0</v>
          </cell>
          <cell r="AA9">
            <v>210</v>
          </cell>
          <cell r="AB9">
            <v>0</v>
          </cell>
          <cell r="AC9">
            <v>0</v>
          </cell>
          <cell r="AD9">
            <v>210</v>
          </cell>
          <cell r="AE9">
            <v>0</v>
          </cell>
          <cell r="AG9">
            <v>1156</v>
          </cell>
          <cell r="AH9">
            <v>0</v>
          </cell>
          <cell r="AI9">
            <v>1156</v>
          </cell>
          <cell r="AJ9">
            <v>0</v>
          </cell>
          <cell r="AK9">
            <v>210</v>
          </cell>
          <cell r="AL9">
            <v>0</v>
          </cell>
          <cell r="AM9">
            <v>0</v>
          </cell>
          <cell r="AN9">
            <v>210</v>
          </cell>
          <cell r="AO9">
            <v>0</v>
          </cell>
          <cell r="AQ9">
            <v>1156</v>
          </cell>
          <cell r="AR9">
            <v>0</v>
          </cell>
          <cell r="AS9">
            <v>1156</v>
          </cell>
          <cell r="AT9">
            <v>0</v>
          </cell>
          <cell r="AU9">
            <v>210</v>
          </cell>
          <cell r="AV9">
            <v>0</v>
          </cell>
          <cell r="AW9">
            <v>0</v>
          </cell>
          <cell r="AX9">
            <v>210</v>
          </cell>
          <cell r="AY9">
            <v>0</v>
          </cell>
          <cell r="BA9">
            <v>1156</v>
          </cell>
          <cell r="BB9">
            <v>0</v>
          </cell>
          <cell r="BC9">
            <v>1156</v>
          </cell>
          <cell r="BD9">
            <v>0</v>
          </cell>
          <cell r="BE9">
            <v>210</v>
          </cell>
          <cell r="BF9">
            <v>0</v>
          </cell>
          <cell r="BG9">
            <v>0</v>
          </cell>
          <cell r="BH9">
            <v>210</v>
          </cell>
          <cell r="BI9">
            <v>0</v>
          </cell>
          <cell r="BK9">
            <v>1210</v>
          </cell>
          <cell r="BL9">
            <v>0</v>
          </cell>
          <cell r="BM9">
            <v>1210</v>
          </cell>
          <cell r="BN9">
            <v>0</v>
          </cell>
          <cell r="BO9">
            <v>210</v>
          </cell>
          <cell r="BP9">
            <v>0</v>
          </cell>
          <cell r="BQ9">
            <v>0</v>
          </cell>
          <cell r="BR9">
            <v>210</v>
          </cell>
          <cell r="BS9">
            <v>0</v>
          </cell>
          <cell r="BU9">
            <v>1210</v>
          </cell>
          <cell r="BV9">
            <v>0</v>
          </cell>
          <cell r="BW9">
            <v>1210</v>
          </cell>
          <cell r="BX9">
            <v>0</v>
          </cell>
          <cell r="BY9">
            <v>210</v>
          </cell>
          <cell r="BZ9">
            <v>0</v>
          </cell>
          <cell r="CA9">
            <v>0</v>
          </cell>
          <cell r="CB9">
            <v>210</v>
          </cell>
          <cell r="CC9">
            <v>0</v>
          </cell>
          <cell r="CE9">
            <v>1210</v>
          </cell>
          <cell r="CF9">
            <v>0</v>
          </cell>
          <cell r="CG9">
            <v>1210</v>
          </cell>
          <cell r="CH9">
            <v>0</v>
          </cell>
          <cell r="CI9">
            <v>210</v>
          </cell>
          <cell r="CJ9">
            <v>0</v>
          </cell>
          <cell r="CK9">
            <v>0</v>
          </cell>
          <cell r="CL9">
            <v>210</v>
          </cell>
          <cell r="CM9">
            <v>0</v>
          </cell>
          <cell r="CO9">
            <v>1210</v>
          </cell>
          <cell r="CP9">
            <v>0</v>
          </cell>
          <cell r="CQ9">
            <v>1210</v>
          </cell>
          <cell r="CR9">
            <v>0</v>
          </cell>
          <cell r="CS9">
            <v>210</v>
          </cell>
          <cell r="CT9">
            <v>0</v>
          </cell>
          <cell r="CU9">
            <v>0</v>
          </cell>
          <cell r="CV9">
            <v>210</v>
          </cell>
          <cell r="CW9">
            <v>0</v>
          </cell>
          <cell r="CY9">
            <v>1210</v>
          </cell>
          <cell r="CZ9">
            <v>0</v>
          </cell>
          <cell r="DA9">
            <v>1210</v>
          </cell>
          <cell r="DB9">
            <v>0</v>
          </cell>
          <cell r="DC9">
            <v>210</v>
          </cell>
          <cell r="DD9">
            <v>0</v>
          </cell>
          <cell r="DE9">
            <v>0</v>
          </cell>
          <cell r="DF9">
            <v>210</v>
          </cell>
          <cell r="DG9">
            <v>0</v>
          </cell>
          <cell r="DI9">
            <v>8540</v>
          </cell>
          <cell r="DJ9">
            <v>11760</v>
          </cell>
          <cell r="DK9">
            <v>0</v>
          </cell>
          <cell r="DL9">
            <v>11760</v>
          </cell>
          <cell r="DM9">
            <v>11760</v>
          </cell>
          <cell r="DN9">
            <v>0</v>
          </cell>
          <cell r="DO9">
            <v>11760</v>
          </cell>
          <cell r="DP9">
            <v>2100</v>
          </cell>
          <cell r="DQ9">
            <v>0</v>
          </cell>
          <cell r="DR9">
            <v>0</v>
          </cell>
          <cell r="DS9">
            <v>2100</v>
          </cell>
          <cell r="DT9">
            <v>25620</v>
          </cell>
          <cell r="DU9">
            <v>0</v>
          </cell>
          <cell r="DW9">
            <v>0</v>
          </cell>
          <cell r="DX9">
            <v>0</v>
          </cell>
          <cell r="DY9">
            <v>10992</v>
          </cell>
          <cell r="DZ9">
            <v>13444</v>
          </cell>
          <cell r="EA9">
            <v>15966</v>
          </cell>
          <cell r="EB9">
            <v>18488</v>
          </cell>
          <cell r="EC9">
            <v>21010</v>
          </cell>
          <cell r="ED9">
            <v>23640</v>
          </cell>
          <cell r="EE9">
            <v>26270</v>
          </cell>
          <cell r="EF9">
            <v>28900</v>
          </cell>
          <cell r="EG9">
            <v>31530</v>
          </cell>
          <cell r="EH9">
            <v>34160</v>
          </cell>
          <cell r="EI9">
            <v>224400</v>
          </cell>
          <cell r="EK9">
            <v>0</v>
          </cell>
          <cell r="EL9">
            <v>0</v>
          </cell>
          <cell r="EM9">
            <v>73.28</v>
          </cell>
          <cell r="EN9">
            <v>89.626666666666665</v>
          </cell>
          <cell r="EO9">
            <v>106.44</v>
          </cell>
          <cell r="EP9">
            <v>123.25333333333333</v>
          </cell>
          <cell r="EQ9">
            <v>140.06666666666666</v>
          </cell>
          <cell r="ER9">
            <v>157.6</v>
          </cell>
          <cell r="ES9">
            <v>188.26833333333332</v>
          </cell>
          <cell r="ET9">
            <v>207.11666666666667</v>
          </cell>
          <cell r="EU9">
            <v>225.965</v>
          </cell>
          <cell r="EV9">
            <v>244.81333333333336</v>
          </cell>
          <cell r="EW9">
            <v>1556.4299999999998</v>
          </cell>
          <cell r="EY9">
            <v>103540</v>
          </cell>
          <cell r="EZ9">
            <v>8</v>
          </cell>
          <cell r="FA9">
            <v>690.26666666666677</v>
          </cell>
          <cell r="FB9">
            <v>120860</v>
          </cell>
          <cell r="FC9">
            <v>8.6</v>
          </cell>
          <cell r="FD9">
            <v>866.1633333333333</v>
          </cell>
          <cell r="FE9">
            <v>1556.43</v>
          </cell>
          <cell r="FF9">
            <v>35716</v>
          </cell>
          <cell r="FH9">
            <v>35716</v>
          </cell>
        </row>
        <row r="10">
          <cell r="B10">
            <v>9279</v>
          </cell>
          <cell r="C10" t="str">
            <v>07.12.2005</v>
          </cell>
          <cell r="D10" t="str">
            <v>Atre Jayesh Subhash</v>
          </cell>
          <cell r="F10">
            <v>22417</v>
          </cell>
          <cell r="H10">
            <v>15520</v>
          </cell>
          <cell r="I10">
            <v>15520</v>
          </cell>
          <cell r="J10">
            <v>31040</v>
          </cell>
          <cell r="K10">
            <v>8623</v>
          </cell>
          <cell r="M10">
            <v>1088</v>
          </cell>
          <cell r="N10">
            <v>0</v>
          </cell>
          <cell r="O10">
            <v>1088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W10">
            <v>1088</v>
          </cell>
          <cell r="X10">
            <v>0</v>
          </cell>
          <cell r="Y10">
            <v>1088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G10">
            <v>1121</v>
          </cell>
          <cell r="AH10">
            <v>0</v>
          </cell>
          <cell r="AI10">
            <v>1121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Q10">
            <v>1121</v>
          </cell>
          <cell r="AR10">
            <v>0</v>
          </cell>
          <cell r="AS10">
            <v>1121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BA10">
            <v>1121</v>
          </cell>
          <cell r="BB10">
            <v>0</v>
          </cell>
          <cell r="BC10">
            <v>1121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K10">
            <v>1173</v>
          </cell>
          <cell r="BL10">
            <v>0</v>
          </cell>
          <cell r="BM10">
            <v>1173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U10">
            <v>1173</v>
          </cell>
          <cell r="BV10">
            <v>0</v>
          </cell>
          <cell r="BW10">
            <v>1173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E10">
            <v>1173</v>
          </cell>
          <cell r="CF10">
            <v>0</v>
          </cell>
          <cell r="CG10">
            <v>1173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O10">
            <v>1324</v>
          </cell>
          <cell r="CP10">
            <v>0</v>
          </cell>
          <cell r="CQ10">
            <v>1324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Y10">
            <v>1324</v>
          </cell>
          <cell r="CZ10">
            <v>0</v>
          </cell>
          <cell r="DA10">
            <v>1324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I10">
            <v>31040</v>
          </cell>
          <cell r="DJ10">
            <v>11706</v>
          </cell>
          <cell r="DK10">
            <v>0</v>
          </cell>
          <cell r="DL10">
            <v>11706</v>
          </cell>
          <cell r="DM10">
            <v>11706</v>
          </cell>
          <cell r="DN10">
            <v>0</v>
          </cell>
          <cell r="DO10">
            <v>11706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23412</v>
          </cell>
          <cell r="DU10">
            <v>0</v>
          </cell>
          <cell r="DW10">
            <v>0</v>
          </cell>
          <cell r="DX10">
            <v>0</v>
          </cell>
          <cell r="DY10">
            <v>33216</v>
          </cell>
          <cell r="DZ10">
            <v>35392</v>
          </cell>
          <cell r="EA10">
            <v>37634</v>
          </cell>
          <cell r="EB10">
            <v>39876</v>
          </cell>
          <cell r="EC10">
            <v>42118</v>
          </cell>
          <cell r="ED10">
            <v>44464</v>
          </cell>
          <cell r="EE10">
            <v>46810</v>
          </cell>
          <cell r="EF10">
            <v>49156</v>
          </cell>
          <cell r="EG10">
            <v>51804</v>
          </cell>
          <cell r="EH10">
            <v>54452</v>
          </cell>
          <cell r="EI10">
            <v>434922</v>
          </cell>
          <cell r="EK10">
            <v>0</v>
          </cell>
          <cell r="EL10">
            <v>0</v>
          </cell>
          <cell r="EM10">
            <v>221.44000000000003</v>
          </cell>
          <cell r="EN10">
            <v>235.94666666666669</v>
          </cell>
          <cell r="EO10">
            <v>250.89333333333332</v>
          </cell>
          <cell r="EP10">
            <v>265.83999999999997</v>
          </cell>
          <cell r="EQ10">
            <v>280.78666666666669</v>
          </cell>
          <cell r="ER10">
            <v>296.42666666666668</v>
          </cell>
          <cell r="ES10">
            <v>335.47166666666664</v>
          </cell>
          <cell r="ET10">
            <v>352.28466666666668</v>
          </cell>
          <cell r="EU10">
            <v>371.26199999999994</v>
          </cell>
          <cell r="EV10">
            <v>390.23933333333326</v>
          </cell>
          <cell r="EW10">
            <v>3000.5909999999999</v>
          </cell>
          <cell r="EY10">
            <v>232700</v>
          </cell>
          <cell r="EZ10">
            <v>8</v>
          </cell>
          <cell r="FA10">
            <v>1551.3333333333333</v>
          </cell>
          <cell r="FB10">
            <v>202222</v>
          </cell>
          <cell r="FC10">
            <v>8.6</v>
          </cell>
          <cell r="FD10">
            <v>1449.2576666666666</v>
          </cell>
          <cell r="FE10">
            <v>3000.5909999999999</v>
          </cell>
          <cell r="FF10">
            <v>57453</v>
          </cell>
          <cell r="FH10">
            <v>57453</v>
          </cell>
        </row>
        <row r="11">
          <cell r="B11">
            <v>9339</v>
          </cell>
          <cell r="C11" t="str">
            <v>17.12.2005</v>
          </cell>
          <cell r="D11" t="str">
            <v>Revar Usha Jetha</v>
          </cell>
          <cell r="F11">
            <v>14866</v>
          </cell>
          <cell r="H11">
            <v>15520</v>
          </cell>
          <cell r="I11">
            <v>15520</v>
          </cell>
          <cell r="J11">
            <v>31040</v>
          </cell>
          <cell r="K11">
            <v>16174</v>
          </cell>
          <cell r="M11">
            <v>1088</v>
          </cell>
          <cell r="N11">
            <v>0</v>
          </cell>
          <cell r="O11">
            <v>1088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W11">
            <v>1088</v>
          </cell>
          <cell r="X11">
            <v>0</v>
          </cell>
          <cell r="Y11">
            <v>1088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G11">
            <v>1121</v>
          </cell>
          <cell r="AH11">
            <v>0</v>
          </cell>
          <cell r="AI11">
            <v>1121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Q11">
            <v>1121</v>
          </cell>
          <cell r="AR11">
            <v>0</v>
          </cell>
          <cell r="AS11">
            <v>1121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BA11">
            <v>1121</v>
          </cell>
          <cell r="BB11">
            <v>0</v>
          </cell>
          <cell r="BC11">
            <v>1121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K11">
            <v>1173</v>
          </cell>
          <cell r="BL11">
            <v>0</v>
          </cell>
          <cell r="BM11">
            <v>1173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U11">
            <v>1173</v>
          </cell>
          <cell r="BV11">
            <v>0</v>
          </cell>
          <cell r="BW11">
            <v>1173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E11">
            <v>1173</v>
          </cell>
          <cell r="CF11">
            <v>0</v>
          </cell>
          <cell r="CG11">
            <v>1173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O11">
            <v>1173</v>
          </cell>
          <cell r="CP11">
            <v>0</v>
          </cell>
          <cell r="CQ11">
            <v>1173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Y11">
            <v>1173</v>
          </cell>
          <cell r="CZ11">
            <v>0</v>
          </cell>
          <cell r="DA11">
            <v>1173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I11">
            <v>31040</v>
          </cell>
          <cell r="DJ11">
            <v>11404</v>
          </cell>
          <cell r="DK11">
            <v>0</v>
          </cell>
          <cell r="DL11">
            <v>11404</v>
          </cell>
          <cell r="DM11">
            <v>11404</v>
          </cell>
          <cell r="DN11">
            <v>0</v>
          </cell>
          <cell r="DO11">
            <v>11404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22808</v>
          </cell>
          <cell r="DU11">
            <v>0</v>
          </cell>
          <cell r="DW11">
            <v>0</v>
          </cell>
          <cell r="DX11">
            <v>0</v>
          </cell>
          <cell r="DY11">
            <v>33216</v>
          </cell>
          <cell r="DZ11">
            <v>35392</v>
          </cell>
          <cell r="EA11">
            <v>37634</v>
          </cell>
          <cell r="EB11">
            <v>39876</v>
          </cell>
          <cell r="EC11">
            <v>42118</v>
          </cell>
          <cell r="ED11">
            <v>44464</v>
          </cell>
          <cell r="EE11">
            <v>46810</v>
          </cell>
          <cell r="EF11">
            <v>49156</v>
          </cell>
          <cell r="EG11">
            <v>51502</v>
          </cell>
          <cell r="EH11">
            <v>53848</v>
          </cell>
          <cell r="EI11">
            <v>434016</v>
          </cell>
          <cell r="EK11">
            <v>0</v>
          </cell>
          <cell r="EL11">
            <v>0</v>
          </cell>
          <cell r="EM11">
            <v>221.44000000000003</v>
          </cell>
          <cell r="EN11">
            <v>235.94666666666669</v>
          </cell>
          <cell r="EO11">
            <v>250.89333333333332</v>
          </cell>
          <cell r="EP11">
            <v>265.83999999999997</v>
          </cell>
          <cell r="EQ11">
            <v>280.78666666666669</v>
          </cell>
          <cell r="ER11">
            <v>296.42666666666668</v>
          </cell>
          <cell r="ES11">
            <v>335.47166666666664</v>
          </cell>
          <cell r="ET11">
            <v>352.28466666666668</v>
          </cell>
          <cell r="EU11">
            <v>369.09766666666661</v>
          </cell>
          <cell r="EV11">
            <v>385.91066666666666</v>
          </cell>
          <cell r="EW11">
            <v>2994.098</v>
          </cell>
          <cell r="EY11">
            <v>232700</v>
          </cell>
          <cell r="EZ11">
            <v>8</v>
          </cell>
          <cell r="FA11">
            <v>1551.3333333333333</v>
          </cell>
          <cell r="FB11">
            <v>201316</v>
          </cell>
          <cell r="FC11">
            <v>8.6</v>
          </cell>
          <cell r="FD11">
            <v>1442.7646666666667</v>
          </cell>
          <cell r="FE11">
            <v>2994.098</v>
          </cell>
          <cell r="FF11">
            <v>56842</v>
          </cell>
          <cell r="FH11">
            <v>56842</v>
          </cell>
        </row>
        <row r="12">
          <cell r="B12">
            <v>9272</v>
          </cell>
          <cell r="C12" t="str">
            <v>19.12.2005</v>
          </cell>
          <cell r="D12" t="str">
            <v>Gaikwad Santosh Prabhakar</v>
          </cell>
          <cell r="F12">
            <v>22943</v>
          </cell>
          <cell r="H12">
            <v>33976</v>
          </cell>
          <cell r="I12">
            <v>33976</v>
          </cell>
          <cell r="J12">
            <v>67952</v>
          </cell>
          <cell r="K12">
            <v>45009</v>
          </cell>
          <cell r="M12">
            <v>1121</v>
          </cell>
          <cell r="N12">
            <v>0</v>
          </cell>
          <cell r="O12">
            <v>1121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10000</v>
          </cell>
          <cell r="W12">
            <v>1121</v>
          </cell>
          <cell r="X12">
            <v>0</v>
          </cell>
          <cell r="Y12">
            <v>1121</v>
          </cell>
          <cell r="Z12">
            <v>0</v>
          </cell>
          <cell r="AA12">
            <v>500</v>
          </cell>
          <cell r="AB12">
            <v>0</v>
          </cell>
          <cell r="AC12">
            <v>0</v>
          </cell>
          <cell r="AD12">
            <v>500</v>
          </cell>
          <cell r="AE12">
            <v>0</v>
          </cell>
          <cell r="AG12">
            <v>1156</v>
          </cell>
          <cell r="AH12">
            <v>0</v>
          </cell>
          <cell r="AI12">
            <v>1156</v>
          </cell>
          <cell r="AJ12">
            <v>0</v>
          </cell>
          <cell r="AK12">
            <v>500</v>
          </cell>
          <cell r="AL12">
            <v>0</v>
          </cell>
          <cell r="AM12">
            <v>0</v>
          </cell>
          <cell r="AN12">
            <v>500</v>
          </cell>
          <cell r="AO12">
            <v>0</v>
          </cell>
          <cell r="AQ12">
            <v>1156</v>
          </cell>
          <cell r="AR12">
            <v>0</v>
          </cell>
          <cell r="AS12">
            <v>1156</v>
          </cell>
          <cell r="AT12">
            <v>0</v>
          </cell>
          <cell r="AU12">
            <v>500</v>
          </cell>
          <cell r="AV12">
            <v>0</v>
          </cell>
          <cell r="AW12">
            <v>0</v>
          </cell>
          <cell r="AX12">
            <v>500</v>
          </cell>
          <cell r="AY12">
            <v>0</v>
          </cell>
          <cell r="BA12">
            <v>1156</v>
          </cell>
          <cell r="BB12">
            <v>0</v>
          </cell>
          <cell r="BC12">
            <v>1156</v>
          </cell>
          <cell r="BD12">
            <v>0</v>
          </cell>
          <cell r="BE12">
            <v>500</v>
          </cell>
          <cell r="BF12">
            <v>0</v>
          </cell>
          <cell r="BG12">
            <v>0</v>
          </cell>
          <cell r="BH12">
            <v>500</v>
          </cell>
          <cell r="BI12">
            <v>0</v>
          </cell>
          <cell r="BK12">
            <v>1210</v>
          </cell>
          <cell r="BL12">
            <v>0</v>
          </cell>
          <cell r="BM12">
            <v>1210</v>
          </cell>
          <cell r="BN12">
            <v>0</v>
          </cell>
          <cell r="BO12">
            <v>500</v>
          </cell>
          <cell r="BP12">
            <v>0</v>
          </cell>
          <cell r="BQ12">
            <v>0</v>
          </cell>
          <cell r="BR12">
            <v>500</v>
          </cell>
          <cell r="BS12">
            <v>0</v>
          </cell>
          <cell r="BU12">
            <v>1210</v>
          </cell>
          <cell r="BV12">
            <v>0</v>
          </cell>
          <cell r="BW12">
            <v>1210</v>
          </cell>
          <cell r="BX12">
            <v>0</v>
          </cell>
          <cell r="BY12">
            <v>500</v>
          </cell>
          <cell r="BZ12">
            <v>0</v>
          </cell>
          <cell r="CA12">
            <v>0</v>
          </cell>
          <cell r="CB12">
            <v>500</v>
          </cell>
          <cell r="CC12">
            <v>0</v>
          </cell>
          <cell r="CE12">
            <v>1210</v>
          </cell>
          <cell r="CF12">
            <v>0</v>
          </cell>
          <cell r="CG12">
            <v>1210</v>
          </cell>
          <cell r="CH12">
            <v>0</v>
          </cell>
          <cell r="CI12">
            <v>500</v>
          </cell>
          <cell r="CJ12">
            <v>0</v>
          </cell>
          <cell r="CK12">
            <v>0</v>
          </cell>
          <cell r="CL12">
            <v>500</v>
          </cell>
          <cell r="CM12">
            <v>0</v>
          </cell>
          <cell r="CO12">
            <v>1210</v>
          </cell>
          <cell r="CP12">
            <v>0</v>
          </cell>
          <cell r="CQ12">
            <v>1210</v>
          </cell>
          <cell r="CR12">
            <v>0</v>
          </cell>
          <cell r="CS12">
            <v>500</v>
          </cell>
          <cell r="CT12">
            <v>0</v>
          </cell>
          <cell r="CU12">
            <v>0</v>
          </cell>
          <cell r="CV12">
            <v>500</v>
          </cell>
          <cell r="CW12">
            <v>0</v>
          </cell>
          <cell r="CY12">
            <v>1210</v>
          </cell>
          <cell r="CZ12">
            <v>0</v>
          </cell>
          <cell r="DA12">
            <v>1210</v>
          </cell>
          <cell r="DB12">
            <v>0</v>
          </cell>
          <cell r="DC12">
            <v>500</v>
          </cell>
          <cell r="DD12">
            <v>0</v>
          </cell>
          <cell r="DE12">
            <v>0</v>
          </cell>
          <cell r="DF12">
            <v>500</v>
          </cell>
          <cell r="DG12">
            <v>0</v>
          </cell>
          <cell r="DI12">
            <v>67952</v>
          </cell>
          <cell r="DJ12">
            <v>11760</v>
          </cell>
          <cell r="DK12">
            <v>0</v>
          </cell>
          <cell r="DL12">
            <v>11760</v>
          </cell>
          <cell r="DM12">
            <v>11760</v>
          </cell>
          <cell r="DN12">
            <v>0</v>
          </cell>
          <cell r="DO12">
            <v>11760</v>
          </cell>
          <cell r="DP12">
            <v>4500</v>
          </cell>
          <cell r="DQ12">
            <v>0</v>
          </cell>
          <cell r="DR12">
            <v>0</v>
          </cell>
          <cell r="DS12">
            <v>4500</v>
          </cell>
          <cell r="DT12">
            <v>28020</v>
          </cell>
          <cell r="DU12">
            <v>10000</v>
          </cell>
          <cell r="DW12">
            <v>0</v>
          </cell>
          <cell r="DX12">
            <v>0</v>
          </cell>
          <cell r="DY12">
            <v>60194</v>
          </cell>
          <cell r="DZ12">
            <v>62936</v>
          </cell>
          <cell r="EA12">
            <v>65748</v>
          </cell>
          <cell r="EB12">
            <v>68560</v>
          </cell>
          <cell r="EC12">
            <v>71372</v>
          </cell>
          <cell r="ED12">
            <v>74292</v>
          </cell>
          <cell r="EE12">
            <v>77212</v>
          </cell>
          <cell r="EF12">
            <v>80132</v>
          </cell>
          <cell r="EG12">
            <v>83052</v>
          </cell>
          <cell r="EH12">
            <v>85972</v>
          </cell>
          <cell r="EI12">
            <v>729470</v>
          </cell>
          <cell r="EK12">
            <v>0</v>
          </cell>
          <cell r="EL12">
            <v>0</v>
          </cell>
          <cell r="EM12">
            <v>401.29333333333335</v>
          </cell>
          <cell r="EN12">
            <v>419.57333333333332</v>
          </cell>
          <cell r="EO12">
            <v>438.32</v>
          </cell>
          <cell r="EP12">
            <v>457.06666666666666</v>
          </cell>
          <cell r="EQ12">
            <v>475.81333333333333</v>
          </cell>
          <cell r="ER12">
            <v>495.28</v>
          </cell>
          <cell r="ES12">
            <v>553.35266666666666</v>
          </cell>
          <cell r="ET12">
            <v>574.27933333333328</v>
          </cell>
          <cell r="EU12">
            <v>595.20600000000002</v>
          </cell>
          <cell r="EV12">
            <v>616.13266666666664</v>
          </cell>
          <cell r="EW12">
            <v>5026.3173333333325</v>
          </cell>
          <cell r="EY12">
            <v>403102</v>
          </cell>
          <cell r="EZ12">
            <v>8</v>
          </cell>
          <cell r="FA12">
            <v>2687.3466666666668</v>
          </cell>
          <cell r="FB12">
            <v>326368</v>
          </cell>
          <cell r="FC12">
            <v>8.6</v>
          </cell>
          <cell r="FD12">
            <v>2338.9706666666666</v>
          </cell>
          <cell r="FE12">
            <v>5026.3173333333334</v>
          </cell>
          <cell r="FF12">
            <v>90998</v>
          </cell>
          <cell r="FH12">
            <v>90998</v>
          </cell>
        </row>
        <row r="13">
          <cell r="B13">
            <v>9688</v>
          </cell>
          <cell r="C13" t="str">
            <v>21.12.2005</v>
          </cell>
          <cell r="D13" t="str">
            <v>Potkule Sandip Suresh</v>
          </cell>
          <cell r="F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Y13">
            <v>0</v>
          </cell>
          <cell r="EZ13">
            <v>8</v>
          </cell>
          <cell r="FA13">
            <v>0</v>
          </cell>
          <cell r="FB13">
            <v>0</v>
          </cell>
          <cell r="FC13">
            <v>8.6</v>
          </cell>
          <cell r="FD13">
            <v>0</v>
          </cell>
          <cell r="FE13">
            <v>0</v>
          </cell>
          <cell r="FF13">
            <v>0</v>
          </cell>
          <cell r="FH13">
            <v>0</v>
          </cell>
        </row>
        <row r="14">
          <cell r="B14">
            <v>9278</v>
          </cell>
          <cell r="C14" t="str">
            <v>27.12.2005</v>
          </cell>
          <cell r="D14" t="str">
            <v>Khandave Rahul Baburao</v>
          </cell>
          <cell r="F14">
            <v>22943</v>
          </cell>
          <cell r="G14">
            <v>37524</v>
          </cell>
          <cell r="H14">
            <v>15520</v>
          </cell>
          <cell r="I14">
            <v>15520</v>
          </cell>
          <cell r="J14">
            <v>31040</v>
          </cell>
          <cell r="K14">
            <v>8097</v>
          </cell>
          <cell r="M14">
            <v>1121</v>
          </cell>
          <cell r="N14">
            <v>0</v>
          </cell>
          <cell r="O14">
            <v>1121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W14">
            <v>1121</v>
          </cell>
          <cell r="X14">
            <v>0</v>
          </cell>
          <cell r="Y14">
            <v>1121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G14">
            <v>1156</v>
          </cell>
          <cell r="AH14">
            <v>0</v>
          </cell>
          <cell r="AI14">
            <v>1156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Q14">
            <v>1156</v>
          </cell>
          <cell r="AR14">
            <v>0</v>
          </cell>
          <cell r="AS14">
            <v>1156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BA14">
            <v>1156</v>
          </cell>
          <cell r="BB14">
            <v>0</v>
          </cell>
          <cell r="BC14">
            <v>1156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K14">
            <v>1210</v>
          </cell>
          <cell r="BL14">
            <v>0</v>
          </cell>
          <cell r="BM14">
            <v>1210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U14">
            <v>1210</v>
          </cell>
          <cell r="BV14">
            <v>0</v>
          </cell>
          <cell r="BW14">
            <v>1210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E14">
            <v>1210</v>
          </cell>
          <cell r="CF14">
            <v>0</v>
          </cell>
          <cell r="CG14">
            <v>1210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O14">
            <v>1210</v>
          </cell>
          <cell r="CP14">
            <v>0</v>
          </cell>
          <cell r="CQ14">
            <v>1210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Y14">
            <v>1210</v>
          </cell>
          <cell r="CZ14">
            <v>0</v>
          </cell>
          <cell r="DA14">
            <v>1210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I14">
            <v>31040</v>
          </cell>
          <cell r="DJ14">
            <v>11760</v>
          </cell>
          <cell r="DK14">
            <v>0</v>
          </cell>
          <cell r="DL14">
            <v>11760</v>
          </cell>
          <cell r="DM14">
            <v>11760</v>
          </cell>
          <cell r="DN14">
            <v>0</v>
          </cell>
          <cell r="DO14">
            <v>11760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23520</v>
          </cell>
          <cell r="DU14">
            <v>0</v>
          </cell>
          <cell r="DW14">
            <v>0</v>
          </cell>
          <cell r="DX14">
            <v>0</v>
          </cell>
          <cell r="DY14">
            <v>33282</v>
          </cell>
          <cell r="DZ14">
            <v>35524</v>
          </cell>
          <cell r="EA14">
            <v>37836</v>
          </cell>
          <cell r="EB14">
            <v>40148</v>
          </cell>
          <cell r="EC14">
            <v>42460</v>
          </cell>
          <cell r="ED14">
            <v>44880</v>
          </cell>
          <cell r="EE14">
            <v>47300</v>
          </cell>
          <cell r="EF14">
            <v>49720</v>
          </cell>
          <cell r="EG14">
            <v>52140</v>
          </cell>
          <cell r="EH14">
            <v>54560</v>
          </cell>
          <cell r="EI14">
            <v>437850</v>
          </cell>
          <cell r="EK14">
            <v>0</v>
          </cell>
          <cell r="EL14">
            <v>0</v>
          </cell>
          <cell r="EM14">
            <v>221.88</v>
          </cell>
          <cell r="EN14">
            <v>236.82666666666668</v>
          </cell>
          <cell r="EO14">
            <v>252.24</v>
          </cell>
          <cell r="EP14">
            <v>267.65333333333336</v>
          </cell>
          <cell r="EQ14">
            <v>283.06666666666666</v>
          </cell>
          <cell r="ER14">
            <v>299.2</v>
          </cell>
          <cell r="ES14">
            <v>338.98333333333335</v>
          </cell>
          <cell r="ET14">
            <v>356.32666666666665</v>
          </cell>
          <cell r="EU14">
            <v>373.67</v>
          </cell>
          <cell r="EV14">
            <v>391.01333333333332</v>
          </cell>
          <cell r="EW14">
            <v>3020.86</v>
          </cell>
          <cell r="EY14">
            <v>234130</v>
          </cell>
          <cell r="EZ14">
            <v>8</v>
          </cell>
          <cell r="FA14">
            <v>1560.8666666666668</v>
          </cell>
          <cell r="FB14">
            <v>203720</v>
          </cell>
          <cell r="FC14">
            <v>8.6</v>
          </cell>
          <cell r="FD14">
            <v>1459.9933333333331</v>
          </cell>
          <cell r="FE14">
            <v>3020.8599999999997</v>
          </cell>
          <cell r="FF14">
            <v>57581</v>
          </cell>
          <cell r="FH14">
            <v>57581</v>
          </cell>
        </row>
        <row r="15">
          <cell r="B15">
            <v>9284</v>
          </cell>
          <cell r="C15" t="str">
            <v>30.12.2005</v>
          </cell>
          <cell r="D15" t="str">
            <v>Shirsath Sanjay Madhukar</v>
          </cell>
          <cell r="F15">
            <v>21651</v>
          </cell>
          <cell r="H15">
            <v>14520</v>
          </cell>
          <cell r="I15">
            <v>14520</v>
          </cell>
          <cell r="J15">
            <v>29040</v>
          </cell>
          <cell r="K15">
            <v>7389</v>
          </cell>
          <cell r="M15">
            <v>1121</v>
          </cell>
          <cell r="N15">
            <v>0</v>
          </cell>
          <cell r="O15">
            <v>1121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10100</v>
          </cell>
          <cell r="W15">
            <v>1121</v>
          </cell>
          <cell r="X15">
            <v>0</v>
          </cell>
          <cell r="Y15">
            <v>1121</v>
          </cell>
          <cell r="Z15">
            <v>0</v>
          </cell>
          <cell r="AA15">
            <v>505</v>
          </cell>
          <cell r="AB15">
            <v>0</v>
          </cell>
          <cell r="AC15">
            <v>0</v>
          </cell>
          <cell r="AD15">
            <v>505</v>
          </cell>
          <cell r="AE15">
            <v>0</v>
          </cell>
          <cell r="AG15">
            <v>1156</v>
          </cell>
          <cell r="AH15">
            <v>0</v>
          </cell>
          <cell r="AI15">
            <v>1156</v>
          </cell>
          <cell r="AJ15">
            <v>0</v>
          </cell>
          <cell r="AK15">
            <v>505</v>
          </cell>
          <cell r="AL15">
            <v>0</v>
          </cell>
          <cell r="AM15">
            <v>0</v>
          </cell>
          <cell r="AN15">
            <v>505</v>
          </cell>
          <cell r="AO15">
            <v>0</v>
          </cell>
          <cell r="AQ15">
            <v>1156</v>
          </cell>
          <cell r="AR15">
            <v>0</v>
          </cell>
          <cell r="AS15">
            <v>1156</v>
          </cell>
          <cell r="AT15">
            <v>0</v>
          </cell>
          <cell r="AU15">
            <v>505</v>
          </cell>
          <cell r="AV15">
            <v>0</v>
          </cell>
          <cell r="AW15">
            <v>0</v>
          </cell>
          <cell r="AX15">
            <v>505</v>
          </cell>
          <cell r="AY15">
            <v>0</v>
          </cell>
          <cell r="BA15">
            <v>1156</v>
          </cell>
          <cell r="BB15">
            <v>0</v>
          </cell>
          <cell r="BC15">
            <v>1156</v>
          </cell>
          <cell r="BD15">
            <v>0</v>
          </cell>
          <cell r="BE15">
            <v>505</v>
          </cell>
          <cell r="BF15">
            <v>0</v>
          </cell>
          <cell r="BG15">
            <v>0</v>
          </cell>
          <cell r="BH15">
            <v>505</v>
          </cell>
          <cell r="BI15">
            <v>0</v>
          </cell>
          <cell r="BK15">
            <v>1210</v>
          </cell>
          <cell r="BL15">
            <v>0</v>
          </cell>
          <cell r="BM15">
            <v>1210</v>
          </cell>
          <cell r="BN15">
            <v>0</v>
          </cell>
          <cell r="BO15">
            <v>505</v>
          </cell>
          <cell r="BP15">
            <v>0</v>
          </cell>
          <cell r="BQ15">
            <v>0</v>
          </cell>
          <cell r="BR15">
            <v>505</v>
          </cell>
          <cell r="BS15">
            <v>0</v>
          </cell>
          <cell r="BU15">
            <v>1210</v>
          </cell>
          <cell r="BV15">
            <v>0</v>
          </cell>
          <cell r="BW15">
            <v>1210</v>
          </cell>
          <cell r="BX15">
            <v>0</v>
          </cell>
          <cell r="BY15">
            <v>505</v>
          </cell>
          <cell r="BZ15">
            <v>0</v>
          </cell>
          <cell r="CA15">
            <v>0</v>
          </cell>
          <cell r="CB15">
            <v>505</v>
          </cell>
          <cell r="CC15">
            <v>0</v>
          </cell>
          <cell r="CE15">
            <v>1210</v>
          </cell>
          <cell r="CF15">
            <v>0</v>
          </cell>
          <cell r="CG15">
            <v>1210</v>
          </cell>
          <cell r="CH15">
            <v>0</v>
          </cell>
          <cell r="CI15">
            <v>505</v>
          </cell>
          <cell r="CJ15">
            <v>0</v>
          </cell>
          <cell r="CK15">
            <v>0</v>
          </cell>
          <cell r="CL15">
            <v>505</v>
          </cell>
          <cell r="CM15">
            <v>0</v>
          </cell>
          <cell r="CO15">
            <v>1210</v>
          </cell>
          <cell r="CP15">
            <v>0</v>
          </cell>
          <cell r="CQ15">
            <v>1210</v>
          </cell>
          <cell r="CR15">
            <v>0</v>
          </cell>
          <cell r="CS15">
            <v>505</v>
          </cell>
          <cell r="CT15">
            <v>0</v>
          </cell>
          <cell r="CU15">
            <v>0</v>
          </cell>
          <cell r="CV15">
            <v>505</v>
          </cell>
          <cell r="CW15">
            <v>0</v>
          </cell>
          <cell r="CY15">
            <v>1210</v>
          </cell>
          <cell r="CZ15">
            <v>0</v>
          </cell>
          <cell r="DA15">
            <v>1210</v>
          </cell>
          <cell r="DB15">
            <v>0</v>
          </cell>
          <cell r="DC15">
            <v>505</v>
          </cell>
          <cell r="DD15">
            <v>0</v>
          </cell>
          <cell r="DE15">
            <v>0</v>
          </cell>
          <cell r="DF15">
            <v>505</v>
          </cell>
          <cell r="DG15">
            <v>0</v>
          </cell>
          <cell r="DI15">
            <v>29040</v>
          </cell>
          <cell r="DJ15">
            <v>11760</v>
          </cell>
          <cell r="DK15">
            <v>0</v>
          </cell>
          <cell r="DL15">
            <v>11760</v>
          </cell>
          <cell r="DM15">
            <v>11760</v>
          </cell>
          <cell r="DN15">
            <v>0</v>
          </cell>
          <cell r="DO15">
            <v>11760</v>
          </cell>
          <cell r="DP15">
            <v>4545</v>
          </cell>
          <cell r="DQ15">
            <v>0</v>
          </cell>
          <cell r="DR15">
            <v>0</v>
          </cell>
          <cell r="DS15">
            <v>4545</v>
          </cell>
          <cell r="DT15">
            <v>28065</v>
          </cell>
          <cell r="DU15">
            <v>10100</v>
          </cell>
          <cell r="DW15">
            <v>0</v>
          </cell>
          <cell r="DX15">
            <v>0</v>
          </cell>
          <cell r="DY15">
            <v>21182</v>
          </cell>
          <cell r="DZ15">
            <v>23929</v>
          </cell>
          <cell r="EA15">
            <v>26746</v>
          </cell>
          <cell r="EB15">
            <v>29563</v>
          </cell>
          <cell r="EC15">
            <v>32380</v>
          </cell>
          <cell r="ED15">
            <v>35305</v>
          </cell>
          <cell r="EE15">
            <v>38230</v>
          </cell>
          <cell r="EF15">
            <v>41155</v>
          </cell>
          <cell r="EG15">
            <v>44080</v>
          </cell>
          <cell r="EH15">
            <v>47005</v>
          </cell>
          <cell r="EI15">
            <v>339575</v>
          </cell>
          <cell r="EK15">
            <v>0</v>
          </cell>
          <cell r="EL15">
            <v>0</v>
          </cell>
          <cell r="EM15">
            <v>141.21333333333334</v>
          </cell>
          <cell r="EN15">
            <v>159.52666666666667</v>
          </cell>
          <cell r="EO15">
            <v>178.30666666666664</v>
          </cell>
          <cell r="EP15">
            <v>197.08666666666667</v>
          </cell>
          <cell r="EQ15">
            <v>215.86666666666667</v>
          </cell>
          <cell r="ER15">
            <v>235.36666666666667</v>
          </cell>
          <cell r="ES15">
            <v>273.98166666666668</v>
          </cell>
          <cell r="ET15">
            <v>294.94416666666666</v>
          </cell>
          <cell r="EU15">
            <v>315.90666666666669</v>
          </cell>
          <cell r="EV15">
            <v>336.86916666666667</v>
          </cell>
          <cell r="EW15">
            <v>2349.0683333333336</v>
          </cell>
          <cell r="EY15">
            <v>169105</v>
          </cell>
          <cell r="EZ15">
            <v>8</v>
          </cell>
          <cell r="FA15">
            <v>1127.3666666666666</v>
          </cell>
          <cell r="FB15">
            <v>170470</v>
          </cell>
          <cell r="FC15">
            <v>8.6</v>
          </cell>
          <cell r="FD15">
            <v>1221.7016666666666</v>
          </cell>
          <cell r="FE15">
            <v>2349.0683333333332</v>
          </cell>
          <cell r="FF15">
            <v>49354</v>
          </cell>
          <cell r="FH15">
            <v>49354</v>
          </cell>
        </row>
        <row r="16">
          <cell r="B16">
            <v>9363</v>
          </cell>
          <cell r="C16" t="str">
            <v>02.01.2006</v>
          </cell>
          <cell r="D16" t="str">
            <v>Barve Pravin Vasant</v>
          </cell>
          <cell r="F16">
            <v>14982</v>
          </cell>
          <cell r="H16">
            <v>18520</v>
          </cell>
          <cell r="I16">
            <v>18520</v>
          </cell>
          <cell r="J16">
            <v>37040</v>
          </cell>
          <cell r="K16">
            <v>22058</v>
          </cell>
          <cell r="M16">
            <v>1088</v>
          </cell>
          <cell r="N16">
            <v>0</v>
          </cell>
          <cell r="O16">
            <v>1088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W16">
            <v>1088</v>
          </cell>
          <cell r="X16">
            <v>0</v>
          </cell>
          <cell r="Y16">
            <v>1088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G16">
            <v>1121</v>
          </cell>
          <cell r="AH16">
            <v>0</v>
          </cell>
          <cell r="AI16">
            <v>1121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Q16">
            <v>1121</v>
          </cell>
          <cell r="AR16">
            <v>0</v>
          </cell>
          <cell r="AS16">
            <v>1121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BA16">
            <v>1121</v>
          </cell>
          <cell r="BB16">
            <v>0</v>
          </cell>
          <cell r="BC16">
            <v>1121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K16">
            <v>1173</v>
          </cell>
          <cell r="BL16">
            <v>0</v>
          </cell>
          <cell r="BM16">
            <v>1173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U16">
            <v>1173</v>
          </cell>
          <cell r="BV16">
            <v>0</v>
          </cell>
          <cell r="BW16">
            <v>1173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E16">
            <v>1173</v>
          </cell>
          <cell r="CF16">
            <v>0</v>
          </cell>
          <cell r="CG16">
            <v>1173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O16">
            <v>1173</v>
          </cell>
          <cell r="CP16">
            <v>0</v>
          </cell>
          <cell r="CQ16">
            <v>1173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Y16">
            <v>1173</v>
          </cell>
          <cell r="CZ16">
            <v>0</v>
          </cell>
          <cell r="DA16">
            <v>1173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G16">
            <v>0</v>
          </cell>
          <cell r="DI16">
            <v>37040</v>
          </cell>
          <cell r="DJ16">
            <v>11404</v>
          </cell>
          <cell r="DK16">
            <v>0</v>
          </cell>
          <cell r="DL16">
            <v>11404</v>
          </cell>
          <cell r="DM16">
            <v>11404</v>
          </cell>
          <cell r="DN16">
            <v>0</v>
          </cell>
          <cell r="DO16">
            <v>11404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22808</v>
          </cell>
          <cell r="DU16">
            <v>0</v>
          </cell>
          <cell r="DW16">
            <v>0</v>
          </cell>
          <cell r="DX16">
            <v>0</v>
          </cell>
          <cell r="DY16">
            <v>39216</v>
          </cell>
          <cell r="DZ16">
            <v>41392</v>
          </cell>
          <cell r="EA16">
            <v>43634</v>
          </cell>
          <cell r="EB16">
            <v>45876</v>
          </cell>
          <cell r="EC16">
            <v>48118</v>
          </cell>
          <cell r="ED16">
            <v>50464</v>
          </cell>
          <cell r="EE16">
            <v>52810</v>
          </cell>
          <cell r="EF16">
            <v>55156</v>
          </cell>
          <cell r="EG16">
            <v>57502</v>
          </cell>
          <cell r="EH16">
            <v>59848</v>
          </cell>
          <cell r="EI16">
            <v>494016</v>
          </cell>
          <cell r="EK16">
            <v>0</v>
          </cell>
          <cell r="EL16">
            <v>0</v>
          </cell>
          <cell r="EM16">
            <v>261.44</v>
          </cell>
          <cell r="EN16">
            <v>275.94666666666666</v>
          </cell>
          <cell r="EO16">
            <v>290.89333333333332</v>
          </cell>
          <cell r="EP16">
            <v>305.83999999999997</v>
          </cell>
          <cell r="EQ16">
            <v>320.78666666666669</v>
          </cell>
          <cell r="ER16">
            <v>336.42666666666668</v>
          </cell>
          <cell r="ES16">
            <v>378.47166666666664</v>
          </cell>
          <cell r="ET16">
            <v>395.28466666666668</v>
          </cell>
          <cell r="EU16">
            <v>412.09766666666661</v>
          </cell>
          <cell r="EV16">
            <v>428.91066666666666</v>
          </cell>
          <cell r="EW16">
            <v>3406.098</v>
          </cell>
          <cell r="EY16">
            <v>268700</v>
          </cell>
          <cell r="EZ16">
            <v>8</v>
          </cell>
          <cell r="FA16">
            <v>1791.3333333333333</v>
          </cell>
          <cell r="FB16">
            <v>225316</v>
          </cell>
          <cell r="FC16">
            <v>8.6</v>
          </cell>
          <cell r="FD16">
            <v>1614.7646666666667</v>
          </cell>
          <cell r="FE16">
            <v>3406.098</v>
          </cell>
          <cell r="FF16">
            <v>63254</v>
          </cell>
          <cell r="FH16">
            <v>63254</v>
          </cell>
        </row>
        <row r="17">
          <cell r="B17">
            <v>9294</v>
          </cell>
          <cell r="C17" t="str">
            <v>04.01.2006</v>
          </cell>
          <cell r="D17" t="str">
            <v>Lokhande Ujwala Gautam</v>
          </cell>
          <cell r="F17">
            <v>17804</v>
          </cell>
          <cell r="G17">
            <v>36306</v>
          </cell>
          <cell r="H17">
            <v>7634</v>
          </cell>
          <cell r="I17">
            <v>7634</v>
          </cell>
          <cell r="J17">
            <v>15268</v>
          </cell>
          <cell r="K17">
            <v>-2536</v>
          </cell>
          <cell r="M17">
            <v>1088</v>
          </cell>
          <cell r="N17">
            <v>0</v>
          </cell>
          <cell r="O17">
            <v>1088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W17">
            <v>1088</v>
          </cell>
          <cell r="X17">
            <v>0</v>
          </cell>
          <cell r="Y17">
            <v>1088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G17">
            <v>1121</v>
          </cell>
          <cell r="AH17">
            <v>0</v>
          </cell>
          <cell r="AI17">
            <v>1121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Q17">
            <v>1121</v>
          </cell>
          <cell r="AR17">
            <v>0</v>
          </cell>
          <cell r="AS17">
            <v>1121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BA17">
            <v>1121</v>
          </cell>
          <cell r="BB17">
            <v>0</v>
          </cell>
          <cell r="BC17">
            <v>1121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K17">
            <v>1173</v>
          </cell>
          <cell r="BL17">
            <v>0</v>
          </cell>
          <cell r="BM17">
            <v>1173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U17">
            <v>1173</v>
          </cell>
          <cell r="BV17">
            <v>0</v>
          </cell>
          <cell r="BW17">
            <v>1173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E17">
            <v>1173</v>
          </cell>
          <cell r="CF17">
            <v>0</v>
          </cell>
          <cell r="CG17">
            <v>1173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O17">
            <v>1173</v>
          </cell>
          <cell r="CP17">
            <v>0</v>
          </cell>
          <cell r="CQ17">
            <v>1173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Y17">
            <v>1173</v>
          </cell>
          <cell r="CZ17">
            <v>0</v>
          </cell>
          <cell r="DA17">
            <v>1173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I17">
            <v>15268</v>
          </cell>
          <cell r="DJ17">
            <v>11404</v>
          </cell>
          <cell r="DK17">
            <v>0</v>
          </cell>
          <cell r="DL17">
            <v>11404</v>
          </cell>
          <cell r="DM17">
            <v>11404</v>
          </cell>
          <cell r="DN17">
            <v>0</v>
          </cell>
          <cell r="DO17">
            <v>11404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22808</v>
          </cell>
          <cell r="DU17">
            <v>0</v>
          </cell>
          <cell r="DW17">
            <v>0</v>
          </cell>
          <cell r="DX17">
            <v>0</v>
          </cell>
          <cell r="DY17">
            <v>17444</v>
          </cell>
          <cell r="DZ17">
            <v>19620</v>
          </cell>
          <cell r="EA17">
            <v>21862</v>
          </cell>
          <cell r="EB17">
            <v>24104</v>
          </cell>
          <cell r="EC17">
            <v>26346</v>
          </cell>
          <cell r="ED17">
            <v>28692</v>
          </cell>
          <cell r="EE17">
            <v>31038</v>
          </cell>
          <cell r="EF17">
            <v>33384</v>
          </cell>
          <cell r="EG17">
            <v>35730</v>
          </cell>
          <cell r="EH17">
            <v>38076</v>
          </cell>
          <cell r="EI17">
            <v>276296</v>
          </cell>
          <cell r="EK17">
            <v>0</v>
          </cell>
          <cell r="EL17">
            <v>0</v>
          </cell>
          <cell r="EM17">
            <v>116.29333333333334</v>
          </cell>
          <cell r="EN17">
            <v>130.79999999999998</v>
          </cell>
          <cell r="EO17">
            <v>145.74666666666667</v>
          </cell>
          <cell r="EP17">
            <v>160.69333333333333</v>
          </cell>
          <cell r="EQ17">
            <v>175.64</v>
          </cell>
          <cell r="ER17">
            <v>191.28</v>
          </cell>
          <cell r="ES17">
            <v>222.43899999999999</v>
          </cell>
          <cell r="ET17">
            <v>239.25199999999995</v>
          </cell>
          <cell r="EU17">
            <v>256.065</v>
          </cell>
          <cell r="EV17">
            <v>272.87799999999999</v>
          </cell>
          <cell r="EW17">
            <v>1911.0873333333332</v>
          </cell>
          <cell r="EY17">
            <v>138068</v>
          </cell>
          <cell r="EZ17">
            <v>8</v>
          </cell>
          <cell r="FA17">
            <v>920.45333333333338</v>
          </cell>
          <cell r="FB17">
            <v>138228</v>
          </cell>
          <cell r="FC17">
            <v>8.6</v>
          </cell>
          <cell r="FD17">
            <v>990.63400000000001</v>
          </cell>
          <cell r="FE17">
            <v>1911.0873333333334</v>
          </cell>
          <cell r="FF17">
            <v>39987</v>
          </cell>
          <cell r="FH17">
            <v>39987</v>
          </cell>
        </row>
        <row r="18">
          <cell r="B18">
            <v>9295</v>
          </cell>
          <cell r="C18" t="str">
            <v>04.01.2006</v>
          </cell>
          <cell r="D18" t="str">
            <v>Jadhav Santosh chandrabhan</v>
          </cell>
          <cell r="F18">
            <v>19226</v>
          </cell>
          <cell r="G18">
            <v>36306</v>
          </cell>
          <cell r="H18">
            <v>14520</v>
          </cell>
          <cell r="I18">
            <v>14520</v>
          </cell>
          <cell r="J18">
            <v>29040</v>
          </cell>
          <cell r="K18">
            <v>9814</v>
          </cell>
          <cell r="M18">
            <v>1088</v>
          </cell>
          <cell r="N18">
            <v>0</v>
          </cell>
          <cell r="O18">
            <v>1088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W18">
            <v>1088</v>
          </cell>
          <cell r="X18">
            <v>0</v>
          </cell>
          <cell r="Y18">
            <v>1088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G18">
            <v>1121</v>
          </cell>
          <cell r="AH18">
            <v>0</v>
          </cell>
          <cell r="AI18">
            <v>1121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Q18">
            <v>1121</v>
          </cell>
          <cell r="AR18">
            <v>0</v>
          </cell>
          <cell r="AS18">
            <v>1121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12400</v>
          </cell>
          <cell r="BA18">
            <v>1121</v>
          </cell>
          <cell r="BB18">
            <v>0</v>
          </cell>
          <cell r="BC18">
            <v>1121</v>
          </cell>
          <cell r="BD18">
            <v>0</v>
          </cell>
          <cell r="BE18">
            <v>620</v>
          </cell>
          <cell r="BF18">
            <v>0</v>
          </cell>
          <cell r="BG18">
            <v>0</v>
          </cell>
          <cell r="BH18">
            <v>620</v>
          </cell>
          <cell r="BI18">
            <v>0</v>
          </cell>
          <cell r="BK18">
            <v>1173</v>
          </cell>
          <cell r="BL18">
            <v>0</v>
          </cell>
          <cell r="BM18">
            <v>1173</v>
          </cell>
          <cell r="BN18">
            <v>0</v>
          </cell>
          <cell r="BO18">
            <v>620</v>
          </cell>
          <cell r="BP18">
            <v>0</v>
          </cell>
          <cell r="BQ18">
            <v>0</v>
          </cell>
          <cell r="BR18">
            <v>620</v>
          </cell>
          <cell r="BS18">
            <v>0</v>
          </cell>
          <cell r="BU18">
            <v>1173</v>
          </cell>
          <cell r="BV18">
            <v>0</v>
          </cell>
          <cell r="BW18">
            <v>1173</v>
          </cell>
          <cell r="BX18">
            <v>0</v>
          </cell>
          <cell r="BY18">
            <v>620</v>
          </cell>
          <cell r="BZ18">
            <v>0</v>
          </cell>
          <cell r="CA18">
            <v>0</v>
          </cell>
          <cell r="CB18">
            <v>620</v>
          </cell>
          <cell r="CC18">
            <v>0</v>
          </cell>
          <cell r="CE18">
            <v>1173</v>
          </cell>
          <cell r="CF18">
            <v>0</v>
          </cell>
          <cell r="CG18">
            <v>1173</v>
          </cell>
          <cell r="CH18">
            <v>0</v>
          </cell>
          <cell r="CI18">
            <v>620</v>
          </cell>
          <cell r="CJ18">
            <v>0</v>
          </cell>
          <cell r="CK18">
            <v>0</v>
          </cell>
          <cell r="CL18">
            <v>620</v>
          </cell>
          <cell r="CM18">
            <v>0</v>
          </cell>
          <cell r="CO18">
            <v>1173</v>
          </cell>
          <cell r="CP18">
            <v>0</v>
          </cell>
          <cell r="CQ18">
            <v>1173</v>
          </cell>
          <cell r="CR18">
            <v>0</v>
          </cell>
          <cell r="CS18">
            <v>620</v>
          </cell>
          <cell r="CT18">
            <v>0</v>
          </cell>
          <cell r="CU18">
            <v>0</v>
          </cell>
          <cell r="CV18">
            <v>620</v>
          </cell>
          <cell r="CW18">
            <v>9500</v>
          </cell>
          <cell r="CY18">
            <v>1173</v>
          </cell>
          <cell r="CZ18">
            <v>0</v>
          </cell>
          <cell r="DA18">
            <v>1173</v>
          </cell>
          <cell r="DB18">
            <v>0</v>
          </cell>
          <cell r="DC18">
            <v>940</v>
          </cell>
          <cell r="DD18">
            <v>0</v>
          </cell>
          <cell r="DE18">
            <v>0</v>
          </cell>
          <cell r="DF18">
            <v>940</v>
          </cell>
          <cell r="DG18">
            <v>0</v>
          </cell>
          <cell r="DI18">
            <v>29040</v>
          </cell>
          <cell r="DJ18">
            <v>11404</v>
          </cell>
          <cell r="DK18">
            <v>0</v>
          </cell>
          <cell r="DL18">
            <v>11404</v>
          </cell>
          <cell r="DM18">
            <v>11404</v>
          </cell>
          <cell r="DN18">
            <v>0</v>
          </cell>
          <cell r="DO18">
            <v>11404</v>
          </cell>
          <cell r="DP18">
            <v>4040</v>
          </cell>
          <cell r="DQ18">
            <v>0</v>
          </cell>
          <cell r="DR18">
            <v>0</v>
          </cell>
          <cell r="DS18">
            <v>4040</v>
          </cell>
          <cell r="DT18">
            <v>26848</v>
          </cell>
          <cell r="DU18">
            <v>21900</v>
          </cell>
          <cell r="DW18">
            <v>0</v>
          </cell>
          <cell r="DX18">
            <v>0</v>
          </cell>
          <cell r="DY18">
            <v>31216</v>
          </cell>
          <cell r="DZ18">
            <v>33392</v>
          </cell>
          <cell r="EA18">
            <v>35634</v>
          </cell>
          <cell r="EB18">
            <v>25476</v>
          </cell>
          <cell r="EC18">
            <v>28338</v>
          </cell>
          <cell r="ED18">
            <v>31304</v>
          </cell>
          <cell r="EE18">
            <v>34270</v>
          </cell>
          <cell r="EF18">
            <v>37236</v>
          </cell>
          <cell r="EG18">
            <v>30702</v>
          </cell>
          <cell r="EH18">
            <v>33988</v>
          </cell>
          <cell r="EI18">
            <v>321556</v>
          </cell>
          <cell r="EK18">
            <v>0</v>
          </cell>
          <cell r="EL18">
            <v>0</v>
          </cell>
          <cell r="EM18">
            <v>208.10666666666668</v>
          </cell>
          <cell r="EN18">
            <v>222.61333333333334</v>
          </cell>
          <cell r="EO18">
            <v>237.55999999999997</v>
          </cell>
          <cell r="EP18">
            <v>169.84</v>
          </cell>
          <cell r="EQ18">
            <v>188.92</v>
          </cell>
          <cell r="ER18">
            <v>208.69333333333336</v>
          </cell>
          <cell r="ES18">
            <v>245.60166666666666</v>
          </cell>
          <cell r="ET18">
            <v>266.858</v>
          </cell>
          <cell r="EU18">
            <v>220.03100000000003</v>
          </cell>
          <cell r="EV18">
            <v>243.58066666666664</v>
          </cell>
          <cell r="EW18">
            <v>2211.8046666666664</v>
          </cell>
          <cell r="EY18">
            <v>185360</v>
          </cell>
          <cell r="EZ18">
            <v>8</v>
          </cell>
          <cell r="FA18">
            <v>1235.7333333333333</v>
          </cell>
          <cell r="FB18">
            <v>136196</v>
          </cell>
          <cell r="FC18">
            <v>8.6</v>
          </cell>
          <cell r="FD18">
            <v>976.0713333333332</v>
          </cell>
          <cell r="FE18">
            <v>2211.8046666666664</v>
          </cell>
          <cell r="FF18">
            <v>36200</v>
          </cell>
          <cell r="FH18">
            <v>36200</v>
          </cell>
        </row>
        <row r="19">
          <cell r="B19">
            <v>9296</v>
          </cell>
          <cell r="C19" t="str">
            <v>08.01.2006</v>
          </cell>
          <cell r="D19" t="str">
            <v>Salve Avinash Minanath</v>
          </cell>
          <cell r="F19">
            <v>19241</v>
          </cell>
          <cell r="G19">
            <v>36274</v>
          </cell>
          <cell r="H19">
            <v>15926</v>
          </cell>
          <cell r="I19">
            <v>15926</v>
          </cell>
          <cell r="J19">
            <v>31852</v>
          </cell>
          <cell r="K19">
            <v>12611</v>
          </cell>
          <cell r="M19">
            <v>1088</v>
          </cell>
          <cell r="N19">
            <v>0</v>
          </cell>
          <cell r="O19">
            <v>1088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W19">
            <v>1088</v>
          </cell>
          <cell r="X19">
            <v>0</v>
          </cell>
          <cell r="Y19">
            <v>1088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G19">
            <v>1121</v>
          </cell>
          <cell r="AH19">
            <v>0</v>
          </cell>
          <cell r="AI19">
            <v>1121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Q19">
            <v>1121</v>
          </cell>
          <cell r="AR19">
            <v>0</v>
          </cell>
          <cell r="AS19">
            <v>1121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BA19">
            <v>1121</v>
          </cell>
          <cell r="BB19">
            <v>0</v>
          </cell>
          <cell r="BC19">
            <v>1121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K19">
            <v>1173</v>
          </cell>
          <cell r="BL19">
            <v>0</v>
          </cell>
          <cell r="BM19">
            <v>1173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U19">
            <v>1173</v>
          </cell>
          <cell r="BV19">
            <v>0</v>
          </cell>
          <cell r="BW19">
            <v>1173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E19">
            <v>1173</v>
          </cell>
          <cell r="CF19">
            <v>0</v>
          </cell>
          <cell r="CG19">
            <v>1173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O19">
            <v>1173</v>
          </cell>
          <cell r="CP19">
            <v>0</v>
          </cell>
          <cell r="CQ19">
            <v>1173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Y19">
            <v>1173</v>
          </cell>
          <cell r="CZ19">
            <v>0</v>
          </cell>
          <cell r="DA19">
            <v>1173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I19">
            <v>31852</v>
          </cell>
          <cell r="DJ19">
            <v>11404</v>
          </cell>
          <cell r="DK19">
            <v>0</v>
          </cell>
          <cell r="DL19">
            <v>11404</v>
          </cell>
          <cell r="DM19">
            <v>11404</v>
          </cell>
          <cell r="DN19">
            <v>0</v>
          </cell>
          <cell r="DO19">
            <v>11404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22808</v>
          </cell>
          <cell r="DU19">
            <v>0</v>
          </cell>
          <cell r="DW19">
            <v>0</v>
          </cell>
          <cell r="DX19">
            <v>0</v>
          </cell>
          <cell r="DY19">
            <v>34028</v>
          </cell>
          <cell r="DZ19">
            <v>36204</v>
          </cell>
          <cell r="EA19">
            <v>38446</v>
          </cell>
          <cell r="EB19">
            <v>40688</v>
          </cell>
          <cell r="EC19">
            <v>42930</v>
          </cell>
          <cell r="ED19">
            <v>45276</v>
          </cell>
          <cell r="EE19">
            <v>47622</v>
          </cell>
          <cell r="EF19">
            <v>49968</v>
          </cell>
          <cell r="EG19">
            <v>52314</v>
          </cell>
          <cell r="EH19">
            <v>54660</v>
          </cell>
          <cell r="EI19">
            <v>442136</v>
          </cell>
          <cell r="EK19">
            <v>0</v>
          </cell>
          <cell r="EL19">
            <v>0</v>
          </cell>
          <cell r="EM19">
            <v>226.85333333333332</v>
          </cell>
          <cell r="EN19">
            <v>241.36</v>
          </cell>
          <cell r="EO19">
            <v>256.30666666666667</v>
          </cell>
          <cell r="EP19">
            <v>271.25333333333333</v>
          </cell>
          <cell r="EQ19">
            <v>286.2</v>
          </cell>
          <cell r="ER19">
            <v>301.83999999999997</v>
          </cell>
          <cell r="ES19">
            <v>341.291</v>
          </cell>
          <cell r="ET19">
            <v>358.10399999999998</v>
          </cell>
          <cell r="EU19">
            <v>374.91699999999997</v>
          </cell>
          <cell r="EV19">
            <v>391.73</v>
          </cell>
          <cell r="EW19">
            <v>3049.855333333333</v>
          </cell>
          <cell r="EY19">
            <v>237572</v>
          </cell>
          <cell r="EZ19">
            <v>8</v>
          </cell>
          <cell r="FA19">
            <v>1583.8133333333333</v>
          </cell>
          <cell r="FB19">
            <v>204564</v>
          </cell>
          <cell r="FC19">
            <v>8.6</v>
          </cell>
          <cell r="FD19">
            <v>1466.0420000000001</v>
          </cell>
          <cell r="FE19">
            <v>3049.8553333333334</v>
          </cell>
          <cell r="FF19">
            <v>57710</v>
          </cell>
          <cell r="FH19">
            <v>57710</v>
          </cell>
        </row>
        <row r="20">
          <cell r="B20">
            <v>9352</v>
          </cell>
          <cell r="C20" t="str">
            <v>09.01.2006</v>
          </cell>
          <cell r="D20" t="str">
            <v>Pagare Ajay Gangadhar</v>
          </cell>
          <cell r="F20">
            <v>15499</v>
          </cell>
          <cell r="H20">
            <v>14520</v>
          </cell>
          <cell r="I20">
            <v>14520</v>
          </cell>
          <cell r="J20">
            <v>29040</v>
          </cell>
          <cell r="K20">
            <v>13541</v>
          </cell>
          <cell r="M20">
            <v>1088</v>
          </cell>
          <cell r="N20">
            <v>0</v>
          </cell>
          <cell r="O20">
            <v>1088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W20">
            <v>1088</v>
          </cell>
          <cell r="X20">
            <v>0</v>
          </cell>
          <cell r="Y20">
            <v>1088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G20">
            <v>1121</v>
          </cell>
          <cell r="AH20">
            <v>0</v>
          </cell>
          <cell r="AI20">
            <v>1121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Q20">
            <v>1121</v>
          </cell>
          <cell r="AR20">
            <v>0</v>
          </cell>
          <cell r="AS20">
            <v>1121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BA20">
            <v>1121</v>
          </cell>
          <cell r="BB20">
            <v>0</v>
          </cell>
          <cell r="BC20">
            <v>1121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K20">
            <v>1173</v>
          </cell>
          <cell r="BL20">
            <v>0</v>
          </cell>
          <cell r="BM20">
            <v>1173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U20">
            <v>1173</v>
          </cell>
          <cell r="BV20">
            <v>0</v>
          </cell>
          <cell r="BW20">
            <v>1173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E20">
            <v>1173</v>
          </cell>
          <cell r="CF20">
            <v>0</v>
          </cell>
          <cell r="CG20">
            <v>1173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O20">
            <v>1173</v>
          </cell>
          <cell r="CP20">
            <v>0</v>
          </cell>
          <cell r="CQ20">
            <v>1173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Y20">
            <v>1173</v>
          </cell>
          <cell r="CZ20">
            <v>0</v>
          </cell>
          <cell r="DA20">
            <v>1173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I20">
            <v>29040</v>
          </cell>
          <cell r="DJ20">
            <v>11404</v>
          </cell>
          <cell r="DK20">
            <v>0</v>
          </cell>
          <cell r="DL20">
            <v>11404</v>
          </cell>
          <cell r="DM20">
            <v>11404</v>
          </cell>
          <cell r="DN20">
            <v>0</v>
          </cell>
          <cell r="DO20">
            <v>11404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22808</v>
          </cell>
          <cell r="DU20">
            <v>0</v>
          </cell>
          <cell r="DW20">
            <v>0</v>
          </cell>
          <cell r="DX20">
            <v>0</v>
          </cell>
          <cell r="DY20">
            <v>31216</v>
          </cell>
          <cell r="DZ20">
            <v>33392</v>
          </cell>
          <cell r="EA20">
            <v>35634</v>
          </cell>
          <cell r="EB20">
            <v>37876</v>
          </cell>
          <cell r="EC20">
            <v>40118</v>
          </cell>
          <cell r="ED20">
            <v>42464</v>
          </cell>
          <cell r="EE20">
            <v>44810</v>
          </cell>
          <cell r="EF20">
            <v>47156</v>
          </cell>
          <cell r="EG20">
            <v>49502</v>
          </cell>
          <cell r="EH20">
            <v>51848</v>
          </cell>
          <cell r="EI20">
            <v>414016</v>
          </cell>
          <cell r="EK20">
            <v>0</v>
          </cell>
          <cell r="EL20">
            <v>0</v>
          </cell>
          <cell r="EM20">
            <v>208.10666666666668</v>
          </cell>
          <cell r="EN20">
            <v>222.61333333333334</v>
          </cell>
          <cell r="EO20">
            <v>237.55999999999997</v>
          </cell>
          <cell r="EP20">
            <v>252.50666666666666</v>
          </cell>
          <cell r="EQ20">
            <v>267.45333333333332</v>
          </cell>
          <cell r="ER20">
            <v>283.09333333333331</v>
          </cell>
          <cell r="ES20">
            <v>321.13833333333332</v>
          </cell>
          <cell r="ET20">
            <v>337.95133333333331</v>
          </cell>
          <cell r="EU20">
            <v>354.7643333333333</v>
          </cell>
          <cell r="EV20">
            <v>371.57733333333334</v>
          </cell>
          <cell r="EW20">
            <v>2856.7646666666665</v>
          </cell>
          <cell r="EY20">
            <v>220700</v>
          </cell>
          <cell r="EZ20">
            <v>8</v>
          </cell>
          <cell r="FA20">
            <v>1471.3333333333333</v>
          </cell>
          <cell r="FB20">
            <v>193316</v>
          </cell>
          <cell r="FC20">
            <v>8.6</v>
          </cell>
          <cell r="FD20">
            <v>1385.4313333333332</v>
          </cell>
          <cell r="FE20">
            <v>2856.7646666666665</v>
          </cell>
          <cell r="FF20">
            <v>54705</v>
          </cell>
          <cell r="FH20">
            <v>54705</v>
          </cell>
        </row>
        <row r="21">
          <cell r="B21">
            <v>9291</v>
          </cell>
          <cell r="C21" t="str">
            <v>13.01.2006</v>
          </cell>
          <cell r="D21" t="str">
            <v>Malekar Durgadas Baburao</v>
          </cell>
          <cell r="F21">
            <v>19876</v>
          </cell>
          <cell r="G21">
            <v>45111</v>
          </cell>
          <cell r="H21">
            <v>9634</v>
          </cell>
          <cell r="I21">
            <v>9634</v>
          </cell>
          <cell r="J21">
            <v>19268</v>
          </cell>
          <cell r="K21">
            <v>-608</v>
          </cell>
          <cell r="M21">
            <v>1088</v>
          </cell>
          <cell r="N21">
            <v>0</v>
          </cell>
          <cell r="O21">
            <v>1088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W21">
            <v>2038</v>
          </cell>
          <cell r="X21">
            <v>0</v>
          </cell>
          <cell r="Y21">
            <v>2038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G21">
            <v>2100</v>
          </cell>
          <cell r="AH21">
            <v>0</v>
          </cell>
          <cell r="AI21">
            <v>2100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Q21">
            <v>2100</v>
          </cell>
          <cell r="AR21">
            <v>0</v>
          </cell>
          <cell r="AS21">
            <v>2100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BA21">
            <v>2100</v>
          </cell>
          <cell r="BB21">
            <v>0</v>
          </cell>
          <cell r="BC21">
            <v>2100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K21">
            <v>2197</v>
          </cell>
          <cell r="BL21">
            <v>0</v>
          </cell>
          <cell r="BM21">
            <v>2197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U21">
            <v>2197</v>
          </cell>
          <cell r="BV21">
            <v>0</v>
          </cell>
          <cell r="BW21">
            <v>2197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E21">
            <v>2197</v>
          </cell>
          <cell r="CF21">
            <v>0</v>
          </cell>
          <cell r="CG21">
            <v>2197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O21">
            <v>2197</v>
          </cell>
          <cell r="CP21">
            <v>0</v>
          </cell>
          <cell r="CQ21">
            <v>2197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Y21">
            <v>2197</v>
          </cell>
          <cell r="CZ21">
            <v>0</v>
          </cell>
          <cell r="DA21">
            <v>2197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I21">
            <v>19268</v>
          </cell>
          <cell r="DJ21">
            <v>20411</v>
          </cell>
          <cell r="DK21">
            <v>0</v>
          </cell>
          <cell r="DL21">
            <v>20411</v>
          </cell>
          <cell r="DM21">
            <v>20411</v>
          </cell>
          <cell r="DN21">
            <v>0</v>
          </cell>
          <cell r="DO21">
            <v>20411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40822</v>
          </cell>
          <cell r="DU21">
            <v>0</v>
          </cell>
          <cell r="DW21">
            <v>0</v>
          </cell>
          <cell r="DX21">
            <v>0</v>
          </cell>
          <cell r="DY21">
            <v>21444</v>
          </cell>
          <cell r="DZ21">
            <v>25520</v>
          </cell>
          <cell r="EA21">
            <v>29720</v>
          </cell>
          <cell r="EB21">
            <v>33920</v>
          </cell>
          <cell r="EC21">
            <v>38120</v>
          </cell>
          <cell r="ED21">
            <v>42514</v>
          </cell>
          <cell r="EE21">
            <v>46908</v>
          </cell>
          <cell r="EF21">
            <v>51302</v>
          </cell>
          <cell r="EG21">
            <v>55696</v>
          </cell>
          <cell r="EH21">
            <v>60090</v>
          </cell>
          <cell r="EI21">
            <v>405234</v>
          </cell>
          <cell r="EK21">
            <v>0</v>
          </cell>
          <cell r="EL21">
            <v>0</v>
          </cell>
          <cell r="EM21">
            <v>142.96</v>
          </cell>
          <cell r="EN21">
            <v>170.13333333333333</v>
          </cell>
          <cell r="EO21">
            <v>198.13333333333333</v>
          </cell>
          <cell r="EP21">
            <v>226.13333333333333</v>
          </cell>
          <cell r="EQ21">
            <v>254.13333333333333</v>
          </cell>
          <cell r="ER21">
            <v>283.42666666666668</v>
          </cell>
          <cell r="ES21">
            <v>336.17399999999998</v>
          </cell>
          <cell r="ET21">
            <v>367.66433333333333</v>
          </cell>
          <cell r="EU21">
            <v>399.15466666666663</v>
          </cell>
          <cell r="EV21">
            <v>430.64499999999998</v>
          </cell>
          <cell r="EW21">
            <v>2808.558</v>
          </cell>
          <cell r="EY21">
            <v>191238</v>
          </cell>
          <cell r="EZ21">
            <v>8</v>
          </cell>
          <cell r="FA21">
            <v>1274.92</v>
          </cell>
          <cell r="FB21">
            <v>213996</v>
          </cell>
          <cell r="FC21">
            <v>8.6</v>
          </cell>
          <cell r="FD21">
            <v>1533.6379999999999</v>
          </cell>
          <cell r="FE21">
            <v>2808.558</v>
          </cell>
          <cell r="FF21">
            <v>62899</v>
          </cell>
          <cell r="FH21">
            <v>62899</v>
          </cell>
        </row>
        <row r="22">
          <cell r="B22">
            <v>9274</v>
          </cell>
          <cell r="C22" t="str">
            <v>19.01.2006</v>
          </cell>
          <cell r="D22" t="str">
            <v>Ghante Janardhan Sitaram</v>
          </cell>
          <cell r="F22">
            <v>22027</v>
          </cell>
          <cell r="H22">
            <v>14513</v>
          </cell>
          <cell r="I22">
            <v>14513</v>
          </cell>
          <cell r="J22">
            <v>29026</v>
          </cell>
          <cell r="K22">
            <v>6999</v>
          </cell>
          <cell r="M22">
            <v>1121</v>
          </cell>
          <cell r="N22">
            <v>0</v>
          </cell>
          <cell r="O22">
            <v>1121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W22">
            <v>1121</v>
          </cell>
          <cell r="X22">
            <v>0</v>
          </cell>
          <cell r="Y22">
            <v>1121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G22">
            <v>1156</v>
          </cell>
          <cell r="AH22">
            <v>0</v>
          </cell>
          <cell r="AI22">
            <v>1156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Q22">
            <v>1156</v>
          </cell>
          <cell r="AR22">
            <v>0</v>
          </cell>
          <cell r="AS22">
            <v>1156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BA22">
            <v>1156</v>
          </cell>
          <cell r="BB22">
            <v>0</v>
          </cell>
          <cell r="BC22">
            <v>1156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K22">
            <v>1210</v>
          </cell>
          <cell r="BL22">
            <v>0</v>
          </cell>
          <cell r="BM22">
            <v>1210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U22">
            <v>1210</v>
          </cell>
          <cell r="BV22">
            <v>0</v>
          </cell>
          <cell r="BW22">
            <v>1210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E22">
            <v>1210</v>
          </cell>
          <cell r="CF22">
            <v>0</v>
          </cell>
          <cell r="CG22">
            <v>1210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O22">
            <v>1210</v>
          </cell>
          <cell r="CP22">
            <v>0</v>
          </cell>
          <cell r="CQ22">
            <v>1210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Y22">
            <v>1210</v>
          </cell>
          <cell r="CZ22">
            <v>0</v>
          </cell>
          <cell r="DA22">
            <v>1210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I22">
            <v>29026</v>
          </cell>
          <cell r="DJ22">
            <v>11760</v>
          </cell>
          <cell r="DK22">
            <v>0</v>
          </cell>
          <cell r="DL22">
            <v>11760</v>
          </cell>
          <cell r="DM22">
            <v>11760</v>
          </cell>
          <cell r="DN22">
            <v>0</v>
          </cell>
          <cell r="DO22">
            <v>11760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23520</v>
          </cell>
          <cell r="DU22">
            <v>0</v>
          </cell>
          <cell r="DW22">
            <v>0</v>
          </cell>
          <cell r="DX22">
            <v>0</v>
          </cell>
          <cell r="DY22">
            <v>31268</v>
          </cell>
          <cell r="DZ22">
            <v>33510</v>
          </cell>
          <cell r="EA22">
            <v>35822</v>
          </cell>
          <cell r="EB22">
            <v>38134</v>
          </cell>
          <cell r="EC22">
            <v>40446</v>
          </cell>
          <cell r="ED22">
            <v>42866</v>
          </cell>
          <cell r="EE22">
            <v>45286</v>
          </cell>
          <cell r="EF22">
            <v>47706</v>
          </cell>
          <cell r="EG22">
            <v>50126</v>
          </cell>
          <cell r="EH22">
            <v>52546</v>
          </cell>
          <cell r="EI22">
            <v>417710</v>
          </cell>
          <cell r="EK22">
            <v>0</v>
          </cell>
          <cell r="EL22">
            <v>0</v>
          </cell>
          <cell r="EM22">
            <v>208.45333333333335</v>
          </cell>
          <cell r="EN22">
            <v>223.4</v>
          </cell>
          <cell r="EO22">
            <v>238.81333333333336</v>
          </cell>
          <cell r="EP22">
            <v>254.22666666666666</v>
          </cell>
          <cell r="EQ22">
            <v>269.64</v>
          </cell>
          <cell r="ER22">
            <v>285.77333333333337</v>
          </cell>
          <cell r="ES22">
            <v>324.54966666666661</v>
          </cell>
          <cell r="ET22">
            <v>341.89299999999997</v>
          </cell>
          <cell r="EU22">
            <v>359.23633333333328</v>
          </cell>
          <cell r="EV22">
            <v>376.5796666666667</v>
          </cell>
          <cell r="EW22">
            <v>2882.565333333333</v>
          </cell>
          <cell r="EY22">
            <v>222046</v>
          </cell>
          <cell r="EZ22">
            <v>8</v>
          </cell>
          <cell r="FA22">
            <v>1480.3066666666666</v>
          </cell>
          <cell r="FB22">
            <v>195664</v>
          </cell>
          <cell r="FC22">
            <v>8.6</v>
          </cell>
          <cell r="FD22">
            <v>1402.2586666666666</v>
          </cell>
          <cell r="FE22">
            <v>2882.565333333333</v>
          </cell>
          <cell r="FF22">
            <v>55429</v>
          </cell>
          <cell r="FH22">
            <v>55429</v>
          </cell>
        </row>
        <row r="23">
          <cell r="B23">
            <v>9387</v>
          </cell>
          <cell r="C23" t="str">
            <v>04.02.2006</v>
          </cell>
          <cell r="D23" t="str">
            <v>Wagh Sharda Pandharinath</v>
          </cell>
          <cell r="F23">
            <v>11112</v>
          </cell>
          <cell r="G23">
            <v>31895</v>
          </cell>
          <cell r="H23">
            <v>6234</v>
          </cell>
          <cell r="I23">
            <v>6234</v>
          </cell>
          <cell r="J23">
            <v>12468</v>
          </cell>
          <cell r="K23">
            <v>1356</v>
          </cell>
          <cell r="M23">
            <v>1088</v>
          </cell>
          <cell r="N23">
            <v>0</v>
          </cell>
          <cell r="O23">
            <v>1088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W23">
            <v>1088</v>
          </cell>
          <cell r="X23">
            <v>0</v>
          </cell>
          <cell r="Y23">
            <v>1088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G23">
            <v>1121</v>
          </cell>
          <cell r="AH23">
            <v>0</v>
          </cell>
          <cell r="AI23">
            <v>1121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Q23">
            <v>1121</v>
          </cell>
          <cell r="AR23">
            <v>0</v>
          </cell>
          <cell r="AS23">
            <v>1121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BA23">
            <v>1121</v>
          </cell>
          <cell r="BB23">
            <v>0</v>
          </cell>
          <cell r="BC23">
            <v>1121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K23">
            <v>1173</v>
          </cell>
          <cell r="BL23">
            <v>0</v>
          </cell>
          <cell r="BM23">
            <v>1173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U23">
            <v>1173</v>
          </cell>
          <cell r="BV23">
            <v>0</v>
          </cell>
          <cell r="BW23">
            <v>1173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E23">
            <v>1173</v>
          </cell>
          <cell r="CF23">
            <v>0</v>
          </cell>
          <cell r="CG23">
            <v>1173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O23">
            <v>1173</v>
          </cell>
          <cell r="CP23">
            <v>0</v>
          </cell>
          <cell r="CQ23">
            <v>1173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Y23">
            <v>1173</v>
          </cell>
          <cell r="CZ23">
            <v>0</v>
          </cell>
          <cell r="DA23">
            <v>1173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I23">
            <v>12468</v>
          </cell>
          <cell r="DJ23">
            <v>11404</v>
          </cell>
          <cell r="DK23">
            <v>0</v>
          </cell>
          <cell r="DL23">
            <v>11404</v>
          </cell>
          <cell r="DM23">
            <v>11404</v>
          </cell>
          <cell r="DN23">
            <v>0</v>
          </cell>
          <cell r="DO23">
            <v>11404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22808</v>
          </cell>
          <cell r="DU23">
            <v>0</v>
          </cell>
          <cell r="DW23">
            <v>0</v>
          </cell>
          <cell r="DX23">
            <v>0</v>
          </cell>
          <cell r="DY23">
            <v>14644</v>
          </cell>
          <cell r="DZ23">
            <v>16820</v>
          </cell>
          <cell r="EA23">
            <v>19062</v>
          </cell>
          <cell r="EB23">
            <v>21304</v>
          </cell>
          <cell r="EC23">
            <v>23546</v>
          </cell>
          <cell r="ED23">
            <v>25892</v>
          </cell>
          <cell r="EE23">
            <v>28238</v>
          </cell>
          <cell r="EF23">
            <v>30584</v>
          </cell>
          <cell r="EG23">
            <v>32930</v>
          </cell>
          <cell r="EH23">
            <v>35276</v>
          </cell>
          <cell r="EI23">
            <v>248296</v>
          </cell>
          <cell r="EK23">
            <v>0</v>
          </cell>
          <cell r="EL23">
            <v>0</v>
          </cell>
          <cell r="EM23">
            <v>97.626666666666665</v>
          </cell>
          <cell r="EN23">
            <v>112.13333333333333</v>
          </cell>
          <cell r="EO23">
            <v>127.08</v>
          </cell>
          <cell r="EP23">
            <v>142.02666666666667</v>
          </cell>
          <cell r="EQ23">
            <v>156.97333333333333</v>
          </cell>
          <cell r="ER23">
            <v>172.61333333333334</v>
          </cell>
          <cell r="ES23">
            <v>202.37233333333333</v>
          </cell>
          <cell r="ET23">
            <v>219.18533333333332</v>
          </cell>
          <cell r="EU23">
            <v>235.99833333333333</v>
          </cell>
          <cell r="EV23">
            <v>252.81133333333332</v>
          </cell>
          <cell r="EW23">
            <v>1718.8206666666667</v>
          </cell>
          <cell r="EY23">
            <v>121268</v>
          </cell>
          <cell r="EZ23">
            <v>8</v>
          </cell>
          <cell r="FA23">
            <v>808.45333333333338</v>
          </cell>
          <cell r="FB23">
            <v>127028</v>
          </cell>
          <cell r="FC23">
            <v>8.6</v>
          </cell>
          <cell r="FD23">
            <v>910.36733333333348</v>
          </cell>
          <cell r="FE23">
            <v>1718.820666666667</v>
          </cell>
          <cell r="FF23">
            <v>36995</v>
          </cell>
          <cell r="FH23">
            <v>36995</v>
          </cell>
        </row>
        <row r="24">
          <cell r="B24">
            <v>9281</v>
          </cell>
          <cell r="C24" t="str">
            <v>14.02.2006</v>
          </cell>
          <cell r="D24" t="str">
            <v>Gangurde Vilas Manohar</v>
          </cell>
          <cell r="F24">
            <v>22635</v>
          </cell>
          <cell r="H24">
            <v>7634</v>
          </cell>
          <cell r="I24">
            <v>7634</v>
          </cell>
          <cell r="J24">
            <v>15268</v>
          </cell>
          <cell r="K24">
            <v>-7367</v>
          </cell>
          <cell r="M24">
            <v>1088</v>
          </cell>
          <cell r="N24">
            <v>0</v>
          </cell>
          <cell r="O24">
            <v>1088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W24">
            <v>1088</v>
          </cell>
          <cell r="X24">
            <v>0</v>
          </cell>
          <cell r="Y24">
            <v>1088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6100</v>
          </cell>
          <cell r="AG24">
            <v>1121</v>
          </cell>
          <cell r="AH24">
            <v>0</v>
          </cell>
          <cell r="AI24">
            <v>1121</v>
          </cell>
          <cell r="AJ24">
            <v>0</v>
          </cell>
          <cell r="AK24">
            <v>305</v>
          </cell>
          <cell r="AL24">
            <v>0</v>
          </cell>
          <cell r="AM24">
            <v>0</v>
          </cell>
          <cell r="AN24">
            <v>305</v>
          </cell>
          <cell r="AO24">
            <v>0</v>
          </cell>
          <cell r="AQ24">
            <v>1121</v>
          </cell>
          <cell r="AR24">
            <v>0</v>
          </cell>
          <cell r="AS24">
            <v>1121</v>
          </cell>
          <cell r="AT24">
            <v>0</v>
          </cell>
          <cell r="AU24">
            <v>305</v>
          </cell>
          <cell r="AV24">
            <v>0</v>
          </cell>
          <cell r="AW24">
            <v>0</v>
          </cell>
          <cell r="AX24">
            <v>305</v>
          </cell>
          <cell r="AY24">
            <v>0</v>
          </cell>
          <cell r="BA24">
            <v>1121</v>
          </cell>
          <cell r="BB24">
            <v>0</v>
          </cell>
          <cell r="BC24">
            <v>1121</v>
          </cell>
          <cell r="BD24">
            <v>0</v>
          </cell>
          <cell r="BE24">
            <v>305</v>
          </cell>
          <cell r="BF24">
            <v>0</v>
          </cell>
          <cell r="BG24">
            <v>0</v>
          </cell>
          <cell r="BH24">
            <v>305</v>
          </cell>
          <cell r="BI24">
            <v>0</v>
          </cell>
          <cell r="BK24">
            <v>1173</v>
          </cell>
          <cell r="BL24">
            <v>0</v>
          </cell>
          <cell r="BM24">
            <v>1173</v>
          </cell>
          <cell r="BN24">
            <v>0</v>
          </cell>
          <cell r="BO24">
            <v>305</v>
          </cell>
          <cell r="BP24">
            <v>0</v>
          </cell>
          <cell r="BQ24">
            <v>0</v>
          </cell>
          <cell r="BR24">
            <v>305</v>
          </cell>
          <cell r="BS24">
            <v>0</v>
          </cell>
          <cell r="BU24">
            <v>1284</v>
          </cell>
          <cell r="BV24">
            <v>0</v>
          </cell>
          <cell r="BW24">
            <v>1284</v>
          </cell>
          <cell r="BX24">
            <v>0</v>
          </cell>
          <cell r="BY24">
            <v>305</v>
          </cell>
          <cell r="BZ24">
            <v>0</v>
          </cell>
          <cell r="CA24">
            <v>0</v>
          </cell>
          <cell r="CB24">
            <v>305</v>
          </cell>
          <cell r="CC24">
            <v>0</v>
          </cell>
          <cell r="CE24">
            <v>1284</v>
          </cell>
          <cell r="CF24">
            <v>0</v>
          </cell>
          <cell r="CG24">
            <v>1284</v>
          </cell>
          <cell r="CH24">
            <v>0</v>
          </cell>
          <cell r="CI24">
            <v>305</v>
          </cell>
          <cell r="CJ24">
            <v>0</v>
          </cell>
          <cell r="CK24">
            <v>0</v>
          </cell>
          <cell r="CL24">
            <v>305</v>
          </cell>
          <cell r="CM24">
            <v>0</v>
          </cell>
          <cell r="CO24">
            <v>1284</v>
          </cell>
          <cell r="CP24">
            <v>0</v>
          </cell>
          <cell r="CQ24">
            <v>1284</v>
          </cell>
          <cell r="CR24">
            <v>0</v>
          </cell>
          <cell r="CS24">
            <v>305</v>
          </cell>
          <cell r="CT24">
            <v>0</v>
          </cell>
          <cell r="CU24">
            <v>0</v>
          </cell>
          <cell r="CV24">
            <v>305</v>
          </cell>
          <cell r="CW24">
            <v>0</v>
          </cell>
          <cell r="CY24">
            <v>1284</v>
          </cell>
          <cell r="CZ24">
            <v>0</v>
          </cell>
          <cell r="DA24">
            <v>1284</v>
          </cell>
          <cell r="DB24">
            <v>0</v>
          </cell>
          <cell r="DC24">
            <v>305</v>
          </cell>
          <cell r="DD24">
            <v>0</v>
          </cell>
          <cell r="DE24">
            <v>0</v>
          </cell>
          <cell r="DF24">
            <v>305</v>
          </cell>
          <cell r="DG24">
            <v>0</v>
          </cell>
          <cell r="DI24">
            <v>15268</v>
          </cell>
          <cell r="DJ24">
            <v>11848</v>
          </cell>
          <cell r="DK24">
            <v>0</v>
          </cell>
          <cell r="DL24">
            <v>11848</v>
          </cell>
          <cell r="DM24">
            <v>11848</v>
          </cell>
          <cell r="DN24">
            <v>0</v>
          </cell>
          <cell r="DO24">
            <v>11848</v>
          </cell>
          <cell r="DP24">
            <v>2440</v>
          </cell>
          <cell r="DQ24">
            <v>0</v>
          </cell>
          <cell r="DR24">
            <v>0</v>
          </cell>
          <cell r="DS24">
            <v>2440</v>
          </cell>
          <cell r="DT24">
            <v>26136</v>
          </cell>
          <cell r="DU24">
            <v>6100</v>
          </cell>
          <cell r="DW24">
            <v>0</v>
          </cell>
          <cell r="DX24">
            <v>0</v>
          </cell>
          <cell r="DY24">
            <v>17444</v>
          </cell>
          <cell r="DZ24">
            <v>13520</v>
          </cell>
          <cell r="EA24">
            <v>16067</v>
          </cell>
          <cell r="EB24">
            <v>18614</v>
          </cell>
          <cell r="EC24">
            <v>21161</v>
          </cell>
          <cell r="ED24">
            <v>23812</v>
          </cell>
          <cell r="EE24">
            <v>26685</v>
          </cell>
          <cell r="EF24">
            <v>29558</v>
          </cell>
          <cell r="EG24">
            <v>32431</v>
          </cell>
          <cell r="EH24">
            <v>35304</v>
          </cell>
          <cell r="EI24">
            <v>234596</v>
          </cell>
          <cell r="EK24">
            <v>0</v>
          </cell>
          <cell r="EL24">
            <v>0</v>
          </cell>
          <cell r="EM24">
            <v>116.29333333333334</v>
          </cell>
          <cell r="EN24">
            <v>90.133333333333326</v>
          </cell>
          <cell r="EO24">
            <v>107.11333333333333</v>
          </cell>
          <cell r="EP24">
            <v>124.09333333333332</v>
          </cell>
          <cell r="EQ24">
            <v>141.07333333333335</v>
          </cell>
          <cell r="ER24">
            <v>158.74666666666667</v>
          </cell>
          <cell r="ES24">
            <v>191.24249999999998</v>
          </cell>
          <cell r="ET24">
            <v>211.83233333333331</v>
          </cell>
          <cell r="EU24">
            <v>232.42216666666664</v>
          </cell>
          <cell r="EV24">
            <v>253.01199999999997</v>
          </cell>
          <cell r="EW24">
            <v>1625.9623333333334</v>
          </cell>
          <cell r="EY24">
            <v>110618</v>
          </cell>
          <cell r="EZ24">
            <v>8</v>
          </cell>
          <cell r="FA24">
            <v>737.45333333333338</v>
          </cell>
          <cell r="FB24">
            <v>123978</v>
          </cell>
          <cell r="FC24">
            <v>8.6</v>
          </cell>
          <cell r="FD24">
            <v>888.50900000000001</v>
          </cell>
          <cell r="FE24">
            <v>1625.9623333333334</v>
          </cell>
          <cell r="FF24">
            <v>36930</v>
          </cell>
          <cell r="FH24">
            <v>36930</v>
          </cell>
        </row>
        <row r="25">
          <cell r="B25">
            <v>9285</v>
          </cell>
          <cell r="C25" t="str">
            <v>14.02.2006</v>
          </cell>
          <cell r="D25" t="str">
            <v>Bhagwat Manisha Subhash</v>
          </cell>
          <cell r="F25">
            <v>20511</v>
          </cell>
          <cell r="G25">
            <v>33449</v>
          </cell>
          <cell r="H25">
            <v>14520</v>
          </cell>
          <cell r="I25">
            <v>14520</v>
          </cell>
          <cell r="J25">
            <v>29040</v>
          </cell>
          <cell r="K25">
            <v>8529</v>
          </cell>
          <cell r="M25">
            <v>1088</v>
          </cell>
          <cell r="N25">
            <v>0</v>
          </cell>
          <cell r="O25">
            <v>1088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W25">
            <v>1088</v>
          </cell>
          <cell r="X25">
            <v>0</v>
          </cell>
          <cell r="Y25">
            <v>1088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G25">
            <v>1121</v>
          </cell>
          <cell r="AH25">
            <v>0</v>
          </cell>
          <cell r="AI25">
            <v>1121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Q25">
            <v>1121</v>
          </cell>
          <cell r="AR25">
            <v>0</v>
          </cell>
          <cell r="AS25">
            <v>1121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BA25">
            <v>1121</v>
          </cell>
          <cell r="BB25">
            <v>0</v>
          </cell>
          <cell r="BC25">
            <v>1121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K25">
            <v>1173</v>
          </cell>
          <cell r="BL25">
            <v>0</v>
          </cell>
          <cell r="BM25">
            <v>1173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U25">
            <v>1173</v>
          </cell>
          <cell r="BV25">
            <v>0</v>
          </cell>
          <cell r="BW25">
            <v>1173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E25">
            <v>1173</v>
          </cell>
          <cell r="CF25">
            <v>0</v>
          </cell>
          <cell r="CG25">
            <v>1173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O25">
            <v>1173</v>
          </cell>
          <cell r="CP25">
            <v>0</v>
          </cell>
          <cell r="CQ25">
            <v>1173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Y25">
            <v>1173</v>
          </cell>
          <cell r="CZ25">
            <v>0</v>
          </cell>
          <cell r="DA25">
            <v>1173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I25">
            <v>29040</v>
          </cell>
          <cell r="DJ25">
            <v>11404</v>
          </cell>
          <cell r="DK25">
            <v>0</v>
          </cell>
          <cell r="DL25">
            <v>11404</v>
          </cell>
          <cell r="DM25">
            <v>11404</v>
          </cell>
          <cell r="DN25">
            <v>0</v>
          </cell>
          <cell r="DO25">
            <v>11404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22808</v>
          </cell>
          <cell r="DU25">
            <v>0</v>
          </cell>
          <cell r="DW25">
            <v>0</v>
          </cell>
          <cell r="DX25">
            <v>0</v>
          </cell>
          <cell r="DY25">
            <v>31216</v>
          </cell>
          <cell r="DZ25">
            <v>33392</v>
          </cell>
          <cell r="EA25">
            <v>35634</v>
          </cell>
          <cell r="EB25">
            <v>37876</v>
          </cell>
          <cell r="EC25">
            <v>40118</v>
          </cell>
          <cell r="ED25">
            <v>42464</v>
          </cell>
          <cell r="EE25">
            <v>44810</v>
          </cell>
          <cell r="EF25">
            <v>47156</v>
          </cell>
          <cell r="EG25">
            <v>49502</v>
          </cell>
          <cell r="EH25">
            <v>51848</v>
          </cell>
          <cell r="EI25">
            <v>414016</v>
          </cell>
          <cell r="EK25">
            <v>0</v>
          </cell>
          <cell r="EL25">
            <v>0</v>
          </cell>
          <cell r="EM25">
            <v>208.10666666666668</v>
          </cell>
          <cell r="EN25">
            <v>222.61333333333334</v>
          </cell>
          <cell r="EO25">
            <v>237.55999999999997</v>
          </cell>
          <cell r="EP25">
            <v>252.50666666666666</v>
          </cell>
          <cell r="EQ25">
            <v>267.45333333333332</v>
          </cell>
          <cell r="ER25">
            <v>283.09333333333331</v>
          </cell>
          <cell r="ES25">
            <v>321.13833333333332</v>
          </cell>
          <cell r="ET25">
            <v>337.95133333333331</v>
          </cell>
          <cell r="EU25">
            <v>354.7643333333333</v>
          </cell>
          <cell r="EV25">
            <v>371.57733333333334</v>
          </cell>
          <cell r="EW25">
            <v>2856.7646666666665</v>
          </cell>
          <cell r="EY25">
            <v>220700</v>
          </cell>
          <cell r="EZ25">
            <v>8</v>
          </cell>
          <cell r="FA25">
            <v>1471.3333333333333</v>
          </cell>
          <cell r="FB25">
            <v>193316</v>
          </cell>
          <cell r="FC25">
            <v>8.6</v>
          </cell>
          <cell r="FD25">
            <v>1385.4313333333332</v>
          </cell>
          <cell r="FE25">
            <v>2856.7646666666665</v>
          </cell>
          <cell r="FF25">
            <v>54705</v>
          </cell>
          <cell r="FH25">
            <v>54705</v>
          </cell>
        </row>
        <row r="26">
          <cell r="B26">
            <v>9286</v>
          </cell>
          <cell r="C26" t="str">
            <v>14.02.2006</v>
          </cell>
          <cell r="D26" t="str">
            <v>Jejurkar Gokul Ramesh</v>
          </cell>
          <cell r="F26">
            <v>20511</v>
          </cell>
          <cell r="G26">
            <v>35062</v>
          </cell>
          <cell r="H26">
            <v>6534</v>
          </cell>
          <cell r="I26">
            <v>6534</v>
          </cell>
          <cell r="J26">
            <v>13068</v>
          </cell>
          <cell r="K26">
            <v>-7443</v>
          </cell>
          <cell r="M26">
            <v>1088</v>
          </cell>
          <cell r="N26">
            <v>0</v>
          </cell>
          <cell r="O26">
            <v>1088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W26">
            <v>1088</v>
          </cell>
          <cell r="X26">
            <v>0</v>
          </cell>
          <cell r="Y26">
            <v>1088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G26">
            <v>1121</v>
          </cell>
          <cell r="AH26">
            <v>0</v>
          </cell>
          <cell r="AI26">
            <v>1121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Q26">
            <v>1121</v>
          </cell>
          <cell r="AR26">
            <v>0</v>
          </cell>
          <cell r="AS26">
            <v>1121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BA26">
            <v>1121</v>
          </cell>
          <cell r="BB26">
            <v>0</v>
          </cell>
          <cell r="BC26">
            <v>1121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K26">
            <v>1173</v>
          </cell>
          <cell r="BL26">
            <v>0</v>
          </cell>
          <cell r="BM26">
            <v>1173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U26">
            <v>1173</v>
          </cell>
          <cell r="BV26">
            <v>0</v>
          </cell>
          <cell r="BW26">
            <v>1173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E26">
            <v>1173</v>
          </cell>
          <cell r="CF26">
            <v>0</v>
          </cell>
          <cell r="CG26">
            <v>1173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O26">
            <v>1173</v>
          </cell>
          <cell r="CP26">
            <v>0</v>
          </cell>
          <cell r="CQ26">
            <v>1173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Y26">
            <v>1173</v>
          </cell>
          <cell r="CZ26">
            <v>0</v>
          </cell>
          <cell r="DA26">
            <v>1173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I26">
            <v>13068</v>
          </cell>
          <cell r="DJ26">
            <v>11404</v>
          </cell>
          <cell r="DK26">
            <v>0</v>
          </cell>
          <cell r="DL26">
            <v>11404</v>
          </cell>
          <cell r="DM26">
            <v>11404</v>
          </cell>
          <cell r="DN26">
            <v>0</v>
          </cell>
          <cell r="DO26">
            <v>11404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22808</v>
          </cell>
          <cell r="DU26">
            <v>0</v>
          </cell>
          <cell r="DW26">
            <v>0</v>
          </cell>
          <cell r="DX26">
            <v>0</v>
          </cell>
          <cell r="DY26">
            <v>15244</v>
          </cell>
          <cell r="DZ26">
            <v>17420</v>
          </cell>
          <cell r="EA26">
            <v>19662</v>
          </cell>
          <cell r="EB26">
            <v>21904</v>
          </cell>
          <cell r="EC26">
            <v>24146</v>
          </cell>
          <cell r="ED26">
            <v>26492</v>
          </cell>
          <cell r="EE26">
            <v>28838</v>
          </cell>
          <cell r="EF26">
            <v>31184</v>
          </cell>
          <cell r="EG26">
            <v>33530</v>
          </cell>
          <cell r="EH26">
            <v>35876</v>
          </cell>
          <cell r="EI26">
            <v>254296</v>
          </cell>
          <cell r="EK26">
            <v>0</v>
          </cell>
          <cell r="EL26">
            <v>0</v>
          </cell>
          <cell r="EM26">
            <v>101.62666666666667</v>
          </cell>
          <cell r="EN26">
            <v>116.13333333333333</v>
          </cell>
          <cell r="EO26">
            <v>131.08000000000001</v>
          </cell>
          <cell r="EP26">
            <v>146.02666666666667</v>
          </cell>
          <cell r="EQ26">
            <v>160.97333333333333</v>
          </cell>
          <cell r="ER26">
            <v>176.61333333333334</v>
          </cell>
          <cell r="ES26">
            <v>206.67233333333331</v>
          </cell>
          <cell r="ET26">
            <v>223.4853333333333</v>
          </cell>
          <cell r="EU26">
            <v>240.29833333333332</v>
          </cell>
          <cell r="EV26">
            <v>257.11133333333333</v>
          </cell>
          <cell r="EW26">
            <v>1760.0206666666668</v>
          </cell>
          <cell r="EY26">
            <v>124868</v>
          </cell>
          <cell r="EZ26">
            <v>8</v>
          </cell>
          <cell r="FA26">
            <v>832.45333333333338</v>
          </cell>
          <cell r="FB26">
            <v>129428</v>
          </cell>
          <cell r="FC26">
            <v>8.6</v>
          </cell>
          <cell r="FD26">
            <v>927.56733333333341</v>
          </cell>
          <cell r="FE26">
            <v>1760.0206666666668</v>
          </cell>
          <cell r="FF26">
            <v>37636</v>
          </cell>
          <cell r="FH26">
            <v>37636</v>
          </cell>
        </row>
        <row r="27">
          <cell r="B27">
            <v>9288</v>
          </cell>
          <cell r="C27" t="str">
            <v>14.02.2006</v>
          </cell>
          <cell r="D27" t="str">
            <v>Muthal Dhananjay Devram</v>
          </cell>
          <cell r="F27">
            <v>20511</v>
          </cell>
          <cell r="H27">
            <v>6534</v>
          </cell>
          <cell r="I27">
            <v>6534</v>
          </cell>
          <cell r="J27">
            <v>13068</v>
          </cell>
          <cell r="K27">
            <v>-7443</v>
          </cell>
          <cell r="M27">
            <v>1088</v>
          </cell>
          <cell r="N27">
            <v>0</v>
          </cell>
          <cell r="O27">
            <v>1088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W27">
            <v>1088</v>
          </cell>
          <cell r="X27">
            <v>0</v>
          </cell>
          <cell r="Y27">
            <v>1088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G27">
            <v>1121</v>
          </cell>
          <cell r="AH27">
            <v>0</v>
          </cell>
          <cell r="AI27">
            <v>1121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Q27">
            <v>1121</v>
          </cell>
          <cell r="AR27">
            <v>0</v>
          </cell>
          <cell r="AS27">
            <v>1121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BA27">
            <v>1121</v>
          </cell>
          <cell r="BB27">
            <v>0</v>
          </cell>
          <cell r="BC27">
            <v>1121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K27">
            <v>1173</v>
          </cell>
          <cell r="BL27">
            <v>0</v>
          </cell>
          <cell r="BM27">
            <v>1173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U27">
            <v>1173</v>
          </cell>
          <cell r="BV27">
            <v>0</v>
          </cell>
          <cell r="BW27">
            <v>1173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E27">
            <v>1173</v>
          </cell>
          <cell r="CF27">
            <v>0</v>
          </cell>
          <cell r="CG27">
            <v>1173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O27">
            <v>1173</v>
          </cell>
          <cell r="CP27">
            <v>0</v>
          </cell>
          <cell r="CQ27">
            <v>1173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Y27">
            <v>1173</v>
          </cell>
          <cell r="CZ27">
            <v>0</v>
          </cell>
          <cell r="DA27">
            <v>1173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I27">
            <v>13068</v>
          </cell>
          <cell r="DJ27">
            <v>11404</v>
          </cell>
          <cell r="DK27">
            <v>0</v>
          </cell>
          <cell r="DL27">
            <v>11404</v>
          </cell>
          <cell r="DM27">
            <v>11404</v>
          </cell>
          <cell r="DN27">
            <v>0</v>
          </cell>
          <cell r="DO27">
            <v>11404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22808</v>
          </cell>
          <cell r="DU27">
            <v>0</v>
          </cell>
          <cell r="DW27">
            <v>0</v>
          </cell>
          <cell r="DX27">
            <v>0</v>
          </cell>
          <cell r="DY27">
            <v>15244</v>
          </cell>
          <cell r="DZ27">
            <v>17420</v>
          </cell>
          <cell r="EA27">
            <v>19662</v>
          </cell>
          <cell r="EB27">
            <v>21904</v>
          </cell>
          <cell r="EC27">
            <v>24146</v>
          </cell>
          <cell r="ED27">
            <v>26492</v>
          </cell>
          <cell r="EE27">
            <v>28838</v>
          </cell>
          <cell r="EF27">
            <v>31184</v>
          </cell>
          <cell r="EG27">
            <v>33530</v>
          </cell>
          <cell r="EH27">
            <v>35876</v>
          </cell>
          <cell r="EI27">
            <v>254296</v>
          </cell>
          <cell r="EK27">
            <v>0</v>
          </cell>
          <cell r="EL27">
            <v>0</v>
          </cell>
          <cell r="EM27">
            <v>101.62666666666667</v>
          </cell>
          <cell r="EN27">
            <v>116.13333333333333</v>
          </cell>
          <cell r="EO27">
            <v>131.08000000000001</v>
          </cell>
          <cell r="EP27">
            <v>146.02666666666667</v>
          </cell>
          <cell r="EQ27">
            <v>160.97333333333333</v>
          </cell>
          <cell r="ER27">
            <v>176.61333333333334</v>
          </cell>
          <cell r="ES27">
            <v>206.67233333333331</v>
          </cell>
          <cell r="ET27">
            <v>223.4853333333333</v>
          </cell>
          <cell r="EU27">
            <v>240.29833333333332</v>
          </cell>
          <cell r="EV27">
            <v>257.11133333333333</v>
          </cell>
          <cell r="EW27">
            <v>1760.0206666666668</v>
          </cell>
          <cell r="EY27">
            <v>124868</v>
          </cell>
          <cell r="EZ27">
            <v>8</v>
          </cell>
          <cell r="FA27">
            <v>832.45333333333338</v>
          </cell>
          <cell r="FB27">
            <v>129428</v>
          </cell>
          <cell r="FC27">
            <v>8.6</v>
          </cell>
          <cell r="FD27">
            <v>927.56733333333341</v>
          </cell>
          <cell r="FE27">
            <v>1760.0206666666668</v>
          </cell>
          <cell r="FF27">
            <v>37636</v>
          </cell>
          <cell r="FH27">
            <v>37636</v>
          </cell>
        </row>
        <row r="28">
          <cell r="B28">
            <v>9365</v>
          </cell>
          <cell r="C28" t="str">
            <v>14.02.2006</v>
          </cell>
          <cell r="D28" t="str">
            <v>Thakur Shyam Nandlal</v>
          </cell>
          <cell r="F28">
            <v>14668</v>
          </cell>
          <cell r="G28">
            <v>32193</v>
          </cell>
          <cell r="H28">
            <v>5120</v>
          </cell>
          <cell r="I28">
            <v>5120</v>
          </cell>
          <cell r="J28">
            <v>10240</v>
          </cell>
          <cell r="K28">
            <v>-4428</v>
          </cell>
          <cell r="M28">
            <v>1088</v>
          </cell>
          <cell r="N28">
            <v>0</v>
          </cell>
          <cell r="O28">
            <v>1088</v>
          </cell>
          <cell r="P28">
            <v>0</v>
          </cell>
          <cell r="Q28">
            <v>470</v>
          </cell>
          <cell r="R28">
            <v>0</v>
          </cell>
          <cell r="S28">
            <v>0</v>
          </cell>
          <cell r="T28">
            <v>470</v>
          </cell>
          <cell r="U28">
            <v>0</v>
          </cell>
          <cell r="W28">
            <v>1088</v>
          </cell>
          <cell r="X28">
            <v>0</v>
          </cell>
          <cell r="Y28">
            <v>1088</v>
          </cell>
          <cell r="Z28">
            <v>0</v>
          </cell>
          <cell r="AA28">
            <v>470</v>
          </cell>
          <cell r="AB28">
            <v>0</v>
          </cell>
          <cell r="AC28">
            <v>0</v>
          </cell>
          <cell r="AD28">
            <v>470</v>
          </cell>
          <cell r="AE28">
            <v>0</v>
          </cell>
          <cell r="AG28">
            <v>1121</v>
          </cell>
          <cell r="AH28">
            <v>0</v>
          </cell>
          <cell r="AI28">
            <v>1121</v>
          </cell>
          <cell r="AJ28">
            <v>0</v>
          </cell>
          <cell r="AK28">
            <v>470</v>
          </cell>
          <cell r="AL28">
            <v>0</v>
          </cell>
          <cell r="AM28">
            <v>0</v>
          </cell>
          <cell r="AN28">
            <v>470</v>
          </cell>
          <cell r="AO28">
            <v>0</v>
          </cell>
          <cell r="AQ28">
            <v>1121</v>
          </cell>
          <cell r="AR28">
            <v>0</v>
          </cell>
          <cell r="AS28">
            <v>1121</v>
          </cell>
          <cell r="AT28">
            <v>0</v>
          </cell>
          <cell r="AU28">
            <v>470</v>
          </cell>
          <cell r="AV28">
            <v>0</v>
          </cell>
          <cell r="AW28">
            <v>0</v>
          </cell>
          <cell r="AX28">
            <v>470</v>
          </cell>
          <cell r="AY28">
            <v>0</v>
          </cell>
          <cell r="BA28">
            <v>1121</v>
          </cell>
          <cell r="BB28">
            <v>0</v>
          </cell>
          <cell r="BC28">
            <v>1121</v>
          </cell>
          <cell r="BD28">
            <v>0</v>
          </cell>
          <cell r="BE28">
            <v>470</v>
          </cell>
          <cell r="BF28">
            <v>0</v>
          </cell>
          <cell r="BG28">
            <v>0</v>
          </cell>
          <cell r="BH28">
            <v>470</v>
          </cell>
          <cell r="BI28">
            <v>0</v>
          </cell>
          <cell r="BK28">
            <v>1173</v>
          </cell>
          <cell r="BL28">
            <v>0</v>
          </cell>
          <cell r="BM28">
            <v>1173</v>
          </cell>
          <cell r="BN28">
            <v>0</v>
          </cell>
          <cell r="BO28">
            <v>470</v>
          </cell>
          <cell r="BP28">
            <v>0</v>
          </cell>
          <cell r="BQ28">
            <v>0</v>
          </cell>
          <cell r="BR28">
            <v>470</v>
          </cell>
          <cell r="BS28">
            <v>0</v>
          </cell>
          <cell r="BU28">
            <v>1173</v>
          </cell>
          <cell r="BV28">
            <v>0</v>
          </cell>
          <cell r="BW28">
            <v>1173</v>
          </cell>
          <cell r="BX28">
            <v>0</v>
          </cell>
          <cell r="BY28">
            <v>470</v>
          </cell>
          <cell r="BZ28">
            <v>0</v>
          </cell>
          <cell r="CA28">
            <v>0</v>
          </cell>
          <cell r="CB28">
            <v>470</v>
          </cell>
          <cell r="CC28">
            <v>0</v>
          </cell>
          <cell r="CE28">
            <v>1173</v>
          </cell>
          <cell r="CF28">
            <v>0</v>
          </cell>
          <cell r="CG28">
            <v>1173</v>
          </cell>
          <cell r="CH28">
            <v>0</v>
          </cell>
          <cell r="CI28">
            <v>470</v>
          </cell>
          <cell r="CJ28">
            <v>0</v>
          </cell>
          <cell r="CK28">
            <v>0</v>
          </cell>
          <cell r="CL28">
            <v>470</v>
          </cell>
          <cell r="CM28">
            <v>0</v>
          </cell>
          <cell r="CO28">
            <v>1173</v>
          </cell>
          <cell r="CP28">
            <v>0</v>
          </cell>
          <cell r="CQ28">
            <v>1173</v>
          </cell>
          <cell r="CR28">
            <v>0</v>
          </cell>
          <cell r="CS28">
            <v>470</v>
          </cell>
          <cell r="CT28">
            <v>0</v>
          </cell>
          <cell r="CU28">
            <v>0</v>
          </cell>
          <cell r="CV28">
            <v>470</v>
          </cell>
          <cell r="CW28">
            <v>0</v>
          </cell>
          <cell r="CY28">
            <v>1173</v>
          </cell>
          <cell r="CZ28">
            <v>0</v>
          </cell>
          <cell r="DA28">
            <v>1173</v>
          </cell>
          <cell r="DB28">
            <v>0</v>
          </cell>
          <cell r="DC28">
            <v>470</v>
          </cell>
          <cell r="DD28">
            <v>0</v>
          </cell>
          <cell r="DE28">
            <v>0</v>
          </cell>
          <cell r="DF28">
            <v>470</v>
          </cell>
          <cell r="DG28">
            <v>0</v>
          </cell>
          <cell r="DI28">
            <v>10240</v>
          </cell>
          <cell r="DJ28">
            <v>11404</v>
          </cell>
          <cell r="DK28">
            <v>0</v>
          </cell>
          <cell r="DL28">
            <v>11404</v>
          </cell>
          <cell r="DM28">
            <v>11404</v>
          </cell>
          <cell r="DN28">
            <v>0</v>
          </cell>
          <cell r="DO28">
            <v>11404</v>
          </cell>
          <cell r="DP28">
            <v>4700</v>
          </cell>
          <cell r="DQ28">
            <v>0</v>
          </cell>
          <cell r="DR28">
            <v>0</v>
          </cell>
          <cell r="DS28">
            <v>4700</v>
          </cell>
          <cell r="DT28">
            <v>27508</v>
          </cell>
          <cell r="DU28">
            <v>0</v>
          </cell>
          <cell r="DW28">
            <v>0</v>
          </cell>
          <cell r="DX28">
            <v>0</v>
          </cell>
          <cell r="DY28">
            <v>12886</v>
          </cell>
          <cell r="DZ28">
            <v>15532</v>
          </cell>
          <cell r="EA28">
            <v>18244</v>
          </cell>
          <cell r="EB28">
            <v>20956</v>
          </cell>
          <cell r="EC28">
            <v>23668</v>
          </cell>
          <cell r="ED28">
            <v>26484</v>
          </cell>
          <cell r="EE28">
            <v>29300</v>
          </cell>
          <cell r="EF28">
            <v>32116</v>
          </cell>
          <cell r="EG28">
            <v>34932</v>
          </cell>
          <cell r="EH28">
            <v>37748</v>
          </cell>
          <cell r="EI28">
            <v>251866</v>
          </cell>
          <cell r="EK28">
            <v>0</v>
          </cell>
          <cell r="EL28">
            <v>0</v>
          </cell>
          <cell r="EM28">
            <v>85.90666666666668</v>
          </cell>
          <cell r="EN28">
            <v>103.54666666666667</v>
          </cell>
          <cell r="EO28">
            <v>121.62666666666667</v>
          </cell>
          <cell r="EP28">
            <v>139.70666666666668</v>
          </cell>
          <cell r="EQ28">
            <v>157.78666666666666</v>
          </cell>
          <cell r="ER28">
            <v>176.55999999999997</v>
          </cell>
          <cell r="ES28">
            <v>209.98333333333335</v>
          </cell>
          <cell r="ET28">
            <v>230.16466666666665</v>
          </cell>
          <cell r="EU28">
            <v>250.346</v>
          </cell>
          <cell r="EV28">
            <v>270.52733333333333</v>
          </cell>
          <cell r="EW28">
            <v>1746.1546666666668</v>
          </cell>
          <cell r="EY28">
            <v>117770</v>
          </cell>
          <cell r="EZ28">
            <v>8</v>
          </cell>
          <cell r="FA28">
            <v>785.13333333333333</v>
          </cell>
          <cell r="FB28">
            <v>134096</v>
          </cell>
          <cell r="FC28">
            <v>8.6</v>
          </cell>
          <cell r="FD28">
            <v>961.02133333333325</v>
          </cell>
          <cell r="FE28">
            <v>1746.1546666666666</v>
          </cell>
          <cell r="FF28">
            <v>39494</v>
          </cell>
          <cell r="FH28">
            <v>39494</v>
          </cell>
        </row>
        <row r="29">
          <cell r="B29">
            <v>9753</v>
          </cell>
          <cell r="C29" t="str">
            <v>14.02.2006</v>
          </cell>
          <cell r="D29" t="str">
            <v>Rokade Karan Anil</v>
          </cell>
          <cell r="F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Y29">
            <v>0</v>
          </cell>
          <cell r="EZ29">
            <v>8</v>
          </cell>
          <cell r="FA29">
            <v>0</v>
          </cell>
          <cell r="FB29">
            <v>0</v>
          </cell>
          <cell r="FC29">
            <v>8.6</v>
          </cell>
          <cell r="FD29">
            <v>0</v>
          </cell>
          <cell r="FE29">
            <v>0</v>
          </cell>
          <cell r="FF29">
            <v>0</v>
          </cell>
          <cell r="FH29">
            <v>0</v>
          </cell>
        </row>
        <row r="30">
          <cell r="B30">
            <v>9332</v>
          </cell>
          <cell r="C30" t="str">
            <v>23.02.2006</v>
          </cell>
          <cell r="D30" t="str">
            <v>Kale Lata Ravindra</v>
          </cell>
          <cell r="F30">
            <v>16727</v>
          </cell>
          <cell r="H30">
            <v>14520</v>
          </cell>
          <cell r="I30">
            <v>14520</v>
          </cell>
          <cell r="J30">
            <v>29040</v>
          </cell>
          <cell r="K30">
            <v>12313</v>
          </cell>
          <cell r="M30">
            <v>1088</v>
          </cell>
          <cell r="N30">
            <v>0</v>
          </cell>
          <cell r="O30">
            <v>1088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10100</v>
          </cell>
          <cell r="W30">
            <v>1088</v>
          </cell>
          <cell r="X30">
            <v>0</v>
          </cell>
          <cell r="Y30">
            <v>1088</v>
          </cell>
          <cell r="Z30">
            <v>0</v>
          </cell>
          <cell r="AA30">
            <v>505</v>
          </cell>
          <cell r="AB30">
            <v>0</v>
          </cell>
          <cell r="AC30">
            <v>0</v>
          </cell>
          <cell r="AD30">
            <v>505</v>
          </cell>
          <cell r="AE30">
            <v>0</v>
          </cell>
          <cell r="AG30">
            <v>1121</v>
          </cell>
          <cell r="AH30">
            <v>0</v>
          </cell>
          <cell r="AI30">
            <v>1121</v>
          </cell>
          <cell r="AJ30">
            <v>0</v>
          </cell>
          <cell r="AK30">
            <v>505</v>
          </cell>
          <cell r="AL30">
            <v>0</v>
          </cell>
          <cell r="AM30">
            <v>0</v>
          </cell>
          <cell r="AN30">
            <v>505</v>
          </cell>
          <cell r="AO30">
            <v>0</v>
          </cell>
          <cell r="AQ30">
            <v>1121</v>
          </cell>
          <cell r="AR30">
            <v>0</v>
          </cell>
          <cell r="AS30">
            <v>1121</v>
          </cell>
          <cell r="AT30">
            <v>0</v>
          </cell>
          <cell r="AU30">
            <v>505</v>
          </cell>
          <cell r="AV30">
            <v>0</v>
          </cell>
          <cell r="AW30">
            <v>0</v>
          </cell>
          <cell r="AX30">
            <v>505</v>
          </cell>
          <cell r="AY30">
            <v>0</v>
          </cell>
          <cell r="BA30">
            <v>1121</v>
          </cell>
          <cell r="BB30">
            <v>0</v>
          </cell>
          <cell r="BC30">
            <v>1121</v>
          </cell>
          <cell r="BD30">
            <v>0</v>
          </cell>
          <cell r="BE30">
            <v>505</v>
          </cell>
          <cell r="BF30">
            <v>0</v>
          </cell>
          <cell r="BG30">
            <v>0</v>
          </cell>
          <cell r="BH30">
            <v>505</v>
          </cell>
          <cell r="BI30">
            <v>0</v>
          </cell>
          <cell r="BK30">
            <v>1173</v>
          </cell>
          <cell r="BL30">
            <v>0</v>
          </cell>
          <cell r="BM30">
            <v>1173</v>
          </cell>
          <cell r="BN30">
            <v>0</v>
          </cell>
          <cell r="BO30">
            <v>505</v>
          </cell>
          <cell r="BP30">
            <v>0</v>
          </cell>
          <cell r="BQ30">
            <v>0</v>
          </cell>
          <cell r="BR30">
            <v>505</v>
          </cell>
          <cell r="BS30">
            <v>0</v>
          </cell>
          <cell r="BU30">
            <v>1173</v>
          </cell>
          <cell r="BV30">
            <v>0</v>
          </cell>
          <cell r="BW30">
            <v>1173</v>
          </cell>
          <cell r="BX30">
            <v>0</v>
          </cell>
          <cell r="BY30">
            <v>505</v>
          </cell>
          <cell r="BZ30">
            <v>0</v>
          </cell>
          <cell r="CA30">
            <v>0</v>
          </cell>
          <cell r="CB30">
            <v>505</v>
          </cell>
          <cell r="CC30">
            <v>0</v>
          </cell>
          <cell r="CE30">
            <v>1173</v>
          </cell>
          <cell r="CF30">
            <v>0</v>
          </cell>
          <cell r="CG30">
            <v>1173</v>
          </cell>
          <cell r="CH30">
            <v>0</v>
          </cell>
          <cell r="CI30">
            <v>505</v>
          </cell>
          <cell r="CJ30">
            <v>0</v>
          </cell>
          <cell r="CK30">
            <v>0</v>
          </cell>
          <cell r="CL30">
            <v>505</v>
          </cell>
          <cell r="CM30">
            <v>0</v>
          </cell>
          <cell r="CO30">
            <v>1173</v>
          </cell>
          <cell r="CP30">
            <v>0</v>
          </cell>
          <cell r="CQ30">
            <v>1173</v>
          </cell>
          <cell r="CR30">
            <v>0</v>
          </cell>
          <cell r="CS30">
            <v>505</v>
          </cell>
          <cell r="CT30">
            <v>0</v>
          </cell>
          <cell r="CU30">
            <v>0</v>
          </cell>
          <cell r="CV30">
            <v>505</v>
          </cell>
          <cell r="CW30">
            <v>0</v>
          </cell>
          <cell r="CY30">
            <v>1173</v>
          </cell>
          <cell r="CZ30">
            <v>0</v>
          </cell>
          <cell r="DA30">
            <v>1173</v>
          </cell>
          <cell r="DB30">
            <v>0</v>
          </cell>
          <cell r="DC30">
            <v>505</v>
          </cell>
          <cell r="DD30">
            <v>0</v>
          </cell>
          <cell r="DE30">
            <v>0</v>
          </cell>
          <cell r="DF30">
            <v>505</v>
          </cell>
          <cell r="DG30">
            <v>0</v>
          </cell>
          <cell r="DI30">
            <v>29040</v>
          </cell>
          <cell r="DJ30">
            <v>11404</v>
          </cell>
          <cell r="DK30">
            <v>0</v>
          </cell>
          <cell r="DL30">
            <v>11404</v>
          </cell>
          <cell r="DM30">
            <v>11404</v>
          </cell>
          <cell r="DN30">
            <v>0</v>
          </cell>
          <cell r="DO30">
            <v>11404</v>
          </cell>
          <cell r="DP30">
            <v>4545</v>
          </cell>
          <cell r="DQ30">
            <v>0</v>
          </cell>
          <cell r="DR30">
            <v>0</v>
          </cell>
          <cell r="DS30">
            <v>4545</v>
          </cell>
          <cell r="DT30">
            <v>27353</v>
          </cell>
          <cell r="DU30">
            <v>10100</v>
          </cell>
          <cell r="DW30">
            <v>0</v>
          </cell>
          <cell r="DX30">
            <v>0</v>
          </cell>
          <cell r="DY30">
            <v>21116</v>
          </cell>
          <cell r="DZ30">
            <v>23797</v>
          </cell>
          <cell r="EA30">
            <v>26544</v>
          </cell>
          <cell r="EB30">
            <v>29291</v>
          </cell>
          <cell r="EC30">
            <v>32038</v>
          </cell>
          <cell r="ED30">
            <v>34889</v>
          </cell>
          <cell r="EE30">
            <v>37740</v>
          </cell>
          <cell r="EF30">
            <v>40591</v>
          </cell>
          <cell r="EG30">
            <v>43442</v>
          </cell>
          <cell r="EH30">
            <v>46293</v>
          </cell>
          <cell r="EI30">
            <v>335741</v>
          </cell>
          <cell r="EK30">
            <v>0</v>
          </cell>
          <cell r="EL30">
            <v>0</v>
          </cell>
          <cell r="EM30">
            <v>140.77333333333334</v>
          </cell>
          <cell r="EN30">
            <v>158.64666666666668</v>
          </cell>
          <cell r="EO30">
            <v>176.96</v>
          </cell>
          <cell r="EP30">
            <v>195.27333333333334</v>
          </cell>
          <cell r="EQ30">
            <v>213.58666666666667</v>
          </cell>
          <cell r="ER30">
            <v>232.59333333333333</v>
          </cell>
          <cell r="ES30">
            <v>270.46999999999997</v>
          </cell>
          <cell r="ET30">
            <v>290.90216666666663</v>
          </cell>
          <cell r="EU30">
            <v>311.33433333333335</v>
          </cell>
          <cell r="EV30">
            <v>331.76650000000001</v>
          </cell>
          <cell r="EW30">
            <v>2322.3063333333334</v>
          </cell>
          <cell r="EY30">
            <v>167675</v>
          </cell>
          <cell r="EZ30">
            <v>8</v>
          </cell>
          <cell r="FA30">
            <v>1117.8333333333333</v>
          </cell>
          <cell r="FB30">
            <v>168066</v>
          </cell>
          <cell r="FC30">
            <v>8.6</v>
          </cell>
          <cell r="FD30">
            <v>1204.473</v>
          </cell>
          <cell r="FE30">
            <v>2322.306333333333</v>
          </cell>
          <cell r="FF30">
            <v>48615</v>
          </cell>
          <cell r="FH30">
            <v>48615</v>
          </cell>
        </row>
        <row r="31">
          <cell r="B31">
            <v>9342</v>
          </cell>
          <cell r="C31" t="str">
            <v>24.02.2006</v>
          </cell>
          <cell r="D31" t="str">
            <v>Gaikwad Ganesh Chandrakant</v>
          </cell>
          <cell r="F31">
            <v>14462</v>
          </cell>
          <cell r="G31">
            <v>35281</v>
          </cell>
          <cell r="H31">
            <v>5120</v>
          </cell>
          <cell r="I31">
            <v>5120</v>
          </cell>
          <cell r="J31">
            <v>10240</v>
          </cell>
          <cell r="K31">
            <v>-4222</v>
          </cell>
          <cell r="M31">
            <v>1088</v>
          </cell>
          <cell r="N31">
            <v>0</v>
          </cell>
          <cell r="O31">
            <v>1088</v>
          </cell>
          <cell r="P31">
            <v>0</v>
          </cell>
          <cell r="Q31">
            <v>470</v>
          </cell>
          <cell r="R31">
            <v>0</v>
          </cell>
          <cell r="S31">
            <v>0</v>
          </cell>
          <cell r="T31">
            <v>470</v>
          </cell>
          <cell r="U31">
            <v>0</v>
          </cell>
          <cell r="W31">
            <v>1088</v>
          </cell>
          <cell r="X31">
            <v>0</v>
          </cell>
          <cell r="Y31">
            <v>1088</v>
          </cell>
          <cell r="Z31">
            <v>0</v>
          </cell>
          <cell r="AA31">
            <v>470</v>
          </cell>
          <cell r="AB31">
            <v>0</v>
          </cell>
          <cell r="AC31">
            <v>0</v>
          </cell>
          <cell r="AD31">
            <v>470</v>
          </cell>
          <cell r="AE31">
            <v>0</v>
          </cell>
          <cell r="AG31">
            <v>1121</v>
          </cell>
          <cell r="AH31">
            <v>0</v>
          </cell>
          <cell r="AI31">
            <v>1121</v>
          </cell>
          <cell r="AJ31">
            <v>0</v>
          </cell>
          <cell r="AK31">
            <v>470</v>
          </cell>
          <cell r="AL31">
            <v>0</v>
          </cell>
          <cell r="AM31">
            <v>0</v>
          </cell>
          <cell r="AN31">
            <v>470</v>
          </cell>
          <cell r="AO31">
            <v>0</v>
          </cell>
          <cell r="AQ31">
            <v>1121</v>
          </cell>
          <cell r="AR31">
            <v>0</v>
          </cell>
          <cell r="AS31">
            <v>1121</v>
          </cell>
          <cell r="AT31">
            <v>0</v>
          </cell>
          <cell r="AU31">
            <v>470</v>
          </cell>
          <cell r="AV31">
            <v>0</v>
          </cell>
          <cell r="AW31">
            <v>0</v>
          </cell>
          <cell r="AX31">
            <v>470</v>
          </cell>
          <cell r="AY31">
            <v>0</v>
          </cell>
          <cell r="BA31">
            <v>1121</v>
          </cell>
          <cell r="BB31">
            <v>0</v>
          </cell>
          <cell r="BC31">
            <v>1121</v>
          </cell>
          <cell r="BD31">
            <v>0</v>
          </cell>
          <cell r="BE31">
            <v>470</v>
          </cell>
          <cell r="BF31">
            <v>0</v>
          </cell>
          <cell r="BG31">
            <v>0</v>
          </cell>
          <cell r="BH31">
            <v>470</v>
          </cell>
          <cell r="BI31">
            <v>0</v>
          </cell>
          <cell r="BK31">
            <v>1173</v>
          </cell>
          <cell r="BL31">
            <v>0</v>
          </cell>
          <cell r="BM31">
            <v>1173</v>
          </cell>
          <cell r="BN31">
            <v>0</v>
          </cell>
          <cell r="BO31">
            <v>470</v>
          </cell>
          <cell r="BP31">
            <v>0</v>
          </cell>
          <cell r="BQ31">
            <v>0</v>
          </cell>
          <cell r="BR31">
            <v>470</v>
          </cell>
          <cell r="BS31">
            <v>0</v>
          </cell>
          <cell r="BU31">
            <v>1173</v>
          </cell>
          <cell r="BV31">
            <v>0</v>
          </cell>
          <cell r="BW31">
            <v>1173</v>
          </cell>
          <cell r="BX31">
            <v>0</v>
          </cell>
          <cell r="BY31">
            <v>470</v>
          </cell>
          <cell r="BZ31">
            <v>0</v>
          </cell>
          <cell r="CA31">
            <v>0</v>
          </cell>
          <cell r="CB31">
            <v>470</v>
          </cell>
          <cell r="CC31">
            <v>0</v>
          </cell>
          <cell r="CE31">
            <v>1173</v>
          </cell>
          <cell r="CF31">
            <v>0</v>
          </cell>
          <cell r="CG31">
            <v>1173</v>
          </cell>
          <cell r="CH31">
            <v>0</v>
          </cell>
          <cell r="CI31">
            <v>470</v>
          </cell>
          <cell r="CJ31">
            <v>0</v>
          </cell>
          <cell r="CK31">
            <v>0</v>
          </cell>
          <cell r="CL31">
            <v>470</v>
          </cell>
          <cell r="CM31">
            <v>0</v>
          </cell>
          <cell r="CO31">
            <v>1173</v>
          </cell>
          <cell r="CP31">
            <v>0</v>
          </cell>
          <cell r="CQ31">
            <v>1173</v>
          </cell>
          <cell r="CR31">
            <v>0</v>
          </cell>
          <cell r="CS31">
            <v>470</v>
          </cell>
          <cell r="CT31">
            <v>0</v>
          </cell>
          <cell r="CU31">
            <v>0</v>
          </cell>
          <cell r="CV31">
            <v>470</v>
          </cell>
          <cell r="CW31">
            <v>0</v>
          </cell>
          <cell r="CY31">
            <v>1173</v>
          </cell>
          <cell r="CZ31">
            <v>0</v>
          </cell>
          <cell r="DA31">
            <v>1173</v>
          </cell>
          <cell r="DB31">
            <v>0</v>
          </cell>
          <cell r="DC31">
            <v>470</v>
          </cell>
          <cell r="DD31">
            <v>0</v>
          </cell>
          <cell r="DE31">
            <v>0</v>
          </cell>
          <cell r="DF31">
            <v>470</v>
          </cell>
          <cell r="DG31">
            <v>0</v>
          </cell>
          <cell r="DI31">
            <v>10240</v>
          </cell>
          <cell r="DJ31">
            <v>11404</v>
          </cell>
          <cell r="DK31">
            <v>0</v>
          </cell>
          <cell r="DL31">
            <v>11404</v>
          </cell>
          <cell r="DM31">
            <v>11404</v>
          </cell>
          <cell r="DN31">
            <v>0</v>
          </cell>
          <cell r="DO31">
            <v>11404</v>
          </cell>
          <cell r="DP31">
            <v>4700</v>
          </cell>
          <cell r="DQ31">
            <v>0</v>
          </cell>
          <cell r="DR31">
            <v>0</v>
          </cell>
          <cell r="DS31">
            <v>4700</v>
          </cell>
          <cell r="DT31">
            <v>27508</v>
          </cell>
          <cell r="DU31">
            <v>0</v>
          </cell>
          <cell r="DW31">
            <v>0</v>
          </cell>
          <cell r="DX31">
            <v>0</v>
          </cell>
          <cell r="DY31">
            <v>12886</v>
          </cell>
          <cell r="DZ31">
            <v>15532</v>
          </cell>
          <cell r="EA31">
            <v>18244</v>
          </cell>
          <cell r="EB31">
            <v>20956</v>
          </cell>
          <cell r="EC31">
            <v>23668</v>
          </cell>
          <cell r="ED31">
            <v>26484</v>
          </cell>
          <cell r="EE31">
            <v>29300</v>
          </cell>
          <cell r="EF31">
            <v>32116</v>
          </cell>
          <cell r="EG31">
            <v>34932</v>
          </cell>
          <cell r="EH31">
            <v>37748</v>
          </cell>
          <cell r="EI31">
            <v>251866</v>
          </cell>
          <cell r="EK31">
            <v>0</v>
          </cell>
          <cell r="EL31">
            <v>0</v>
          </cell>
          <cell r="EM31">
            <v>85.90666666666668</v>
          </cell>
          <cell r="EN31">
            <v>103.54666666666667</v>
          </cell>
          <cell r="EO31">
            <v>121.62666666666667</v>
          </cell>
          <cell r="EP31">
            <v>139.70666666666668</v>
          </cell>
          <cell r="EQ31">
            <v>157.78666666666666</v>
          </cell>
          <cell r="ER31">
            <v>176.55999999999997</v>
          </cell>
          <cell r="ES31">
            <v>209.98333333333335</v>
          </cell>
          <cell r="ET31">
            <v>230.16466666666665</v>
          </cell>
          <cell r="EU31">
            <v>250.346</v>
          </cell>
          <cell r="EV31">
            <v>270.52733333333333</v>
          </cell>
          <cell r="EW31">
            <v>1746.1546666666668</v>
          </cell>
          <cell r="EY31">
            <v>117770</v>
          </cell>
          <cell r="EZ31">
            <v>8</v>
          </cell>
          <cell r="FA31">
            <v>785.13333333333333</v>
          </cell>
          <cell r="FB31">
            <v>134096</v>
          </cell>
          <cell r="FC31">
            <v>8.6</v>
          </cell>
          <cell r="FD31">
            <v>961.02133333333325</v>
          </cell>
          <cell r="FE31">
            <v>1746.1546666666666</v>
          </cell>
          <cell r="FF31">
            <v>39494</v>
          </cell>
          <cell r="FH31">
            <v>39494</v>
          </cell>
        </row>
        <row r="32">
          <cell r="B32">
            <v>9283</v>
          </cell>
          <cell r="C32" t="str">
            <v>26.02.2006</v>
          </cell>
          <cell r="D32" t="str">
            <v>Jadhav Anil Nana</v>
          </cell>
          <cell r="F32">
            <v>20742</v>
          </cell>
          <cell r="H32">
            <v>7634</v>
          </cell>
          <cell r="I32">
            <v>7634</v>
          </cell>
          <cell r="J32">
            <v>15268</v>
          </cell>
          <cell r="K32">
            <v>-5474</v>
          </cell>
          <cell r="M32">
            <v>1088</v>
          </cell>
          <cell r="N32">
            <v>0</v>
          </cell>
          <cell r="O32">
            <v>1088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W32">
            <v>1088</v>
          </cell>
          <cell r="X32">
            <v>0</v>
          </cell>
          <cell r="Y32">
            <v>1088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G32">
            <v>1121</v>
          </cell>
          <cell r="AH32">
            <v>0</v>
          </cell>
          <cell r="AI32">
            <v>1121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Q32">
            <v>1121</v>
          </cell>
          <cell r="AR32">
            <v>0</v>
          </cell>
          <cell r="AS32">
            <v>1121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BA32">
            <v>1121</v>
          </cell>
          <cell r="BB32">
            <v>0</v>
          </cell>
          <cell r="BC32">
            <v>1121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K32">
            <v>1173</v>
          </cell>
          <cell r="BL32">
            <v>0</v>
          </cell>
          <cell r="BM32">
            <v>1173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U32">
            <v>1173</v>
          </cell>
          <cell r="BV32">
            <v>0</v>
          </cell>
          <cell r="BW32">
            <v>1173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E32">
            <v>1173</v>
          </cell>
          <cell r="CF32">
            <v>0</v>
          </cell>
          <cell r="CG32">
            <v>1173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O32">
            <v>1173</v>
          </cell>
          <cell r="CP32">
            <v>0</v>
          </cell>
          <cell r="CQ32">
            <v>1173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Y32">
            <v>1173</v>
          </cell>
          <cell r="CZ32">
            <v>0</v>
          </cell>
          <cell r="DA32">
            <v>1173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I32">
            <v>15268</v>
          </cell>
          <cell r="DJ32">
            <v>11404</v>
          </cell>
          <cell r="DK32">
            <v>0</v>
          </cell>
          <cell r="DL32">
            <v>11404</v>
          </cell>
          <cell r="DM32">
            <v>11404</v>
          </cell>
          <cell r="DN32">
            <v>0</v>
          </cell>
          <cell r="DO32">
            <v>11404</v>
          </cell>
          <cell r="DP32">
            <v>0</v>
          </cell>
          <cell r="DQ32">
            <v>0</v>
          </cell>
          <cell r="DR32">
            <v>0</v>
          </cell>
          <cell r="DS32">
            <v>0</v>
          </cell>
          <cell r="DT32">
            <v>22808</v>
          </cell>
          <cell r="DU32">
            <v>0</v>
          </cell>
          <cell r="DW32">
            <v>0</v>
          </cell>
          <cell r="DX32">
            <v>0</v>
          </cell>
          <cell r="DY32">
            <v>17444</v>
          </cell>
          <cell r="DZ32">
            <v>19620</v>
          </cell>
          <cell r="EA32">
            <v>21862</v>
          </cell>
          <cell r="EB32">
            <v>24104</v>
          </cell>
          <cell r="EC32">
            <v>26346</v>
          </cell>
          <cell r="ED32">
            <v>28692</v>
          </cell>
          <cell r="EE32">
            <v>31038</v>
          </cell>
          <cell r="EF32">
            <v>33384</v>
          </cell>
          <cell r="EG32">
            <v>35730</v>
          </cell>
          <cell r="EH32">
            <v>38076</v>
          </cell>
          <cell r="EI32">
            <v>276296</v>
          </cell>
          <cell r="EK32">
            <v>0</v>
          </cell>
          <cell r="EL32">
            <v>0</v>
          </cell>
          <cell r="EM32">
            <v>116.29333333333334</v>
          </cell>
          <cell r="EN32">
            <v>130.79999999999998</v>
          </cell>
          <cell r="EO32">
            <v>145.74666666666667</v>
          </cell>
          <cell r="EP32">
            <v>160.69333333333333</v>
          </cell>
          <cell r="EQ32">
            <v>175.64</v>
          </cell>
          <cell r="ER32">
            <v>191.28</v>
          </cell>
          <cell r="ES32">
            <v>222.43899999999999</v>
          </cell>
          <cell r="ET32">
            <v>239.25199999999995</v>
          </cell>
          <cell r="EU32">
            <v>256.065</v>
          </cell>
          <cell r="EV32">
            <v>272.87799999999999</v>
          </cell>
          <cell r="EW32">
            <v>1911.0873333333332</v>
          </cell>
          <cell r="EY32">
            <v>138068</v>
          </cell>
          <cell r="EZ32">
            <v>8</v>
          </cell>
          <cell r="FA32">
            <v>920.45333333333338</v>
          </cell>
          <cell r="FB32">
            <v>138228</v>
          </cell>
          <cell r="FC32">
            <v>8.6</v>
          </cell>
          <cell r="FD32">
            <v>990.63400000000001</v>
          </cell>
          <cell r="FE32">
            <v>1911.0873333333334</v>
          </cell>
          <cell r="FF32">
            <v>39987</v>
          </cell>
          <cell r="FH32">
            <v>39987</v>
          </cell>
        </row>
        <row r="33">
          <cell r="B33">
            <v>9292</v>
          </cell>
          <cell r="C33" t="str">
            <v>27.02.2006</v>
          </cell>
          <cell r="D33" t="str">
            <v>Kadam Lina Subhash</v>
          </cell>
          <cell r="F33">
            <v>17463</v>
          </cell>
          <cell r="G33">
            <v>24363</v>
          </cell>
          <cell r="H33">
            <v>17520</v>
          </cell>
          <cell r="I33">
            <v>17520</v>
          </cell>
          <cell r="J33">
            <v>35040</v>
          </cell>
          <cell r="K33">
            <v>17577</v>
          </cell>
          <cell r="M33">
            <v>1088</v>
          </cell>
          <cell r="N33">
            <v>0</v>
          </cell>
          <cell r="O33">
            <v>1088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W33">
            <v>1088</v>
          </cell>
          <cell r="X33">
            <v>0</v>
          </cell>
          <cell r="Y33">
            <v>1088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G33">
            <v>1121</v>
          </cell>
          <cell r="AH33">
            <v>0</v>
          </cell>
          <cell r="AI33">
            <v>1121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Q33">
            <v>1121</v>
          </cell>
          <cell r="AR33">
            <v>0</v>
          </cell>
          <cell r="AS33">
            <v>1121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BA33">
            <v>1121</v>
          </cell>
          <cell r="BB33">
            <v>0</v>
          </cell>
          <cell r="BC33">
            <v>1121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K33">
            <v>1173</v>
          </cell>
          <cell r="BL33">
            <v>0</v>
          </cell>
          <cell r="BM33">
            <v>1173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U33">
            <v>1173</v>
          </cell>
          <cell r="BV33">
            <v>0</v>
          </cell>
          <cell r="BW33">
            <v>1173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E33">
            <v>1173</v>
          </cell>
          <cell r="CF33">
            <v>0</v>
          </cell>
          <cell r="CG33">
            <v>1173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O33">
            <v>1173</v>
          </cell>
          <cell r="CP33">
            <v>0</v>
          </cell>
          <cell r="CQ33">
            <v>1173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Y33">
            <v>1173</v>
          </cell>
          <cell r="CZ33">
            <v>0</v>
          </cell>
          <cell r="DA33">
            <v>1173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I33">
            <v>35040</v>
          </cell>
          <cell r="DJ33">
            <v>11404</v>
          </cell>
          <cell r="DK33">
            <v>0</v>
          </cell>
          <cell r="DL33">
            <v>11404</v>
          </cell>
          <cell r="DM33">
            <v>11404</v>
          </cell>
          <cell r="DN33">
            <v>0</v>
          </cell>
          <cell r="DO33">
            <v>11404</v>
          </cell>
          <cell r="DP33">
            <v>0</v>
          </cell>
          <cell r="DQ33">
            <v>0</v>
          </cell>
          <cell r="DR33">
            <v>0</v>
          </cell>
          <cell r="DS33">
            <v>0</v>
          </cell>
          <cell r="DT33">
            <v>22808</v>
          </cell>
          <cell r="DU33">
            <v>0</v>
          </cell>
          <cell r="DW33">
            <v>0</v>
          </cell>
          <cell r="DX33">
            <v>0</v>
          </cell>
          <cell r="DY33">
            <v>37216</v>
          </cell>
          <cell r="DZ33">
            <v>39392</v>
          </cell>
          <cell r="EA33">
            <v>41634</v>
          </cell>
          <cell r="EB33">
            <v>43876</v>
          </cell>
          <cell r="EC33">
            <v>46118</v>
          </cell>
          <cell r="ED33">
            <v>48464</v>
          </cell>
          <cell r="EE33">
            <v>50810</v>
          </cell>
          <cell r="EF33">
            <v>53156</v>
          </cell>
          <cell r="EG33">
            <v>55502</v>
          </cell>
          <cell r="EH33">
            <v>57848</v>
          </cell>
          <cell r="EI33">
            <v>474016</v>
          </cell>
          <cell r="EK33">
            <v>0</v>
          </cell>
          <cell r="EL33">
            <v>0</v>
          </cell>
          <cell r="EM33">
            <v>248.10666666666668</v>
          </cell>
          <cell r="EN33">
            <v>262.61333333333334</v>
          </cell>
          <cell r="EO33">
            <v>277.56</v>
          </cell>
          <cell r="EP33">
            <v>292.50666666666666</v>
          </cell>
          <cell r="EQ33">
            <v>307.45333333333332</v>
          </cell>
          <cell r="ER33">
            <v>323.09333333333331</v>
          </cell>
          <cell r="ES33">
            <v>364.13833333333332</v>
          </cell>
          <cell r="ET33">
            <v>380.95133333333337</v>
          </cell>
          <cell r="EU33">
            <v>397.7643333333333</v>
          </cell>
          <cell r="EV33">
            <v>414.57733333333334</v>
          </cell>
          <cell r="EW33">
            <v>3268.7646666666665</v>
          </cell>
          <cell r="EY33">
            <v>256700</v>
          </cell>
          <cell r="EZ33">
            <v>8</v>
          </cell>
          <cell r="FA33">
            <v>1711.3333333333333</v>
          </cell>
          <cell r="FB33">
            <v>217316</v>
          </cell>
          <cell r="FC33">
            <v>8.6</v>
          </cell>
          <cell r="FD33">
            <v>1557.4313333333332</v>
          </cell>
          <cell r="FE33">
            <v>3268.7646666666665</v>
          </cell>
          <cell r="FF33">
            <v>61117</v>
          </cell>
          <cell r="FH33">
            <v>61117</v>
          </cell>
        </row>
        <row r="34">
          <cell r="B34">
            <v>9289</v>
          </cell>
          <cell r="C34" t="str">
            <v>28.02.2006</v>
          </cell>
          <cell r="D34" t="str">
            <v>Kale Sunny Dadasaheb</v>
          </cell>
          <cell r="F34">
            <v>20511</v>
          </cell>
          <cell r="G34">
            <v>34846</v>
          </cell>
          <cell r="H34">
            <v>7634</v>
          </cell>
          <cell r="I34">
            <v>7634</v>
          </cell>
          <cell r="J34">
            <v>15268</v>
          </cell>
          <cell r="K34">
            <v>-5243</v>
          </cell>
          <cell r="M34">
            <v>1088</v>
          </cell>
          <cell r="N34">
            <v>0</v>
          </cell>
          <cell r="O34">
            <v>1088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W34">
            <v>1088</v>
          </cell>
          <cell r="X34">
            <v>0</v>
          </cell>
          <cell r="Y34">
            <v>1088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G34">
            <v>1121</v>
          </cell>
          <cell r="AH34">
            <v>0</v>
          </cell>
          <cell r="AI34">
            <v>1121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Q34">
            <v>1121</v>
          </cell>
          <cell r="AR34">
            <v>0</v>
          </cell>
          <cell r="AS34">
            <v>1121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BA34">
            <v>1121</v>
          </cell>
          <cell r="BB34">
            <v>0</v>
          </cell>
          <cell r="BC34">
            <v>1121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K34">
            <v>1173</v>
          </cell>
          <cell r="BL34">
            <v>0</v>
          </cell>
          <cell r="BM34">
            <v>1173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U34">
            <v>1173</v>
          </cell>
          <cell r="BV34">
            <v>0</v>
          </cell>
          <cell r="BW34">
            <v>1173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E34">
            <v>1173</v>
          </cell>
          <cell r="CF34">
            <v>0</v>
          </cell>
          <cell r="CG34">
            <v>1173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O34">
            <v>1173</v>
          </cell>
          <cell r="CP34">
            <v>0</v>
          </cell>
          <cell r="CQ34">
            <v>1173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Y34">
            <v>1173</v>
          </cell>
          <cell r="CZ34">
            <v>0</v>
          </cell>
          <cell r="DA34">
            <v>1173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I34">
            <v>15268</v>
          </cell>
          <cell r="DJ34">
            <v>11404</v>
          </cell>
          <cell r="DK34">
            <v>0</v>
          </cell>
          <cell r="DL34">
            <v>11404</v>
          </cell>
          <cell r="DM34">
            <v>11404</v>
          </cell>
          <cell r="DN34">
            <v>0</v>
          </cell>
          <cell r="DO34">
            <v>11404</v>
          </cell>
          <cell r="DP34">
            <v>0</v>
          </cell>
          <cell r="DQ34">
            <v>0</v>
          </cell>
          <cell r="DR34">
            <v>0</v>
          </cell>
          <cell r="DS34">
            <v>0</v>
          </cell>
          <cell r="DT34">
            <v>22808</v>
          </cell>
          <cell r="DU34">
            <v>0</v>
          </cell>
          <cell r="DW34">
            <v>0</v>
          </cell>
          <cell r="DX34">
            <v>0</v>
          </cell>
          <cell r="DY34">
            <v>17444</v>
          </cell>
          <cell r="DZ34">
            <v>19620</v>
          </cell>
          <cell r="EA34">
            <v>21862</v>
          </cell>
          <cell r="EB34">
            <v>24104</v>
          </cell>
          <cell r="EC34">
            <v>26346</v>
          </cell>
          <cell r="ED34">
            <v>28692</v>
          </cell>
          <cell r="EE34">
            <v>31038</v>
          </cell>
          <cell r="EF34">
            <v>33384</v>
          </cell>
          <cell r="EG34">
            <v>35730</v>
          </cell>
          <cell r="EH34">
            <v>38076</v>
          </cell>
          <cell r="EI34">
            <v>276296</v>
          </cell>
          <cell r="EK34">
            <v>0</v>
          </cell>
          <cell r="EL34">
            <v>0</v>
          </cell>
          <cell r="EM34">
            <v>116.29333333333334</v>
          </cell>
          <cell r="EN34">
            <v>130.79999999999998</v>
          </cell>
          <cell r="EO34">
            <v>145.74666666666667</v>
          </cell>
          <cell r="EP34">
            <v>160.69333333333333</v>
          </cell>
          <cell r="EQ34">
            <v>175.64</v>
          </cell>
          <cell r="ER34">
            <v>191.28</v>
          </cell>
          <cell r="ES34">
            <v>222.43899999999999</v>
          </cell>
          <cell r="ET34">
            <v>239.25199999999995</v>
          </cell>
          <cell r="EU34">
            <v>256.065</v>
          </cell>
          <cell r="EV34">
            <v>272.87799999999999</v>
          </cell>
          <cell r="EW34">
            <v>1911.0873333333332</v>
          </cell>
          <cell r="EY34">
            <v>138068</v>
          </cell>
          <cell r="EZ34">
            <v>8</v>
          </cell>
          <cell r="FA34">
            <v>920.45333333333338</v>
          </cell>
          <cell r="FB34">
            <v>138228</v>
          </cell>
          <cell r="FC34">
            <v>8.6</v>
          </cell>
          <cell r="FD34">
            <v>990.63400000000001</v>
          </cell>
          <cell r="FE34">
            <v>1911.0873333333334</v>
          </cell>
          <cell r="FF34">
            <v>39987</v>
          </cell>
          <cell r="FH34">
            <v>39987</v>
          </cell>
        </row>
        <row r="35">
          <cell r="B35">
            <v>9348</v>
          </cell>
          <cell r="C35" t="str">
            <v>01.03.2006</v>
          </cell>
          <cell r="D35" t="str">
            <v>Pathan Imrankhan Salimkhan</v>
          </cell>
          <cell r="F35">
            <v>13720</v>
          </cell>
          <cell r="G35">
            <v>34205</v>
          </cell>
          <cell r="H35">
            <v>5892</v>
          </cell>
          <cell r="I35">
            <v>5892</v>
          </cell>
          <cell r="J35">
            <v>11784</v>
          </cell>
          <cell r="K35">
            <v>-1936</v>
          </cell>
          <cell r="M35">
            <v>1088</v>
          </cell>
          <cell r="N35">
            <v>0</v>
          </cell>
          <cell r="O35">
            <v>1088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W35">
            <v>1088</v>
          </cell>
          <cell r="X35">
            <v>0</v>
          </cell>
          <cell r="Y35">
            <v>1088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G35">
            <v>1121</v>
          </cell>
          <cell r="AH35">
            <v>0</v>
          </cell>
          <cell r="AI35">
            <v>1121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Q35">
            <v>1121</v>
          </cell>
          <cell r="AR35">
            <v>0</v>
          </cell>
          <cell r="AS35">
            <v>1121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BA35">
            <v>1121</v>
          </cell>
          <cell r="BB35">
            <v>0</v>
          </cell>
          <cell r="BC35">
            <v>1121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K35">
            <v>1173</v>
          </cell>
          <cell r="BL35">
            <v>0</v>
          </cell>
          <cell r="BM35">
            <v>1173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U35">
            <v>1173</v>
          </cell>
          <cell r="BV35">
            <v>0</v>
          </cell>
          <cell r="BW35">
            <v>1173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E35">
            <v>1173</v>
          </cell>
          <cell r="CF35">
            <v>0</v>
          </cell>
          <cell r="CG35">
            <v>1173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O35">
            <v>1173</v>
          </cell>
          <cell r="CP35">
            <v>0</v>
          </cell>
          <cell r="CQ35">
            <v>1173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Y35">
            <v>1173</v>
          </cell>
          <cell r="CZ35">
            <v>0</v>
          </cell>
          <cell r="DA35">
            <v>1173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I35">
            <v>11784</v>
          </cell>
          <cell r="DJ35">
            <v>11404</v>
          </cell>
          <cell r="DK35">
            <v>0</v>
          </cell>
          <cell r="DL35">
            <v>11404</v>
          </cell>
          <cell r="DM35">
            <v>11404</v>
          </cell>
          <cell r="DN35">
            <v>0</v>
          </cell>
          <cell r="DO35">
            <v>11404</v>
          </cell>
          <cell r="DP35">
            <v>0</v>
          </cell>
          <cell r="DQ35">
            <v>0</v>
          </cell>
          <cell r="DR35">
            <v>0</v>
          </cell>
          <cell r="DS35">
            <v>0</v>
          </cell>
          <cell r="DT35">
            <v>22808</v>
          </cell>
          <cell r="DU35">
            <v>0</v>
          </cell>
          <cell r="DW35">
            <v>0</v>
          </cell>
          <cell r="DX35">
            <v>0</v>
          </cell>
          <cell r="DY35">
            <v>13960</v>
          </cell>
          <cell r="DZ35">
            <v>16136</v>
          </cell>
          <cell r="EA35">
            <v>18378</v>
          </cell>
          <cell r="EB35">
            <v>20620</v>
          </cell>
          <cell r="EC35">
            <v>22862</v>
          </cell>
          <cell r="ED35">
            <v>25208</v>
          </cell>
          <cell r="EE35">
            <v>27554</v>
          </cell>
          <cell r="EF35">
            <v>29900</v>
          </cell>
          <cell r="EG35">
            <v>32246</v>
          </cell>
          <cell r="EH35">
            <v>34592</v>
          </cell>
          <cell r="EI35">
            <v>241456</v>
          </cell>
          <cell r="EK35">
            <v>0</v>
          </cell>
          <cell r="EL35">
            <v>0</v>
          </cell>
          <cell r="EM35">
            <v>93.066666666666663</v>
          </cell>
          <cell r="EN35">
            <v>107.57333333333334</v>
          </cell>
          <cell r="EO35">
            <v>122.52</v>
          </cell>
          <cell r="EP35">
            <v>137.46666666666667</v>
          </cell>
          <cell r="EQ35">
            <v>152.41333333333333</v>
          </cell>
          <cell r="ER35">
            <v>168.05333333333334</v>
          </cell>
          <cell r="ES35">
            <v>197.47033333333331</v>
          </cell>
          <cell r="ET35">
            <v>214.28333333333333</v>
          </cell>
          <cell r="EU35">
            <v>231.09633333333332</v>
          </cell>
          <cell r="EV35">
            <v>247.90933333333336</v>
          </cell>
          <cell r="EW35">
            <v>1671.8526666666667</v>
          </cell>
          <cell r="EY35">
            <v>117164</v>
          </cell>
          <cell r="EZ35">
            <v>8</v>
          </cell>
          <cell r="FA35">
            <v>781.09333333333336</v>
          </cell>
          <cell r="FB35">
            <v>124292</v>
          </cell>
          <cell r="FC35">
            <v>8.6</v>
          </cell>
          <cell r="FD35">
            <v>890.7593333333333</v>
          </cell>
          <cell r="FE35">
            <v>1671.8526666666667</v>
          </cell>
          <cell r="FF35">
            <v>36264</v>
          </cell>
          <cell r="FH35">
            <v>36264</v>
          </cell>
        </row>
        <row r="36">
          <cell r="B36">
            <v>9056</v>
          </cell>
          <cell r="C36" t="str">
            <v>03.03.2006</v>
          </cell>
          <cell r="D36" t="str">
            <v>Dhangar Dinesh Madhav</v>
          </cell>
          <cell r="F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Y36">
            <v>0</v>
          </cell>
          <cell r="EZ36">
            <v>8</v>
          </cell>
          <cell r="FA36">
            <v>0</v>
          </cell>
          <cell r="FB36">
            <v>0</v>
          </cell>
          <cell r="FC36">
            <v>8.6</v>
          </cell>
          <cell r="FD36">
            <v>0</v>
          </cell>
          <cell r="FE36">
            <v>0</v>
          </cell>
          <cell r="FF36">
            <v>0</v>
          </cell>
          <cell r="FH36">
            <v>0</v>
          </cell>
        </row>
        <row r="37">
          <cell r="B37">
            <v>9298</v>
          </cell>
          <cell r="C37" t="str">
            <v>27.03.2006</v>
          </cell>
          <cell r="D37" t="str">
            <v>Maru Vinod Madhav</v>
          </cell>
          <cell r="F37">
            <v>19241</v>
          </cell>
          <cell r="H37">
            <v>15520</v>
          </cell>
          <cell r="I37">
            <v>15520</v>
          </cell>
          <cell r="J37">
            <v>31040</v>
          </cell>
          <cell r="K37">
            <v>11799</v>
          </cell>
          <cell r="M37">
            <v>1088</v>
          </cell>
          <cell r="N37">
            <v>0</v>
          </cell>
          <cell r="O37">
            <v>1088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W37">
            <v>1088</v>
          </cell>
          <cell r="X37">
            <v>0</v>
          </cell>
          <cell r="Y37">
            <v>1088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G37">
            <v>1121</v>
          </cell>
          <cell r="AH37">
            <v>0</v>
          </cell>
          <cell r="AI37">
            <v>1121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Q37">
            <v>1121</v>
          </cell>
          <cell r="AR37">
            <v>0</v>
          </cell>
          <cell r="AS37">
            <v>1121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BA37">
            <v>1121</v>
          </cell>
          <cell r="BB37">
            <v>0</v>
          </cell>
          <cell r="BC37">
            <v>1121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K37">
            <v>1173</v>
          </cell>
          <cell r="BL37">
            <v>0</v>
          </cell>
          <cell r="BM37">
            <v>1173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U37">
            <v>1173</v>
          </cell>
          <cell r="BV37">
            <v>0</v>
          </cell>
          <cell r="BW37">
            <v>1173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E37">
            <v>1173</v>
          </cell>
          <cell r="CF37">
            <v>0</v>
          </cell>
          <cell r="CG37">
            <v>1173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O37">
            <v>1173</v>
          </cell>
          <cell r="CP37">
            <v>0</v>
          </cell>
          <cell r="CQ37">
            <v>1173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Y37">
            <v>1173</v>
          </cell>
          <cell r="CZ37">
            <v>0</v>
          </cell>
          <cell r="DA37">
            <v>1173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I37">
            <v>31040</v>
          </cell>
          <cell r="DJ37">
            <v>11404</v>
          </cell>
          <cell r="DK37">
            <v>0</v>
          </cell>
          <cell r="DL37">
            <v>11404</v>
          </cell>
          <cell r="DM37">
            <v>11404</v>
          </cell>
          <cell r="DN37">
            <v>0</v>
          </cell>
          <cell r="DO37">
            <v>11404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22808</v>
          </cell>
          <cell r="DU37">
            <v>0</v>
          </cell>
          <cell r="DW37">
            <v>0</v>
          </cell>
          <cell r="DX37">
            <v>0</v>
          </cell>
          <cell r="DY37">
            <v>33216</v>
          </cell>
          <cell r="DZ37">
            <v>35392</v>
          </cell>
          <cell r="EA37">
            <v>37634</v>
          </cell>
          <cell r="EB37">
            <v>39876</v>
          </cell>
          <cell r="EC37">
            <v>42118</v>
          </cell>
          <cell r="ED37">
            <v>44464</v>
          </cell>
          <cell r="EE37">
            <v>46810</v>
          </cell>
          <cell r="EF37">
            <v>49156</v>
          </cell>
          <cell r="EG37">
            <v>51502</v>
          </cell>
          <cell r="EH37">
            <v>53848</v>
          </cell>
          <cell r="EI37">
            <v>434016</v>
          </cell>
          <cell r="EK37">
            <v>0</v>
          </cell>
          <cell r="EL37">
            <v>0</v>
          </cell>
          <cell r="EM37">
            <v>221.44000000000003</v>
          </cell>
          <cell r="EN37">
            <v>235.94666666666669</v>
          </cell>
          <cell r="EO37">
            <v>250.89333333333332</v>
          </cell>
          <cell r="EP37">
            <v>265.83999999999997</v>
          </cell>
          <cell r="EQ37">
            <v>280.78666666666669</v>
          </cell>
          <cell r="ER37">
            <v>296.42666666666668</v>
          </cell>
          <cell r="ES37">
            <v>335.47166666666664</v>
          </cell>
          <cell r="ET37">
            <v>352.28466666666668</v>
          </cell>
          <cell r="EU37">
            <v>369.09766666666661</v>
          </cell>
          <cell r="EV37">
            <v>385.91066666666666</v>
          </cell>
          <cell r="EW37">
            <v>2994.098</v>
          </cell>
          <cell r="EY37">
            <v>232700</v>
          </cell>
          <cell r="EZ37">
            <v>8</v>
          </cell>
          <cell r="FA37">
            <v>1551.3333333333333</v>
          </cell>
          <cell r="FB37">
            <v>201316</v>
          </cell>
          <cell r="FC37">
            <v>8.6</v>
          </cell>
          <cell r="FD37">
            <v>1442.7646666666667</v>
          </cell>
          <cell r="FE37">
            <v>2994.098</v>
          </cell>
          <cell r="FF37">
            <v>56842</v>
          </cell>
          <cell r="FH37">
            <v>56842</v>
          </cell>
        </row>
        <row r="38">
          <cell r="B38">
            <v>9359</v>
          </cell>
          <cell r="C38" t="str">
            <v>29.04.2006</v>
          </cell>
          <cell r="D38" t="str">
            <v>Salve Aakash Fakira</v>
          </cell>
          <cell r="F38">
            <v>15524</v>
          </cell>
          <cell r="H38">
            <v>6540</v>
          </cell>
          <cell r="I38">
            <v>6540</v>
          </cell>
          <cell r="J38">
            <v>13080</v>
          </cell>
          <cell r="K38">
            <v>-2444</v>
          </cell>
          <cell r="M38">
            <v>1088</v>
          </cell>
          <cell r="N38">
            <v>0</v>
          </cell>
          <cell r="O38">
            <v>1088</v>
          </cell>
          <cell r="P38">
            <v>0</v>
          </cell>
          <cell r="Q38">
            <v>420</v>
          </cell>
          <cell r="R38">
            <v>0</v>
          </cell>
          <cell r="S38">
            <v>0</v>
          </cell>
          <cell r="T38">
            <v>420</v>
          </cell>
          <cell r="U38">
            <v>0</v>
          </cell>
          <cell r="W38">
            <v>1088</v>
          </cell>
          <cell r="X38">
            <v>0</v>
          </cell>
          <cell r="Y38">
            <v>1088</v>
          </cell>
          <cell r="Z38">
            <v>0</v>
          </cell>
          <cell r="AA38">
            <v>420</v>
          </cell>
          <cell r="AB38">
            <v>0</v>
          </cell>
          <cell r="AC38">
            <v>0</v>
          </cell>
          <cell r="AD38">
            <v>420</v>
          </cell>
          <cell r="AE38">
            <v>0</v>
          </cell>
          <cell r="AG38">
            <v>1121</v>
          </cell>
          <cell r="AH38">
            <v>0</v>
          </cell>
          <cell r="AI38">
            <v>1121</v>
          </cell>
          <cell r="AJ38">
            <v>0</v>
          </cell>
          <cell r="AK38">
            <v>420</v>
          </cell>
          <cell r="AL38">
            <v>0</v>
          </cell>
          <cell r="AM38">
            <v>0</v>
          </cell>
          <cell r="AN38">
            <v>420</v>
          </cell>
          <cell r="AO38">
            <v>7700</v>
          </cell>
          <cell r="AQ38">
            <v>1121</v>
          </cell>
          <cell r="AR38">
            <v>0</v>
          </cell>
          <cell r="AS38">
            <v>1121</v>
          </cell>
          <cell r="AT38">
            <v>0</v>
          </cell>
          <cell r="AU38">
            <v>700</v>
          </cell>
          <cell r="AV38">
            <v>0</v>
          </cell>
          <cell r="AW38">
            <v>0</v>
          </cell>
          <cell r="AX38">
            <v>700</v>
          </cell>
          <cell r="AY38">
            <v>0</v>
          </cell>
          <cell r="BA38">
            <v>1121</v>
          </cell>
          <cell r="BB38">
            <v>0</v>
          </cell>
          <cell r="BC38">
            <v>1121</v>
          </cell>
          <cell r="BD38">
            <v>0</v>
          </cell>
          <cell r="BE38">
            <v>700</v>
          </cell>
          <cell r="BF38">
            <v>0</v>
          </cell>
          <cell r="BG38">
            <v>0</v>
          </cell>
          <cell r="BH38">
            <v>700</v>
          </cell>
          <cell r="BI38">
            <v>0</v>
          </cell>
          <cell r="BK38">
            <v>1173</v>
          </cell>
          <cell r="BL38">
            <v>0</v>
          </cell>
          <cell r="BM38">
            <v>1173</v>
          </cell>
          <cell r="BN38">
            <v>0</v>
          </cell>
          <cell r="BO38">
            <v>700</v>
          </cell>
          <cell r="BP38">
            <v>0</v>
          </cell>
          <cell r="BQ38">
            <v>0</v>
          </cell>
          <cell r="BR38">
            <v>700</v>
          </cell>
          <cell r="BS38">
            <v>0</v>
          </cell>
          <cell r="BU38">
            <v>1173</v>
          </cell>
          <cell r="BV38">
            <v>0</v>
          </cell>
          <cell r="BW38">
            <v>1173</v>
          </cell>
          <cell r="BX38">
            <v>0</v>
          </cell>
          <cell r="BY38">
            <v>700</v>
          </cell>
          <cell r="BZ38">
            <v>0</v>
          </cell>
          <cell r="CA38">
            <v>0</v>
          </cell>
          <cell r="CB38">
            <v>700</v>
          </cell>
          <cell r="CC38">
            <v>0</v>
          </cell>
          <cell r="CE38">
            <v>1173</v>
          </cell>
          <cell r="CF38">
            <v>0</v>
          </cell>
          <cell r="CG38">
            <v>1173</v>
          </cell>
          <cell r="CH38">
            <v>0</v>
          </cell>
          <cell r="CI38">
            <v>700</v>
          </cell>
          <cell r="CJ38">
            <v>0</v>
          </cell>
          <cell r="CK38">
            <v>0</v>
          </cell>
          <cell r="CL38">
            <v>700</v>
          </cell>
          <cell r="CM38">
            <v>0</v>
          </cell>
          <cell r="CO38">
            <v>1173</v>
          </cell>
          <cell r="CP38">
            <v>0</v>
          </cell>
          <cell r="CQ38">
            <v>1173</v>
          </cell>
          <cell r="CR38">
            <v>0</v>
          </cell>
          <cell r="CS38">
            <v>700</v>
          </cell>
          <cell r="CT38">
            <v>0</v>
          </cell>
          <cell r="CU38">
            <v>0</v>
          </cell>
          <cell r="CV38">
            <v>700</v>
          </cell>
          <cell r="CW38">
            <v>0</v>
          </cell>
          <cell r="CY38">
            <v>1173</v>
          </cell>
          <cell r="CZ38">
            <v>0</v>
          </cell>
          <cell r="DA38">
            <v>1173</v>
          </cell>
          <cell r="DB38">
            <v>0</v>
          </cell>
          <cell r="DC38">
            <v>700</v>
          </cell>
          <cell r="DD38">
            <v>0</v>
          </cell>
          <cell r="DE38">
            <v>0</v>
          </cell>
          <cell r="DF38">
            <v>700</v>
          </cell>
          <cell r="DG38">
            <v>0</v>
          </cell>
          <cell r="DI38">
            <v>13080</v>
          </cell>
          <cell r="DJ38">
            <v>11404</v>
          </cell>
          <cell r="DK38">
            <v>0</v>
          </cell>
          <cell r="DL38">
            <v>11404</v>
          </cell>
          <cell r="DM38">
            <v>11404</v>
          </cell>
          <cell r="DN38">
            <v>0</v>
          </cell>
          <cell r="DO38">
            <v>11404</v>
          </cell>
          <cell r="DP38">
            <v>6160</v>
          </cell>
          <cell r="DQ38">
            <v>0</v>
          </cell>
          <cell r="DR38">
            <v>0</v>
          </cell>
          <cell r="DS38">
            <v>6160</v>
          </cell>
          <cell r="DT38">
            <v>28968</v>
          </cell>
          <cell r="DU38">
            <v>7700</v>
          </cell>
          <cell r="DW38">
            <v>0</v>
          </cell>
          <cell r="DX38">
            <v>0</v>
          </cell>
          <cell r="DY38">
            <v>15676</v>
          </cell>
          <cell r="DZ38">
            <v>18272</v>
          </cell>
          <cell r="EA38">
            <v>13234</v>
          </cell>
          <cell r="EB38">
            <v>16176</v>
          </cell>
          <cell r="EC38">
            <v>19118</v>
          </cell>
          <cell r="ED38">
            <v>22164</v>
          </cell>
          <cell r="EE38">
            <v>25210</v>
          </cell>
          <cell r="EF38">
            <v>28256</v>
          </cell>
          <cell r="EG38">
            <v>31302</v>
          </cell>
          <cell r="EH38">
            <v>34348</v>
          </cell>
          <cell r="EI38">
            <v>223756</v>
          </cell>
          <cell r="EK38">
            <v>0</v>
          </cell>
          <cell r="EL38">
            <v>0</v>
          </cell>
          <cell r="EM38">
            <v>104.50666666666666</v>
          </cell>
          <cell r="EN38">
            <v>121.81333333333333</v>
          </cell>
          <cell r="EO38">
            <v>88.226666666666674</v>
          </cell>
          <cell r="EP38">
            <v>107.83999999999999</v>
          </cell>
          <cell r="EQ38">
            <v>127.45333333333333</v>
          </cell>
          <cell r="ER38">
            <v>147.76</v>
          </cell>
          <cell r="ES38">
            <v>180.67166666666665</v>
          </cell>
          <cell r="ET38">
            <v>202.50133333333329</v>
          </cell>
          <cell r="EU38">
            <v>224.33100000000002</v>
          </cell>
          <cell r="EV38">
            <v>246.16066666666666</v>
          </cell>
          <cell r="EW38">
            <v>1551.2646666666665</v>
          </cell>
          <cell r="EY38">
            <v>104640</v>
          </cell>
          <cell r="EZ38">
            <v>8</v>
          </cell>
          <cell r="FA38">
            <v>697.6</v>
          </cell>
          <cell r="FB38">
            <v>119116</v>
          </cell>
          <cell r="FC38">
            <v>8.6</v>
          </cell>
          <cell r="FD38">
            <v>853.66466666666668</v>
          </cell>
          <cell r="FE38">
            <v>1551.2646666666667</v>
          </cell>
          <cell r="FF38">
            <v>35899</v>
          </cell>
          <cell r="FH38">
            <v>35899</v>
          </cell>
        </row>
        <row r="39">
          <cell r="B39">
            <v>9233</v>
          </cell>
          <cell r="C39" t="str">
            <v>01.06.2006</v>
          </cell>
          <cell r="D39" t="str">
            <v>Mundhare Bhagwan Fakirchand</v>
          </cell>
          <cell r="F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G39">
            <v>0</v>
          </cell>
          <cell r="DI39">
            <v>0</v>
          </cell>
          <cell r="DJ39">
            <v>0</v>
          </cell>
          <cell r="DK39">
            <v>0</v>
          </cell>
          <cell r="DL39">
            <v>0</v>
          </cell>
          <cell r="DM39">
            <v>0</v>
          </cell>
          <cell r="DN39">
            <v>0</v>
          </cell>
          <cell r="DO39">
            <v>0</v>
          </cell>
          <cell r="DP39">
            <v>0</v>
          </cell>
          <cell r="DQ39">
            <v>0</v>
          </cell>
          <cell r="DR39">
            <v>0</v>
          </cell>
          <cell r="DS39">
            <v>0</v>
          </cell>
          <cell r="DT39">
            <v>0</v>
          </cell>
          <cell r="DU39">
            <v>0</v>
          </cell>
          <cell r="DW39">
            <v>0</v>
          </cell>
          <cell r="DX39">
            <v>0</v>
          </cell>
          <cell r="DY39">
            <v>0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  <cell r="EQ39">
            <v>0</v>
          </cell>
          <cell r="ER39">
            <v>0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  <cell r="EY39">
            <v>0</v>
          </cell>
          <cell r="EZ39">
            <v>8</v>
          </cell>
          <cell r="FA39">
            <v>0</v>
          </cell>
          <cell r="FB39">
            <v>0</v>
          </cell>
          <cell r="FC39">
            <v>8.6</v>
          </cell>
          <cell r="FD39">
            <v>0</v>
          </cell>
          <cell r="FE39">
            <v>0</v>
          </cell>
          <cell r="FF39">
            <v>0</v>
          </cell>
          <cell r="FH39">
            <v>0</v>
          </cell>
        </row>
        <row r="40">
          <cell r="B40">
            <v>9373</v>
          </cell>
          <cell r="C40" t="str">
            <v>01.06.2006</v>
          </cell>
          <cell r="D40" t="str">
            <v>Pawar Rajendra Waghu</v>
          </cell>
          <cell r="F40">
            <v>13721</v>
          </cell>
          <cell r="G40">
            <v>31810</v>
          </cell>
          <cell r="H40">
            <v>6534</v>
          </cell>
          <cell r="I40">
            <v>6534</v>
          </cell>
          <cell r="J40">
            <v>13068</v>
          </cell>
          <cell r="K40">
            <v>-653</v>
          </cell>
          <cell r="M40">
            <v>1088</v>
          </cell>
          <cell r="N40">
            <v>0</v>
          </cell>
          <cell r="O40">
            <v>1088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W40">
            <v>1088</v>
          </cell>
          <cell r="X40">
            <v>0</v>
          </cell>
          <cell r="Y40">
            <v>1088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G40">
            <v>1121</v>
          </cell>
          <cell r="AH40">
            <v>0</v>
          </cell>
          <cell r="AI40">
            <v>1121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Q40">
            <v>1121</v>
          </cell>
          <cell r="AR40">
            <v>0</v>
          </cell>
          <cell r="AS40">
            <v>1121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BA40">
            <v>1121</v>
          </cell>
          <cell r="BB40">
            <v>0</v>
          </cell>
          <cell r="BC40">
            <v>1121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K40">
            <v>1173</v>
          </cell>
          <cell r="BL40">
            <v>0</v>
          </cell>
          <cell r="BM40">
            <v>1173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U40">
            <v>1173</v>
          </cell>
          <cell r="BV40">
            <v>0</v>
          </cell>
          <cell r="BW40">
            <v>1173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E40">
            <v>1173</v>
          </cell>
          <cell r="CF40">
            <v>0</v>
          </cell>
          <cell r="CG40">
            <v>1173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O40">
            <v>1173</v>
          </cell>
          <cell r="CP40">
            <v>0</v>
          </cell>
          <cell r="CQ40">
            <v>1173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Y40">
            <v>1173</v>
          </cell>
          <cell r="CZ40">
            <v>0</v>
          </cell>
          <cell r="DA40">
            <v>1173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I40">
            <v>13068</v>
          </cell>
          <cell r="DJ40">
            <v>11404</v>
          </cell>
          <cell r="DK40">
            <v>0</v>
          </cell>
          <cell r="DL40">
            <v>11404</v>
          </cell>
          <cell r="DM40">
            <v>11404</v>
          </cell>
          <cell r="DN40">
            <v>0</v>
          </cell>
          <cell r="DO40">
            <v>11404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22808</v>
          </cell>
          <cell r="DU40">
            <v>0</v>
          </cell>
          <cell r="DW40">
            <v>0</v>
          </cell>
          <cell r="DX40">
            <v>0</v>
          </cell>
          <cell r="DY40">
            <v>15244</v>
          </cell>
          <cell r="DZ40">
            <v>17420</v>
          </cell>
          <cell r="EA40">
            <v>19662</v>
          </cell>
          <cell r="EB40">
            <v>21904</v>
          </cell>
          <cell r="EC40">
            <v>24146</v>
          </cell>
          <cell r="ED40">
            <v>26492</v>
          </cell>
          <cell r="EE40">
            <v>28838</v>
          </cell>
          <cell r="EF40">
            <v>31184</v>
          </cell>
          <cell r="EG40">
            <v>33530</v>
          </cell>
          <cell r="EH40">
            <v>35876</v>
          </cell>
          <cell r="EI40">
            <v>254296</v>
          </cell>
          <cell r="EK40">
            <v>0</v>
          </cell>
          <cell r="EL40">
            <v>0</v>
          </cell>
          <cell r="EM40">
            <v>101.62666666666667</v>
          </cell>
          <cell r="EN40">
            <v>116.13333333333333</v>
          </cell>
          <cell r="EO40">
            <v>131.08000000000001</v>
          </cell>
          <cell r="EP40">
            <v>146.02666666666667</v>
          </cell>
          <cell r="EQ40">
            <v>160.97333333333333</v>
          </cell>
          <cell r="ER40">
            <v>176.61333333333334</v>
          </cell>
          <cell r="ES40">
            <v>206.67233333333331</v>
          </cell>
          <cell r="ET40">
            <v>223.4853333333333</v>
          </cell>
          <cell r="EU40">
            <v>240.29833333333332</v>
          </cell>
          <cell r="EV40">
            <v>257.11133333333333</v>
          </cell>
          <cell r="EW40">
            <v>1760.0206666666668</v>
          </cell>
          <cell r="EY40">
            <v>124868</v>
          </cell>
          <cell r="EZ40">
            <v>8</v>
          </cell>
          <cell r="FA40">
            <v>832.45333333333338</v>
          </cell>
          <cell r="FB40">
            <v>129428</v>
          </cell>
          <cell r="FC40">
            <v>8.6</v>
          </cell>
          <cell r="FD40">
            <v>927.56733333333341</v>
          </cell>
          <cell r="FE40">
            <v>1760.0206666666668</v>
          </cell>
          <cell r="FF40">
            <v>37636</v>
          </cell>
          <cell r="FH40">
            <v>37636</v>
          </cell>
        </row>
        <row r="41">
          <cell r="B41">
            <v>9299</v>
          </cell>
          <cell r="C41" t="str">
            <v>02.06.2006</v>
          </cell>
          <cell r="D41" t="str">
            <v>Jejurkar Vilas Shankar</v>
          </cell>
          <cell r="F41">
            <v>19241</v>
          </cell>
          <cell r="G41">
            <v>31646</v>
          </cell>
          <cell r="H41">
            <v>10634</v>
          </cell>
          <cell r="I41">
            <v>10634</v>
          </cell>
          <cell r="J41">
            <v>21268</v>
          </cell>
          <cell r="K41">
            <v>2027</v>
          </cell>
          <cell r="M41">
            <v>1088</v>
          </cell>
          <cell r="N41">
            <v>0</v>
          </cell>
          <cell r="O41">
            <v>1088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W41">
            <v>1088</v>
          </cell>
          <cell r="X41">
            <v>0</v>
          </cell>
          <cell r="Y41">
            <v>1088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G41">
            <v>1121</v>
          </cell>
          <cell r="AH41">
            <v>0</v>
          </cell>
          <cell r="AI41">
            <v>1121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Q41">
            <v>1121</v>
          </cell>
          <cell r="AR41">
            <v>0</v>
          </cell>
          <cell r="AS41">
            <v>1121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BA41">
            <v>1121</v>
          </cell>
          <cell r="BB41">
            <v>0</v>
          </cell>
          <cell r="BC41">
            <v>1121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K41">
            <v>1173</v>
          </cell>
          <cell r="BL41">
            <v>0</v>
          </cell>
          <cell r="BM41">
            <v>1173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U41">
            <v>1173</v>
          </cell>
          <cell r="BV41">
            <v>0</v>
          </cell>
          <cell r="BW41">
            <v>1173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E41">
            <v>1173</v>
          </cell>
          <cell r="CF41">
            <v>0</v>
          </cell>
          <cell r="CG41">
            <v>1173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O41">
            <v>1173</v>
          </cell>
          <cell r="CP41">
            <v>0</v>
          </cell>
          <cell r="CQ41">
            <v>1173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Y41">
            <v>1173</v>
          </cell>
          <cell r="CZ41">
            <v>0</v>
          </cell>
          <cell r="DA41">
            <v>1173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I41">
            <v>21268</v>
          </cell>
          <cell r="DJ41">
            <v>11404</v>
          </cell>
          <cell r="DK41">
            <v>0</v>
          </cell>
          <cell r="DL41">
            <v>11404</v>
          </cell>
          <cell r="DM41">
            <v>11404</v>
          </cell>
          <cell r="DN41">
            <v>0</v>
          </cell>
          <cell r="DO41">
            <v>11404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22808</v>
          </cell>
          <cell r="DU41">
            <v>0</v>
          </cell>
          <cell r="DW41">
            <v>0</v>
          </cell>
          <cell r="DX41">
            <v>0</v>
          </cell>
          <cell r="DY41">
            <v>23444</v>
          </cell>
          <cell r="DZ41">
            <v>25620</v>
          </cell>
          <cell r="EA41">
            <v>27862</v>
          </cell>
          <cell r="EB41">
            <v>30104</v>
          </cell>
          <cell r="EC41">
            <v>32346</v>
          </cell>
          <cell r="ED41">
            <v>34692</v>
          </cell>
          <cell r="EE41">
            <v>37038</v>
          </cell>
          <cell r="EF41">
            <v>39384</v>
          </cell>
          <cell r="EG41">
            <v>41730</v>
          </cell>
          <cell r="EH41">
            <v>44076</v>
          </cell>
          <cell r="EI41">
            <v>336296</v>
          </cell>
          <cell r="EK41">
            <v>0</v>
          </cell>
          <cell r="EL41">
            <v>0</v>
          </cell>
          <cell r="EM41">
            <v>156.29333333333332</v>
          </cell>
          <cell r="EN41">
            <v>170.79999999999998</v>
          </cell>
          <cell r="EO41">
            <v>185.74666666666667</v>
          </cell>
          <cell r="EP41">
            <v>200.69333333333336</v>
          </cell>
          <cell r="EQ41">
            <v>215.64</v>
          </cell>
          <cell r="ER41">
            <v>231.28</v>
          </cell>
          <cell r="ES41">
            <v>265.43900000000002</v>
          </cell>
          <cell r="ET41">
            <v>282.25199999999995</v>
          </cell>
          <cell r="EU41">
            <v>299.065</v>
          </cell>
          <cell r="EV41">
            <v>315.87799999999999</v>
          </cell>
          <cell r="EW41">
            <v>2323.0873333333334</v>
          </cell>
          <cell r="EY41">
            <v>174068</v>
          </cell>
          <cell r="EZ41">
            <v>8</v>
          </cell>
          <cell r="FA41">
            <v>1160.4533333333334</v>
          </cell>
          <cell r="FB41">
            <v>162228</v>
          </cell>
          <cell r="FC41">
            <v>8.6</v>
          </cell>
          <cell r="FD41">
            <v>1162.634</v>
          </cell>
          <cell r="FE41">
            <v>2323.0873333333334</v>
          </cell>
          <cell r="FF41">
            <v>46399</v>
          </cell>
          <cell r="FH41">
            <v>46399</v>
          </cell>
        </row>
        <row r="42">
          <cell r="B42">
            <v>9334</v>
          </cell>
          <cell r="C42" t="str">
            <v>09.06.2006</v>
          </cell>
          <cell r="D42" t="str">
            <v>More Vasant Kacharu</v>
          </cell>
          <cell r="F42">
            <v>16829</v>
          </cell>
          <cell r="H42">
            <v>14520</v>
          </cell>
          <cell r="I42">
            <v>14520</v>
          </cell>
          <cell r="J42">
            <v>29040</v>
          </cell>
          <cell r="K42">
            <v>12211</v>
          </cell>
          <cell r="M42">
            <v>1088</v>
          </cell>
          <cell r="N42">
            <v>0</v>
          </cell>
          <cell r="O42">
            <v>1088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W42">
            <v>1088</v>
          </cell>
          <cell r="X42">
            <v>0</v>
          </cell>
          <cell r="Y42">
            <v>1088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G42">
            <v>1121</v>
          </cell>
          <cell r="AH42">
            <v>0</v>
          </cell>
          <cell r="AI42">
            <v>1121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Q42">
            <v>1121</v>
          </cell>
          <cell r="AR42">
            <v>0</v>
          </cell>
          <cell r="AS42">
            <v>1121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BA42">
            <v>1121</v>
          </cell>
          <cell r="BB42">
            <v>0</v>
          </cell>
          <cell r="BC42">
            <v>1121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U42">
            <v>1173</v>
          </cell>
          <cell r="BV42">
            <v>0</v>
          </cell>
          <cell r="BW42">
            <v>1173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E42">
            <v>1173</v>
          </cell>
          <cell r="CF42">
            <v>0</v>
          </cell>
          <cell r="CG42">
            <v>1173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O42">
            <v>1173</v>
          </cell>
          <cell r="CP42">
            <v>0</v>
          </cell>
          <cell r="CQ42">
            <v>1173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Y42">
            <v>1173</v>
          </cell>
          <cell r="CZ42">
            <v>0</v>
          </cell>
          <cell r="DA42">
            <v>1173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I42">
            <v>29040</v>
          </cell>
          <cell r="DJ42">
            <v>10231</v>
          </cell>
          <cell r="DK42">
            <v>0</v>
          </cell>
          <cell r="DL42">
            <v>10231</v>
          </cell>
          <cell r="DM42">
            <v>10231</v>
          </cell>
          <cell r="DN42">
            <v>0</v>
          </cell>
          <cell r="DO42">
            <v>10231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20462</v>
          </cell>
          <cell r="DU42">
            <v>0</v>
          </cell>
          <cell r="DW42">
            <v>0</v>
          </cell>
          <cell r="DX42">
            <v>0</v>
          </cell>
          <cell r="DY42">
            <v>31216</v>
          </cell>
          <cell r="DZ42">
            <v>33392</v>
          </cell>
          <cell r="EA42">
            <v>35634</v>
          </cell>
          <cell r="EB42">
            <v>37876</v>
          </cell>
          <cell r="EC42">
            <v>40118</v>
          </cell>
          <cell r="ED42">
            <v>40118</v>
          </cell>
          <cell r="EE42">
            <v>42464</v>
          </cell>
          <cell r="EF42">
            <v>44810</v>
          </cell>
          <cell r="EG42">
            <v>47156</v>
          </cell>
          <cell r="EH42">
            <v>49502</v>
          </cell>
          <cell r="EI42">
            <v>402286</v>
          </cell>
          <cell r="EK42">
            <v>0</v>
          </cell>
          <cell r="EL42">
            <v>0</v>
          </cell>
          <cell r="EM42">
            <v>208.10666666666668</v>
          </cell>
          <cell r="EN42">
            <v>222.61333333333334</v>
          </cell>
          <cell r="EO42">
            <v>237.55999999999997</v>
          </cell>
          <cell r="EP42">
            <v>252.50666666666666</v>
          </cell>
          <cell r="EQ42">
            <v>267.45333333333332</v>
          </cell>
          <cell r="ER42">
            <v>267.45333333333332</v>
          </cell>
          <cell r="ES42">
            <v>304.32533333333328</v>
          </cell>
          <cell r="ET42">
            <v>321.13833333333332</v>
          </cell>
          <cell r="EU42">
            <v>337.95133333333331</v>
          </cell>
          <cell r="EV42">
            <v>354.7643333333333</v>
          </cell>
          <cell r="EW42">
            <v>2773.8726666666671</v>
          </cell>
          <cell r="EY42">
            <v>218354</v>
          </cell>
          <cell r="EZ42">
            <v>8</v>
          </cell>
          <cell r="FA42">
            <v>1455.6933333333334</v>
          </cell>
          <cell r="FB42">
            <v>183932</v>
          </cell>
          <cell r="FC42">
            <v>8.6</v>
          </cell>
          <cell r="FD42">
            <v>1318.1793333333333</v>
          </cell>
          <cell r="FE42">
            <v>2773.8726666666666</v>
          </cell>
          <cell r="FF42">
            <v>52276</v>
          </cell>
          <cell r="FH42">
            <v>52276</v>
          </cell>
        </row>
        <row r="43">
          <cell r="B43">
            <v>9330</v>
          </cell>
          <cell r="C43" t="str">
            <v>13.06.2006</v>
          </cell>
          <cell r="D43" t="str">
            <v>Jadhav Devidas Chandrakant</v>
          </cell>
          <cell r="F43">
            <v>18605</v>
          </cell>
          <cell r="G43">
            <v>32185</v>
          </cell>
          <cell r="H43">
            <v>6540</v>
          </cell>
          <cell r="I43">
            <v>6540</v>
          </cell>
          <cell r="J43">
            <v>13080</v>
          </cell>
          <cell r="K43">
            <v>-5525</v>
          </cell>
          <cell r="M43">
            <v>1088</v>
          </cell>
          <cell r="N43">
            <v>0</v>
          </cell>
          <cell r="O43">
            <v>1088</v>
          </cell>
          <cell r="P43">
            <v>0</v>
          </cell>
          <cell r="Q43">
            <v>420</v>
          </cell>
          <cell r="R43">
            <v>0</v>
          </cell>
          <cell r="S43">
            <v>0</v>
          </cell>
          <cell r="T43">
            <v>420</v>
          </cell>
          <cell r="U43">
            <v>0</v>
          </cell>
          <cell r="W43">
            <v>1088</v>
          </cell>
          <cell r="X43">
            <v>0</v>
          </cell>
          <cell r="Y43">
            <v>1088</v>
          </cell>
          <cell r="Z43">
            <v>0</v>
          </cell>
          <cell r="AA43">
            <v>420</v>
          </cell>
          <cell r="AB43">
            <v>0</v>
          </cell>
          <cell r="AC43">
            <v>0</v>
          </cell>
          <cell r="AD43">
            <v>420</v>
          </cell>
          <cell r="AE43">
            <v>0</v>
          </cell>
          <cell r="AG43">
            <v>1121</v>
          </cell>
          <cell r="AH43">
            <v>0</v>
          </cell>
          <cell r="AI43">
            <v>1121</v>
          </cell>
          <cell r="AJ43">
            <v>0</v>
          </cell>
          <cell r="AK43">
            <v>420</v>
          </cell>
          <cell r="AL43">
            <v>0</v>
          </cell>
          <cell r="AM43">
            <v>0</v>
          </cell>
          <cell r="AN43">
            <v>420</v>
          </cell>
          <cell r="AO43">
            <v>6600</v>
          </cell>
          <cell r="AQ43">
            <v>1121</v>
          </cell>
          <cell r="AR43">
            <v>0</v>
          </cell>
          <cell r="AS43">
            <v>1121</v>
          </cell>
          <cell r="AT43">
            <v>0</v>
          </cell>
          <cell r="AU43">
            <v>645</v>
          </cell>
          <cell r="AV43">
            <v>0</v>
          </cell>
          <cell r="AW43">
            <v>0</v>
          </cell>
          <cell r="AX43">
            <v>645</v>
          </cell>
          <cell r="AY43">
            <v>0</v>
          </cell>
          <cell r="BA43">
            <v>1121</v>
          </cell>
          <cell r="BB43">
            <v>0</v>
          </cell>
          <cell r="BC43">
            <v>1121</v>
          </cell>
          <cell r="BD43">
            <v>0</v>
          </cell>
          <cell r="BE43">
            <v>645</v>
          </cell>
          <cell r="BF43">
            <v>0</v>
          </cell>
          <cell r="BG43">
            <v>0</v>
          </cell>
          <cell r="BH43">
            <v>645</v>
          </cell>
          <cell r="BI43">
            <v>0</v>
          </cell>
          <cell r="BK43">
            <v>1173</v>
          </cell>
          <cell r="BL43">
            <v>0</v>
          </cell>
          <cell r="BM43">
            <v>1173</v>
          </cell>
          <cell r="BN43">
            <v>0</v>
          </cell>
          <cell r="BO43">
            <v>645</v>
          </cell>
          <cell r="BP43">
            <v>0</v>
          </cell>
          <cell r="BQ43">
            <v>0</v>
          </cell>
          <cell r="BR43">
            <v>645</v>
          </cell>
          <cell r="BS43">
            <v>0</v>
          </cell>
          <cell r="BU43">
            <v>1173</v>
          </cell>
          <cell r="BV43">
            <v>0</v>
          </cell>
          <cell r="BW43">
            <v>1173</v>
          </cell>
          <cell r="BX43">
            <v>0</v>
          </cell>
          <cell r="BY43">
            <v>645</v>
          </cell>
          <cell r="BZ43">
            <v>0</v>
          </cell>
          <cell r="CA43">
            <v>0</v>
          </cell>
          <cell r="CB43">
            <v>645</v>
          </cell>
          <cell r="CC43">
            <v>0</v>
          </cell>
          <cell r="CE43">
            <v>1173</v>
          </cell>
          <cell r="CF43">
            <v>0</v>
          </cell>
          <cell r="CG43">
            <v>1173</v>
          </cell>
          <cell r="CH43">
            <v>0</v>
          </cell>
          <cell r="CI43">
            <v>645</v>
          </cell>
          <cell r="CJ43">
            <v>0</v>
          </cell>
          <cell r="CK43">
            <v>0</v>
          </cell>
          <cell r="CL43">
            <v>645</v>
          </cell>
          <cell r="CM43">
            <v>0</v>
          </cell>
          <cell r="CO43">
            <v>1173</v>
          </cell>
          <cell r="CP43">
            <v>0</v>
          </cell>
          <cell r="CQ43">
            <v>1173</v>
          </cell>
          <cell r="CR43">
            <v>0</v>
          </cell>
          <cell r="CS43">
            <v>645</v>
          </cell>
          <cell r="CT43">
            <v>0</v>
          </cell>
          <cell r="CU43">
            <v>0</v>
          </cell>
          <cell r="CV43">
            <v>645</v>
          </cell>
          <cell r="CW43">
            <v>0</v>
          </cell>
          <cell r="CY43">
            <v>1173</v>
          </cell>
          <cell r="CZ43">
            <v>0</v>
          </cell>
          <cell r="DA43">
            <v>1173</v>
          </cell>
          <cell r="DB43">
            <v>0</v>
          </cell>
          <cell r="DC43">
            <v>645</v>
          </cell>
          <cell r="DD43">
            <v>0</v>
          </cell>
          <cell r="DE43">
            <v>0</v>
          </cell>
          <cell r="DF43">
            <v>645</v>
          </cell>
          <cell r="DG43">
            <v>0</v>
          </cell>
          <cell r="DI43">
            <v>13080</v>
          </cell>
          <cell r="DJ43">
            <v>11404</v>
          </cell>
          <cell r="DK43">
            <v>0</v>
          </cell>
          <cell r="DL43">
            <v>11404</v>
          </cell>
          <cell r="DM43">
            <v>11404</v>
          </cell>
          <cell r="DN43">
            <v>0</v>
          </cell>
          <cell r="DO43">
            <v>11404</v>
          </cell>
          <cell r="DP43">
            <v>5775</v>
          </cell>
          <cell r="DQ43">
            <v>0</v>
          </cell>
          <cell r="DR43">
            <v>0</v>
          </cell>
          <cell r="DS43">
            <v>5775</v>
          </cell>
          <cell r="DT43">
            <v>28583</v>
          </cell>
          <cell r="DU43">
            <v>6600</v>
          </cell>
          <cell r="DW43">
            <v>0</v>
          </cell>
          <cell r="DX43">
            <v>0</v>
          </cell>
          <cell r="DY43">
            <v>15676</v>
          </cell>
          <cell r="DZ43">
            <v>18272</v>
          </cell>
          <cell r="EA43">
            <v>14334</v>
          </cell>
          <cell r="EB43">
            <v>17221</v>
          </cell>
          <cell r="EC43">
            <v>20108</v>
          </cell>
          <cell r="ED43">
            <v>23099</v>
          </cell>
          <cell r="EE43">
            <v>26090</v>
          </cell>
          <cell r="EF43">
            <v>29081</v>
          </cell>
          <cell r="EG43">
            <v>32072</v>
          </cell>
          <cell r="EH43">
            <v>35063</v>
          </cell>
          <cell r="EI43">
            <v>231016</v>
          </cell>
          <cell r="EK43">
            <v>0</v>
          </cell>
          <cell r="EL43">
            <v>0</v>
          </cell>
          <cell r="EM43">
            <v>104.50666666666666</v>
          </cell>
          <cell r="EN43">
            <v>121.81333333333333</v>
          </cell>
          <cell r="EO43">
            <v>95.56</v>
          </cell>
          <cell r="EP43">
            <v>114.80666666666667</v>
          </cell>
          <cell r="EQ43">
            <v>134.05333333333334</v>
          </cell>
          <cell r="ER43">
            <v>153.99333333333334</v>
          </cell>
          <cell r="ES43">
            <v>186.97833333333332</v>
          </cell>
          <cell r="ET43">
            <v>208.41383333333332</v>
          </cell>
          <cell r="EU43">
            <v>229.84933333333333</v>
          </cell>
          <cell r="EV43">
            <v>251.2848333333333</v>
          </cell>
          <cell r="EW43">
            <v>1601.2596666666668</v>
          </cell>
          <cell r="EY43">
            <v>108710</v>
          </cell>
          <cell r="EZ43">
            <v>8</v>
          </cell>
          <cell r="FA43">
            <v>724.73333333333323</v>
          </cell>
          <cell r="FB43">
            <v>122306</v>
          </cell>
          <cell r="FC43">
            <v>8.6</v>
          </cell>
          <cell r="FD43">
            <v>876.52633333333324</v>
          </cell>
          <cell r="FE43">
            <v>1601.2596666666664</v>
          </cell>
          <cell r="FF43">
            <v>36664</v>
          </cell>
          <cell r="FH43">
            <v>36664</v>
          </cell>
        </row>
        <row r="44">
          <cell r="B44">
            <v>9391</v>
          </cell>
          <cell r="C44" t="str">
            <v>19.06.2006</v>
          </cell>
          <cell r="D44" t="str">
            <v>Bhojane Sandeep Ratan</v>
          </cell>
          <cell r="F44">
            <v>11062</v>
          </cell>
          <cell r="G44">
            <v>31696</v>
          </cell>
          <cell r="H44">
            <v>6234</v>
          </cell>
          <cell r="I44">
            <v>6234</v>
          </cell>
          <cell r="J44">
            <v>12468</v>
          </cell>
          <cell r="K44">
            <v>1406</v>
          </cell>
          <cell r="M44">
            <v>1088</v>
          </cell>
          <cell r="N44">
            <v>0</v>
          </cell>
          <cell r="O44">
            <v>1088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W44">
            <v>1088</v>
          </cell>
          <cell r="X44">
            <v>0</v>
          </cell>
          <cell r="Y44">
            <v>1088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G44">
            <v>1121</v>
          </cell>
          <cell r="AH44">
            <v>0</v>
          </cell>
          <cell r="AI44">
            <v>1121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Q44">
            <v>1121</v>
          </cell>
          <cell r="AR44">
            <v>0</v>
          </cell>
          <cell r="AS44">
            <v>1121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BA44">
            <v>1121</v>
          </cell>
          <cell r="BB44">
            <v>0</v>
          </cell>
          <cell r="BC44">
            <v>1121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K44">
            <v>1173</v>
          </cell>
          <cell r="BL44">
            <v>0</v>
          </cell>
          <cell r="BM44">
            <v>1173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U44">
            <v>1173</v>
          </cell>
          <cell r="BV44">
            <v>0</v>
          </cell>
          <cell r="BW44">
            <v>1173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E44">
            <v>1173</v>
          </cell>
          <cell r="CF44">
            <v>0</v>
          </cell>
          <cell r="CG44">
            <v>1173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O44">
            <v>1173</v>
          </cell>
          <cell r="CP44">
            <v>0</v>
          </cell>
          <cell r="CQ44">
            <v>1173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Y44">
            <v>1173</v>
          </cell>
          <cell r="CZ44">
            <v>0</v>
          </cell>
          <cell r="DA44">
            <v>1173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I44">
            <v>12468</v>
          </cell>
          <cell r="DJ44">
            <v>11404</v>
          </cell>
          <cell r="DK44">
            <v>0</v>
          </cell>
          <cell r="DL44">
            <v>11404</v>
          </cell>
          <cell r="DM44">
            <v>11404</v>
          </cell>
          <cell r="DN44">
            <v>0</v>
          </cell>
          <cell r="DO44">
            <v>11404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22808</v>
          </cell>
          <cell r="DU44">
            <v>0</v>
          </cell>
          <cell r="DW44">
            <v>0</v>
          </cell>
          <cell r="DX44">
            <v>0</v>
          </cell>
          <cell r="DY44">
            <v>14644</v>
          </cell>
          <cell r="DZ44">
            <v>16820</v>
          </cell>
          <cell r="EA44">
            <v>19062</v>
          </cell>
          <cell r="EB44">
            <v>21304</v>
          </cell>
          <cell r="EC44">
            <v>23546</v>
          </cell>
          <cell r="ED44">
            <v>25892</v>
          </cell>
          <cell r="EE44">
            <v>28238</v>
          </cell>
          <cell r="EF44">
            <v>30584</v>
          </cell>
          <cell r="EG44">
            <v>32930</v>
          </cell>
          <cell r="EH44">
            <v>35276</v>
          </cell>
          <cell r="EI44">
            <v>248296</v>
          </cell>
          <cell r="EK44">
            <v>0</v>
          </cell>
          <cell r="EL44">
            <v>0</v>
          </cell>
          <cell r="EM44">
            <v>97.626666666666665</v>
          </cell>
          <cell r="EN44">
            <v>112.13333333333333</v>
          </cell>
          <cell r="EO44">
            <v>127.08</v>
          </cell>
          <cell r="EP44">
            <v>142.02666666666667</v>
          </cell>
          <cell r="EQ44">
            <v>156.97333333333333</v>
          </cell>
          <cell r="ER44">
            <v>172.61333333333334</v>
          </cell>
          <cell r="ES44">
            <v>202.37233333333333</v>
          </cell>
          <cell r="ET44">
            <v>219.18533333333332</v>
          </cell>
          <cell r="EU44">
            <v>235.99833333333333</v>
          </cell>
          <cell r="EV44">
            <v>252.81133333333332</v>
          </cell>
          <cell r="EW44">
            <v>1718.8206666666667</v>
          </cell>
          <cell r="EY44">
            <v>121268</v>
          </cell>
          <cell r="EZ44">
            <v>8</v>
          </cell>
          <cell r="FA44">
            <v>808.45333333333338</v>
          </cell>
          <cell r="FB44">
            <v>127028</v>
          </cell>
          <cell r="FC44">
            <v>8.6</v>
          </cell>
          <cell r="FD44">
            <v>910.36733333333348</v>
          </cell>
          <cell r="FE44">
            <v>1718.820666666667</v>
          </cell>
          <cell r="FF44">
            <v>36995</v>
          </cell>
          <cell r="FH44">
            <v>36995</v>
          </cell>
        </row>
        <row r="45">
          <cell r="B45">
            <v>9618</v>
          </cell>
          <cell r="C45" t="str">
            <v>19.06.2006</v>
          </cell>
          <cell r="D45" t="str">
            <v>Adhav Prashant Ramesh</v>
          </cell>
          <cell r="F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U45">
            <v>1106</v>
          </cell>
          <cell r="BV45">
            <v>0</v>
          </cell>
          <cell r="BW45">
            <v>1106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E45">
            <v>1106</v>
          </cell>
          <cell r="CF45">
            <v>0</v>
          </cell>
          <cell r="CG45">
            <v>1106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O45">
            <v>1106</v>
          </cell>
          <cell r="CP45">
            <v>0</v>
          </cell>
          <cell r="CQ45">
            <v>1106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Y45">
            <v>1106</v>
          </cell>
          <cell r="CZ45">
            <v>0</v>
          </cell>
          <cell r="DA45">
            <v>1106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I45">
            <v>0</v>
          </cell>
          <cell r="DJ45">
            <v>4424</v>
          </cell>
          <cell r="DK45">
            <v>0</v>
          </cell>
          <cell r="DL45">
            <v>4424</v>
          </cell>
          <cell r="DM45">
            <v>4424</v>
          </cell>
          <cell r="DN45">
            <v>0</v>
          </cell>
          <cell r="DO45">
            <v>4424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8848</v>
          </cell>
          <cell r="DU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2212</v>
          </cell>
          <cell r="EF45">
            <v>4424</v>
          </cell>
          <cell r="EG45">
            <v>6636</v>
          </cell>
          <cell r="EH45">
            <v>8848</v>
          </cell>
          <cell r="EI45">
            <v>22120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15.852666666666666</v>
          </cell>
          <cell r="ET45">
            <v>31.705333333333332</v>
          </cell>
          <cell r="EU45">
            <v>47.558</v>
          </cell>
          <cell r="EV45">
            <v>63.410666666666664</v>
          </cell>
          <cell r="EW45">
            <v>158.52666666666667</v>
          </cell>
          <cell r="EY45">
            <v>0</v>
          </cell>
          <cell r="EZ45">
            <v>8</v>
          </cell>
          <cell r="FA45">
            <v>0</v>
          </cell>
          <cell r="FB45">
            <v>22120</v>
          </cell>
          <cell r="FC45">
            <v>8.6</v>
          </cell>
          <cell r="FD45">
            <v>158.52666666666667</v>
          </cell>
          <cell r="FE45">
            <v>158.52666666666667</v>
          </cell>
          <cell r="FF45">
            <v>9007</v>
          </cell>
          <cell r="FH45">
            <v>9007</v>
          </cell>
        </row>
        <row r="46">
          <cell r="B46">
            <v>9337</v>
          </cell>
          <cell r="C46" t="str">
            <v>20.06.2006</v>
          </cell>
          <cell r="D46" t="str">
            <v>More Bapu Yashwant</v>
          </cell>
          <cell r="F46">
            <v>16446</v>
          </cell>
          <cell r="H46">
            <v>29040</v>
          </cell>
          <cell r="I46">
            <v>29040</v>
          </cell>
          <cell r="J46">
            <v>58080</v>
          </cell>
          <cell r="K46">
            <v>41634</v>
          </cell>
          <cell r="M46">
            <v>1088</v>
          </cell>
          <cell r="N46">
            <v>0</v>
          </cell>
          <cell r="O46">
            <v>1088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W46">
            <v>1088</v>
          </cell>
          <cell r="X46">
            <v>0</v>
          </cell>
          <cell r="Y46">
            <v>1088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G46">
            <v>1121</v>
          </cell>
          <cell r="AH46">
            <v>0</v>
          </cell>
          <cell r="AI46">
            <v>1121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Q46">
            <v>1121</v>
          </cell>
          <cell r="AR46">
            <v>0</v>
          </cell>
          <cell r="AS46">
            <v>1121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BA46">
            <v>1121</v>
          </cell>
          <cell r="BB46">
            <v>0</v>
          </cell>
          <cell r="BC46">
            <v>1121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K46">
            <v>1173</v>
          </cell>
          <cell r="BL46">
            <v>0</v>
          </cell>
          <cell r="BM46">
            <v>1173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U46">
            <v>1173</v>
          </cell>
          <cell r="BV46">
            <v>0</v>
          </cell>
          <cell r="BW46">
            <v>1173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E46">
            <v>1173</v>
          </cell>
          <cell r="CF46">
            <v>0</v>
          </cell>
          <cell r="CG46">
            <v>1173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O46">
            <v>1173</v>
          </cell>
          <cell r="CP46">
            <v>0</v>
          </cell>
          <cell r="CQ46">
            <v>1173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Y46">
            <v>1173</v>
          </cell>
          <cell r="CZ46">
            <v>0</v>
          </cell>
          <cell r="DA46">
            <v>1173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I46">
            <v>58080</v>
          </cell>
          <cell r="DJ46">
            <v>11404</v>
          </cell>
          <cell r="DK46">
            <v>0</v>
          </cell>
          <cell r="DL46">
            <v>11404</v>
          </cell>
          <cell r="DM46">
            <v>11404</v>
          </cell>
          <cell r="DN46">
            <v>0</v>
          </cell>
          <cell r="DO46">
            <v>11404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22808</v>
          </cell>
          <cell r="DU46">
            <v>0</v>
          </cell>
          <cell r="DW46">
            <v>0</v>
          </cell>
          <cell r="DX46">
            <v>0</v>
          </cell>
          <cell r="DY46">
            <v>60256</v>
          </cell>
          <cell r="DZ46">
            <v>62432</v>
          </cell>
          <cell r="EA46">
            <v>64674</v>
          </cell>
          <cell r="EB46">
            <v>66916</v>
          </cell>
          <cell r="EC46">
            <v>69158</v>
          </cell>
          <cell r="ED46">
            <v>71504</v>
          </cell>
          <cell r="EE46">
            <v>73850</v>
          </cell>
          <cell r="EF46">
            <v>76196</v>
          </cell>
          <cell r="EG46">
            <v>78542</v>
          </cell>
          <cell r="EH46">
            <v>80888</v>
          </cell>
          <cell r="EI46">
            <v>704416</v>
          </cell>
          <cell r="EK46">
            <v>0</v>
          </cell>
          <cell r="EL46">
            <v>0</v>
          </cell>
          <cell r="EM46">
            <v>401.70666666666665</v>
          </cell>
          <cell r="EN46">
            <v>416.21333333333337</v>
          </cell>
          <cell r="EO46">
            <v>431.16</v>
          </cell>
          <cell r="EP46">
            <v>446.10666666666663</v>
          </cell>
          <cell r="EQ46">
            <v>461.05333333333334</v>
          </cell>
          <cell r="ER46">
            <v>476.69333333333333</v>
          </cell>
          <cell r="ES46">
            <v>529.25833333333333</v>
          </cell>
          <cell r="ET46">
            <v>546.07133333333331</v>
          </cell>
          <cell r="EU46">
            <v>562.8843333333333</v>
          </cell>
          <cell r="EV46">
            <v>579.69733333333329</v>
          </cell>
          <cell r="EW46">
            <v>4850.8446666666669</v>
          </cell>
          <cell r="EY46">
            <v>394940</v>
          </cell>
          <cell r="EZ46">
            <v>8</v>
          </cell>
          <cell r="FA46">
            <v>2632.9333333333334</v>
          </cell>
          <cell r="FB46">
            <v>309476</v>
          </cell>
          <cell r="FC46">
            <v>8.6</v>
          </cell>
          <cell r="FD46">
            <v>2217.9113333333335</v>
          </cell>
          <cell r="FE46">
            <v>4850.8446666666669</v>
          </cell>
          <cell r="FF46">
            <v>85739</v>
          </cell>
          <cell r="FH46">
            <v>85739</v>
          </cell>
        </row>
        <row r="47">
          <cell r="B47">
            <v>9372</v>
          </cell>
          <cell r="C47" t="str">
            <v>26.06.2006</v>
          </cell>
          <cell r="D47" t="str">
            <v>Chavan Avinash Ramesh</v>
          </cell>
          <cell r="F47">
            <v>12780</v>
          </cell>
          <cell r="G47">
            <v>31638</v>
          </cell>
          <cell r="H47">
            <v>7634</v>
          </cell>
          <cell r="I47">
            <v>7634</v>
          </cell>
          <cell r="J47">
            <v>15268</v>
          </cell>
          <cell r="K47">
            <v>2488</v>
          </cell>
          <cell r="M47">
            <v>1088</v>
          </cell>
          <cell r="N47">
            <v>0</v>
          </cell>
          <cell r="O47">
            <v>1088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W47">
            <v>1088</v>
          </cell>
          <cell r="X47">
            <v>0</v>
          </cell>
          <cell r="Y47">
            <v>1088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G47">
            <v>1121</v>
          </cell>
          <cell r="AH47">
            <v>0</v>
          </cell>
          <cell r="AI47">
            <v>1121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Q47">
            <v>1121</v>
          </cell>
          <cell r="AR47">
            <v>0</v>
          </cell>
          <cell r="AS47">
            <v>1121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BA47">
            <v>1121</v>
          </cell>
          <cell r="BB47">
            <v>0</v>
          </cell>
          <cell r="BC47">
            <v>1121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K47">
            <v>1173</v>
          </cell>
          <cell r="BL47">
            <v>0</v>
          </cell>
          <cell r="BM47">
            <v>1173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U47">
            <v>1173</v>
          </cell>
          <cell r="BV47">
            <v>0</v>
          </cell>
          <cell r="BW47">
            <v>1173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E47">
            <v>1173</v>
          </cell>
          <cell r="CF47">
            <v>0</v>
          </cell>
          <cell r="CG47">
            <v>1173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O47">
            <v>1173</v>
          </cell>
          <cell r="CP47">
            <v>0</v>
          </cell>
          <cell r="CQ47">
            <v>1173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Y47">
            <v>1173</v>
          </cell>
          <cell r="CZ47">
            <v>0</v>
          </cell>
          <cell r="DA47">
            <v>1173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I47">
            <v>15268</v>
          </cell>
          <cell r="DJ47">
            <v>11404</v>
          </cell>
          <cell r="DK47">
            <v>0</v>
          </cell>
          <cell r="DL47">
            <v>11404</v>
          </cell>
          <cell r="DM47">
            <v>11404</v>
          </cell>
          <cell r="DN47">
            <v>0</v>
          </cell>
          <cell r="DO47">
            <v>11404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22808</v>
          </cell>
          <cell r="DU47">
            <v>0</v>
          </cell>
          <cell r="DW47">
            <v>0</v>
          </cell>
          <cell r="DX47">
            <v>0</v>
          </cell>
          <cell r="DY47">
            <v>17444</v>
          </cell>
          <cell r="DZ47">
            <v>19620</v>
          </cell>
          <cell r="EA47">
            <v>21862</v>
          </cell>
          <cell r="EB47">
            <v>24104</v>
          </cell>
          <cell r="EC47">
            <v>26346</v>
          </cell>
          <cell r="ED47">
            <v>28692</v>
          </cell>
          <cell r="EE47">
            <v>31038</v>
          </cell>
          <cell r="EF47">
            <v>33384</v>
          </cell>
          <cell r="EG47">
            <v>35730</v>
          </cell>
          <cell r="EH47">
            <v>38076</v>
          </cell>
          <cell r="EI47">
            <v>276296</v>
          </cell>
          <cell r="EK47">
            <v>0</v>
          </cell>
          <cell r="EL47">
            <v>0</v>
          </cell>
          <cell r="EM47">
            <v>116.29333333333334</v>
          </cell>
          <cell r="EN47">
            <v>130.79999999999998</v>
          </cell>
          <cell r="EO47">
            <v>145.74666666666667</v>
          </cell>
          <cell r="EP47">
            <v>160.69333333333333</v>
          </cell>
          <cell r="EQ47">
            <v>175.64</v>
          </cell>
          <cell r="ER47">
            <v>191.28</v>
          </cell>
          <cell r="ES47">
            <v>222.43899999999999</v>
          </cell>
          <cell r="ET47">
            <v>239.25199999999995</v>
          </cell>
          <cell r="EU47">
            <v>256.065</v>
          </cell>
          <cell r="EV47">
            <v>272.87799999999999</v>
          </cell>
          <cell r="EW47">
            <v>1911.0873333333332</v>
          </cell>
          <cell r="EY47">
            <v>138068</v>
          </cell>
          <cell r="EZ47">
            <v>8</v>
          </cell>
          <cell r="FA47">
            <v>920.45333333333338</v>
          </cell>
          <cell r="FB47">
            <v>138228</v>
          </cell>
          <cell r="FC47">
            <v>8.6</v>
          </cell>
          <cell r="FD47">
            <v>990.63400000000001</v>
          </cell>
          <cell r="FE47">
            <v>1911.0873333333334</v>
          </cell>
          <cell r="FF47">
            <v>39987</v>
          </cell>
          <cell r="FH47">
            <v>39987</v>
          </cell>
        </row>
        <row r="48">
          <cell r="B48">
            <v>9329</v>
          </cell>
          <cell r="C48" t="str">
            <v>29.06.2006</v>
          </cell>
          <cell r="D48" t="str">
            <v>Parmar Shrikant Dinesh</v>
          </cell>
          <cell r="F48">
            <v>18605</v>
          </cell>
          <cell r="G48">
            <v>32052</v>
          </cell>
          <cell r="H48">
            <v>7634</v>
          </cell>
          <cell r="I48">
            <v>7634</v>
          </cell>
          <cell r="J48">
            <v>15268</v>
          </cell>
          <cell r="K48">
            <v>-3337</v>
          </cell>
          <cell r="M48">
            <v>1088</v>
          </cell>
          <cell r="N48">
            <v>0</v>
          </cell>
          <cell r="O48">
            <v>1088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W48">
            <v>1088</v>
          </cell>
          <cell r="X48">
            <v>0</v>
          </cell>
          <cell r="Y48">
            <v>1088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G48">
            <v>1121</v>
          </cell>
          <cell r="AH48">
            <v>0</v>
          </cell>
          <cell r="AI48">
            <v>1121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Q48">
            <v>1121</v>
          </cell>
          <cell r="AR48">
            <v>0</v>
          </cell>
          <cell r="AS48">
            <v>1121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BA48">
            <v>1121</v>
          </cell>
          <cell r="BB48">
            <v>0</v>
          </cell>
          <cell r="BC48">
            <v>1121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K48">
            <v>1173</v>
          </cell>
          <cell r="BL48">
            <v>0</v>
          </cell>
          <cell r="BM48">
            <v>1173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U48">
            <v>1173</v>
          </cell>
          <cell r="BV48">
            <v>0</v>
          </cell>
          <cell r="BW48">
            <v>1173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E48">
            <v>1173</v>
          </cell>
          <cell r="CF48">
            <v>0</v>
          </cell>
          <cell r="CG48">
            <v>1173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O48">
            <v>1173</v>
          </cell>
          <cell r="CP48">
            <v>0</v>
          </cell>
          <cell r="CQ48">
            <v>1173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Y48">
            <v>1173</v>
          </cell>
          <cell r="CZ48">
            <v>0</v>
          </cell>
          <cell r="DA48">
            <v>1173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I48">
            <v>15268</v>
          </cell>
          <cell r="DJ48">
            <v>11404</v>
          </cell>
          <cell r="DK48">
            <v>0</v>
          </cell>
          <cell r="DL48">
            <v>11404</v>
          </cell>
          <cell r="DM48">
            <v>11404</v>
          </cell>
          <cell r="DN48">
            <v>0</v>
          </cell>
          <cell r="DO48">
            <v>11404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22808</v>
          </cell>
          <cell r="DU48">
            <v>0</v>
          </cell>
          <cell r="DW48">
            <v>0</v>
          </cell>
          <cell r="DX48">
            <v>0</v>
          </cell>
          <cell r="DY48">
            <v>17444</v>
          </cell>
          <cell r="DZ48">
            <v>19620</v>
          </cell>
          <cell r="EA48">
            <v>21862</v>
          </cell>
          <cell r="EB48">
            <v>24104</v>
          </cell>
          <cell r="EC48">
            <v>26346</v>
          </cell>
          <cell r="ED48">
            <v>28692</v>
          </cell>
          <cell r="EE48">
            <v>31038</v>
          </cell>
          <cell r="EF48">
            <v>33384</v>
          </cell>
          <cell r="EG48">
            <v>35730</v>
          </cell>
          <cell r="EH48">
            <v>38076</v>
          </cell>
          <cell r="EI48">
            <v>276296</v>
          </cell>
          <cell r="EK48">
            <v>0</v>
          </cell>
          <cell r="EL48">
            <v>0</v>
          </cell>
          <cell r="EM48">
            <v>116.29333333333334</v>
          </cell>
          <cell r="EN48">
            <v>130.79999999999998</v>
          </cell>
          <cell r="EO48">
            <v>145.74666666666667</v>
          </cell>
          <cell r="EP48">
            <v>160.69333333333333</v>
          </cell>
          <cell r="EQ48">
            <v>175.64</v>
          </cell>
          <cell r="ER48">
            <v>191.28</v>
          </cell>
          <cell r="ES48">
            <v>222.43899999999999</v>
          </cell>
          <cell r="ET48">
            <v>239.25199999999995</v>
          </cell>
          <cell r="EU48">
            <v>256.065</v>
          </cell>
          <cell r="EV48">
            <v>272.87799999999999</v>
          </cell>
          <cell r="EW48">
            <v>1911.0873333333332</v>
          </cell>
          <cell r="EY48">
            <v>138068</v>
          </cell>
          <cell r="EZ48">
            <v>8</v>
          </cell>
          <cell r="FA48">
            <v>920.45333333333338</v>
          </cell>
          <cell r="FB48">
            <v>138228</v>
          </cell>
          <cell r="FC48">
            <v>8.6</v>
          </cell>
          <cell r="FD48">
            <v>990.63400000000001</v>
          </cell>
          <cell r="FE48">
            <v>1911.0873333333334</v>
          </cell>
          <cell r="FF48">
            <v>39987</v>
          </cell>
          <cell r="FH48">
            <v>39987</v>
          </cell>
        </row>
        <row r="49">
          <cell r="B49">
            <v>9340</v>
          </cell>
          <cell r="C49" t="str">
            <v>29.06.2006</v>
          </cell>
          <cell r="D49" t="str">
            <v>Parmar Jitu Lalji</v>
          </cell>
          <cell r="F49">
            <v>14866</v>
          </cell>
          <cell r="H49">
            <v>8540</v>
          </cell>
          <cell r="I49">
            <v>8540</v>
          </cell>
          <cell r="J49">
            <v>17080</v>
          </cell>
          <cell r="K49">
            <v>2214</v>
          </cell>
          <cell r="M49">
            <v>1088</v>
          </cell>
          <cell r="N49">
            <v>0</v>
          </cell>
          <cell r="O49">
            <v>1088</v>
          </cell>
          <cell r="P49">
            <v>0</v>
          </cell>
          <cell r="Q49">
            <v>420</v>
          </cell>
          <cell r="R49">
            <v>0</v>
          </cell>
          <cell r="S49">
            <v>0</v>
          </cell>
          <cell r="T49">
            <v>420</v>
          </cell>
          <cell r="U49">
            <v>0</v>
          </cell>
          <cell r="W49">
            <v>1088</v>
          </cell>
          <cell r="X49">
            <v>0</v>
          </cell>
          <cell r="Y49">
            <v>1088</v>
          </cell>
          <cell r="Z49">
            <v>0</v>
          </cell>
          <cell r="AA49">
            <v>420</v>
          </cell>
          <cell r="AB49">
            <v>0</v>
          </cell>
          <cell r="AC49">
            <v>0</v>
          </cell>
          <cell r="AD49">
            <v>420</v>
          </cell>
          <cell r="AE49">
            <v>0</v>
          </cell>
          <cell r="AG49">
            <v>1121</v>
          </cell>
          <cell r="AH49">
            <v>0</v>
          </cell>
          <cell r="AI49">
            <v>1121</v>
          </cell>
          <cell r="AJ49">
            <v>0</v>
          </cell>
          <cell r="AK49">
            <v>420</v>
          </cell>
          <cell r="AL49">
            <v>0</v>
          </cell>
          <cell r="AM49">
            <v>0</v>
          </cell>
          <cell r="AN49">
            <v>420</v>
          </cell>
          <cell r="AO49">
            <v>8080</v>
          </cell>
          <cell r="AQ49">
            <v>1121</v>
          </cell>
          <cell r="AR49">
            <v>0</v>
          </cell>
          <cell r="AS49">
            <v>1121</v>
          </cell>
          <cell r="AT49">
            <v>0</v>
          </cell>
          <cell r="AU49">
            <v>740</v>
          </cell>
          <cell r="AV49">
            <v>0</v>
          </cell>
          <cell r="AW49">
            <v>0</v>
          </cell>
          <cell r="AX49">
            <v>740</v>
          </cell>
          <cell r="AY49">
            <v>0</v>
          </cell>
          <cell r="BA49">
            <v>1121</v>
          </cell>
          <cell r="BB49">
            <v>0</v>
          </cell>
          <cell r="BC49">
            <v>1121</v>
          </cell>
          <cell r="BD49">
            <v>0</v>
          </cell>
          <cell r="BE49">
            <v>740</v>
          </cell>
          <cell r="BF49">
            <v>0</v>
          </cell>
          <cell r="BG49">
            <v>0</v>
          </cell>
          <cell r="BH49">
            <v>740</v>
          </cell>
          <cell r="BI49">
            <v>0</v>
          </cell>
          <cell r="BK49">
            <v>1173</v>
          </cell>
          <cell r="BL49">
            <v>0</v>
          </cell>
          <cell r="BM49">
            <v>1173</v>
          </cell>
          <cell r="BN49">
            <v>0</v>
          </cell>
          <cell r="BO49">
            <v>740</v>
          </cell>
          <cell r="BP49">
            <v>0</v>
          </cell>
          <cell r="BQ49">
            <v>0</v>
          </cell>
          <cell r="BR49">
            <v>740</v>
          </cell>
          <cell r="BS49">
            <v>0</v>
          </cell>
          <cell r="BU49">
            <v>1173</v>
          </cell>
          <cell r="BV49">
            <v>0</v>
          </cell>
          <cell r="BW49">
            <v>1173</v>
          </cell>
          <cell r="BX49">
            <v>0</v>
          </cell>
          <cell r="BY49">
            <v>740</v>
          </cell>
          <cell r="BZ49">
            <v>0</v>
          </cell>
          <cell r="CA49">
            <v>0</v>
          </cell>
          <cell r="CB49">
            <v>740</v>
          </cell>
          <cell r="CC49">
            <v>0</v>
          </cell>
          <cell r="CE49">
            <v>1173</v>
          </cell>
          <cell r="CF49">
            <v>0</v>
          </cell>
          <cell r="CG49">
            <v>1173</v>
          </cell>
          <cell r="CH49">
            <v>0</v>
          </cell>
          <cell r="CI49">
            <v>740</v>
          </cell>
          <cell r="CJ49">
            <v>0</v>
          </cell>
          <cell r="CK49">
            <v>0</v>
          </cell>
          <cell r="CL49">
            <v>740</v>
          </cell>
          <cell r="CM49">
            <v>0</v>
          </cell>
          <cell r="CO49">
            <v>1173</v>
          </cell>
          <cell r="CP49">
            <v>0</v>
          </cell>
          <cell r="CQ49">
            <v>1173</v>
          </cell>
          <cell r="CR49">
            <v>0</v>
          </cell>
          <cell r="CS49">
            <v>740</v>
          </cell>
          <cell r="CT49">
            <v>0</v>
          </cell>
          <cell r="CU49">
            <v>0</v>
          </cell>
          <cell r="CV49">
            <v>740</v>
          </cell>
          <cell r="CW49">
            <v>0</v>
          </cell>
          <cell r="CY49">
            <v>1173</v>
          </cell>
          <cell r="CZ49">
            <v>0</v>
          </cell>
          <cell r="DA49">
            <v>1173</v>
          </cell>
          <cell r="DB49">
            <v>0</v>
          </cell>
          <cell r="DC49">
            <v>740</v>
          </cell>
          <cell r="DD49">
            <v>0</v>
          </cell>
          <cell r="DE49">
            <v>0</v>
          </cell>
          <cell r="DF49">
            <v>740</v>
          </cell>
          <cell r="DG49">
            <v>0</v>
          </cell>
          <cell r="DI49">
            <v>17080</v>
          </cell>
          <cell r="DJ49">
            <v>11404</v>
          </cell>
          <cell r="DK49">
            <v>0</v>
          </cell>
          <cell r="DL49">
            <v>11404</v>
          </cell>
          <cell r="DM49">
            <v>11404</v>
          </cell>
          <cell r="DN49">
            <v>0</v>
          </cell>
          <cell r="DO49">
            <v>11404</v>
          </cell>
          <cell r="DP49">
            <v>6440</v>
          </cell>
          <cell r="DQ49">
            <v>0</v>
          </cell>
          <cell r="DR49">
            <v>0</v>
          </cell>
          <cell r="DS49">
            <v>6440</v>
          </cell>
          <cell r="DT49">
            <v>29248</v>
          </cell>
          <cell r="DU49">
            <v>8080</v>
          </cell>
          <cell r="DW49">
            <v>0</v>
          </cell>
          <cell r="DX49">
            <v>0</v>
          </cell>
          <cell r="DY49">
            <v>19676</v>
          </cell>
          <cell r="DZ49">
            <v>22272</v>
          </cell>
          <cell r="EA49">
            <v>16854</v>
          </cell>
          <cell r="EB49">
            <v>19836</v>
          </cell>
          <cell r="EC49">
            <v>22818</v>
          </cell>
          <cell r="ED49">
            <v>25904</v>
          </cell>
          <cell r="EE49">
            <v>28990</v>
          </cell>
          <cell r="EF49">
            <v>32076</v>
          </cell>
          <cell r="EG49">
            <v>35162</v>
          </cell>
          <cell r="EH49">
            <v>38248</v>
          </cell>
          <cell r="EI49">
            <v>261836</v>
          </cell>
          <cell r="EK49">
            <v>0</v>
          </cell>
          <cell r="EL49">
            <v>0</v>
          </cell>
          <cell r="EM49">
            <v>131.17333333333332</v>
          </cell>
          <cell r="EN49">
            <v>148.47999999999999</v>
          </cell>
          <cell r="EO49">
            <v>112.36</v>
          </cell>
          <cell r="EP49">
            <v>132.24</v>
          </cell>
          <cell r="EQ49">
            <v>152.12</v>
          </cell>
          <cell r="ER49">
            <v>172.69333333333336</v>
          </cell>
          <cell r="ES49">
            <v>207.76166666666666</v>
          </cell>
          <cell r="ET49">
            <v>229.87799999999996</v>
          </cell>
          <cell r="EU49">
            <v>251.99433333333334</v>
          </cell>
          <cell r="EV49">
            <v>274.11066666666665</v>
          </cell>
          <cell r="EW49">
            <v>1812.8113333333333</v>
          </cell>
          <cell r="EY49">
            <v>127360</v>
          </cell>
          <cell r="EZ49">
            <v>8</v>
          </cell>
          <cell r="FA49">
            <v>849.06666666666661</v>
          </cell>
          <cell r="FB49">
            <v>134476</v>
          </cell>
          <cell r="FC49">
            <v>8.6</v>
          </cell>
          <cell r="FD49">
            <v>963.74466666666649</v>
          </cell>
          <cell r="FE49">
            <v>1812.8113333333331</v>
          </cell>
          <cell r="FF49">
            <v>40061</v>
          </cell>
          <cell r="FH49">
            <v>40061</v>
          </cell>
        </row>
        <row r="50">
          <cell r="B50">
            <v>9331</v>
          </cell>
          <cell r="C50" t="str">
            <v>01.07.2006</v>
          </cell>
          <cell r="D50" t="str">
            <v>Topale Haridas Kisan</v>
          </cell>
          <cell r="F50">
            <v>16520</v>
          </cell>
          <cell r="H50">
            <v>18520</v>
          </cell>
          <cell r="I50">
            <v>18520</v>
          </cell>
          <cell r="J50">
            <v>37040</v>
          </cell>
          <cell r="K50">
            <v>20520</v>
          </cell>
          <cell r="M50">
            <v>1088</v>
          </cell>
          <cell r="N50">
            <v>0</v>
          </cell>
          <cell r="O50">
            <v>1088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W50">
            <v>1088</v>
          </cell>
          <cell r="X50">
            <v>0</v>
          </cell>
          <cell r="Y50">
            <v>1088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G50">
            <v>1121</v>
          </cell>
          <cell r="AH50">
            <v>0</v>
          </cell>
          <cell r="AI50">
            <v>1121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Q50">
            <v>1121</v>
          </cell>
          <cell r="AR50">
            <v>0</v>
          </cell>
          <cell r="AS50">
            <v>1121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BA50">
            <v>1121</v>
          </cell>
          <cell r="BB50">
            <v>0</v>
          </cell>
          <cell r="BC50">
            <v>1121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K50">
            <v>1173</v>
          </cell>
          <cell r="BL50">
            <v>0</v>
          </cell>
          <cell r="BM50">
            <v>1173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U50">
            <v>1173</v>
          </cell>
          <cell r="BV50">
            <v>0</v>
          </cell>
          <cell r="BW50">
            <v>1173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E50">
            <v>1173</v>
          </cell>
          <cell r="CF50">
            <v>0</v>
          </cell>
          <cell r="CG50">
            <v>1173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O50">
            <v>1173</v>
          </cell>
          <cell r="CP50">
            <v>0</v>
          </cell>
          <cell r="CQ50">
            <v>1173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Y50">
            <v>1173</v>
          </cell>
          <cell r="CZ50">
            <v>0</v>
          </cell>
          <cell r="DA50">
            <v>1173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I50">
            <v>37040</v>
          </cell>
          <cell r="DJ50">
            <v>11404</v>
          </cell>
          <cell r="DK50">
            <v>0</v>
          </cell>
          <cell r="DL50">
            <v>11404</v>
          </cell>
          <cell r="DM50">
            <v>11404</v>
          </cell>
          <cell r="DN50">
            <v>0</v>
          </cell>
          <cell r="DO50">
            <v>11404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22808</v>
          </cell>
          <cell r="DU50">
            <v>0</v>
          </cell>
          <cell r="DW50">
            <v>0</v>
          </cell>
          <cell r="DX50">
            <v>0</v>
          </cell>
          <cell r="DY50">
            <v>39216</v>
          </cell>
          <cell r="DZ50">
            <v>41392</v>
          </cell>
          <cell r="EA50">
            <v>43634</v>
          </cell>
          <cell r="EB50">
            <v>45876</v>
          </cell>
          <cell r="EC50">
            <v>48118</v>
          </cell>
          <cell r="ED50">
            <v>50464</v>
          </cell>
          <cell r="EE50">
            <v>52810</v>
          </cell>
          <cell r="EF50">
            <v>55156</v>
          </cell>
          <cell r="EG50">
            <v>57502</v>
          </cell>
          <cell r="EH50">
            <v>59848</v>
          </cell>
          <cell r="EI50">
            <v>494016</v>
          </cell>
          <cell r="EK50">
            <v>0</v>
          </cell>
          <cell r="EL50">
            <v>0</v>
          </cell>
          <cell r="EM50">
            <v>261.44</v>
          </cell>
          <cell r="EN50">
            <v>275.94666666666666</v>
          </cell>
          <cell r="EO50">
            <v>290.89333333333332</v>
          </cell>
          <cell r="EP50">
            <v>305.83999999999997</v>
          </cell>
          <cell r="EQ50">
            <v>320.78666666666669</v>
          </cell>
          <cell r="ER50">
            <v>336.42666666666668</v>
          </cell>
          <cell r="ES50">
            <v>378.47166666666664</v>
          </cell>
          <cell r="ET50">
            <v>395.28466666666668</v>
          </cell>
          <cell r="EU50">
            <v>412.09766666666661</v>
          </cell>
          <cell r="EV50">
            <v>428.91066666666666</v>
          </cell>
          <cell r="EW50">
            <v>3406.098</v>
          </cell>
          <cell r="EY50">
            <v>268700</v>
          </cell>
          <cell r="EZ50">
            <v>8</v>
          </cell>
          <cell r="FA50">
            <v>1791.3333333333333</v>
          </cell>
          <cell r="FB50">
            <v>225316</v>
          </cell>
          <cell r="FC50">
            <v>8.6</v>
          </cell>
          <cell r="FD50">
            <v>1614.7646666666667</v>
          </cell>
          <cell r="FE50">
            <v>3406.098</v>
          </cell>
          <cell r="FF50">
            <v>63254</v>
          </cell>
          <cell r="FH50">
            <v>63254</v>
          </cell>
        </row>
        <row r="51">
          <cell r="B51">
            <v>9353</v>
          </cell>
          <cell r="C51" t="str">
            <v>03.07.2006</v>
          </cell>
          <cell r="D51" t="str">
            <v>Saude Rakesh Raju</v>
          </cell>
          <cell r="F51">
            <v>15685</v>
          </cell>
          <cell r="H51">
            <v>6540</v>
          </cell>
          <cell r="I51">
            <v>6540</v>
          </cell>
          <cell r="J51">
            <v>13080</v>
          </cell>
          <cell r="K51">
            <v>-2605</v>
          </cell>
          <cell r="M51">
            <v>1088</v>
          </cell>
          <cell r="N51">
            <v>0</v>
          </cell>
          <cell r="O51">
            <v>1088</v>
          </cell>
          <cell r="P51">
            <v>0</v>
          </cell>
          <cell r="Q51">
            <v>420</v>
          </cell>
          <cell r="R51">
            <v>0</v>
          </cell>
          <cell r="S51">
            <v>0</v>
          </cell>
          <cell r="T51">
            <v>420</v>
          </cell>
          <cell r="U51">
            <v>0</v>
          </cell>
          <cell r="W51">
            <v>1088</v>
          </cell>
          <cell r="X51">
            <v>0</v>
          </cell>
          <cell r="Y51">
            <v>1088</v>
          </cell>
          <cell r="Z51">
            <v>0</v>
          </cell>
          <cell r="AA51">
            <v>420</v>
          </cell>
          <cell r="AB51">
            <v>0</v>
          </cell>
          <cell r="AC51">
            <v>0</v>
          </cell>
          <cell r="AD51">
            <v>420</v>
          </cell>
          <cell r="AE51">
            <v>0</v>
          </cell>
          <cell r="AG51">
            <v>1121</v>
          </cell>
          <cell r="AH51">
            <v>0</v>
          </cell>
          <cell r="AI51">
            <v>1121</v>
          </cell>
          <cell r="AJ51">
            <v>0</v>
          </cell>
          <cell r="AK51">
            <v>420</v>
          </cell>
          <cell r="AL51">
            <v>0</v>
          </cell>
          <cell r="AM51">
            <v>0</v>
          </cell>
          <cell r="AN51">
            <v>420</v>
          </cell>
          <cell r="AO51">
            <v>0</v>
          </cell>
          <cell r="AQ51">
            <v>1121</v>
          </cell>
          <cell r="AR51">
            <v>0</v>
          </cell>
          <cell r="AS51">
            <v>1121</v>
          </cell>
          <cell r="AT51">
            <v>0</v>
          </cell>
          <cell r="AU51">
            <v>420</v>
          </cell>
          <cell r="AV51">
            <v>0</v>
          </cell>
          <cell r="AW51">
            <v>0</v>
          </cell>
          <cell r="AX51">
            <v>420</v>
          </cell>
          <cell r="AY51">
            <v>0</v>
          </cell>
          <cell r="BA51">
            <v>1121</v>
          </cell>
          <cell r="BB51">
            <v>0</v>
          </cell>
          <cell r="BC51">
            <v>1121</v>
          </cell>
          <cell r="BD51">
            <v>0</v>
          </cell>
          <cell r="BE51">
            <v>420</v>
          </cell>
          <cell r="BF51">
            <v>0</v>
          </cell>
          <cell r="BG51">
            <v>0</v>
          </cell>
          <cell r="BH51">
            <v>420</v>
          </cell>
          <cell r="BI51">
            <v>0</v>
          </cell>
          <cell r="BK51">
            <v>1173</v>
          </cell>
          <cell r="BL51">
            <v>0</v>
          </cell>
          <cell r="BM51">
            <v>1173</v>
          </cell>
          <cell r="BN51">
            <v>0</v>
          </cell>
          <cell r="BO51">
            <v>420</v>
          </cell>
          <cell r="BP51">
            <v>0</v>
          </cell>
          <cell r="BQ51">
            <v>0</v>
          </cell>
          <cell r="BR51">
            <v>420</v>
          </cell>
          <cell r="BS51">
            <v>0</v>
          </cell>
          <cell r="BU51">
            <v>1173</v>
          </cell>
          <cell r="BV51">
            <v>0</v>
          </cell>
          <cell r="BW51">
            <v>1173</v>
          </cell>
          <cell r="BX51">
            <v>0</v>
          </cell>
          <cell r="BY51">
            <v>420</v>
          </cell>
          <cell r="BZ51">
            <v>0</v>
          </cell>
          <cell r="CA51">
            <v>0</v>
          </cell>
          <cell r="CB51">
            <v>420</v>
          </cell>
          <cell r="CC51">
            <v>0</v>
          </cell>
          <cell r="CE51">
            <v>1173</v>
          </cell>
          <cell r="CF51">
            <v>0</v>
          </cell>
          <cell r="CG51">
            <v>1173</v>
          </cell>
          <cell r="CH51">
            <v>0</v>
          </cell>
          <cell r="CI51">
            <v>420</v>
          </cell>
          <cell r="CJ51">
            <v>0</v>
          </cell>
          <cell r="CK51">
            <v>0</v>
          </cell>
          <cell r="CL51">
            <v>420</v>
          </cell>
          <cell r="CM51">
            <v>0</v>
          </cell>
          <cell r="CO51">
            <v>1173</v>
          </cell>
          <cell r="CP51">
            <v>0</v>
          </cell>
          <cell r="CQ51">
            <v>1173</v>
          </cell>
          <cell r="CR51">
            <v>0</v>
          </cell>
          <cell r="CS51">
            <v>420</v>
          </cell>
          <cell r="CT51">
            <v>0</v>
          </cell>
          <cell r="CU51">
            <v>0</v>
          </cell>
          <cell r="CV51">
            <v>420</v>
          </cell>
          <cell r="CW51">
            <v>0</v>
          </cell>
          <cell r="CY51">
            <v>1173</v>
          </cell>
          <cell r="CZ51">
            <v>0</v>
          </cell>
          <cell r="DA51">
            <v>1173</v>
          </cell>
          <cell r="DB51">
            <v>0</v>
          </cell>
          <cell r="DC51">
            <v>420</v>
          </cell>
          <cell r="DD51">
            <v>0</v>
          </cell>
          <cell r="DE51">
            <v>0</v>
          </cell>
          <cell r="DF51">
            <v>420</v>
          </cell>
          <cell r="DG51">
            <v>0</v>
          </cell>
          <cell r="DI51">
            <v>13080</v>
          </cell>
          <cell r="DJ51">
            <v>11404</v>
          </cell>
          <cell r="DK51">
            <v>0</v>
          </cell>
          <cell r="DL51">
            <v>11404</v>
          </cell>
          <cell r="DM51">
            <v>11404</v>
          </cell>
          <cell r="DN51">
            <v>0</v>
          </cell>
          <cell r="DO51">
            <v>11404</v>
          </cell>
          <cell r="DP51">
            <v>4200</v>
          </cell>
          <cell r="DQ51">
            <v>0</v>
          </cell>
          <cell r="DR51">
            <v>0</v>
          </cell>
          <cell r="DS51">
            <v>4200</v>
          </cell>
          <cell r="DT51">
            <v>27008</v>
          </cell>
          <cell r="DU51">
            <v>0</v>
          </cell>
          <cell r="DW51">
            <v>0</v>
          </cell>
          <cell r="DX51">
            <v>0</v>
          </cell>
          <cell r="DY51">
            <v>15676</v>
          </cell>
          <cell r="DZ51">
            <v>18272</v>
          </cell>
          <cell r="EA51">
            <v>20934</v>
          </cell>
          <cell r="EB51">
            <v>23596</v>
          </cell>
          <cell r="EC51">
            <v>26258</v>
          </cell>
          <cell r="ED51">
            <v>29024</v>
          </cell>
          <cell r="EE51">
            <v>31790</v>
          </cell>
          <cell r="EF51">
            <v>34556</v>
          </cell>
          <cell r="EG51">
            <v>37322</v>
          </cell>
          <cell r="EH51">
            <v>40088</v>
          </cell>
          <cell r="EI51">
            <v>277516</v>
          </cell>
          <cell r="EK51">
            <v>0</v>
          </cell>
          <cell r="EL51">
            <v>0</v>
          </cell>
          <cell r="EM51">
            <v>104.50666666666666</v>
          </cell>
          <cell r="EN51">
            <v>121.81333333333333</v>
          </cell>
          <cell r="EO51">
            <v>139.56</v>
          </cell>
          <cell r="EP51">
            <v>157.30666666666667</v>
          </cell>
          <cell r="EQ51">
            <v>175.05333333333331</v>
          </cell>
          <cell r="ER51">
            <v>193.49333333333334</v>
          </cell>
          <cell r="ES51">
            <v>227.82833333333335</v>
          </cell>
          <cell r="ET51">
            <v>247.65133333333333</v>
          </cell>
          <cell r="EU51">
            <v>267.47433333333333</v>
          </cell>
          <cell r="EV51">
            <v>287.29733333333331</v>
          </cell>
          <cell r="EW51">
            <v>1921.9846666666667</v>
          </cell>
          <cell r="EY51">
            <v>133760</v>
          </cell>
          <cell r="EZ51">
            <v>8</v>
          </cell>
          <cell r="FA51">
            <v>891.73333333333323</v>
          </cell>
          <cell r="FB51">
            <v>143756</v>
          </cell>
          <cell r="FC51">
            <v>8.6</v>
          </cell>
          <cell r="FD51">
            <v>1030.2513333333332</v>
          </cell>
          <cell r="FE51">
            <v>1921.9846666666663</v>
          </cell>
          <cell r="FF51">
            <v>42010</v>
          </cell>
          <cell r="FH51">
            <v>42010</v>
          </cell>
        </row>
        <row r="52">
          <cell r="B52">
            <v>9328</v>
          </cell>
          <cell r="C52" t="str">
            <v>05.07.2006</v>
          </cell>
          <cell r="D52" t="str">
            <v>Pagare Ganesh Vitthal</v>
          </cell>
          <cell r="F52">
            <v>17590</v>
          </cell>
          <cell r="H52">
            <v>22780</v>
          </cell>
          <cell r="I52">
            <v>22780</v>
          </cell>
          <cell r="J52">
            <v>45560</v>
          </cell>
          <cell r="K52">
            <v>27970</v>
          </cell>
          <cell r="M52">
            <v>1088</v>
          </cell>
          <cell r="N52">
            <v>0</v>
          </cell>
          <cell r="O52">
            <v>1088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W52">
            <v>1088</v>
          </cell>
          <cell r="X52">
            <v>0</v>
          </cell>
          <cell r="Y52">
            <v>1088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G52">
            <v>1121</v>
          </cell>
          <cell r="AH52">
            <v>0</v>
          </cell>
          <cell r="AI52">
            <v>1121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Q52">
            <v>1121</v>
          </cell>
          <cell r="AR52">
            <v>0</v>
          </cell>
          <cell r="AS52">
            <v>1121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BA52">
            <v>1121</v>
          </cell>
          <cell r="BB52">
            <v>0</v>
          </cell>
          <cell r="BC52">
            <v>1121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K52">
            <v>1173</v>
          </cell>
          <cell r="BL52">
            <v>0</v>
          </cell>
          <cell r="BM52">
            <v>1173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U52">
            <v>1173</v>
          </cell>
          <cell r="BV52">
            <v>0</v>
          </cell>
          <cell r="BW52">
            <v>1173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E52">
            <v>1173</v>
          </cell>
          <cell r="CF52">
            <v>0</v>
          </cell>
          <cell r="CG52">
            <v>1173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O52">
            <v>1173</v>
          </cell>
          <cell r="CP52">
            <v>0</v>
          </cell>
          <cell r="CQ52">
            <v>1173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Y52">
            <v>1173</v>
          </cell>
          <cell r="CZ52">
            <v>0</v>
          </cell>
          <cell r="DA52">
            <v>1173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I52">
            <v>45560</v>
          </cell>
          <cell r="DJ52">
            <v>11404</v>
          </cell>
          <cell r="DK52">
            <v>0</v>
          </cell>
          <cell r="DL52">
            <v>11404</v>
          </cell>
          <cell r="DM52">
            <v>11404</v>
          </cell>
          <cell r="DN52">
            <v>0</v>
          </cell>
          <cell r="DO52">
            <v>11404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22808</v>
          </cell>
          <cell r="DU52">
            <v>0</v>
          </cell>
          <cell r="DW52">
            <v>0</v>
          </cell>
          <cell r="DX52">
            <v>0</v>
          </cell>
          <cell r="DY52">
            <v>47736</v>
          </cell>
          <cell r="DZ52">
            <v>49912</v>
          </cell>
          <cell r="EA52">
            <v>52154</v>
          </cell>
          <cell r="EB52">
            <v>54396</v>
          </cell>
          <cell r="EC52">
            <v>56638</v>
          </cell>
          <cell r="ED52">
            <v>58984</v>
          </cell>
          <cell r="EE52">
            <v>61330</v>
          </cell>
          <cell r="EF52">
            <v>63676</v>
          </cell>
          <cell r="EG52">
            <v>66022</v>
          </cell>
          <cell r="EH52">
            <v>68368</v>
          </cell>
          <cell r="EI52">
            <v>579216</v>
          </cell>
          <cell r="EK52">
            <v>0</v>
          </cell>
          <cell r="EL52">
            <v>0</v>
          </cell>
          <cell r="EM52">
            <v>318.24</v>
          </cell>
          <cell r="EN52">
            <v>332.74666666666667</v>
          </cell>
          <cell r="EO52">
            <v>347.69333333333333</v>
          </cell>
          <cell r="EP52">
            <v>362.64000000000004</v>
          </cell>
          <cell r="EQ52">
            <v>377.58666666666664</v>
          </cell>
          <cell r="ER52">
            <v>393.22666666666669</v>
          </cell>
          <cell r="ES52">
            <v>439.53166666666669</v>
          </cell>
          <cell r="ET52">
            <v>456.34466666666663</v>
          </cell>
          <cell r="EU52">
            <v>473.15766666666667</v>
          </cell>
          <cell r="EV52">
            <v>489.9706666666666</v>
          </cell>
          <cell r="EW52">
            <v>3991.1379999999999</v>
          </cell>
          <cell r="EY52">
            <v>319820</v>
          </cell>
          <cell r="EZ52">
            <v>8</v>
          </cell>
          <cell r="FA52">
            <v>2132.1333333333332</v>
          </cell>
          <cell r="FB52">
            <v>259396</v>
          </cell>
          <cell r="FC52">
            <v>8.6</v>
          </cell>
          <cell r="FD52">
            <v>1859.0046666666667</v>
          </cell>
          <cell r="FE52">
            <v>3991.1379999999999</v>
          </cell>
          <cell r="FF52">
            <v>72359</v>
          </cell>
          <cell r="FH52">
            <v>72359</v>
          </cell>
        </row>
        <row r="53">
          <cell r="B53">
            <v>9343</v>
          </cell>
          <cell r="C53" t="str">
            <v>06.07.2006</v>
          </cell>
          <cell r="D53" t="str">
            <v>Jadhav Anil Ramesh</v>
          </cell>
          <cell r="F53">
            <v>16446</v>
          </cell>
          <cell r="G53">
            <v>31436</v>
          </cell>
          <cell r="H53">
            <v>8260</v>
          </cell>
          <cell r="I53">
            <v>8260</v>
          </cell>
          <cell r="J53">
            <v>16520</v>
          </cell>
          <cell r="K53">
            <v>74</v>
          </cell>
          <cell r="M53">
            <v>1088</v>
          </cell>
          <cell r="N53">
            <v>0</v>
          </cell>
          <cell r="O53">
            <v>1088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W53">
            <v>1088</v>
          </cell>
          <cell r="X53">
            <v>0</v>
          </cell>
          <cell r="Y53">
            <v>1088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G53">
            <v>1121</v>
          </cell>
          <cell r="AH53">
            <v>0</v>
          </cell>
          <cell r="AI53">
            <v>1121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Q53">
            <v>1121</v>
          </cell>
          <cell r="AR53">
            <v>0</v>
          </cell>
          <cell r="AS53">
            <v>1121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BA53">
            <v>1121</v>
          </cell>
          <cell r="BB53">
            <v>0</v>
          </cell>
          <cell r="BC53">
            <v>1121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K53">
            <v>1173</v>
          </cell>
          <cell r="BL53">
            <v>0</v>
          </cell>
          <cell r="BM53">
            <v>1173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U53">
            <v>1173</v>
          </cell>
          <cell r="BV53">
            <v>0</v>
          </cell>
          <cell r="BW53">
            <v>1173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E53">
            <v>1173</v>
          </cell>
          <cell r="CF53">
            <v>0</v>
          </cell>
          <cell r="CG53">
            <v>1173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O53">
            <v>1173</v>
          </cell>
          <cell r="CP53">
            <v>0</v>
          </cell>
          <cell r="CQ53">
            <v>1173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Y53">
            <v>1173</v>
          </cell>
          <cell r="CZ53">
            <v>0</v>
          </cell>
          <cell r="DA53">
            <v>1173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I53">
            <v>16520</v>
          </cell>
          <cell r="DJ53">
            <v>11404</v>
          </cell>
          <cell r="DK53">
            <v>0</v>
          </cell>
          <cell r="DL53">
            <v>11404</v>
          </cell>
          <cell r="DM53">
            <v>11404</v>
          </cell>
          <cell r="DN53">
            <v>0</v>
          </cell>
          <cell r="DO53">
            <v>11404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22808</v>
          </cell>
          <cell r="DU53">
            <v>0</v>
          </cell>
          <cell r="DW53">
            <v>0</v>
          </cell>
          <cell r="DX53">
            <v>0</v>
          </cell>
          <cell r="DY53">
            <v>18696</v>
          </cell>
          <cell r="DZ53">
            <v>20872</v>
          </cell>
          <cell r="EA53">
            <v>23114</v>
          </cell>
          <cell r="EB53">
            <v>25356</v>
          </cell>
          <cell r="EC53">
            <v>27598</v>
          </cell>
          <cell r="ED53">
            <v>29944</v>
          </cell>
          <cell r="EE53">
            <v>32290</v>
          </cell>
          <cell r="EF53">
            <v>34636</v>
          </cell>
          <cell r="EG53">
            <v>36982</v>
          </cell>
          <cell r="EH53">
            <v>39328</v>
          </cell>
          <cell r="EI53">
            <v>288816</v>
          </cell>
          <cell r="EK53">
            <v>0</v>
          </cell>
          <cell r="EL53">
            <v>0</v>
          </cell>
          <cell r="EM53">
            <v>124.64</v>
          </cell>
          <cell r="EN53">
            <v>139.14666666666668</v>
          </cell>
          <cell r="EO53">
            <v>154.09333333333333</v>
          </cell>
          <cell r="EP53">
            <v>169.04</v>
          </cell>
          <cell r="EQ53">
            <v>183.98666666666668</v>
          </cell>
          <cell r="ER53">
            <v>199.62666666666667</v>
          </cell>
          <cell r="ES53">
            <v>231.41166666666666</v>
          </cell>
          <cell r="ET53">
            <v>248.22466666666665</v>
          </cell>
          <cell r="EU53">
            <v>265.03766666666667</v>
          </cell>
          <cell r="EV53">
            <v>281.85066666666665</v>
          </cell>
          <cell r="EW53">
            <v>1997.058</v>
          </cell>
          <cell r="EY53">
            <v>145580</v>
          </cell>
          <cell r="EZ53">
            <v>8</v>
          </cell>
          <cell r="FA53">
            <v>970.5333333333333</v>
          </cell>
          <cell r="FB53">
            <v>143236</v>
          </cell>
          <cell r="FC53">
            <v>8.6</v>
          </cell>
          <cell r="FD53">
            <v>1026.5246666666665</v>
          </cell>
          <cell r="FE53">
            <v>1997.0579999999998</v>
          </cell>
          <cell r="FF53">
            <v>41325</v>
          </cell>
          <cell r="FH53">
            <v>41325</v>
          </cell>
        </row>
        <row r="54">
          <cell r="B54">
            <v>9344</v>
          </cell>
          <cell r="C54" t="str">
            <v>05.07.2006</v>
          </cell>
          <cell r="D54" t="str">
            <v>Gangurde Sandeep Chandrakant</v>
          </cell>
          <cell r="F54">
            <v>16446</v>
          </cell>
          <cell r="G54">
            <v>31444</v>
          </cell>
          <cell r="H54">
            <v>7634</v>
          </cell>
          <cell r="I54">
            <v>7634</v>
          </cell>
          <cell r="J54">
            <v>15268</v>
          </cell>
          <cell r="K54">
            <v>-1178</v>
          </cell>
          <cell r="M54">
            <v>1088</v>
          </cell>
          <cell r="N54">
            <v>0</v>
          </cell>
          <cell r="O54">
            <v>1088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W54">
            <v>1088</v>
          </cell>
          <cell r="X54">
            <v>0</v>
          </cell>
          <cell r="Y54">
            <v>1088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G54">
            <v>1121</v>
          </cell>
          <cell r="AH54">
            <v>0</v>
          </cell>
          <cell r="AI54">
            <v>1121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Q54">
            <v>1121</v>
          </cell>
          <cell r="AR54">
            <v>0</v>
          </cell>
          <cell r="AS54">
            <v>1121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BA54">
            <v>1121</v>
          </cell>
          <cell r="BB54">
            <v>0</v>
          </cell>
          <cell r="BC54">
            <v>1121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K54">
            <v>1173</v>
          </cell>
          <cell r="BL54">
            <v>0</v>
          </cell>
          <cell r="BM54">
            <v>1173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U54">
            <v>1173</v>
          </cell>
          <cell r="BV54">
            <v>0</v>
          </cell>
          <cell r="BW54">
            <v>1173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E54">
            <v>1173</v>
          </cell>
          <cell r="CF54">
            <v>0</v>
          </cell>
          <cell r="CG54">
            <v>1173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O54">
            <v>1173</v>
          </cell>
          <cell r="CP54">
            <v>0</v>
          </cell>
          <cell r="CQ54">
            <v>1173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Y54">
            <v>1173</v>
          </cell>
          <cell r="CZ54">
            <v>0</v>
          </cell>
          <cell r="DA54">
            <v>1173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I54">
            <v>15268</v>
          </cell>
          <cell r="DJ54">
            <v>11404</v>
          </cell>
          <cell r="DK54">
            <v>0</v>
          </cell>
          <cell r="DL54">
            <v>11404</v>
          </cell>
          <cell r="DM54">
            <v>11404</v>
          </cell>
          <cell r="DN54">
            <v>0</v>
          </cell>
          <cell r="DO54">
            <v>11404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22808</v>
          </cell>
          <cell r="DU54">
            <v>0</v>
          </cell>
          <cell r="DW54">
            <v>0</v>
          </cell>
          <cell r="DX54">
            <v>0</v>
          </cell>
          <cell r="DY54">
            <v>17444</v>
          </cell>
          <cell r="DZ54">
            <v>19620</v>
          </cell>
          <cell r="EA54">
            <v>21862</v>
          </cell>
          <cell r="EB54">
            <v>24104</v>
          </cell>
          <cell r="EC54">
            <v>26346</v>
          </cell>
          <cell r="ED54">
            <v>28692</v>
          </cell>
          <cell r="EE54">
            <v>31038</v>
          </cell>
          <cell r="EF54">
            <v>33384</v>
          </cell>
          <cell r="EG54">
            <v>35730</v>
          </cell>
          <cell r="EH54">
            <v>38076</v>
          </cell>
          <cell r="EI54">
            <v>276296</v>
          </cell>
          <cell r="EK54">
            <v>0</v>
          </cell>
          <cell r="EL54">
            <v>0</v>
          </cell>
          <cell r="EM54">
            <v>116.29333333333334</v>
          </cell>
          <cell r="EN54">
            <v>130.79999999999998</v>
          </cell>
          <cell r="EO54">
            <v>145.74666666666667</v>
          </cell>
          <cell r="EP54">
            <v>160.69333333333333</v>
          </cell>
          <cell r="EQ54">
            <v>175.64</v>
          </cell>
          <cell r="ER54">
            <v>191.28</v>
          </cell>
          <cell r="ES54">
            <v>222.43899999999999</v>
          </cell>
          <cell r="ET54">
            <v>239.25199999999995</v>
          </cell>
          <cell r="EU54">
            <v>256.065</v>
          </cell>
          <cell r="EV54">
            <v>272.87799999999999</v>
          </cell>
          <cell r="EW54">
            <v>1911.0873333333332</v>
          </cell>
          <cell r="EY54">
            <v>138068</v>
          </cell>
          <cell r="EZ54">
            <v>8</v>
          </cell>
          <cell r="FA54">
            <v>920.45333333333338</v>
          </cell>
          <cell r="FB54">
            <v>138228</v>
          </cell>
          <cell r="FC54">
            <v>8.6</v>
          </cell>
          <cell r="FD54">
            <v>990.63400000000001</v>
          </cell>
          <cell r="FE54">
            <v>1911.0873333333334</v>
          </cell>
          <cell r="FF54">
            <v>39987</v>
          </cell>
          <cell r="FH54">
            <v>39987</v>
          </cell>
        </row>
        <row r="55">
          <cell r="B55">
            <v>9366</v>
          </cell>
          <cell r="C55" t="str">
            <v>05.07.2006</v>
          </cell>
          <cell r="D55" t="str">
            <v>Pawar Vijay Shivaji</v>
          </cell>
          <cell r="F55">
            <v>12408</v>
          </cell>
          <cell r="G55">
            <v>30979</v>
          </cell>
          <cell r="H55">
            <v>8634</v>
          </cell>
          <cell r="I55">
            <v>8634</v>
          </cell>
          <cell r="J55">
            <v>17268</v>
          </cell>
          <cell r="K55">
            <v>4860</v>
          </cell>
          <cell r="M55">
            <v>1088</v>
          </cell>
          <cell r="N55">
            <v>0</v>
          </cell>
          <cell r="O55">
            <v>1088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W55">
            <v>1088</v>
          </cell>
          <cell r="X55">
            <v>0</v>
          </cell>
          <cell r="Y55">
            <v>1088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G55">
            <v>1121</v>
          </cell>
          <cell r="AH55">
            <v>0</v>
          </cell>
          <cell r="AI55">
            <v>1121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Q55">
            <v>1121</v>
          </cell>
          <cell r="AR55">
            <v>0</v>
          </cell>
          <cell r="AS55">
            <v>1121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BA55">
            <v>1121</v>
          </cell>
          <cell r="BB55">
            <v>0</v>
          </cell>
          <cell r="BC55">
            <v>1121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K55">
            <v>1173</v>
          </cell>
          <cell r="BL55">
            <v>0</v>
          </cell>
          <cell r="BM55">
            <v>1173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U55">
            <v>1173</v>
          </cell>
          <cell r="BV55">
            <v>0</v>
          </cell>
          <cell r="BW55">
            <v>1173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E55">
            <v>1173</v>
          </cell>
          <cell r="CF55">
            <v>0</v>
          </cell>
          <cell r="CG55">
            <v>1173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O55">
            <v>1173</v>
          </cell>
          <cell r="CP55">
            <v>0</v>
          </cell>
          <cell r="CQ55">
            <v>1173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Y55">
            <v>1173</v>
          </cell>
          <cell r="CZ55">
            <v>0</v>
          </cell>
          <cell r="DA55">
            <v>1173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I55">
            <v>17268</v>
          </cell>
          <cell r="DJ55">
            <v>11404</v>
          </cell>
          <cell r="DK55">
            <v>0</v>
          </cell>
          <cell r="DL55">
            <v>11404</v>
          </cell>
          <cell r="DM55">
            <v>11404</v>
          </cell>
          <cell r="DN55">
            <v>0</v>
          </cell>
          <cell r="DO55">
            <v>11404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22808</v>
          </cell>
          <cell r="DU55">
            <v>0</v>
          </cell>
          <cell r="DW55">
            <v>0</v>
          </cell>
          <cell r="DX55">
            <v>0</v>
          </cell>
          <cell r="DY55">
            <v>19444</v>
          </cell>
          <cell r="DZ55">
            <v>21620</v>
          </cell>
          <cell r="EA55">
            <v>23862</v>
          </cell>
          <cell r="EB55">
            <v>26104</v>
          </cell>
          <cell r="EC55">
            <v>28346</v>
          </cell>
          <cell r="ED55">
            <v>30692</v>
          </cell>
          <cell r="EE55">
            <v>33038</v>
          </cell>
          <cell r="EF55">
            <v>35384</v>
          </cell>
          <cell r="EG55">
            <v>37730</v>
          </cell>
          <cell r="EH55">
            <v>40076</v>
          </cell>
          <cell r="EI55">
            <v>296296</v>
          </cell>
          <cell r="EK55">
            <v>0</v>
          </cell>
          <cell r="EL55">
            <v>0</v>
          </cell>
          <cell r="EM55">
            <v>129.62666666666667</v>
          </cell>
          <cell r="EN55">
            <v>144.13333333333333</v>
          </cell>
          <cell r="EO55">
            <v>159.08000000000001</v>
          </cell>
          <cell r="EP55">
            <v>174.02666666666667</v>
          </cell>
          <cell r="EQ55">
            <v>188.97333333333333</v>
          </cell>
          <cell r="ER55">
            <v>204.61333333333334</v>
          </cell>
          <cell r="ES55">
            <v>236.77233333333334</v>
          </cell>
          <cell r="ET55">
            <v>253.5853333333333</v>
          </cell>
          <cell r="EU55">
            <v>270.39833333333337</v>
          </cell>
          <cell r="EV55">
            <v>287.2113333333333</v>
          </cell>
          <cell r="EW55">
            <v>2048.4206666666664</v>
          </cell>
          <cell r="EY55">
            <v>150068</v>
          </cell>
          <cell r="EZ55">
            <v>8</v>
          </cell>
          <cell r="FA55">
            <v>1000.4533333333334</v>
          </cell>
          <cell r="FB55">
            <v>146228</v>
          </cell>
          <cell r="FC55">
            <v>8.6</v>
          </cell>
          <cell r="FD55">
            <v>1047.9673333333333</v>
          </cell>
          <cell r="FE55">
            <v>2048.4206666666669</v>
          </cell>
          <cell r="FF55">
            <v>42124</v>
          </cell>
          <cell r="FH55">
            <v>42124</v>
          </cell>
        </row>
        <row r="56">
          <cell r="B56">
            <v>9341</v>
          </cell>
          <cell r="C56" t="str">
            <v>15.07.2006</v>
          </cell>
          <cell r="D56" t="str">
            <v>Mandalik Rajendra Bhaurao</v>
          </cell>
          <cell r="F56">
            <v>14835</v>
          </cell>
          <cell r="H56">
            <v>14520</v>
          </cell>
          <cell r="I56">
            <v>14520</v>
          </cell>
          <cell r="J56">
            <v>29040</v>
          </cell>
          <cell r="K56">
            <v>14205</v>
          </cell>
          <cell r="M56">
            <v>1088</v>
          </cell>
          <cell r="N56">
            <v>0</v>
          </cell>
          <cell r="O56">
            <v>1088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W56">
            <v>1088</v>
          </cell>
          <cell r="X56">
            <v>0</v>
          </cell>
          <cell r="Y56">
            <v>1088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G56">
            <v>1121</v>
          </cell>
          <cell r="AH56">
            <v>0</v>
          </cell>
          <cell r="AI56">
            <v>1121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Q56">
            <v>1121</v>
          </cell>
          <cell r="AR56">
            <v>0</v>
          </cell>
          <cell r="AS56">
            <v>1121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BA56">
            <v>1121</v>
          </cell>
          <cell r="BB56">
            <v>0</v>
          </cell>
          <cell r="BC56">
            <v>1121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K56">
            <v>1173</v>
          </cell>
          <cell r="BL56">
            <v>0</v>
          </cell>
          <cell r="BM56">
            <v>1173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U56">
            <v>1173</v>
          </cell>
          <cell r="BV56">
            <v>0</v>
          </cell>
          <cell r="BW56">
            <v>1173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E56">
            <v>1173</v>
          </cell>
          <cell r="CF56">
            <v>0</v>
          </cell>
          <cell r="CG56">
            <v>1173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O56">
            <v>1173</v>
          </cell>
          <cell r="CP56">
            <v>0</v>
          </cell>
          <cell r="CQ56">
            <v>1173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Y56">
            <v>1173</v>
          </cell>
          <cell r="CZ56">
            <v>0</v>
          </cell>
          <cell r="DA56">
            <v>1173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I56">
            <v>29040</v>
          </cell>
          <cell r="DJ56">
            <v>11404</v>
          </cell>
          <cell r="DK56">
            <v>0</v>
          </cell>
          <cell r="DL56">
            <v>11404</v>
          </cell>
          <cell r="DM56">
            <v>11404</v>
          </cell>
          <cell r="DN56">
            <v>0</v>
          </cell>
          <cell r="DO56">
            <v>11404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22808</v>
          </cell>
          <cell r="DU56">
            <v>0</v>
          </cell>
          <cell r="DW56">
            <v>0</v>
          </cell>
          <cell r="DX56">
            <v>0</v>
          </cell>
          <cell r="DY56">
            <v>31216</v>
          </cell>
          <cell r="DZ56">
            <v>33392</v>
          </cell>
          <cell r="EA56">
            <v>35634</v>
          </cell>
          <cell r="EB56">
            <v>37876</v>
          </cell>
          <cell r="EC56">
            <v>40118</v>
          </cell>
          <cell r="ED56">
            <v>42464</v>
          </cell>
          <cell r="EE56">
            <v>44810</v>
          </cell>
          <cell r="EF56">
            <v>47156</v>
          </cell>
          <cell r="EG56">
            <v>49502</v>
          </cell>
          <cell r="EH56">
            <v>51848</v>
          </cell>
          <cell r="EI56">
            <v>414016</v>
          </cell>
          <cell r="EK56">
            <v>0</v>
          </cell>
          <cell r="EL56">
            <v>0</v>
          </cell>
          <cell r="EM56">
            <v>208.10666666666668</v>
          </cell>
          <cell r="EN56">
            <v>222.61333333333334</v>
          </cell>
          <cell r="EO56">
            <v>237.55999999999997</v>
          </cell>
          <cell r="EP56">
            <v>252.50666666666666</v>
          </cell>
          <cell r="EQ56">
            <v>267.45333333333332</v>
          </cell>
          <cell r="ER56">
            <v>283.09333333333331</v>
          </cell>
          <cell r="ES56">
            <v>321.13833333333332</v>
          </cell>
          <cell r="ET56">
            <v>337.95133333333331</v>
          </cell>
          <cell r="EU56">
            <v>354.7643333333333</v>
          </cell>
          <cell r="EV56">
            <v>371.57733333333334</v>
          </cell>
          <cell r="EW56">
            <v>2856.7646666666665</v>
          </cell>
          <cell r="EY56">
            <v>220700</v>
          </cell>
          <cell r="EZ56">
            <v>8</v>
          </cell>
          <cell r="FA56">
            <v>1471.3333333333333</v>
          </cell>
          <cell r="FB56">
            <v>193316</v>
          </cell>
          <cell r="FC56">
            <v>8.6</v>
          </cell>
          <cell r="FD56">
            <v>1385.4313333333332</v>
          </cell>
          <cell r="FE56">
            <v>2856.7646666666665</v>
          </cell>
          <cell r="FF56">
            <v>54705</v>
          </cell>
          <cell r="FH56">
            <v>54705</v>
          </cell>
        </row>
        <row r="57">
          <cell r="B57">
            <v>9346</v>
          </cell>
          <cell r="C57" t="str">
            <v>19.07.2006</v>
          </cell>
          <cell r="D57" t="str">
            <v>Dhaije Laxman Madhukar</v>
          </cell>
          <cell r="F57">
            <v>16184</v>
          </cell>
          <cell r="G57">
            <v>31331</v>
          </cell>
          <cell r="H57">
            <v>8634</v>
          </cell>
          <cell r="I57">
            <v>8634</v>
          </cell>
          <cell r="J57">
            <v>17268</v>
          </cell>
          <cell r="K57">
            <v>1084</v>
          </cell>
          <cell r="M57">
            <v>1088</v>
          </cell>
          <cell r="N57">
            <v>0</v>
          </cell>
          <cell r="O57">
            <v>1088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W57">
            <v>1088</v>
          </cell>
          <cell r="X57">
            <v>0</v>
          </cell>
          <cell r="Y57">
            <v>1088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6800</v>
          </cell>
          <cell r="AG57">
            <v>1121</v>
          </cell>
          <cell r="AH57">
            <v>0</v>
          </cell>
          <cell r="AI57">
            <v>1121</v>
          </cell>
          <cell r="AJ57">
            <v>0</v>
          </cell>
          <cell r="AK57">
            <v>340</v>
          </cell>
          <cell r="AL57">
            <v>0</v>
          </cell>
          <cell r="AM57">
            <v>0</v>
          </cell>
          <cell r="AN57">
            <v>340</v>
          </cell>
          <cell r="AO57">
            <v>0</v>
          </cell>
          <cell r="AQ57">
            <v>1121</v>
          </cell>
          <cell r="AR57">
            <v>0</v>
          </cell>
          <cell r="AS57">
            <v>1121</v>
          </cell>
          <cell r="AT57">
            <v>0</v>
          </cell>
          <cell r="AU57">
            <v>340</v>
          </cell>
          <cell r="AV57">
            <v>0</v>
          </cell>
          <cell r="AW57">
            <v>0</v>
          </cell>
          <cell r="AX57">
            <v>340</v>
          </cell>
          <cell r="AY57">
            <v>0</v>
          </cell>
          <cell r="BA57">
            <v>1121</v>
          </cell>
          <cell r="BB57">
            <v>0</v>
          </cell>
          <cell r="BC57">
            <v>1121</v>
          </cell>
          <cell r="BD57">
            <v>0</v>
          </cell>
          <cell r="BE57">
            <v>340</v>
          </cell>
          <cell r="BF57">
            <v>0</v>
          </cell>
          <cell r="BG57">
            <v>0</v>
          </cell>
          <cell r="BH57">
            <v>340</v>
          </cell>
          <cell r="BI57">
            <v>5820</v>
          </cell>
          <cell r="BK57">
            <v>1173</v>
          </cell>
          <cell r="BL57">
            <v>0</v>
          </cell>
          <cell r="BM57">
            <v>1173</v>
          </cell>
          <cell r="BN57">
            <v>0</v>
          </cell>
          <cell r="BO57">
            <v>580</v>
          </cell>
          <cell r="BP57">
            <v>0</v>
          </cell>
          <cell r="BQ57">
            <v>0</v>
          </cell>
          <cell r="BR57">
            <v>580</v>
          </cell>
          <cell r="BS57">
            <v>0</v>
          </cell>
          <cell r="BU57">
            <v>1173</v>
          </cell>
          <cell r="BV57">
            <v>0</v>
          </cell>
          <cell r="BW57">
            <v>1173</v>
          </cell>
          <cell r="BX57">
            <v>0</v>
          </cell>
          <cell r="BY57">
            <v>580</v>
          </cell>
          <cell r="BZ57">
            <v>0</v>
          </cell>
          <cell r="CA57">
            <v>0</v>
          </cell>
          <cell r="CB57">
            <v>580</v>
          </cell>
          <cell r="CC57">
            <v>0</v>
          </cell>
          <cell r="CE57">
            <v>1173</v>
          </cell>
          <cell r="CF57">
            <v>0</v>
          </cell>
          <cell r="CG57">
            <v>1173</v>
          </cell>
          <cell r="CH57">
            <v>0</v>
          </cell>
          <cell r="CI57">
            <v>580</v>
          </cell>
          <cell r="CJ57">
            <v>0</v>
          </cell>
          <cell r="CK57">
            <v>0</v>
          </cell>
          <cell r="CL57">
            <v>580</v>
          </cell>
          <cell r="CM57">
            <v>0</v>
          </cell>
          <cell r="CO57">
            <v>1173</v>
          </cell>
          <cell r="CP57">
            <v>0</v>
          </cell>
          <cell r="CQ57">
            <v>1173</v>
          </cell>
          <cell r="CR57">
            <v>0</v>
          </cell>
          <cell r="CS57">
            <v>580</v>
          </cell>
          <cell r="CT57">
            <v>0</v>
          </cell>
          <cell r="CU57">
            <v>0</v>
          </cell>
          <cell r="CV57">
            <v>580</v>
          </cell>
          <cell r="CW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I57">
            <v>17268</v>
          </cell>
          <cell r="DJ57">
            <v>10231</v>
          </cell>
          <cell r="DK57">
            <v>0</v>
          </cell>
          <cell r="DL57">
            <v>10231</v>
          </cell>
          <cell r="DM57">
            <v>10231</v>
          </cell>
          <cell r="DN57">
            <v>0</v>
          </cell>
          <cell r="DO57">
            <v>10231</v>
          </cell>
          <cell r="DP57">
            <v>3340</v>
          </cell>
          <cell r="DQ57">
            <v>0</v>
          </cell>
          <cell r="DR57">
            <v>0</v>
          </cell>
          <cell r="DS57">
            <v>3340</v>
          </cell>
          <cell r="DT57">
            <v>23802</v>
          </cell>
          <cell r="DU57">
            <v>12620</v>
          </cell>
          <cell r="DW57">
            <v>0</v>
          </cell>
          <cell r="DX57">
            <v>0</v>
          </cell>
          <cell r="DY57">
            <v>19444</v>
          </cell>
          <cell r="DZ57">
            <v>14820</v>
          </cell>
          <cell r="EA57">
            <v>17402</v>
          </cell>
          <cell r="EB57">
            <v>19984</v>
          </cell>
          <cell r="EC57">
            <v>16746</v>
          </cell>
          <cell r="ED57">
            <v>19672</v>
          </cell>
          <cell r="EE57">
            <v>22598</v>
          </cell>
          <cell r="EF57">
            <v>25524</v>
          </cell>
          <cell r="EG57">
            <v>28450</v>
          </cell>
          <cell r="EH57">
            <v>28450</v>
          </cell>
          <cell r="EI57">
            <v>213090</v>
          </cell>
          <cell r="EK57">
            <v>0</v>
          </cell>
          <cell r="EL57">
            <v>0</v>
          </cell>
          <cell r="EM57">
            <v>129.62666666666667</v>
          </cell>
          <cell r="EN57">
            <v>98.8</v>
          </cell>
          <cell r="EO57">
            <v>116.01333333333334</v>
          </cell>
          <cell r="EP57">
            <v>133.22666666666666</v>
          </cell>
          <cell r="EQ57">
            <v>111.64</v>
          </cell>
          <cell r="ER57">
            <v>131.14666666666668</v>
          </cell>
          <cell r="ES57">
            <v>161.95233333333331</v>
          </cell>
          <cell r="ET57">
            <v>182.922</v>
          </cell>
          <cell r="EU57">
            <v>203.89166666666665</v>
          </cell>
          <cell r="EV57">
            <v>203.89166666666665</v>
          </cell>
          <cell r="EW57">
            <v>1473.1109999999999</v>
          </cell>
          <cell r="EY57">
            <v>108068</v>
          </cell>
          <cell r="EZ57">
            <v>8</v>
          </cell>
          <cell r="FA57">
            <v>720.45333333333338</v>
          </cell>
          <cell r="FB57">
            <v>105022</v>
          </cell>
          <cell r="FC57">
            <v>8.6</v>
          </cell>
          <cell r="FD57">
            <v>752.65766666666661</v>
          </cell>
          <cell r="FE57">
            <v>1473.1109999999999</v>
          </cell>
          <cell r="FF57">
            <v>29923</v>
          </cell>
          <cell r="FH57">
            <v>29923</v>
          </cell>
        </row>
        <row r="58">
          <cell r="B58">
            <v>9349</v>
          </cell>
          <cell r="C58" t="str">
            <v>26.07.2006</v>
          </cell>
          <cell r="D58" t="str">
            <v>Kokane Dinesh Bhausaheb</v>
          </cell>
          <cell r="F58">
            <v>15685</v>
          </cell>
          <cell r="G58">
            <v>30792</v>
          </cell>
          <cell r="H58">
            <v>7634</v>
          </cell>
          <cell r="I58">
            <v>7634</v>
          </cell>
          <cell r="J58">
            <v>15268</v>
          </cell>
          <cell r="K58">
            <v>-417</v>
          </cell>
          <cell r="M58">
            <v>1088</v>
          </cell>
          <cell r="N58">
            <v>0</v>
          </cell>
          <cell r="O58">
            <v>1088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W58">
            <v>1088</v>
          </cell>
          <cell r="X58">
            <v>0</v>
          </cell>
          <cell r="Y58">
            <v>1088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G58">
            <v>1121</v>
          </cell>
          <cell r="AH58">
            <v>0</v>
          </cell>
          <cell r="AI58">
            <v>1121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Q58">
            <v>1121</v>
          </cell>
          <cell r="AR58">
            <v>0</v>
          </cell>
          <cell r="AS58">
            <v>1121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BA58">
            <v>1121</v>
          </cell>
          <cell r="BB58">
            <v>0</v>
          </cell>
          <cell r="BC58">
            <v>1121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K58">
            <v>1173</v>
          </cell>
          <cell r="BL58">
            <v>0</v>
          </cell>
          <cell r="BM58">
            <v>1173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U58">
            <v>1173</v>
          </cell>
          <cell r="BV58">
            <v>0</v>
          </cell>
          <cell r="BW58">
            <v>1173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E58">
            <v>1173</v>
          </cell>
          <cell r="CF58">
            <v>0</v>
          </cell>
          <cell r="CG58">
            <v>1173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O58">
            <v>1173</v>
          </cell>
          <cell r="CP58">
            <v>0</v>
          </cell>
          <cell r="CQ58">
            <v>1173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Y58">
            <v>1173</v>
          </cell>
          <cell r="CZ58">
            <v>0</v>
          </cell>
          <cell r="DA58">
            <v>1173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I58">
            <v>15268</v>
          </cell>
          <cell r="DJ58">
            <v>11404</v>
          </cell>
          <cell r="DK58">
            <v>0</v>
          </cell>
          <cell r="DL58">
            <v>11404</v>
          </cell>
          <cell r="DM58">
            <v>11404</v>
          </cell>
          <cell r="DN58">
            <v>0</v>
          </cell>
          <cell r="DO58">
            <v>11404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22808</v>
          </cell>
          <cell r="DU58">
            <v>0</v>
          </cell>
          <cell r="DW58">
            <v>0</v>
          </cell>
          <cell r="DX58">
            <v>0</v>
          </cell>
          <cell r="DY58">
            <v>17444</v>
          </cell>
          <cell r="DZ58">
            <v>19620</v>
          </cell>
          <cell r="EA58">
            <v>21862</v>
          </cell>
          <cell r="EB58">
            <v>24104</v>
          </cell>
          <cell r="EC58">
            <v>26346</v>
          </cell>
          <cell r="ED58">
            <v>28692</v>
          </cell>
          <cell r="EE58">
            <v>31038</v>
          </cell>
          <cell r="EF58">
            <v>33384</v>
          </cell>
          <cell r="EG58">
            <v>35730</v>
          </cell>
          <cell r="EH58">
            <v>38076</v>
          </cell>
          <cell r="EI58">
            <v>276296</v>
          </cell>
          <cell r="EK58">
            <v>0</v>
          </cell>
          <cell r="EL58">
            <v>0</v>
          </cell>
          <cell r="EM58">
            <v>116.29333333333334</v>
          </cell>
          <cell r="EN58">
            <v>130.79999999999998</v>
          </cell>
          <cell r="EO58">
            <v>145.74666666666667</v>
          </cell>
          <cell r="EP58">
            <v>160.69333333333333</v>
          </cell>
          <cell r="EQ58">
            <v>175.64</v>
          </cell>
          <cell r="ER58">
            <v>191.28</v>
          </cell>
          <cell r="ES58">
            <v>222.43899999999999</v>
          </cell>
          <cell r="ET58">
            <v>239.25199999999995</v>
          </cell>
          <cell r="EU58">
            <v>256.065</v>
          </cell>
          <cell r="EV58">
            <v>272.87799999999999</v>
          </cell>
          <cell r="EW58">
            <v>1911.0873333333332</v>
          </cell>
          <cell r="EY58">
            <v>138068</v>
          </cell>
          <cell r="EZ58">
            <v>8</v>
          </cell>
          <cell r="FA58">
            <v>920.45333333333338</v>
          </cell>
          <cell r="FB58">
            <v>138228</v>
          </cell>
          <cell r="FC58">
            <v>8.6</v>
          </cell>
          <cell r="FD58">
            <v>990.63400000000001</v>
          </cell>
          <cell r="FE58">
            <v>1911.0873333333334</v>
          </cell>
          <cell r="FF58">
            <v>39987</v>
          </cell>
          <cell r="FH58">
            <v>39987</v>
          </cell>
        </row>
        <row r="59">
          <cell r="B59">
            <v>9351</v>
          </cell>
          <cell r="C59" t="str">
            <v>27.07.2006</v>
          </cell>
          <cell r="D59" t="str">
            <v>Piwal Raja Nandlal</v>
          </cell>
          <cell r="F59">
            <v>15685</v>
          </cell>
          <cell r="H59">
            <v>14520</v>
          </cell>
          <cell r="I59">
            <v>14520</v>
          </cell>
          <cell r="J59">
            <v>29040</v>
          </cell>
          <cell r="K59">
            <v>13355</v>
          </cell>
          <cell r="M59">
            <v>1088</v>
          </cell>
          <cell r="N59">
            <v>0</v>
          </cell>
          <cell r="O59">
            <v>1088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W59">
            <v>1088</v>
          </cell>
          <cell r="X59">
            <v>0</v>
          </cell>
          <cell r="Y59">
            <v>1088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G59">
            <v>1121</v>
          </cell>
          <cell r="AH59">
            <v>0</v>
          </cell>
          <cell r="AI59">
            <v>1121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Q59">
            <v>1121</v>
          </cell>
          <cell r="AR59">
            <v>0</v>
          </cell>
          <cell r="AS59">
            <v>1121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BA59">
            <v>1121</v>
          </cell>
          <cell r="BB59">
            <v>0</v>
          </cell>
          <cell r="BC59">
            <v>1121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K59">
            <v>1173</v>
          </cell>
          <cell r="BL59">
            <v>0</v>
          </cell>
          <cell r="BM59">
            <v>1173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U59">
            <v>1173</v>
          </cell>
          <cell r="BV59">
            <v>0</v>
          </cell>
          <cell r="BW59">
            <v>1173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E59">
            <v>1173</v>
          </cell>
          <cell r="CF59">
            <v>0</v>
          </cell>
          <cell r="CG59">
            <v>1173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O59">
            <v>1173</v>
          </cell>
          <cell r="CP59">
            <v>0</v>
          </cell>
          <cell r="CQ59">
            <v>1173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Y59">
            <v>1173</v>
          </cell>
          <cell r="CZ59">
            <v>0</v>
          </cell>
          <cell r="DA59">
            <v>1173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I59">
            <v>29040</v>
          </cell>
          <cell r="DJ59">
            <v>11404</v>
          </cell>
          <cell r="DK59">
            <v>0</v>
          </cell>
          <cell r="DL59">
            <v>11404</v>
          </cell>
          <cell r="DM59">
            <v>11404</v>
          </cell>
          <cell r="DN59">
            <v>0</v>
          </cell>
          <cell r="DO59">
            <v>11404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22808</v>
          </cell>
          <cell r="DU59">
            <v>0</v>
          </cell>
          <cell r="DW59">
            <v>0</v>
          </cell>
          <cell r="DX59">
            <v>0</v>
          </cell>
          <cell r="DY59">
            <v>31216</v>
          </cell>
          <cell r="DZ59">
            <v>33392</v>
          </cell>
          <cell r="EA59">
            <v>35634</v>
          </cell>
          <cell r="EB59">
            <v>37876</v>
          </cell>
          <cell r="EC59">
            <v>40118</v>
          </cell>
          <cell r="ED59">
            <v>42464</v>
          </cell>
          <cell r="EE59">
            <v>44810</v>
          </cell>
          <cell r="EF59">
            <v>47156</v>
          </cell>
          <cell r="EG59">
            <v>49502</v>
          </cell>
          <cell r="EH59">
            <v>51848</v>
          </cell>
          <cell r="EI59">
            <v>414016</v>
          </cell>
          <cell r="EK59">
            <v>0</v>
          </cell>
          <cell r="EL59">
            <v>0</v>
          </cell>
          <cell r="EM59">
            <v>208.10666666666668</v>
          </cell>
          <cell r="EN59">
            <v>222.61333333333334</v>
          </cell>
          <cell r="EO59">
            <v>237.55999999999997</v>
          </cell>
          <cell r="EP59">
            <v>252.50666666666666</v>
          </cell>
          <cell r="EQ59">
            <v>267.45333333333332</v>
          </cell>
          <cell r="ER59">
            <v>283.09333333333331</v>
          </cell>
          <cell r="ES59">
            <v>321.13833333333332</v>
          </cell>
          <cell r="ET59">
            <v>337.95133333333331</v>
          </cell>
          <cell r="EU59">
            <v>354.7643333333333</v>
          </cell>
          <cell r="EV59">
            <v>371.57733333333334</v>
          </cell>
          <cell r="EW59">
            <v>2856.7646666666665</v>
          </cell>
          <cell r="EY59">
            <v>220700</v>
          </cell>
          <cell r="EZ59">
            <v>8</v>
          </cell>
          <cell r="FA59">
            <v>1471.3333333333333</v>
          </cell>
          <cell r="FB59">
            <v>193316</v>
          </cell>
          <cell r="FC59">
            <v>8.6</v>
          </cell>
          <cell r="FD59">
            <v>1385.4313333333332</v>
          </cell>
          <cell r="FE59">
            <v>2856.7646666666665</v>
          </cell>
          <cell r="FF59">
            <v>54705</v>
          </cell>
          <cell r="FH59">
            <v>54705</v>
          </cell>
        </row>
        <row r="60">
          <cell r="B60">
            <v>9345</v>
          </cell>
          <cell r="C60" t="str">
            <v>30.07.2006</v>
          </cell>
          <cell r="D60" t="str">
            <v>Pawar Meera Jayaram</v>
          </cell>
          <cell r="F60">
            <v>16446</v>
          </cell>
          <cell r="G60">
            <v>31242</v>
          </cell>
          <cell r="H60">
            <v>13080</v>
          </cell>
          <cell r="I60">
            <v>13080</v>
          </cell>
          <cell r="J60">
            <v>26160</v>
          </cell>
          <cell r="K60">
            <v>9714</v>
          </cell>
          <cell r="M60">
            <v>1088</v>
          </cell>
          <cell r="N60">
            <v>0</v>
          </cell>
          <cell r="O60">
            <v>1088</v>
          </cell>
          <cell r="P60">
            <v>0</v>
          </cell>
          <cell r="Q60">
            <v>840</v>
          </cell>
          <cell r="R60">
            <v>0</v>
          </cell>
          <cell r="S60">
            <v>0</v>
          </cell>
          <cell r="T60">
            <v>840</v>
          </cell>
          <cell r="U60">
            <v>0</v>
          </cell>
          <cell r="W60">
            <v>1088</v>
          </cell>
          <cell r="X60">
            <v>0</v>
          </cell>
          <cell r="Y60">
            <v>1088</v>
          </cell>
          <cell r="Z60">
            <v>0</v>
          </cell>
          <cell r="AA60">
            <v>840</v>
          </cell>
          <cell r="AB60">
            <v>0</v>
          </cell>
          <cell r="AC60">
            <v>0</v>
          </cell>
          <cell r="AD60">
            <v>840</v>
          </cell>
          <cell r="AE60">
            <v>9920</v>
          </cell>
          <cell r="AG60">
            <v>1121</v>
          </cell>
          <cell r="AH60">
            <v>0</v>
          </cell>
          <cell r="AI60">
            <v>1121</v>
          </cell>
          <cell r="AJ60">
            <v>0</v>
          </cell>
          <cell r="AK60">
            <v>1210</v>
          </cell>
          <cell r="AL60">
            <v>0</v>
          </cell>
          <cell r="AM60">
            <v>0</v>
          </cell>
          <cell r="AN60">
            <v>1210</v>
          </cell>
          <cell r="AO60">
            <v>0</v>
          </cell>
          <cell r="AQ60">
            <v>1121</v>
          </cell>
          <cell r="AR60">
            <v>0</v>
          </cell>
          <cell r="AS60">
            <v>1121</v>
          </cell>
          <cell r="AT60">
            <v>0</v>
          </cell>
          <cell r="AU60">
            <v>1210</v>
          </cell>
          <cell r="AV60">
            <v>0</v>
          </cell>
          <cell r="AW60">
            <v>0</v>
          </cell>
          <cell r="AX60">
            <v>1210</v>
          </cell>
          <cell r="AY60">
            <v>0</v>
          </cell>
          <cell r="BA60">
            <v>1121</v>
          </cell>
          <cell r="BB60">
            <v>0</v>
          </cell>
          <cell r="BC60">
            <v>1121</v>
          </cell>
          <cell r="BD60">
            <v>0</v>
          </cell>
          <cell r="BE60">
            <v>1210</v>
          </cell>
          <cell r="BF60">
            <v>0</v>
          </cell>
          <cell r="BG60">
            <v>0</v>
          </cell>
          <cell r="BH60">
            <v>1210</v>
          </cell>
          <cell r="BI60">
            <v>0</v>
          </cell>
          <cell r="BK60">
            <v>1173</v>
          </cell>
          <cell r="BL60">
            <v>0</v>
          </cell>
          <cell r="BM60">
            <v>1173</v>
          </cell>
          <cell r="BN60">
            <v>0</v>
          </cell>
          <cell r="BO60">
            <v>1210</v>
          </cell>
          <cell r="BP60">
            <v>0</v>
          </cell>
          <cell r="BQ60">
            <v>0</v>
          </cell>
          <cell r="BR60">
            <v>1210</v>
          </cell>
          <cell r="BS60">
            <v>0</v>
          </cell>
          <cell r="BU60">
            <v>1173</v>
          </cell>
          <cell r="BV60">
            <v>0</v>
          </cell>
          <cell r="BW60">
            <v>1173</v>
          </cell>
          <cell r="BX60">
            <v>0</v>
          </cell>
          <cell r="BY60">
            <v>1210</v>
          </cell>
          <cell r="BZ60">
            <v>0</v>
          </cell>
          <cell r="CA60">
            <v>0</v>
          </cell>
          <cell r="CB60">
            <v>1210</v>
          </cell>
          <cell r="CC60">
            <v>11450</v>
          </cell>
          <cell r="CE60">
            <v>1173</v>
          </cell>
          <cell r="CF60">
            <v>0</v>
          </cell>
          <cell r="CG60">
            <v>1173</v>
          </cell>
          <cell r="CH60">
            <v>0</v>
          </cell>
          <cell r="CI60">
            <v>1480</v>
          </cell>
          <cell r="CJ60">
            <v>0</v>
          </cell>
          <cell r="CK60">
            <v>0</v>
          </cell>
          <cell r="CL60">
            <v>1480</v>
          </cell>
          <cell r="CM60">
            <v>0</v>
          </cell>
          <cell r="CO60">
            <v>1173</v>
          </cell>
          <cell r="CP60">
            <v>0</v>
          </cell>
          <cell r="CQ60">
            <v>1173</v>
          </cell>
          <cell r="CR60">
            <v>0</v>
          </cell>
          <cell r="CS60">
            <v>1480</v>
          </cell>
          <cell r="CT60">
            <v>0</v>
          </cell>
          <cell r="CU60">
            <v>0</v>
          </cell>
          <cell r="CV60">
            <v>1480</v>
          </cell>
          <cell r="CW60">
            <v>0</v>
          </cell>
          <cell r="CY60">
            <v>1173</v>
          </cell>
          <cell r="CZ60">
            <v>0</v>
          </cell>
          <cell r="DA60">
            <v>1173</v>
          </cell>
          <cell r="DB60">
            <v>0</v>
          </cell>
          <cell r="DC60">
            <v>1480</v>
          </cell>
          <cell r="DD60">
            <v>0</v>
          </cell>
          <cell r="DE60">
            <v>0</v>
          </cell>
          <cell r="DF60">
            <v>1480</v>
          </cell>
          <cell r="DG60">
            <v>0</v>
          </cell>
          <cell r="DI60">
            <v>26160</v>
          </cell>
          <cell r="DJ60">
            <v>11404</v>
          </cell>
          <cell r="DK60">
            <v>0</v>
          </cell>
          <cell r="DL60">
            <v>11404</v>
          </cell>
          <cell r="DM60">
            <v>11404</v>
          </cell>
          <cell r="DN60">
            <v>0</v>
          </cell>
          <cell r="DO60">
            <v>11404</v>
          </cell>
          <cell r="DP60">
            <v>12170</v>
          </cell>
          <cell r="DQ60">
            <v>0</v>
          </cell>
          <cell r="DR60">
            <v>0</v>
          </cell>
          <cell r="DS60">
            <v>12170</v>
          </cell>
          <cell r="DT60">
            <v>34978</v>
          </cell>
          <cell r="DU60">
            <v>21370</v>
          </cell>
          <cell r="DW60">
            <v>0</v>
          </cell>
          <cell r="DX60">
            <v>0</v>
          </cell>
          <cell r="DY60">
            <v>29176</v>
          </cell>
          <cell r="DZ60">
            <v>22272</v>
          </cell>
          <cell r="EA60">
            <v>25724</v>
          </cell>
          <cell r="EB60">
            <v>29176</v>
          </cell>
          <cell r="EC60">
            <v>32628</v>
          </cell>
          <cell r="ED60">
            <v>36184</v>
          </cell>
          <cell r="EE60">
            <v>28290</v>
          </cell>
          <cell r="EF60">
            <v>32116</v>
          </cell>
          <cell r="EG60">
            <v>35942</v>
          </cell>
          <cell r="EH60">
            <v>39768</v>
          </cell>
          <cell r="EI60">
            <v>311276</v>
          </cell>
          <cell r="EK60">
            <v>0</v>
          </cell>
          <cell r="EL60">
            <v>0</v>
          </cell>
          <cell r="EM60">
            <v>194.50666666666666</v>
          </cell>
          <cell r="EN60">
            <v>148.47999999999999</v>
          </cell>
          <cell r="EO60">
            <v>171.49333333333334</v>
          </cell>
          <cell r="EP60">
            <v>194.50666666666666</v>
          </cell>
          <cell r="EQ60">
            <v>217.51999999999998</v>
          </cell>
          <cell r="ER60">
            <v>241.22666666666666</v>
          </cell>
          <cell r="ES60">
            <v>202.745</v>
          </cell>
          <cell r="ET60">
            <v>230.16466666666665</v>
          </cell>
          <cell r="EU60">
            <v>257.58433333333335</v>
          </cell>
          <cell r="EV60">
            <v>285.00399999999996</v>
          </cell>
          <cell r="EW60">
            <v>2143.2313333333332</v>
          </cell>
          <cell r="EY60">
            <v>175160</v>
          </cell>
          <cell r="EZ60">
            <v>8</v>
          </cell>
          <cell r="FA60">
            <v>1167.7333333333333</v>
          </cell>
          <cell r="FB60">
            <v>136116</v>
          </cell>
          <cell r="FC60">
            <v>8.6</v>
          </cell>
          <cell r="FD60">
            <v>975.49799999999993</v>
          </cell>
          <cell r="FE60">
            <v>2143.2313333333332</v>
          </cell>
          <cell r="FF60">
            <v>41911</v>
          </cell>
          <cell r="FH60">
            <v>41911</v>
          </cell>
        </row>
        <row r="61">
          <cell r="B61">
            <v>9347</v>
          </cell>
          <cell r="C61" t="str">
            <v>05.08.2006</v>
          </cell>
          <cell r="D61" t="str">
            <v>Jadhav Pushpa Purushottam</v>
          </cell>
          <cell r="F61">
            <v>16446</v>
          </cell>
          <cell r="H61">
            <v>14520</v>
          </cell>
          <cell r="I61">
            <v>14520</v>
          </cell>
          <cell r="J61">
            <v>29040</v>
          </cell>
          <cell r="K61">
            <v>12594</v>
          </cell>
          <cell r="M61">
            <v>1088</v>
          </cell>
          <cell r="N61">
            <v>0</v>
          </cell>
          <cell r="O61">
            <v>1088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W61">
            <v>1088</v>
          </cell>
          <cell r="X61">
            <v>0</v>
          </cell>
          <cell r="Y61">
            <v>1088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G61">
            <v>1121</v>
          </cell>
          <cell r="AH61">
            <v>0</v>
          </cell>
          <cell r="AI61">
            <v>1121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Q61">
            <v>1121</v>
          </cell>
          <cell r="AR61">
            <v>0</v>
          </cell>
          <cell r="AS61">
            <v>1121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BA61">
            <v>1121</v>
          </cell>
          <cell r="BB61">
            <v>0</v>
          </cell>
          <cell r="BC61">
            <v>1121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K61">
            <v>1173</v>
          </cell>
          <cell r="BL61">
            <v>0</v>
          </cell>
          <cell r="BM61">
            <v>1173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U61">
            <v>1173</v>
          </cell>
          <cell r="BV61">
            <v>0</v>
          </cell>
          <cell r="BW61">
            <v>1173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E61">
            <v>1173</v>
          </cell>
          <cell r="CF61">
            <v>0</v>
          </cell>
          <cell r="CG61">
            <v>1173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O61">
            <v>1173</v>
          </cell>
          <cell r="CP61">
            <v>0</v>
          </cell>
          <cell r="CQ61">
            <v>1173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Y61">
            <v>1173</v>
          </cell>
          <cell r="CZ61">
            <v>0</v>
          </cell>
          <cell r="DA61">
            <v>1173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I61">
            <v>29040</v>
          </cell>
          <cell r="DJ61">
            <v>11404</v>
          </cell>
          <cell r="DK61">
            <v>0</v>
          </cell>
          <cell r="DL61">
            <v>11404</v>
          </cell>
          <cell r="DM61">
            <v>11404</v>
          </cell>
          <cell r="DN61">
            <v>0</v>
          </cell>
          <cell r="DO61">
            <v>11404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22808</v>
          </cell>
          <cell r="DU61">
            <v>0</v>
          </cell>
          <cell r="DW61">
            <v>0</v>
          </cell>
          <cell r="DX61">
            <v>0</v>
          </cell>
          <cell r="DY61">
            <v>31216</v>
          </cell>
          <cell r="DZ61">
            <v>33392</v>
          </cell>
          <cell r="EA61">
            <v>35634</v>
          </cell>
          <cell r="EB61">
            <v>37876</v>
          </cell>
          <cell r="EC61">
            <v>40118</v>
          </cell>
          <cell r="ED61">
            <v>42464</v>
          </cell>
          <cell r="EE61">
            <v>44810</v>
          </cell>
          <cell r="EF61">
            <v>47156</v>
          </cell>
          <cell r="EG61">
            <v>49502</v>
          </cell>
          <cell r="EH61">
            <v>51848</v>
          </cell>
          <cell r="EI61">
            <v>414016</v>
          </cell>
          <cell r="EK61">
            <v>0</v>
          </cell>
          <cell r="EL61">
            <v>0</v>
          </cell>
          <cell r="EM61">
            <v>208.10666666666668</v>
          </cell>
          <cell r="EN61">
            <v>222.61333333333334</v>
          </cell>
          <cell r="EO61">
            <v>237.55999999999997</v>
          </cell>
          <cell r="EP61">
            <v>252.50666666666666</v>
          </cell>
          <cell r="EQ61">
            <v>267.45333333333332</v>
          </cell>
          <cell r="ER61">
            <v>283.09333333333331</v>
          </cell>
          <cell r="ES61">
            <v>321.13833333333332</v>
          </cell>
          <cell r="ET61">
            <v>337.95133333333331</v>
          </cell>
          <cell r="EU61">
            <v>354.7643333333333</v>
          </cell>
          <cell r="EV61">
            <v>371.57733333333334</v>
          </cell>
          <cell r="EW61">
            <v>2856.7646666666665</v>
          </cell>
          <cell r="EY61">
            <v>220700</v>
          </cell>
          <cell r="EZ61">
            <v>8</v>
          </cell>
          <cell r="FA61">
            <v>1471.3333333333333</v>
          </cell>
          <cell r="FB61">
            <v>193316</v>
          </cell>
          <cell r="FC61">
            <v>8.6</v>
          </cell>
          <cell r="FD61">
            <v>1385.4313333333332</v>
          </cell>
          <cell r="FE61">
            <v>2856.7646666666665</v>
          </cell>
          <cell r="FF61">
            <v>54705</v>
          </cell>
          <cell r="FH61">
            <v>54705</v>
          </cell>
        </row>
        <row r="62">
          <cell r="B62">
            <v>9364</v>
          </cell>
          <cell r="C62" t="str">
            <v>18.08.2006</v>
          </cell>
          <cell r="D62" t="str">
            <v>Pagare Laxmi Ravindra</v>
          </cell>
          <cell r="F62">
            <v>14771</v>
          </cell>
          <cell r="H62">
            <v>8540</v>
          </cell>
          <cell r="I62">
            <v>8540</v>
          </cell>
          <cell r="J62">
            <v>17080</v>
          </cell>
          <cell r="K62">
            <v>2309</v>
          </cell>
          <cell r="M62">
            <v>1088</v>
          </cell>
          <cell r="N62">
            <v>0</v>
          </cell>
          <cell r="O62">
            <v>1088</v>
          </cell>
          <cell r="P62">
            <v>0</v>
          </cell>
          <cell r="Q62">
            <v>420</v>
          </cell>
          <cell r="R62">
            <v>0</v>
          </cell>
          <cell r="S62">
            <v>0</v>
          </cell>
          <cell r="T62">
            <v>420</v>
          </cell>
          <cell r="U62">
            <v>0</v>
          </cell>
          <cell r="W62">
            <v>1088</v>
          </cell>
          <cell r="X62">
            <v>0</v>
          </cell>
          <cell r="Y62">
            <v>1088</v>
          </cell>
          <cell r="Z62">
            <v>0</v>
          </cell>
          <cell r="AA62">
            <v>420</v>
          </cell>
          <cell r="AB62">
            <v>0</v>
          </cell>
          <cell r="AC62">
            <v>0</v>
          </cell>
          <cell r="AD62">
            <v>420</v>
          </cell>
          <cell r="AE62">
            <v>0</v>
          </cell>
          <cell r="AG62">
            <v>1121</v>
          </cell>
          <cell r="AH62">
            <v>0</v>
          </cell>
          <cell r="AI62">
            <v>1121</v>
          </cell>
          <cell r="AJ62">
            <v>0</v>
          </cell>
          <cell r="AK62">
            <v>420</v>
          </cell>
          <cell r="AL62">
            <v>0</v>
          </cell>
          <cell r="AM62">
            <v>0</v>
          </cell>
          <cell r="AN62">
            <v>420</v>
          </cell>
          <cell r="AO62">
            <v>0</v>
          </cell>
          <cell r="AQ62">
            <v>1121</v>
          </cell>
          <cell r="AR62">
            <v>0</v>
          </cell>
          <cell r="AS62">
            <v>1121</v>
          </cell>
          <cell r="AT62">
            <v>0</v>
          </cell>
          <cell r="AU62">
            <v>420</v>
          </cell>
          <cell r="AV62">
            <v>0</v>
          </cell>
          <cell r="AW62">
            <v>0</v>
          </cell>
          <cell r="AX62">
            <v>420</v>
          </cell>
          <cell r="AY62">
            <v>9100</v>
          </cell>
          <cell r="BA62">
            <v>1121</v>
          </cell>
          <cell r="BB62">
            <v>0</v>
          </cell>
          <cell r="BC62">
            <v>1121</v>
          </cell>
          <cell r="BD62">
            <v>0</v>
          </cell>
          <cell r="BE62">
            <v>770</v>
          </cell>
          <cell r="BF62">
            <v>0</v>
          </cell>
          <cell r="BG62">
            <v>0</v>
          </cell>
          <cell r="BH62">
            <v>770</v>
          </cell>
          <cell r="BI62">
            <v>0</v>
          </cell>
          <cell r="BK62">
            <v>1173</v>
          </cell>
          <cell r="BL62">
            <v>0</v>
          </cell>
          <cell r="BM62">
            <v>1173</v>
          </cell>
          <cell r="BN62">
            <v>0</v>
          </cell>
          <cell r="BO62">
            <v>770</v>
          </cell>
          <cell r="BP62">
            <v>0</v>
          </cell>
          <cell r="BQ62">
            <v>0</v>
          </cell>
          <cell r="BR62">
            <v>770</v>
          </cell>
          <cell r="BS62">
            <v>0</v>
          </cell>
          <cell r="BU62">
            <v>1173</v>
          </cell>
          <cell r="BV62">
            <v>0</v>
          </cell>
          <cell r="BW62">
            <v>1173</v>
          </cell>
          <cell r="BX62">
            <v>0</v>
          </cell>
          <cell r="BY62">
            <v>770</v>
          </cell>
          <cell r="BZ62">
            <v>0</v>
          </cell>
          <cell r="CA62">
            <v>0</v>
          </cell>
          <cell r="CB62">
            <v>770</v>
          </cell>
          <cell r="CC62">
            <v>0</v>
          </cell>
          <cell r="CE62">
            <v>1173</v>
          </cell>
          <cell r="CF62">
            <v>0</v>
          </cell>
          <cell r="CG62">
            <v>1173</v>
          </cell>
          <cell r="CH62">
            <v>0</v>
          </cell>
          <cell r="CI62">
            <v>770</v>
          </cell>
          <cell r="CJ62">
            <v>0</v>
          </cell>
          <cell r="CK62">
            <v>0</v>
          </cell>
          <cell r="CL62">
            <v>770</v>
          </cell>
          <cell r="CM62">
            <v>0</v>
          </cell>
          <cell r="CO62">
            <v>1173</v>
          </cell>
          <cell r="CP62">
            <v>0</v>
          </cell>
          <cell r="CQ62">
            <v>1173</v>
          </cell>
          <cell r="CR62">
            <v>0</v>
          </cell>
          <cell r="CS62">
            <v>770</v>
          </cell>
          <cell r="CT62">
            <v>0</v>
          </cell>
          <cell r="CU62">
            <v>0</v>
          </cell>
          <cell r="CV62">
            <v>770</v>
          </cell>
          <cell r="CW62">
            <v>0</v>
          </cell>
          <cell r="CY62">
            <v>1173</v>
          </cell>
          <cell r="CZ62">
            <v>0</v>
          </cell>
          <cell r="DA62">
            <v>1173</v>
          </cell>
          <cell r="DB62">
            <v>0</v>
          </cell>
          <cell r="DC62">
            <v>770</v>
          </cell>
          <cell r="DD62">
            <v>0</v>
          </cell>
          <cell r="DE62">
            <v>0</v>
          </cell>
          <cell r="DF62">
            <v>770</v>
          </cell>
          <cell r="DG62">
            <v>0</v>
          </cell>
          <cell r="DI62">
            <v>17080</v>
          </cell>
          <cell r="DJ62">
            <v>11404</v>
          </cell>
          <cell r="DK62">
            <v>0</v>
          </cell>
          <cell r="DL62">
            <v>11404</v>
          </cell>
          <cell r="DM62">
            <v>11404</v>
          </cell>
          <cell r="DN62">
            <v>0</v>
          </cell>
          <cell r="DO62">
            <v>11404</v>
          </cell>
          <cell r="DP62">
            <v>6300</v>
          </cell>
          <cell r="DQ62">
            <v>0</v>
          </cell>
          <cell r="DR62">
            <v>0</v>
          </cell>
          <cell r="DS62">
            <v>6300</v>
          </cell>
          <cell r="DT62">
            <v>29108</v>
          </cell>
          <cell r="DU62">
            <v>9100</v>
          </cell>
          <cell r="DW62">
            <v>0</v>
          </cell>
          <cell r="DX62">
            <v>0</v>
          </cell>
          <cell r="DY62">
            <v>19676</v>
          </cell>
          <cell r="DZ62">
            <v>22272</v>
          </cell>
          <cell r="EA62">
            <v>24934</v>
          </cell>
          <cell r="EB62">
            <v>18496</v>
          </cell>
          <cell r="EC62">
            <v>21508</v>
          </cell>
          <cell r="ED62">
            <v>24624</v>
          </cell>
          <cell r="EE62">
            <v>27740</v>
          </cell>
          <cell r="EF62">
            <v>30856</v>
          </cell>
          <cell r="EG62">
            <v>33972</v>
          </cell>
          <cell r="EH62">
            <v>37088</v>
          </cell>
          <cell r="EI62">
            <v>261166</v>
          </cell>
          <cell r="EK62">
            <v>0</v>
          </cell>
          <cell r="EL62">
            <v>0</v>
          </cell>
          <cell r="EM62">
            <v>131.17333333333332</v>
          </cell>
          <cell r="EN62">
            <v>148.47999999999999</v>
          </cell>
          <cell r="EO62">
            <v>166.22666666666666</v>
          </cell>
          <cell r="EP62">
            <v>123.30666666666667</v>
          </cell>
          <cell r="EQ62">
            <v>143.38666666666668</v>
          </cell>
          <cell r="ER62">
            <v>164.16</v>
          </cell>
          <cell r="ES62">
            <v>198.80333333333331</v>
          </cell>
          <cell r="ET62">
            <v>221.13466666666667</v>
          </cell>
          <cell r="EU62">
            <v>243.46600000000001</v>
          </cell>
          <cell r="EV62">
            <v>265.79733333333331</v>
          </cell>
          <cell r="EW62">
            <v>1805.9346666666665</v>
          </cell>
          <cell r="EY62">
            <v>131510</v>
          </cell>
          <cell r="EZ62">
            <v>8</v>
          </cell>
          <cell r="FA62">
            <v>876.73333333333323</v>
          </cell>
          <cell r="FB62">
            <v>129656</v>
          </cell>
          <cell r="FC62">
            <v>8.6</v>
          </cell>
          <cell r="FD62">
            <v>929.20133333333331</v>
          </cell>
          <cell r="FE62">
            <v>1805.9346666666665</v>
          </cell>
          <cell r="FF62">
            <v>38894</v>
          </cell>
          <cell r="FH62">
            <v>38894</v>
          </cell>
        </row>
        <row r="63">
          <cell r="B63">
            <v>9381</v>
          </cell>
          <cell r="C63" t="str">
            <v>22.08.2006</v>
          </cell>
          <cell r="D63" t="str">
            <v>Bodake Janabai Sharad</v>
          </cell>
          <cell r="F63">
            <v>12001</v>
          </cell>
          <cell r="H63">
            <v>7665</v>
          </cell>
          <cell r="I63">
            <v>7665</v>
          </cell>
          <cell r="J63">
            <v>15330</v>
          </cell>
          <cell r="K63">
            <v>3329</v>
          </cell>
          <cell r="M63">
            <v>1088</v>
          </cell>
          <cell r="N63">
            <v>0</v>
          </cell>
          <cell r="O63">
            <v>1088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W63">
            <v>1088</v>
          </cell>
          <cell r="X63">
            <v>0</v>
          </cell>
          <cell r="Y63">
            <v>1088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G63">
            <v>1121</v>
          </cell>
          <cell r="AH63">
            <v>0</v>
          </cell>
          <cell r="AI63">
            <v>1121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Q63">
            <v>1121</v>
          </cell>
          <cell r="AR63">
            <v>0</v>
          </cell>
          <cell r="AS63">
            <v>1121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BA63">
            <v>1121</v>
          </cell>
          <cell r="BB63">
            <v>0</v>
          </cell>
          <cell r="BC63">
            <v>1121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K63">
            <v>1173</v>
          </cell>
          <cell r="BL63">
            <v>0</v>
          </cell>
          <cell r="BM63">
            <v>1173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U63">
            <v>1173</v>
          </cell>
          <cell r="BV63">
            <v>0</v>
          </cell>
          <cell r="BW63">
            <v>1173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E63">
            <v>1173</v>
          </cell>
          <cell r="CF63">
            <v>0</v>
          </cell>
          <cell r="CG63">
            <v>1173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O63">
            <v>1173</v>
          </cell>
          <cell r="CP63">
            <v>0</v>
          </cell>
          <cell r="CQ63">
            <v>1173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Y63">
            <v>1173</v>
          </cell>
          <cell r="CZ63">
            <v>0</v>
          </cell>
          <cell r="DA63">
            <v>1173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I63">
            <v>15330</v>
          </cell>
          <cell r="DJ63">
            <v>11404</v>
          </cell>
          <cell r="DK63">
            <v>0</v>
          </cell>
          <cell r="DL63">
            <v>11404</v>
          </cell>
          <cell r="DM63">
            <v>11404</v>
          </cell>
          <cell r="DN63">
            <v>0</v>
          </cell>
          <cell r="DO63">
            <v>11404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22808</v>
          </cell>
          <cell r="DU63">
            <v>0</v>
          </cell>
          <cell r="DW63">
            <v>0</v>
          </cell>
          <cell r="DX63">
            <v>0</v>
          </cell>
          <cell r="DY63">
            <v>17506</v>
          </cell>
          <cell r="DZ63">
            <v>19682</v>
          </cell>
          <cell r="EA63">
            <v>21924</v>
          </cell>
          <cell r="EB63">
            <v>24166</v>
          </cell>
          <cell r="EC63">
            <v>26408</v>
          </cell>
          <cell r="ED63">
            <v>28754</v>
          </cell>
          <cell r="EE63">
            <v>31100</v>
          </cell>
          <cell r="EF63">
            <v>33446</v>
          </cell>
          <cell r="EG63">
            <v>35792</v>
          </cell>
          <cell r="EH63">
            <v>38138</v>
          </cell>
          <cell r="EI63">
            <v>276916</v>
          </cell>
          <cell r="EK63">
            <v>0</v>
          </cell>
          <cell r="EL63">
            <v>0</v>
          </cell>
          <cell r="EM63">
            <v>116.70666666666666</v>
          </cell>
          <cell r="EN63">
            <v>131.21333333333334</v>
          </cell>
          <cell r="EO63">
            <v>146.16</v>
          </cell>
          <cell r="EP63">
            <v>161.10666666666665</v>
          </cell>
          <cell r="EQ63">
            <v>176.05333333333331</v>
          </cell>
          <cell r="ER63">
            <v>191.69333333333336</v>
          </cell>
          <cell r="ES63">
            <v>222.88333333333333</v>
          </cell>
          <cell r="ET63">
            <v>239.69633333333331</v>
          </cell>
          <cell r="EU63">
            <v>256.50933333333336</v>
          </cell>
          <cell r="EV63">
            <v>273.32233333333335</v>
          </cell>
          <cell r="EW63">
            <v>1915.3446666666666</v>
          </cell>
          <cell r="EY63">
            <v>138440</v>
          </cell>
          <cell r="EZ63">
            <v>8</v>
          </cell>
          <cell r="FA63">
            <v>922.93333333333339</v>
          </cell>
          <cell r="FB63">
            <v>138476</v>
          </cell>
          <cell r="FC63">
            <v>8.6</v>
          </cell>
          <cell r="FD63">
            <v>992.41133333333312</v>
          </cell>
          <cell r="FE63">
            <v>1915.3446666666664</v>
          </cell>
          <cell r="FF63">
            <v>40053</v>
          </cell>
          <cell r="FH63">
            <v>40053</v>
          </cell>
        </row>
        <row r="64">
          <cell r="B64">
            <v>9368</v>
          </cell>
          <cell r="C64" t="str">
            <v>04.09.2006</v>
          </cell>
          <cell r="D64" t="str">
            <v>Jadhav Kailas Ramchandra</v>
          </cell>
          <cell r="F64">
            <v>14668</v>
          </cell>
          <cell r="H64">
            <v>14410</v>
          </cell>
          <cell r="I64">
            <v>14410</v>
          </cell>
          <cell r="J64">
            <v>28820</v>
          </cell>
          <cell r="K64">
            <v>14152</v>
          </cell>
          <cell r="M64">
            <v>1088</v>
          </cell>
          <cell r="N64">
            <v>0</v>
          </cell>
          <cell r="O64">
            <v>1088</v>
          </cell>
          <cell r="P64">
            <v>0</v>
          </cell>
          <cell r="Q64">
            <v>770</v>
          </cell>
          <cell r="R64">
            <v>0</v>
          </cell>
          <cell r="S64">
            <v>0</v>
          </cell>
          <cell r="T64">
            <v>770</v>
          </cell>
          <cell r="U64">
            <v>0</v>
          </cell>
          <cell r="W64">
            <v>1088</v>
          </cell>
          <cell r="X64">
            <v>0</v>
          </cell>
          <cell r="Y64">
            <v>1088</v>
          </cell>
          <cell r="Z64">
            <v>0</v>
          </cell>
          <cell r="AA64">
            <v>770</v>
          </cell>
          <cell r="AB64">
            <v>0</v>
          </cell>
          <cell r="AC64">
            <v>0</v>
          </cell>
          <cell r="AD64">
            <v>770</v>
          </cell>
          <cell r="AE64">
            <v>0</v>
          </cell>
          <cell r="AG64">
            <v>1121</v>
          </cell>
          <cell r="AH64">
            <v>0</v>
          </cell>
          <cell r="AI64">
            <v>1121</v>
          </cell>
          <cell r="AJ64">
            <v>0</v>
          </cell>
          <cell r="AK64">
            <v>770</v>
          </cell>
          <cell r="AL64">
            <v>0</v>
          </cell>
          <cell r="AM64">
            <v>0</v>
          </cell>
          <cell r="AN64">
            <v>770</v>
          </cell>
          <cell r="AO64">
            <v>13950</v>
          </cell>
          <cell r="AQ64">
            <v>1121</v>
          </cell>
          <cell r="AR64">
            <v>0</v>
          </cell>
          <cell r="AS64">
            <v>1121</v>
          </cell>
          <cell r="AT64">
            <v>0</v>
          </cell>
          <cell r="AU64">
            <v>1275</v>
          </cell>
          <cell r="AV64">
            <v>0</v>
          </cell>
          <cell r="AW64">
            <v>0</v>
          </cell>
          <cell r="AX64">
            <v>1275</v>
          </cell>
          <cell r="AY64">
            <v>0</v>
          </cell>
          <cell r="BA64">
            <v>1121</v>
          </cell>
          <cell r="BB64">
            <v>0</v>
          </cell>
          <cell r="BC64">
            <v>1121</v>
          </cell>
          <cell r="BD64">
            <v>0</v>
          </cell>
          <cell r="BE64">
            <v>1275</v>
          </cell>
          <cell r="BF64">
            <v>0</v>
          </cell>
          <cell r="BG64">
            <v>0</v>
          </cell>
          <cell r="BH64">
            <v>1275</v>
          </cell>
          <cell r="BI64">
            <v>0</v>
          </cell>
          <cell r="BK64">
            <v>1173</v>
          </cell>
          <cell r="BL64">
            <v>0</v>
          </cell>
          <cell r="BM64">
            <v>1173</v>
          </cell>
          <cell r="BN64">
            <v>0</v>
          </cell>
          <cell r="BO64">
            <v>1275</v>
          </cell>
          <cell r="BP64">
            <v>0</v>
          </cell>
          <cell r="BQ64">
            <v>0</v>
          </cell>
          <cell r="BR64">
            <v>1275</v>
          </cell>
          <cell r="BS64">
            <v>0</v>
          </cell>
          <cell r="BU64">
            <v>1173</v>
          </cell>
          <cell r="BV64">
            <v>0</v>
          </cell>
          <cell r="BW64">
            <v>1173</v>
          </cell>
          <cell r="BX64">
            <v>0</v>
          </cell>
          <cell r="BY64">
            <v>1275</v>
          </cell>
          <cell r="BZ64">
            <v>0</v>
          </cell>
          <cell r="CA64">
            <v>0</v>
          </cell>
          <cell r="CB64">
            <v>1275</v>
          </cell>
          <cell r="CC64">
            <v>0</v>
          </cell>
          <cell r="CE64">
            <v>1173</v>
          </cell>
          <cell r="CF64">
            <v>0</v>
          </cell>
          <cell r="CG64">
            <v>1173</v>
          </cell>
          <cell r="CH64">
            <v>0</v>
          </cell>
          <cell r="CI64">
            <v>1275</v>
          </cell>
          <cell r="CJ64">
            <v>0</v>
          </cell>
          <cell r="CK64">
            <v>0</v>
          </cell>
          <cell r="CL64">
            <v>1275</v>
          </cell>
          <cell r="CM64">
            <v>0</v>
          </cell>
          <cell r="CO64">
            <v>1173</v>
          </cell>
          <cell r="CP64">
            <v>0</v>
          </cell>
          <cell r="CQ64">
            <v>1173</v>
          </cell>
          <cell r="CR64">
            <v>0</v>
          </cell>
          <cell r="CS64">
            <v>1275</v>
          </cell>
          <cell r="CT64">
            <v>0</v>
          </cell>
          <cell r="CU64">
            <v>0</v>
          </cell>
          <cell r="CV64">
            <v>1275</v>
          </cell>
          <cell r="CW64">
            <v>0</v>
          </cell>
          <cell r="CY64">
            <v>1173</v>
          </cell>
          <cell r="CZ64">
            <v>0</v>
          </cell>
          <cell r="DA64">
            <v>1173</v>
          </cell>
          <cell r="DB64">
            <v>0</v>
          </cell>
          <cell r="DC64">
            <v>1275</v>
          </cell>
          <cell r="DD64">
            <v>0</v>
          </cell>
          <cell r="DE64">
            <v>0</v>
          </cell>
          <cell r="DF64">
            <v>1275</v>
          </cell>
          <cell r="DG64">
            <v>0</v>
          </cell>
          <cell r="DI64">
            <v>28820</v>
          </cell>
          <cell r="DJ64">
            <v>11404</v>
          </cell>
          <cell r="DK64">
            <v>0</v>
          </cell>
          <cell r="DL64">
            <v>11404</v>
          </cell>
          <cell r="DM64">
            <v>11404</v>
          </cell>
          <cell r="DN64">
            <v>0</v>
          </cell>
          <cell r="DO64">
            <v>11404</v>
          </cell>
          <cell r="DP64">
            <v>11235</v>
          </cell>
          <cell r="DQ64">
            <v>0</v>
          </cell>
          <cell r="DR64">
            <v>0</v>
          </cell>
          <cell r="DS64">
            <v>11235</v>
          </cell>
          <cell r="DT64">
            <v>34043</v>
          </cell>
          <cell r="DU64">
            <v>13950</v>
          </cell>
          <cell r="DW64">
            <v>0</v>
          </cell>
          <cell r="DX64">
            <v>0</v>
          </cell>
          <cell r="DY64">
            <v>31766</v>
          </cell>
          <cell r="DZ64">
            <v>34712</v>
          </cell>
          <cell r="EA64">
            <v>23774</v>
          </cell>
          <cell r="EB64">
            <v>27291</v>
          </cell>
          <cell r="EC64">
            <v>30808</v>
          </cell>
          <cell r="ED64">
            <v>34429</v>
          </cell>
          <cell r="EE64">
            <v>38050</v>
          </cell>
          <cell r="EF64">
            <v>41671</v>
          </cell>
          <cell r="EG64">
            <v>45292</v>
          </cell>
          <cell r="EH64">
            <v>48913</v>
          </cell>
          <cell r="EI64">
            <v>356706</v>
          </cell>
          <cell r="EK64">
            <v>0</v>
          </cell>
          <cell r="EL64">
            <v>0</v>
          </cell>
          <cell r="EM64">
            <v>211.77333333333334</v>
          </cell>
          <cell r="EN64">
            <v>231.41333333333333</v>
          </cell>
          <cell r="EO64">
            <v>158.49333333333334</v>
          </cell>
          <cell r="EP64">
            <v>181.94000000000003</v>
          </cell>
          <cell r="EQ64">
            <v>205.38666666666666</v>
          </cell>
          <cell r="ER64">
            <v>229.52666666666667</v>
          </cell>
          <cell r="ES64">
            <v>272.69166666666666</v>
          </cell>
          <cell r="ET64">
            <v>298.64216666666664</v>
          </cell>
          <cell r="EU64">
            <v>324.59266666666667</v>
          </cell>
          <cell r="EV64">
            <v>350.54316666666665</v>
          </cell>
          <cell r="EW64">
            <v>2465.0030000000002</v>
          </cell>
          <cell r="EY64">
            <v>182780</v>
          </cell>
          <cell r="EZ64">
            <v>8</v>
          </cell>
          <cell r="FA64">
            <v>1218.5333333333333</v>
          </cell>
          <cell r="FB64">
            <v>173926</v>
          </cell>
          <cell r="FC64">
            <v>8.6</v>
          </cell>
          <cell r="FD64">
            <v>1246.4696666666666</v>
          </cell>
          <cell r="FE64">
            <v>2465.0029999999997</v>
          </cell>
          <cell r="FF64">
            <v>51378</v>
          </cell>
          <cell r="FH64">
            <v>51378</v>
          </cell>
        </row>
        <row r="65">
          <cell r="B65">
            <v>9316</v>
          </cell>
          <cell r="C65" t="str">
            <v>11.09.2006</v>
          </cell>
          <cell r="D65" t="str">
            <v>Khan Fehmidabano Iqbal</v>
          </cell>
          <cell r="F65">
            <v>41507</v>
          </cell>
          <cell r="G65">
            <v>103554</v>
          </cell>
          <cell r="H65">
            <v>35293</v>
          </cell>
          <cell r="I65">
            <v>35293</v>
          </cell>
          <cell r="J65">
            <v>70586</v>
          </cell>
          <cell r="K65">
            <v>29079</v>
          </cell>
          <cell r="M65">
            <v>2450</v>
          </cell>
          <cell r="N65">
            <v>0</v>
          </cell>
          <cell r="O65">
            <v>2450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W65">
            <v>2450</v>
          </cell>
          <cell r="X65">
            <v>0</v>
          </cell>
          <cell r="Y65">
            <v>2450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G65">
            <v>2524</v>
          </cell>
          <cell r="AH65">
            <v>0</v>
          </cell>
          <cell r="AI65">
            <v>2524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Q65">
            <v>2524</v>
          </cell>
          <cell r="AR65">
            <v>0</v>
          </cell>
          <cell r="AS65">
            <v>2524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BA65">
            <v>2524</v>
          </cell>
          <cell r="BB65">
            <v>0</v>
          </cell>
          <cell r="BC65">
            <v>2524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K65">
            <v>2641</v>
          </cell>
          <cell r="BL65">
            <v>0</v>
          </cell>
          <cell r="BM65">
            <v>2641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U65">
            <v>2641</v>
          </cell>
          <cell r="BV65">
            <v>0</v>
          </cell>
          <cell r="BW65">
            <v>2641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E65">
            <v>2641</v>
          </cell>
          <cell r="CF65">
            <v>0</v>
          </cell>
          <cell r="CG65">
            <v>2641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O65">
            <v>2641</v>
          </cell>
          <cell r="CP65">
            <v>0</v>
          </cell>
          <cell r="CQ65">
            <v>2641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Y65">
            <v>2641</v>
          </cell>
          <cell r="CZ65">
            <v>0</v>
          </cell>
          <cell r="DA65">
            <v>2641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I65">
            <v>70586</v>
          </cell>
          <cell r="DJ65">
            <v>25677</v>
          </cell>
          <cell r="DK65">
            <v>0</v>
          </cell>
          <cell r="DL65">
            <v>25677</v>
          </cell>
          <cell r="DM65">
            <v>25677</v>
          </cell>
          <cell r="DN65">
            <v>0</v>
          </cell>
          <cell r="DO65">
            <v>25677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51354</v>
          </cell>
          <cell r="DU65">
            <v>0</v>
          </cell>
          <cell r="DW65">
            <v>0</v>
          </cell>
          <cell r="DX65">
            <v>0</v>
          </cell>
          <cell r="DY65">
            <v>75486</v>
          </cell>
          <cell r="DZ65">
            <v>80386</v>
          </cell>
          <cell r="EA65">
            <v>85434</v>
          </cell>
          <cell r="EB65">
            <v>90482</v>
          </cell>
          <cell r="EC65">
            <v>95530</v>
          </cell>
          <cell r="ED65">
            <v>100812</v>
          </cell>
          <cell r="EE65">
            <v>106094</v>
          </cell>
          <cell r="EF65">
            <v>111376</v>
          </cell>
          <cell r="EG65">
            <v>116658</v>
          </cell>
          <cell r="EH65">
            <v>121940</v>
          </cell>
          <cell r="EI65">
            <v>984198</v>
          </cell>
          <cell r="EK65">
            <v>0</v>
          </cell>
          <cell r="EL65">
            <v>0</v>
          </cell>
          <cell r="EM65">
            <v>503.24</v>
          </cell>
          <cell r="EN65">
            <v>535.90666666666664</v>
          </cell>
          <cell r="EO65">
            <v>569.56000000000006</v>
          </cell>
          <cell r="EP65">
            <v>603.21333333333337</v>
          </cell>
          <cell r="EQ65">
            <v>636.86666666666667</v>
          </cell>
          <cell r="ER65">
            <v>672.08</v>
          </cell>
          <cell r="ES65">
            <v>760.34033333333321</v>
          </cell>
          <cell r="ET65">
            <v>798.19466666666665</v>
          </cell>
          <cell r="EU65">
            <v>836.04899999999998</v>
          </cell>
          <cell r="EV65">
            <v>873.90333333333331</v>
          </cell>
          <cell r="EW65">
            <v>6789.3540000000003</v>
          </cell>
          <cell r="EY65">
            <v>528130</v>
          </cell>
          <cell r="EZ65">
            <v>8</v>
          </cell>
          <cell r="FA65">
            <v>3520.8666666666668</v>
          </cell>
          <cell r="FB65">
            <v>456068</v>
          </cell>
          <cell r="FC65">
            <v>8.6</v>
          </cell>
          <cell r="FD65">
            <v>3268.487333333333</v>
          </cell>
          <cell r="FE65">
            <v>6789.3539999999994</v>
          </cell>
          <cell r="FF65">
            <v>128729</v>
          </cell>
          <cell r="FH65">
            <v>128729</v>
          </cell>
        </row>
        <row r="66">
          <cell r="B66">
            <v>9317</v>
          </cell>
          <cell r="C66" t="str">
            <v>11.09.2006</v>
          </cell>
          <cell r="D66" t="str">
            <v>Khan Vahida Asif</v>
          </cell>
          <cell r="F66">
            <v>41507</v>
          </cell>
          <cell r="G66">
            <v>103554</v>
          </cell>
          <cell r="H66">
            <v>41890</v>
          </cell>
          <cell r="I66">
            <v>41890</v>
          </cell>
          <cell r="J66">
            <v>83780</v>
          </cell>
          <cell r="K66">
            <v>42273</v>
          </cell>
          <cell r="M66">
            <v>2450</v>
          </cell>
          <cell r="N66">
            <v>0</v>
          </cell>
          <cell r="O66">
            <v>2450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W66">
            <v>2450</v>
          </cell>
          <cell r="X66">
            <v>0</v>
          </cell>
          <cell r="Y66">
            <v>2450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G66">
            <v>2524</v>
          </cell>
          <cell r="AH66">
            <v>0</v>
          </cell>
          <cell r="AI66">
            <v>2524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Q66">
            <v>2524</v>
          </cell>
          <cell r="AR66">
            <v>0</v>
          </cell>
          <cell r="AS66">
            <v>2524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BA66">
            <v>2524</v>
          </cell>
          <cell r="BB66">
            <v>0</v>
          </cell>
          <cell r="BC66">
            <v>2524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K66">
            <v>2641</v>
          </cell>
          <cell r="BL66">
            <v>0</v>
          </cell>
          <cell r="BM66">
            <v>2641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U66">
            <v>2641</v>
          </cell>
          <cell r="BV66">
            <v>0</v>
          </cell>
          <cell r="BW66">
            <v>2641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E66">
            <v>2641</v>
          </cell>
          <cell r="CF66">
            <v>0</v>
          </cell>
          <cell r="CG66">
            <v>2641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O66">
            <v>2641</v>
          </cell>
          <cell r="CP66">
            <v>0</v>
          </cell>
          <cell r="CQ66">
            <v>2641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Y66">
            <v>2641</v>
          </cell>
          <cell r="CZ66">
            <v>0</v>
          </cell>
          <cell r="DA66">
            <v>2641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I66">
            <v>83780</v>
          </cell>
          <cell r="DJ66">
            <v>25677</v>
          </cell>
          <cell r="DK66">
            <v>0</v>
          </cell>
          <cell r="DL66">
            <v>25677</v>
          </cell>
          <cell r="DM66">
            <v>25677</v>
          </cell>
          <cell r="DN66">
            <v>0</v>
          </cell>
          <cell r="DO66">
            <v>25677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51354</v>
          </cell>
          <cell r="DU66">
            <v>0</v>
          </cell>
          <cell r="DW66">
            <v>0</v>
          </cell>
          <cell r="DX66">
            <v>0</v>
          </cell>
          <cell r="DY66">
            <v>88680</v>
          </cell>
          <cell r="DZ66">
            <v>93580</v>
          </cell>
          <cell r="EA66">
            <v>98628</v>
          </cell>
          <cell r="EB66">
            <v>103676</v>
          </cell>
          <cell r="EC66">
            <v>108724</v>
          </cell>
          <cell r="ED66">
            <v>114006</v>
          </cell>
          <cell r="EE66">
            <v>119288</v>
          </cell>
          <cell r="EF66">
            <v>124570</v>
          </cell>
          <cell r="EG66">
            <v>129852</v>
          </cell>
          <cell r="EH66">
            <v>135134</v>
          </cell>
          <cell r="EI66">
            <v>1116138</v>
          </cell>
          <cell r="EK66">
            <v>0</v>
          </cell>
          <cell r="EL66">
            <v>0</v>
          </cell>
          <cell r="EM66">
            <v>591.19999999999993</v>
          </cell>
          <cell r="EN66">
            <v>623.86666666666667</v>
          </cell>
          <cell r="EO66">
            <v>657.52</v>
          </cell>
          <cell r="EP66">
            <v>691.17333333333329</v>
          </cell>
          <cell r="EQ66">
            <v>724.82666666666671</v>
          </cell>
          <cell r="ER66">
            <v>760.04</v>
          </cell>
          <cell r="ES66">
            <v>854.89733333333334</v>
          </cell>
          <cell r="ET66">
            <v>892.75166666666667</v>
          </cell>
          <cell r="EU66">
            <v>930.60599999999988</v>
          </cell>
          <cell r="EV66">
            <v>968.46033333333332</v>
          </cell>
          <cell r="EW66">
            <v>7695.3419999999996</v>
          </cell>
          <cell r="EY66">
            <v>607294</v>
          </cell>
          <cell r="EZ66">
            <v>8</v>
          </cell>
          <cell r="FA66">
            <v>4048.6266666666666</v>
          </cell>
          <cell r="FB66">
            <v>508844</v>
          </cell>
          <cell r="FC66">
            <v>8.6</v>
          </cell>
          <cell r="FD66">
            <v>3646.7153333333331</v>
          </cell>
          <cell r="FE66">
            <v>7695.3419999999996</v>
          </cell>
          <cell r="FF66">
            <v>142829</v>
          </cell>
          <cell r="FH66">
            <v>142829</v>
          </cell>
        </row>
        <row r="67">
          <cell r="B67">
            <v>9318</v>
          </cell>
          <cell r="C67" t="str">
            <v>11.09.2006</v>
          </cell>
          <cell r="D67" t="str">
            <v>Shaikh Irfan Hanif</v>
          </cell>
          <cell r="F67">
            <v>41507</v>
          </cell>
          <cell r="G67">
            <v>103554</v>
          </cell>
          <cell r="H67">
            <v>28033</v>
          </cell>
          <cell r="I67">
            <v>28033</v>
          </cell>
          <cell r="J67">
            <v>56066</v>
          </cell>
          <cell r="K67">
            <v>14559</v>
          </cell>
          <cell r="M67">
            <v>2450</v>
          </cell>
          <cell r="N67">
            <v>0</v>
          </cell>
          <cell r="O67">
            <v>2450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W67">
            <v>2450</v>
          </cell>
          <cell r="X67">
            <v>0</v>
          </cell>
          <cell r="Y67">
            <v>2450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G67">
            <v>2524</v>
          </cell>
          <cell r="AH67">
            <v>0</v>
          </cell>
          <cell r="AI67">
            <v>2524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Q67">
            <v>2524</v>
          </cell>
          <cell r="AR67">
            <v>0</v>
          </cell>
          <cell r="AS67">
            <v>2524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BA67">
            <v>2524</v>
          </cell>
          <cell r="BB67">
            <v>0</v>
          </cell>
          <cell r="BC67">
            <v>2524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K67">
            <v>2641</v>
          </cell>
          <cell r="BL67">
            <v>0</v>
          </cell>
          <cell r="BM67">
            <v>2641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U67">
            <v>2641</v>
          </cell>
          <cell r="BV67">
            <v>0</v>
          </cell>
          <cell r="BW67">
            <v>2641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E67">
            <v>2641</v>
          </cell>
          <cell r="CF67">
            <v>0</v>
          </cell>
          <cell r="CG67">
            <v>2641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O67">
            <v>2641</v>
          </cell>
          <cell r="CP67">
            <v>0</v>
          </cell>
          <cell r="CQ67">
            <v>2641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Y67">
            <v>2641</v>
          </cell>
          <cell r="CZ67">
            <v>0</v>
          </cell>
          <cell r="DA67">
            <v>2641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I67">
            <v>56066</v>
          </cell>
          <cell r="DJ67">
            <v>25677</v>
          </cell>
          <cell r="DK67">
            <v>0</v>
          </cell>
          <cell r="DL67">
            <v>25677</v>
          </cell>
          <cell r="DM67">
            <v>25677</v>
          </cell>
          <cell r="DN67">
            <v>0</v>
          </cell>
          <cell r="DO67">
            <v>25677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51354</v>
          </cell>
          <cell r="DU67">
            <v>0</v>
          </cell>
          <cell r="DW67">
            <v>0</v>
          </cell>
          <cell r="DX67">
            <v>0</v>
          </cell>
          <cell r="DY67">
            <v>60966</v>
          </cell>
          <cell r="DZ67">
            <v>65866</v>
          </cell>
          <cell r="EA67">
            <v>70914</v>
          </cell>
          <cell r="EB67">
            <v>75962</v>
          </cell>
          <cell r="EC67">
            <v>81010</v>
          </cell>
          <cell r="ED67">
            <v>86292</v>
          </cell>
          <cell r="EE67">
            <v>91574</v>
          </cell>
          <cell r="EF67">
            <v>96856</v>
          </cell>
          <cell r="EG67">
            <v>102138</v>
          </cell>
          <cell r="EH67">
            <v>107420</v>
          </cell>
          <cell r="EI67">
            <v>838998</v>
          </cell>
          <cell r="EK67">
            <v>0</v>
          </cell>
          <cell r="EL67">
            <v>0</v>
          </cell>
          <cell r="EM67">
            <v>406.44</v>
          </cell>
          <cell r="EN67">
            <v>439.10666666666663</v>
          </cell>
          <cell r="EO67">
            <v>472.76</v>
          </cell>
          <cell r="EP67">
            <v>506.41333333333336</v>
          </cell>
          <cell r="EQ67">
            <v>540.06666666666672</v>
          </cell>
          <cell r="ER67">
            <v>575.28</v>
          </cell>
          <cell r="ES67">
            <v>656.28033333333337</v>
          </cell>
          <cell r="ET67">
            <v>694.1346666666667</v>
          </cell>
          <cell r="EU67">
            <v>731.98899999999992</v>
          </cell>
          <cell r="EV67">
            <v>769.84333333333336</v>
          </cell>
          <cell r="EW67">
            <v>5792.3139999999994</v>
          </cell>
          <cell r="EY67">
            <v>441010</v>
          </cell>
          <cell r="EZ67">
            <v>8</v>
          </cell>
          <cell r="FA67">
            <v>2940.0666666666671</v>
          </cell>
          <cell r="FB67">
            <v>397988</v>
          </cell>
          <cell r="FC67">
            <v>8.6</v>
          </cell>
          <cell r="FD67">
            <v>2852.2473333333332</v>
          </cell>
          <cell r="FE67">
            <v>5792.3140000000003</v>
          </cell>
          <cell r="FF67">
            <v>113212</v>
          </cell>
          <cell r="FH67">
            <v>113212</v>
          </cell>
        </row>
        <row r="68">
          <cell r="B68">
            <v>9336</v>
          </cell>
          <cell r="C68" t="str">
            <v>12.09.2006</v>
          </cell>
          <cell r="D68" t="str">
            <v>Katare Gajendra Harish</v>
          </cell>
          <cell r="F68">
            <v>16446</v>
          </cell>
          <cell r="H68">
            <v>13926</v>
          </cell>
          <cell r="I68">
            <v>13926</v>
          </cell>
          <cell r="J68">
            <v>27852</v>
          </cell>
          <cell r="K68">
            <v>11406</v>
          </cell>
          <cell r="M68">
            <v>1088</v>
          </cell>
          <cell r="N68">
            <v>0</v>
          </cell>
          <cell r="O68">
            <v>1088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W68">
            <v>1088</v>
          </cell>
          <cell r="X68">
            <v>0</v>
          </cell>
          <cell r="Y68">
            <v>1088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G68">
            <v>1121</v>
          </cell>
          <cell r="AH68">
            <v>0</v>
          </cell>
          <cell r="AI68">
            <v>1121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Q68">
            <v>1121</v>
          </cell>
          <cell r="AR68">
            <v>0</v>
          </cell>
          <cell r="AS68">
            <v>1121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BA68">
            <v>1121</v>
          </cell>
          <cell r="BB68">
            <v>0</v>
          </cell>
          <cell r="BC68">
            <v>1121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K68">
            <v>1173</v>
          </cell>
          <cell r="BL68">
            <v>0</v>
          </cell>
          <cell r="BM68">
            <v>1173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U68">
            <v>1173</v>
          </cell>
          <cell r="BV68">
            <v>0</v>
          </cell>
          <cell r="BW68">
            <v>1173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E68">
            <v>1173</v>
          </cell>
          <cell r="CF68">
            <v>0</v>
          </cell>
          <cell r="CG68">
            <v>1173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O68">
            <v>1173</v>
          </cell>
          <cell r="CP68">
            <v>0</v>
          </cell>
          <cell r="CQ68">
            <v>1173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Y68">
            <v>1173</v>
          </cell>
          <cell r="CZ68">
            <v>0</v>
          </cell>
          <cell r="DA68">
            <v>1173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I68">
            <v>27852</v>
          </cell>
          <cell r="DJ68">
            <v>11404</v>
          </cell>
          <cell r="DK68">
            <v>0</v>
          </cell>
          <cell r="DL68">
            <v>11404</v>
          </cell>
          <cell r="DM68">
            <v>11404</v>
          </cell>
          <cell r="DN68">
            <v>0</v>
          </cell>
          <cell r="DO68">
            <v>11404</v>
          </cell>
          <cell r="DP68">
            <v>0</v>
          </cell>
          <cell r="DQ68">
            <v>0</v>
          </cell>
          <cell r="DR68">
            <v>0</v>
          </cell>
          <cell r="DS68">
            <v>0</v>
          </cell>
          <cell r="DT68">
            <v>22808</v>
          </cell>
          <cell r="DU68">
            <v>0</v>
          </cell>
          <cell r="DW68">
            <v>0</v>
          </cell>
          <cell r="DX68">
            <v>0</v>
          </cell>
          <cell r="DY68">
            <v>30028</v>
          </cell>
          <cell r="DZ68">
            <v>32204</v>
          </cell>
          <cell r="EA68">
            <v>34446</v>
          </cell>
          <cell r="EB68">
            <v>36688</v>
          </cell>
          <cell r="EC68">
            <v>38930</v>
          </cell>
          <cell r="ED68">
            <v>41276</v>
          </cell>
          <cell r="EE68">
            <v>43622</v>
          </cell>
          <cell r="EF68">
            <v>45968</v>
          </cell>
          <cell r="EG68">
            <v>48314</v>
          </cell>
          <cell r="EH68">
            <v>50660</v>
          </cell>
          <cell r="EI68">
            <v>402136</v>
          </cell>
          <cell r="EK68">
            <v>0</v>
          </cell>
          <cell r="EL68">
            <v>0</v>
          </cell>
          <cell r="EM68">
            <v>200.18666666666664</v>
          </cell>
          <cell r="EN68">
            <v>214.69333333333336</v>
          </cell>
          <cell r="EO68">
            <v>229.64</v>
          </cell>
          <cell r="EP68">
            <v>244.58666666666667</v>
          </cell>
          <cell r="EQ68">
            <v>259.53333333333336</v>
          </cell>
          <cell r="ER68">
            <v>275.17333333333335</v>
          </cell>
          <cell r="ES68">
            <v>312.62433333333337</v>
          </cell>
          <cell r="ET68">
            <v>329.43733333333336</v>
          </cell>
          <cell r="EU68">
            <v>346.25033333333334</v>
          </cell>
          <cell r="EV68">
            <v>363.06333333333333</v>
          </cell>
          <cell r="EW68">
            <v>2775.1886666666674</v>
          </cell>
          <cell r="EY68">
            <v>213572</v>
          </cell>
          <cell r="EZ68">
            <v>8</v>
          </cell>
          <cell r="FA68">
            <v>1423.8133333333333</v>
          </cell>
          <cell r="FB68">
            <v>188564</v>
          </cell>
          <cell r="FC68">
            <v>8.6</v>
          </cell>
          <cell r="FD68">
            <v>1351.3753333333332</v>
          </cell>
          <cell r="FE68">
            <v>2775.1886666666664</v>
          </cell>
          <cell r="FF68">
            <v>53435</v>
          </cell>
          <cell r="FH68">
            <v>53435</v>
          </cell>
        </row>
        <row r="69">
          <cell r="B69">
            <v>9361</v>
          </cell>
          <cell r="C69" t="str">
            <v>13.09.2006</v>
          </cell>
          <cell r="D69" t="str">
            <v>Biganiya Kirasan Ramkuvar</v>
          </cell>
          <cell r="F69">
            <v>15488</v>
          </cell>
          <cell r="H69">
            <v>6904</v>
          </cell>
          <cell r="I69">
            <v>6904</v>
          </cell>
          <cell r="J69">
            <v>13808</v>
          </cell>
          <cell r="K69">
            <v>-1680</v>
          </cell>
          <cell r="M69">
            <v>1088</v>
          </cell>
          <cell r="N69">
            <v>0</v>
          </cell>
          <cell r="O69">
            <v>1088</v>
          </cell>
          <cell r="P69">
            <v>0</v>
          </cell>
          <cell r="Q69">
            <v>420</v>
          </cell>
          <cell r="R69">
            <v>0</v>
          </cell>
          <cell r="S69">
            <v>0</v>
          </cell>
          <cell r="T69">
            <v>420</v>
          </cell>
          <cell r="U69">
            <v>0</v>
          </cell>
          <cell r="W69">
            <v>1088</v>
          </cell>
          <cell r="X69">
            <v>0</v>
          </cell>
          <cell r="Y69">
            <v>1088</v>
          </cell>
          <cell r="Z69">
            <v>0</v>
          </cell>
          <cell r="AA69">
            <v>420</v>
          </cell>
          <cell r="AB69">
            <v>0</v>
          </cell>
          <cell r="AC69">
            <v>0</v>
          </cell>
          <cell r="AD69">
            <v>420</v>
          </cell>
          <cell r="AE69">
            <v>0</v>
          </cell>
          <cell r="AG69">
            <v>1121</v>
          </cell>
          <cell r="AH69">
            <v>0</v>
          </cell>
          <cell r="AI69">
            <v>1121</v>
          </cell>
          <cell r="AJ69">
            <v>0</v>
          </cell>
          <cell r="AK69">
            <v>420</v>
          </cell>
          <cell r="AL69">
            <v>0</v>
          </cell>
          <cell r="AM69">
            <v>0</v>
          </cell>
          <cell r="AN69">
            <v>420</v>
          </cell>
          <cell r="AO69">
            <v>6000</v>
          </cell>
          <cell r="AQ69">
            <v>1121</v>
          </cell>
          <cell r="AR69">
            <v>0</v>
          </cell>
          <cell r="AS69">
            <v>1121</v>
          </cell>
          <cell r="AT69">
            <v>0</v>
          </cell>
          <cell r="AU69">
            <v>615</v>
          </cell>
          <cell r="AV69">
            <v>0</v>
          </cell>
          <cell r="AW69">
            <v>0</v>
          </cell>
          <cell r="AX69">
            <v>615</v>
          </cell>
          <cell r="AY69">
            <v>0</v>
          </cell>
          <cell r="BA69">
            <v>1121</v>
          </cell>
          <cell r="BB69">
            <v>0</v>
          </cell>
          <cell r="BC69">
            <v>1121</v>
          </cell>
          <cell r="BD69">
            <v>0</v>
          </cell>
          <cell r="BE69">
            <v>615</v>
          </cell>
          <cell r="BF69">
            <v>0</v>
          </cell>
          <cell r="BG69">
            <v>0</v>
          </cell>
          <cell r="BH69">
            <v>615</v>
          </cell>
          <cell r="BI69">
            <v>0</v>
          </cell>
          <cell r="BK69">
            <v>1173</v>
          </cell>
          <cell r="BL69">
            <v>0</v>
          </cell>
          <cell r="BM69">
            <v>1173</v>
          </cell>
          <cell r="BN69">
            <v>0</v>
          </cell>
          <cell r="BO69">
            <v>615</v>
          </cell>
          <cell r="BP69">
            <v>0</v>
          </cell>
          <cell r="BQ69">
            <v>0</v>
          </cell>
          <cell r="BR69">
            <v>615</v>
          </cell>
          <cell r="BS69">
            <v>0</v>
          </cell>
          <cell r="BU69">
            <v>1173</v>
          </cell>
          <cell r="BV69">
            <v>0</v>
          </cell>
          <cell r="BW69">
            <v>1173</v>
          </cell>
          <cell r="BX69">
            <v>0</v>
          </cell>
          <cell r="BY69">
            <v>615</v>
          </cell>
          <cell r="BZ69">
            <v>0</v>
          </cell>
          <cell r="CA69">
            <v>0</v>
          </cell>
          <cell r="CB69">
            <v>615</v>
          </cell>
          <cell r="CC69">
            <v>0</v>
          </cell>
          <cell r="CE69">
            <v>1173</v>
          </cell>
          <cell r="CF69">
            <v>0</v>
          </cell>
          <cell r="CG69">
            <v>1173</v>
          </cell>
          <cell r="CH69">
            <v>0</v>
          </cell>
          <cell r="CI69">
            <v>615</v>
          </cell>
          <cell r="CJ69">
            <v>0</v>
          </cell>
          <cell r="CK69">
            <v>0</v>
          </cell>
          <cell r="CL69">
            <v>615</v>
          </cell>
          <cell r="CM69">
            <v>0</v>
          </cell>
          <cell r="CO69">
            <v>1173</v>
          </cell>
          <cell r="CP69">
            <v>0</v>
          </cell>
          <cell r="CQ69">
            <v>1173</v>
          </cell>
          <cell r="CR69">
            <v>0</v>
          </cell>
          <cell r="CS69">
            <v>615</v>
          </cell>
          <cell r="CT69">
            <v>0</v>
          </cell>
          <cell r="CU69">
            <v>0</v>
          </cell>
          <cell r="CV69">
            <v>615</v>
          </cell>
          <cell r="CW69">
            <v>0</v>
          </cell>
          <cell r="CY69">
            <v>1173</v>
          </cell>
          <cell r="CZ69">
            <v>0</v>
          </cell>
          <cell r="DA69">
            <v>1173</v>
          </cell>
          <cell r="DB69">
            <v>0</v>
          </cell>
          <cell r="DC69">
            <v>615</v>
          </cell>
          <cell r="DD69">
            <v>0</v>
          </cell>
          <cell r="DE69">
            <v>0</v>
          </cell>
          <cell r="DF69">
            <v>615</v>
          </cell>
          <cell r="DG69">
            <v>0</v>
          </cell>
          <cell r="DI69">
            <v>13808</v>
          </cell>
          <cell r="DJ69">
            <v>11404</v>
          </cell>
          <cell r="DK69">
            <v>0</v>
          </cell>
          <cell r="DL69">
            <v>11404</v>
          </cell>
          <cell r="DM69">
            <v>11404</v>
          </cell>
          <cell r="DN69">
            <v>0</v>
          </cell>
          <cell r="DO69">
            <v>11404</v>
          </cell>
          <cell r="DP69">
            <v>5565</v>
          </cell>
          <cell r="DQ69">
            <v>0</v>
          </cell>
          <cell r="DR69">
            <v>0</v>
          </cell>
          <cell r="DS69">
            <v>5565</v>
          </cell>
          <cell r="DT69">
            <v>28373</v>
          </cell>
          <cell r="DU69">
            <v>6000</v>
          </cell>
          <cell r="DW69">
            <v>0</v>
          </cell>
          <cell r="DX69">
            <v>0</v>
          </cell>
          <cell r="DY69">
            <v>16404</v>
          </cell>
          <cell r="DZ69">
            <v>19000</v>
          </cell>
          <cell r="EA69">
            <v>15662</v>
          </cell>
          <cell r="EB69">
            <v>18519</v>
          </cell>
          <cell r="EC69">
            <v>21376</v>
          </cell>
          <cell r="ED69">
            <v>24337</v>
          </cell>
          <cell r="EE69">
            <v>27298</v>
          </cell>
          <cell r="EF69">
            <v>30259</v>
          </cell>
          <cell r="EG69">
            <v>33220</v>
          </cell>
          <cell r="EH69">
            <v>36181</v>
          </cell>
          <cell r="EI69">
            <v>242256</v>
          </cell>
          <cell r="EK69">
            <v>0</v>
          </cell>
          <cell r="EL69">
            <v>0</v>
          </cell>
          <cell r="EM69">
            <v>109.36</v>
          </cell>
          <cell r="EN69">
            <v>126.66666666666667</v>
          </cell>
          <cell r="EO69">
            <v>104.41333333333334</v>
          </cell>
          <cell r="EP69">
            <v>123.46</v>
          </cell>
          <cell r="EQ69">
            <v>142.50666666666666</v>
          </cell>
          <cell r="ER69">
            <v>162.24666666666667</v>
          </cell>
          <cell r="ES69">
            <v>195.63566666666665</v>
          </cell>
          <cell r="ET69">
            <v>216.85616666666667</v>
          </cell>
          <cell r="EU69">
            <v>238.07666666666668</v>
          </cell>
          <cell r="EV69">
            <v>259.29716666666667</v>
          </cell>
          <cell r="EW69">
            <v>1678.519</v>
          </cell>
          <cell r="EY69">
            <v>115298</v>
          </cell>
          <cell r="EZ69">
            <v>8</v>
          </cell>
          <cell r="FA69">
            <v>768.65333333333331</v>
          </cell>
          <cell r="FB69">
            <v>126958</v>
          </cell>
          <cell r="FC69">
            <v>8.6</v>
          </cell>
          <cell r="FD69">
            <v>909.8656666666667</v>
          </cell>
          <cell r="FE69">
            <v>1678.519</v>
          </cell>
          <cell r="FF69">
            <v>37860</v>
          </cell>
          <cell r="FH69">
            <v>37860</v>
          </cell>
        </row>
        <row r="70">
          <cell r="B70">
            <v>9350</v>
          </cell>
          <cell r="C70" t="str">
            <v>16.09.2006</v>
          </cell>
          <cell r="D70" t="str">
            <v>Dhavale Nana Pandharinath</v>
          </cell>
          <cell r="F70">
            <v>15685</v>
          </cell>
          <cell r="H70">
            <v>29040</v>
          </cell>
          <cell r="I70">
            <v>29040</v>
          </cell>
          <cell r="J70">
            <v>58080</v>
          </cell>
          <cell r="K70">
            <v>42395</v>
          </cell>
          <cell r="M70">
            <v>1088</v>
          </cell>
          <cell r="N70">
            <v>0</v>
          </cell>
          <cell r="O70">
            <v>1088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W70">
            <v>1088</v>
          </cell>
          <cell r="X70">
            <v>0</v>
          </cell>
          <cell r="Y70">
            <v>1088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G70">
            <v>1121</v>
          </cell>
          <cell r="AH70">
            <v>0</v>
          </cell>
          <cell r="AI70">
            <v>1121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Q70">
            <v>1121</v>
          </cell>
          <cell r="AR70">
            <v>0</v>
          </cell>
          <cell r="AS70">
            <v>1121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BA70">
            <v>1121</v>
          </cell>
          <cell r="BB70">
            <v>0</v>
          </cell>
          <cell r="BC70">
            <v>1121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K70">
            <v>1173</v>
          </cell>
          <cell r="BL70">
            <v>0</v>
          </cell>
          <cell r="BM70">
            <v>1173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U70">
            <v>1173</v>
          </cell>
          <cell r="BV70">
            <v>0</v>
          </cell>
          <cell r="BW70">
            <v>1173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E70">
            <v>1173</v>
          </cell>
          <cell r="CF70">
            <v>0</v>
          </cell>
          <cell r="CG70">
            <v>1173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O70">
            <v>1173</v>
          </cell>
          <cell r="CP70">
            <v>0</v>
          </cell>
          <cell r="CQ70">
            <v>1173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Y70">
            <v>1173</v>
          </cell>
          <cell r="CZ70">
            <v>0</v>
          </cell>
          <cell r="DA70">
            <v>1173</v>
          </cell>
          <cell r="DB70">
            <v>0</v>
          </cell>
          <cell r="DC70">
            <v>0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I70">
            <v>58080</v>
          </cell>
          <cell r="DJ70">
            <v>11404</v>
          </cell>
          <cell r="DK70">
            <v>0</v>
          </cell>
          <cell r="DL70">
            <v>11404</v>
          </cell>
          <cell r="DM70">
            <v>11404</v>
          </cell>
          <cell r="DN70">
            <v>0</v>
          </cell>
          <cell r="DO70">
            <v>11404</v>
          </cell>
          <cell r="DP70">
            <v>0</v>
          </cell>
          <cell r="DQ70">
            <v>0</v>
          </cell>
          <cell r="DR70">
            <v>0</v>
          </cell>
          <cell r="DS70">
            <v>0</v>
          </cell>
          <cell r="DT70">
            <v>22808</v>
          </cell>
          <cell r="DU70">
            <v>0</v>
          </cell>
          <cell r="DW70">
            <v>0</v>
          </cell>
          <cell r="DX70">
            <v>0</v>
          </cell>
          <cell r="DY70">
            <v>60256</v>
          </cell>
          <cell r="DZ70">
            <v>62432</v>
          </cell>
          <cell r="EA70">
            <v>64674</v>
          </cell>
          <cell r="EB70">
            <v>66916</v>
          </cell>
          <cell r="EC70">
            <v>69158</v>
          </cell>
          <cell r="ED70">
            <v>71504</v>
          </cell>
          <cell r="EE70">
            <v>73850</v>
          </cell>
          <cell r="EF70">
            <v>76196</v>
          </cell>
          <cell r="EG70">
            <v>78542</v>
          </cell>
          <cell r="EH70">
            <v>80888</v>
          </cell>
          <cell r="EI70">
            <v>704416</v>
          </cell>
          <cell r="EK70">
            <v>0</v>
          </cell>
          <cell r="EL70">
            <v>0</v>
          </cell>
          <cell r="EM70">
            <v>401.70666666666665</v>
          </cell>
          <cell r="EN70">
            <v>416.21333333333337</v>
          </cell>
          <cell r="EO70">
            <v>431.16</v>
          </cell>
          <cell r="EP70">
            <v>446.10666666666663</v>
          </cell>
          <cell r="EQ70">
            <v>461.05333333333334</v>
          </cell>
          <cell r="ER70">
            <v>476.69333333333333</v>
          </cell>
          <cell r="ES70">
            <v>529.25833333333333</v>
          </cell>
          <cell r="ET70">
            <v>546.07133333333331</v>
          </cell>
          <cell r="EU70">
            <v>562.8843333333333</v>
          </cell>
          <cell r="EV70">
            <v>579.69733333333329</v>
          </cell>
          <cell r="EW70">
            <v>4850.8446666666669</v>
          </cell>
          <cell r="EY70">
            <v>394940</v>
          </cell>
          <cell r="EZ70">
            <v>8</v>
          </cell>
          <cell r="FA70">
            <v>2632.9333333333334</v>
          </cell>
          <cell r="FB70">
            <v>309476</v>
          </cell>
          <cell r="FC70">
            <v>8.6</v>
          </cell>
          <cell r="FD70">
            <v>2217.9113333333335</v>
          </cell>
          <cell r="FE70">
            <v>4850.8446666666669</v>
          </cell>
          <cell r="FF70">
            <v>85739</v>
          </cell>
          <cell r="FH70">
            <v>85739</v>
          </cell>
        </row>
        <row r="71">
          <cell r="B71">
            <v>9367</v>
          </cell>
          <cell r="C71" t="str">
            <v>18.09.2006</v>
          </cell>
          <cell r="D71" t="str">
            <v>Ridlown Jaysingh Ranveer</v>
          </cell>
          <cell r="F71">
            <v>14652</v>
          </cell>
          <cell r="H71">
            <v>2760</v>
          </cell>
          <cell r="I71">
            <v>2760</v>
          </cell>
          <cell r="J71">
            <v>5520</v>
          </cell>
          <cell r="K71">
            <v>-9132</v>
          </cell>
          <cell r="M71">
            <v>1088</v>
          </cell>
          <cell r="N71">
            <v>0</v>
          </cell>
          <cell r="O71">
            <v>1088</v>
          </cell>
          <cell r="P71">
            <v>0</v>
          </cell>
          <cell r="Q71">
            <v>225</v>
          </cell>
          <cell r="R71">
            <v>0</v>
          </cell>
          <cell r="S71">
            <v>0</v>
          </cell>
          <cell r="T71">
            <v>225</v>
          </cell>
          <cell r="U71">
            <v>0</v>
          </cell>
          <cell r="W71">
            <v>1088</v>
          </cell>
          <cell r="X71">
            <v>0</v>
          </cell>
          <cell r="Y71">
            <v>1088</v>
          </cell>
          <cell r="Z71">
            <v>0</v>
          </cell>
          <cell r="AA71">
            <v>225</v>
          </cell>
          <cell r="AB71">
            <v>0</v>
          </cell>
          <cell r="AC71">
            <v>0</v>
          </cell>
          <cell r="AD71">
            <v>225</v>
          </cell>
          <cell r="AE71">
            <v>0</v>
          </cell>
          <cell r="AG71">
            <v>1121</v>
          </cell>
          <cell r="AH71">
            <v>0</v>
          </cell>
          <cell r="AI71">
            <v>1121</v>
          </cell>
          <cell r="AJ71">
            <v>0</v>
          </cell>
          <cell r="AK71">
            <v>225</v>
          </cell>
          <cell r="AL71">
            <v>0</v>
          </cell>
          <cell r="AM71">
            <v>0</v>
          </cell>
          <cell r="AN71">
            <v>225</v>
          </cell>
          <cell r="AO71">
            <v>0</v>
          </cell>
          <cell r="AQ71">
            <v>1121</v>
          </cell>
          <cell r="AR71">
            <v>0</v>
          </cell>
          <cell r="AS71">
            <v>1121</v>
          </cell>
          <cell r="AT71">
            <v>0</v>
          </cell>
          <cell r="AU71">
            <v>225</v>
          </cell>
          <cell r="AV71">
            <v>0</v>
          </cell>
          <cell r="AW71">
            <v>0</v>
          </cell>
          <cell r="AX71">
            <v>225</v>
          </cell>
          <cell r="AY71">
            <v>0</v>
          </cell>
          <cell r="BA71">
            <v>1121</v>
          </cell>
          <cell r="BB71">
            <v>0</v>
          </cell>
          <cell r="BC71">
            <v>1121</v>
          </cell>
          <cell r="BD71">
            <v>0</v>
          </cell>
          <cell r="BE71">
            <v>225</v>
          </cell>
          <cell r="BF71">
            <v>0</v>
          </cell>
          <cell r="BG71">
            <v>0</v>
          </cell>
          <cell r="BH71">
            <v>225</v>
          </cell>
          <cell r="BI71">
            <v>0</v>
          </cell>
          <cell r="BK71">
            <v>1173</v>
          </cell>
          <cell r="BL71">
            <v>0</v>
          </cell>
          <cell r="BM71">
            <v>1173</v>
          </cell>
          <cell r="BN71">
            <v>0</v>
          </cell>
          <cell r="BO71">
            <v>225</v>
          </cell>
          <cell r="BP71">
            <v>0</v>
          </cell>
          <cell r="BQ71">
            <v>0</v>
          </cell>
          <cell r="BR71">
            <v>225</v>
          </cell>
          <cell r="BS71">
            <v>0</v>
          </cell>
          <cell r="BU71">
            <v>1173</v>
          </cell>
          <cell r="BV71">
            <v>0</v>
          </cell>
          <cell r="BW71">
            <v>1173</v>
          </cell>
          <cell r="BX71">
            <v>0</v>
          </cell>
          <cell r="BY71">
            <v>225</v>
          </cell>
          <cell r="BZ71">
            <v>0</v>
          </cell>
          <cell r="CA71">
            <v>0</v>
          </cell>
          <cell r="CB71">
            <v>225</v>
          </cell>
          <cell r="CC71">
            <v>0</v>
          </cell>
          <cell r="CE71">
            <v>1173</v>
          </cell>
          <cell r="CF71">
            <v>0</v>
          </cell>
          <cell r="CG71">
            <v>1173</v>
          </cell>
          <cell r="CH71">
            <v>0</v>
          </cell>
          <cell r="CI71">
            <v>225</v>
          </cell>
          <cell r="CJ71">
            <v>0</v>
          </cell>
          <cell r="CK71">
            <v>0</v>
          </cell>
          <cell r="CL71">
            <v>225</v>
          </cell>
          <cell r="CM71">
            <v>0</v>
          </cell>
          <cell r="CO71">
            <v>1173</v>
          </cell>
          <cell r="CP71">
            <v>0</v>
          </cell>
          <cell r="CQ71">
            <v>1173</v>
          </cell>
          <cell r="CR71">
            <v>0</v>
          </cell>
          <cell r="CS71">
            <v>225</v>
          </cell>
          <cell r="CT71">
            <v>0</v>
          </cell>
          <cell r="CU71">
            <v>0</v>
          </cell>
          <cell r="CV71">
            <v>225</v>
          </cell>
          <cell r="CW71">
            <v>0</v>
          </cell>
          <cell r="CY71">
            <v>1173</v>
          </cell>
          <cell r="CZ71">
            <v>0</v>
          </cell>
          <cell r="DA71">
            <v>1173</v>
          </cell>
          <cell r="DB71">
            <v>0</v>
          </cell>
          <cell r="DC71">
            <v>225</v>
          </cell>
          <cell r="DD71">
            <v>0</v>
          </cell>
          <cell r="DE71">
            <v>0</v>
          </cell>
          <cell r="DF71">
            <v>225</v>
          </cell>
          <cell r="DG71">
            <v>0</v>
          </cell>
          <cell r="DI71">
            <v>5520</v>
          </cell>
          <cell r="DJ71">
            <v>11404</v>
          </cell>
          <cell r="DK71">
            <v>0</v>
          </cell>
          <cell r="DL71">
            <v>11404</v>
          </cell>
          <cell r="DM71">
            <v>11404</v>
          </cell>
          <cell r="DN71">
            <v>0</v>
          </cell>
          <cell r="DO71">
            <v>11404</v>
          </cell>
          <cell r="DP71">
            <v>2250</v>
          </cell>
          <cell r="DQ71">
            <v>0</v>
          </cell>
          <cell r="DR71">
            <v>0</v>
          </cell>
          <cell r="DS71">
            <v>2250</v>
          </cell>
          <cell r="DT71">
            <v>25058</v>
          </cell>
          <cell r="DU71">
            <v>0</v>
          </cell>
          <cell r="DW71">
            <v>0</v>
          </cell>
          <cell r="DX71">
            <v>0</v>
          </cell>
          <cell r="DY71">
            <v>7921</v>
          </cell>
          <cell r="DZ71">
            <v>10322</v>
          </cell>
          <cell r="EA71">
            <v>12789</v>
          </cell>
          <cell r="EB71">
            <v>15256</v>
          </cell>
          <cell r="EC71">
            <v>17723</v>
          </cell>
          <cell r="ED71">
            <v>20294</v>
          </cell>
          <cell r="EE71">
            <v>22865</v>
          </cell>
          <cell r="EF71">
            <v>25436</v>
          </cell>
          <cell r="EG71">
            <v>28007</v>
          </cell>
          <cell r="EH71">
            <v>30578</v>
          </cell>
          <cell r="EI71">
            <v>191191</v>
          </cell>
          <cell r="EK71">
            <v>0</v>
          </cell>
          <cell r="EL71">
            <v>0</v>
          </cell>
          <cell r="EM71">
            <v>52.806666666666665</v>
          </cell>
          <cell r="EN71">
            <v>68.813333333333333</v>
          </cell>
          <cell r="EO71">
            <v>85.26</v>
          </cell>
          <cell r="EP71">
            <v>101.70666666666666</v>
          </cell>
          <cell r="EQ71">
            <v>118.15333333333332</v>
          </cell>
          <cell r="ER71">
            <v>135.29333333333332</v>
          </cell>
          <cell r="ES71">
            <v>163.86583333333334</v>
          </cell>
          <cell r="ET71">
            <v>182.29133333333331</v>
          </cell>
          <cell r="EU71">
            <v>200.71683333333331</v>
          </cell>
          <cell r="EV71">
            <v>219.14233333333334</v>
          </cell>
          <cell r="EW71">
            <v>1328.0496666666668</v>
          </cell>
          <cell r="EY71">
            <v>84305</v>
          </cell>
          <cell r="EZ71">
            <v>8</v>
          </cell>
          <cell r="FA71">
            <v>562.0333333333333</v>
          </cell>
          <cell r="FB71">
            <v>106886</v>
          </cell>
          <cell r="FC71">
            <v>8.6</v>
          </cell>
          <cell r="FD71">
            <v>766.01633333333336</v>
          </cell>
          <cell r="FE71">
            <v>1328.0496666666668</v>
          </cell>
          <cell r="FF71">
            <v>31906</v>
          </cell>
          <cell r="FH71">
            <v>31906</v>
          </cell>
        </row>
        <row r="72">
          <cell r="B72">
            <v>9362</v>
          </cell>
          <cell r="C72" t="str">
            <v>29.09.2006</v>
          </cell>
          <cell r="D72" t="str">
            <v>Sonawane Gautam Babulal</v>
          </cell>
          <cell r="F72">
            <v>14727</v>
          </cell>
          <cell r="H72">
            <v>14520</v>
          </cell>
          <cell r="I72">
            <v>14520</v>
          </cell>
          <cell r="J72">
            <v>29040</v>
          </cell>
          <cell r="K72">
            <v>14313</v>
          </cell>
          <cell r="M72">
            <v>1088</v>
          </cell>
          <cell r="N72">
            <v>0</v>
          </cell>
          <cell r="O72">
            <v>1088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W72">
            <v>1088</v>
          </cell>
          <cell r="X72">
            <v>0</v>
          </cell>
          <cell r="Y72">
            <v>1088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10900</v>
          </cell>
          <cell r="AG72">
            <v>1121</v>
          </cell>
          <cell r="AH72">
            <v>0</v>
          </cell>
          <cell r="AI72">
            <v>1121</v>
          </cell>
          <cell r="AJ72">
            <v>0</v>
          </cell>
          <cell r="AK72">
            <v>545</v>
          </cell>
          <cell r="AL72">
            <v>0</v>
          </cell>
          <cell r="AM72">
            <v>0</v>
          </cell>
          <cell r="AN72">
            <v>545</v>
          </cell>
          <cell r="AO72">
            <v>0</v>
          </cell>
          <cell r="AQ72">
            <v>1121</v>
          </cell>
          <cell r="AR72">
            <v>0</v>
          </cell>
          <cell r="AS72">
            <v>1121</v>
          </cell>
          <cell r="AT72">
            <v>0</v>
          </cell>
          <cell r="AU72">
            <v>545</v>
          </cell>
          <cell r="AV72">
            <v>0</v>
          </cell>
          <cell r="AW72">
            <v>0</v>
          </cell>
          <cell r="AX72">
            <v>545</v>
          </cell>
          <cell r="AY72">
            <v>0</v>
          </cell>
          <cell r="BA72">
            <v>1121</v>
          </cell>
          <cell r="BB72">
            <v>0</v>
          </cell>
          <cell r="BC72">
            <v>1121</v>
          </cell>
          <cell r="BD72">
            <v>0</v>
          </cell>
          <cell r="BE72">
            <v>545</v>
          </cell>
          <cell r="BF72">
            <v>0</v>
          </cell>
          <cell r="BG72">
            <v>0</v>
          </cell>
          <cell r="BH72">
            <v>545</v>
          </cell>
          <cell r="BI72">
            <v>0</v>
          </cell>
          <cell r="BK72">
            <v>1173</v>
          </cell>
          <cell r="BL72">
            <v>0</v>
          </cell>
          <cell r="BM72">
            <v>1173</v>
          </cell>
          <cell r="BN72">
            <v>0</v>
          </cell>
          <cell r="BO72">
            <v>545</v>
          </cell>
          <cell r="BP72">
            <v>0</v>
          </cell>
          <cell r="BQ72">
            <v>0</v>
          </cell>
          <cell r="BR72">
            <v>545</v>
          </cell>
          <cell r="BS72">
            <v>0</v>
          </cell>
          <cell r="BU72">
            <v>1173</v>
          </cell>
          <cell r="BV72">
            <v>0</v>
          </cell>
          <cell r="BW72">
            <v>1173</v>
          </cell>
          <cell r="BX72">
            <v>0</v>
          </cell>
          <cell r="BY72">
            <v>545</v>
          </cell>
          <cell r="BZ72">
            <v>0</v>
          </cell>
          <cell r="CA72">
            <v>0</v>
          </cell>
          <cell r="CB72">
            <v>545</v>
          </cell>
          <cell r="CC72">
            <v>0</v>
          </cell>
          <cell r="CE72">
            <v>1173</v>
          </cell>
          <cell r="CF72">
            <v>0</v>
          </cell>
          <cell r="CG72">
            <v>1173</v>
          </cell>
          <cell r="CH72">
            <v>0</v>
          </cell>
          <cell r="CI72">
            <v>545</v>
          </cell>
          <cell r="CJ72">
            <v>0</v>
          </cell>
          <cell r="CK72">
            <v>0</v>
          </cell>
          <cell r="CL72">
            <v>545</v>
          </cell>
          <cell r="CM72">
            <v>0</v>
          </cell>
          <cell r="CO72">
            <v>1173</v>
          </cell>
          <cell r="CP72">
            <v>0</v>
          </cell>
          <cell r="CQ72">
            <v>1173</v>
          </cell>
          <cell r="CR72">
            <v>0</v>
          </cell>
          <cell r="CS72">
            <v>545</v>
          </cell>
          <cell r="CT72">
            <v>0</v>
          </cell>
          <cell r="CU72">
            <v>0</v>
          </cell>
          <cell r="CV72">
            <v>545</v>
          </cell>
          <cell r="CW72">
            <v>0</v>
          </cell>
          <cell r="CY72">
            <v>1173</v>
          </cell>
          <cell r="CZ72">
            <v>0</v>
          </cell>
          <cell r="DA72">
            <v>1173</v>
          </cell>
          <cell r="DB72">
            <v>0</v>
          </cell>
          <cell r="DC72">
            <v>545</v>
          </cell>
          <cell r="DD72">
            <v>0</v>
          </cell>
          <cell r="DE72">
            <v>0</v>
          </cell>
          <cell r="DF72">
            <v>545</v>
          </cell>
          <cell r="DG72">
            <v>0</v>
          </cell>
          <cell r="DI72">
            <v>29040</v>
          </cell>
          <cell r="DJ72">
            <v>11404</v>
          </cell>
          <cell r="DK72">
            <v>0</v>
          </cell>
          <cell r="DL72">
            <v>11404</v>
          </cell>
          <cell r="DM72">
            <v>11404</v>
          </cell>
          <cell r="DN72">
            <v>0</v>
          </cell>
          <cell r="DO72">
            <v>11404</v>
          </cell>
          <cell r="DP72">
            <v>4360</v>
          </cell>
          <cell r="DQ72">
            <v>0</v>
          </cell>
          <cell r="DR72">
            <v>0</v>
          </cell>
          <cell r="DS72">
            <v>4360</v>
          </cell>
          <cell r="DT72">
            <v>27168</v>
          </cell>
          <cell r="DU72">
            <v>10900</v>
          </cell>
          <cell r="DW72">
            <v>0</v>
          </cell>
          <cell r="DX72">
            <v>0</v>
          </cell>
          <cell r="DY72">
            <v>31216</v>
          </cell>
          <cell r="DZ72">
            <v>22492</v>
          </cell>
          <cell r="EA72">
            <v>25279</v>
          </cell>
          <cell r="EB72">
            <v>28066</v>
          </cell>
          <cell r="EC72">
            <v>30853</v>
          </cell>
          <cell r="ED72">
            <v>33744</v>
          </cell>
          <cell r="EE72">
            <v>36635</v>
          </cell>
          <cell r="EF72">
            <v>39526</v>
          </cell>
          <cell r="EG72">
            <v>42417</v>
          </cell>
          <cell r="EH72">
            <v>45308</v>
          </cell>
          <cell r="EI72">
            <v>335536</v>
          </cell>
          <cell r="EK72">
            <v>0</v>
          </cell>
          <cell r="EL72">
            <v>0</v>
          </cell>
          <cell r="EM72">
            <v>208.10666666666668</v>
          </cell>
          <cell r="EN72">
            <v>149.94666666666666</v>
          </cell>
          <cell r="EO72">
            <v>168.52666666666667</v>
          </cell>
          <cell r="EP72">
            <v>187.10666666666668</v>
          </cell>
          <cell r="EQ72">
            <v>205.68666666666664</v>
          </cell>
          <cell r="ER72">
            <v>224.96</v>
          </cell>
          <cell r="ES72">
            <v>262.55083333333334</v>
          </cell>
          <cell r="ET72">
            <v>283.26966666666664</v>
          </cell>
          <cell r="EU72">
            <v>303.98849999999999</v>
          </cell>
          <cell r="EV72">
            <v>324.70733333333334</v>
          </cell>
          <cell r="EW72">
            <v>2318.8496666666665</v>
          </cell>
          <cell r="EY72">
            <v>171650</v>
          </cell>
          <cell r="EZ72">
            <v>8</v>
          </cell>
          <cell r="FA72">
            <v>1144.3333333333333</v>
          </cell>
          <cell r="FB72">
            <v>163886</v>
          </cell>
          <cell r="FC72">
            <v>8.6</v>
          </cell>
          <cell r="FD72">
            <v>1174.5163333333333</v>
          </cell>
          <cell r="FE72">
            <v>2318.8496666666665</v>
          </cell>
          <cell r="FF72">
            <v>47627</v>
          </cell>
          <cell r="FH72">
            <v>47627</v>
          </cell>
        </row>
        <row r="73">
          <cell r="B73">
            <v>9369</v>
          </cell>
          <cell r="C73" t="str">
            <v>29.09.2006</v>
          </cell>
          <cell r="D73" t="str">
            <v>Bidlon Sonu Sadu</v>
          </cell>
          <cell r="F73">
            <v>14501</v>
          </cell>
          <cell r="H73">
            <v>7520</v>
          </cell>
          <cell r="I73">
            <v>7520</v>
          </cell>
          <cell r="J73">
            <v>15040</v>
          </cell>
          <cell r="K73">
            <v>539</v>
          </cell>
          <cell r="M73">
            <v>1088</v>
          </cell>
          <cell r="N73">
            <v>0</v>
          </cell>
          <cell r="O73">
            <v>1088</v>
          </cell>
          <cell r="P73">
            <v>0</v>
          </cell>
          <cell r="Q73">
            <v>420</v>
          </cell>
          <cell r="R73">
            <v>0</v>
          </cell>
          <cell r="S73">
            <v>0</v>
          </cell>
          <cell r="T73">
            <v>420</v>
          </cell>
          <cell r="U73">
            <v>0</v>
          </cell>
          <cell r="W73">
            <v>1088</v>
          </cell>
          <cell r="X73">
            <v>0</v>
          </cell>
          <cell r="Y73">
            <v>1088</v>
          </cell>
          <cell r="Z73">
            <v>0</v>
          </cell>
          <cell r="AA73">
            <v>420</v>
          </cell>
          <cell r="AB73">
            <v>0</v>
          </cell>
          <cell r="AC73">
            <v>0</v>
          </cell>
          <cell r="AD73">
            <v>420</v>
          </cell>
          <cell r="AE73">
            <v>0</v>
          </cell>
          <cell r="AG73">
            <v>1121</v>
          </cell>
          <cell r="AH73">
            <v>0</v>
          </cell>
          <cell r="AI73">
            <v>1121</v>
          </cell>
          <cell r="AJ73">
            <v>0</v>
          </cell>
          <cell r="AK73">
            <v>420</v>
          </cell>
          <cell r="AL73">
            <v>0</v>
          </cell>
          <cell r="AM73">
            <v>0</v>
          </cell>
          <cell r="AN73">
            <v>420</v>
          </cell>
          <cell r="AO73">
            <v>0</v>
          </cell>
          <cell r="AQ73">
            <v>1121</v>
          </cell>
          <cell r="AR73">
            <v>0</v>
          </cell>
          <cell r="AS73">
            <v>1121</v>
          </cell>
          <cell r="AT73">
            <v>0</v>
          </cell>
          <cell r="AU73">
            <v>420</v>
          </cell>
          <cell r="AV73">
            <v>0</v>
          </cell>
          <cell r="AW73">
            <v>0</v>
          </cell>
          <cell r="AX73">
            <v>420</v>
          </cell>
          <cell r="AY73">
            <v>0</v>
          </cell>
          <cell r="BA73">
            <v>1121</v>
          </cell>
          <cell r="BB73">
            <v>0</v>
          </cell>
          <cell r="BC73">
            <v>1121</v>
          </cell>
          <cell r="BD73">
            <v>0</v>
          </cell>
          <cell r="BE73">
            <v>420</v>
          </cell>
          <cell r="BF73">
            <v>0</v>
          </cell>
          <cell r="BG73">
            <v>0</v>
          </cell>
          <cell r="BH73">
            <v>420</v>
          </cell>
          <cell r="BI73">
            <v>0</v>
          </cell>
          <cell r="BK73">
            <v>1173</v>
          </cell>
          <cell r="BL73">
            <v>0</v>
          </cell>
          <cell r="BM73">
            <v>1173</v>
          </cell>
          <cell r="BN73">
            <v>0</v>
          </cell>
          <cell r="BO73">
            <v>420</v>
          </cell>
          <cell r="BP73">
            <v>0</v>
          </cell>
          <cell r="BQ73">
            <v>0</v>
          </cell>
          <cell r="BR73">
            <v>420</v>
          </cell>
          <cell r="BS73">
            <v>0</v>
          </cell>
          <cell r="BU73">
            <v>1173</v>
          </cell>
          <cell r="BV73">
            <v>0</v>
          </cell>
          <cell r="BW73">
            <v>1173</v>
          </cell>
          <cell r="BX73">
            <v>0</v>
          </cell>
          <cell r="BY73">
            <v>420</v>
          </cell>
          <cell r="BZ73">
            <v>0</v>
          </cell>
          <cell r="CA73">
            <v>0</v>
          </cell>
          <cell r="CB73">
            <v>420</v>
          </cell>
          <cell r="CC73">
            <v>0</v>
          </cell>
          <cell r="CE73">
            <v>1173</v>
          </cell>
          <cell r="CF73">
            <v>0</v>
          </cell>
          <cell r="CG73">
            <v>1173</v>
          </cell>
          <cell r="CH73">
            <v>0</v>
          </cell>
          <cell r="CI73">
            <v>420</v>
          </cell>
          <cell r="CJ73">
            <v>0</v>
          </cell>
          <cell r="CK73">
            <v>0</v>
          </cell>
          <cell r="CL73">
            <v>420</v>
          </cell>
          <cell r="CM73">
            <v>0</v>
          </cell>
          <cell r="CO73">
            <v>1173</v>
          </cell>
          <cell r="CP73">
            <v>0</v>
          </cell>
          <cell r="CQ73">
            <v>1173</v>
          </cell>
          <cell r="CR73">
            <v>0</v>
          </cell>
          <cell r="CS73">
            <v>420</v>
          </cell>
          <cell r="CT73">
            <v>0</v>
          </cell>
          <cell r="CU73">
            <v>0</v>
          </cell>
          <cell r="CV73">
            <v>420</v>
          </cell>
          <cell r="CW73">
            <v>0</v>
          </cell>
          <cell r="CY73">
            <v>1173</v>
          </cell>
          <cell r="CZ73">
            <v>0</v>
          </cell>
          <cell r="DA73">
            <v>1173</v>
          </cell>
          <cell r="DB73">
            <v>0</v>
          </cell>
          <cell r="DC73">
            <v>420</v>
          </cell>
          <cell r="DD73">
            <v>0</v>
          </cell>
          <cell r="DE73">
            <v>0</v>
          </cell>
          <cell r="DF73">
            <v>420</v>
          </cell>
          <cell r="DG73">
            <v>0</v>
          </cell>
          <cell r="DI73">
            <v>15040</v>
          </cell>
          <cell r="DJ73">
            <v>11404</v>
          </cell>
          <cell r="DK73">
            <v>0</v>
          </cell>
          <cell r="DL73">
            <v>11404</v>
          </cell>
          <cell r="DM73">
            <v>11404</v>
          </cell>
          <cell r="DN73">
            <v>0</v>
          </cell>
          <cell r="DO73">
            <v>11404</v>
          </cell>
          <cell r="DP73">
            <v>4200</v>
          </cell>
          <cell r="DQ73">
            <v>0</v>
          </cell>
          <cell r="DR73">
            <v>0</v>
          </cell>
          <cell r="DS73">
            <v>4200</v>
          </cell>
          <cell r="DT73">
            <v>27008</v>
          </cell>
          <cell r="DU73">
            <v>0</v>
          </cell>
          <cell r="DW73">
            <v>0</v>
          </cell>
          <cell r="DX73">
            <v>0</v>
          </cell>
          <cell r="DY73">
            <v>17636</v>
          </cell>
          <cell r="DZ73">
            <v>20232</v>
          </cell>
          <cell r="EA73">
            <v>22894</v>
          </cell>
          <cell r="EB73">
            <v>25556</v>
          </cell>
          <cell r="EC73">
            <v>28218</v>
          </cell>
          <cell r="ED73">
            <v>30984</v>
          </cell>
          <cell r="EE73">
            <v>33750</v>
          </cell>
          <cell r="EF73">
            <v>36516</v>
          </cell>
          <cell r="EG73">
            <v>39282</v>
          </cell>
          <cell r="EH73">
            <v>42048</v>
          </cell>
          <cell r="EI73">
            <v>297116</v>
          </cell>
          <cell r="EK73">
            <v>0</v>
          </cell>
          <cell r="EL73">
            <v>0</v>
          </cell>
          <cell r="EM73">
            <v>117.57333333333334</v>
          </cell>
          <cell r="EN73">
            <v>134.88</v>
          </cell>
          <cell r="EO73">
            <v>152.62666666666667</v>
          </cell>
          <cell r="EP73">
            <v>170.37333333333333</v>
          </cell>
          <cell r="EQ73">
            <v>188.12</v>
          </cell>
          <cell r="ER73">
            <v>206.55999999999997</v>
          </cell>
          <cell r="ES73">
            <v>241.875</v>
          </cell>
          <cell r="ET73">
            <v>261.69799999999998</v>
          </cell>
          <cell r="EU73">
            <v>281.52100000000002</v>
          </cell>
          <cell r="EV73">
            <v>301.34399999999999</v>
          </cell>
          <cell r="EW73">
            <v>2056.5713333333329</v>
          </cell>
          <cell r="EY73">
            <v>145520</v>
          </cell>
          <cell r="EZ73">
            <v>8</v>
          </cell>
          <cell r="FA73">
            <v>970.13333333333333</v>
          </cell>
          <cell r="FB73">
            <v>151596</v>
          </cell>
          <cell r="FC73">
            <v>8.6</v>
          </cell>
          <cell r="FD73">
            <v>1086.4379999999999</v>
          </cell>
          <cell r="FE73">
            <v>2056.5713333333333</v>
          </cell>
          <cell r="FF73">
            <v>44105</v>
          </cell>
          <cell r="FH73">
            <v>44105</v>
          </cell>
        </row>
        <row r="74">
          <cell r="B74">
            <v>9338</v>
          </cell>
          <cell r="C74" t="str">
            <v>07.10.2006</v>
          </cell>
          <cell r="D74" t="str">
            <v>Thakur Sagar Bhika</v>
          </cell>
          <cell r="F74">
            <v>14866</v>
          </cell>
          <cell r="H74">
            <v>5164</v>
          </cell>
          <cell r="I74">
            <v>5164</v>
          </cell>
          <cell r="J74">
            <v>10328</v>
          </cell>
          <cell r="K74">
            <v>-4538</v>
          </cell>
          <cell r="M74">
            <v>1088</v>
          </cell>
          <cell r="N74">
            <v>0</v>
          </cell>
          <cell r="O74">
            <v>1088</v>
          </cell>
          <cell r="P74">
            <v>0</v>
          </cell>
          <cell r="Q74">
            <v>430</v>
          </cell>
          <cell r="R74">
            <v>0</v>
          </cell>
          <cell r="S74">
            <v>0</v>
          </cell>
          <cell r="T74">
            <v>430</v>
          </cell>
          <cell r="U74">
            <v>0</v>
          </cell>
          <cell r="W74">
            <v>1088</v>
          </cell>
          <cell r="X74">
            <v>0</v>
          </cell>
          <cell r="Y74">
            <v>1088</v>
          </cell>
          <cell r="Z74">
            <v>0</v>
          </cell>
          <cell r="AA74">
            <v>430</v>
          </cell>
          <cell r="AB74">
            <v>0</v>
          </cell>
          <cell r="AC74">
            <v>0</v>
          </cell>
          <cell r="AD74">
            <v>430</v>
          </cell>
          <cell r="AE74">
            <v>0</v>
          </cell>
          <cell r="AG74">
            <v>1121</v>
          </cell>
          <cell r="AH74">
            <v>0</v>
          </cell>
          <cell r="AI74">
            <v>1121</v>
          </cell>
          <cell r="AJ74">
            <v>0</v>
          </cell>
          <cell r="AK74">
            <v>430</v>
          </cell>
          <cell r="AL74">
            <v>0</v>
          </cell>
          <cell r="AM74">
            <v>0</v>
          </cell>
          <cell r="AN74">
            <v>430</v>
          </cell>
          <cell r="AO74">
            <v>0</v>
          </cell>
          <cell r="AQ74">
            <v>1121</v>
          </cell>
          <cell r="AR74">
            <v>0</v>
          </cell>
          <cell r="AS74">
            <v>1121</v>
          </cell>
          <cell r="AT74">
            <v>0</v>
          </cell>
          <cell r="AU74">
            <v>430</v>
          </cell>
          <cell r="AV74">
            <v>0</v>
          </cell>
          <cell r="AW74">
            <v>0</v>
          </cell>
          <cell r="AX74">
            <v>430</v>
          </cell>
          <cell r="AY74">
            <v>0</v>
          </cell>
          <cell r="BA74">
            <v>1121</v>
          </cell>
          <cell r="BB74">
            <v>0</v>
          </cell>
          <cell r="BC74">
            <v>1121</v>
          </cell>
          <cell r="BD74">
            <v>0</v>
          </cell>
          <cell r="BE74">
            <v>430</v>
          </cell>
          <cell r="BF74">
            <v>0</v>
          </cell>
          <cell r="BG74">
            <v>0</v>
          </cell>
          <cell r="BH74">
            <v>430</v>
          </cell>
          <cell r="BI74">
            <v>0</v>
          </cell>
          <cell r="BK74">
            <v>1173</v>
          </cell>
          <cell r="BL74">
            <v>0</v>
          </cell>
          <cell r="BM74">
            <v>1173</v>
          </cell>
          <cell r="BN74">
            <v>0</v>
          </cell>
          <cell r="BO74">
            <v>430</v>
          </cell>
          <cell r="BP74">
            <v>0</v>
          </cell>
          <cell r="BQ74">
            <v>0</v>
          </cell>
          <cell r="BR74">
            <v>430</v>
          </cell>
          <cell r="BS74">
            <v>0</v>
          </cell>
          <cell r="BU74">
            <v>1173</v>
          </cell>
          <cell r="BV74">
            <v>0</v>
          </cell>
          <cell r="BW74">
            <v>1173</v>
          </cell>
          <cell r="BX74">
            <v>0</v>
          </cell>
          <cell r="BY74">
            <v>430</v>
          </cell>
          <cell r="BZ74">
            <v>0</v>
          </cell>
          <cell r="CA74">
            <v>0</v>
          </cell>
          <cell r="CB74">
            <v>430</v>
          </cell>
          <cell r="CC74">
            <v>0</v>
          </cell>
          <cell r="CE74">
            <v>1173</v>
          </cell>
          <cell r="CF74">
            <v>0</v>
          </cell>
          <cell r="CG74">
            <v>1173</v>
          </cell>
          <cell r="CH74">
            <v>0</v>
          </cell>
          <cell r="CI74">
            <v>430</v>
          </cell>
          <cell r="CJ74">
            <v>0</v>
          </cell>
          <cell r="CK74">
            <v>0</v>
          </cell>
          <cell r="CL74">
            <v>430</v>
          </cell>
          <cell r="CM74">
            <v>0</v>
          </cell>
          <cell r="CO74">
            <v>1173</v>
          </cell>
          <cell r="CP74">
            <v>0</v>
          </cell>
          <cell r="CQ74">
            <v>1173</v>
          </cell>
          <cell r="CR74">
            <v>0</v>
          </cell>
          <cell r="CS74">
            <v>430</v>
          </cell>
          <cell r="CT74">
            <v>0</v>
          </cell>
          <cell r="CU74">
            <v>0</v>
          </cell>
          <cell r="CV74">
            <v>430</v>
          </cell>
          <cell r="CW74">
            <v>0</v>
          </cell>
          <cell r="CY74">
            <v>1173</v>
          </cell>
          <cell r="CZ74">
            <v>0</v>
          </cell>
          <cell r="DA74">
            <v>1173</v>
          </cell>
          <cell r="DB74">
            <v>0</v>
          </cell>
          <cell r="DC74">
            <v>430</v>
          </cell>
          <cell r="DD74">
            <v>0</v>
          </cell>
          <cell r="DE74">
            <v>0</v>
          </cell>
          <cell r="DF74">
            <v>430</v>
          </cell>
          <cell r="DG74">
            <v>0</v>
          </cell>
          <cell r="DI74">
            <v>10328</v>
          </cell>
          <cell r="DJ74">
            <v>11404</v>
          </cell>
          <cell r="DK74">
            <v>0</v>
          </cell>
          <cell r="DL74">
            <v>11404</v>
          </cell>
          <cell r="DM74">
            <v>11404</v>
          </cell>
          <cell r="DN74">
            <v>0</v>
          </cell>
          <cell r="DO74">
            <v>11404</v>
          </cell>
          <cell r="DP74">
            <v>4300</v>
          </cell>
          <cell r="DQ74">
            <v>0</v>
          </cell>
          <cell r="DR74">
            <v>0</v>
          </cell>
          <cell r="DS74">
            <v>4300</v>
          </cell>
          <cell r="DT74">
            <v>27108</v>
          </cell>
          <cell r="DU74">
            <v>0</v>
          </cell>
          <cell r="DW74">
            <v>0</v>
          </cell>
          <cell r="DX74">
            <v>0</v>
          </cell>
          <cell r="DY74">
            <v>12934</v>
          </cell>
          <cell r="DZ74">
            <v>15540</v>
          </cell>
          <cell r="EA74">
            <v>18212</v>
          </cell>
          <cell r="EB74">
            <v>20884</v>
          </cell>
          <cell r="EC74">
            <v>23556</v>
          </cell>
          <cell r="ED74">
            <v>26332</v>
          </cell>
          <cell r="EE74">
            <v>29108</v>
          </cell>
          <cell r="EF74">
            <v>31884</v>
          </cell>
          <cell r="EG74">
            <v>34660</v>
          </cell>
          <cell r="EH74">
            <v>37436</v>
          </cell>
          <cell r="EI74">
            <v>250546</v>
          </cell>
          <cell r="EK74">
            <v>0</v>
          </cell>
          <cell r="EL74">
            <v>0</v>
          </cell>
          <cell r="EM74">
            <v>86.226666666666674</v>
          </cell>
          <cell r="EN74">
            <v>103.60000000000001</v>
          </cell>
          <cell r="EO74">
            <v>121.41333333333334</v>
          </cell>
          <cell r="EP74">
            <v>139.22666666666666</v>
          </cell>
          <cell r="EQ74">
            <v>157.04</v>
          </cell>
          <cell r="ER74">
            <v>175.54666666666665</v>
          </cell>
          <cell r="ES74">
            <v>208.60733333333334</v>
          </cell>
          <cell r="ET74">
            <v>228.50199999999995</v>
          </cell>
          <cell r="EU74">
            <v>248.39666666666668</v>
          </cell>
          <cell r="EV74">
            <v>268.29133333333328</v>
          </cell>
          <cell r="EW74">
            <v>1736.8506666666667</v>
          </cell>
          <cell r="EY74">
            <v>117458</v>
          </cell>
          <cell r="EZ74">
            <v>8</v>
          </cell>
          <cell r="FA74">
            <v>783.05333333333328</v>
          </cell>
          <cell r="FB74">
            <v>133088</v>
          </cell>
          <cell r="FC74">
            <v>8.6</v>
          </cell>
          <cell r="FD74">
            <v>953.79733333333343</v>
          </cell>
          <cell r="FE74">
            <v>1736.8506666666667</v>
          </cell>
          <cell r="FF74">
            <v>39173</v>
          </cell>
          <cell r="FH74">
            <v>39173</v>
          </cell>
        </row>
        <row r="75">
          <cell r="B75">
            <v>9360</v>
          </cell>
          <cell r="C75" t="str">
            <v>18.10.2006</v>
          </cell>
          <cell r="D75" t="str">
            <v>Sunsuna Savita Bharat</v>
          </cell>
          <cell r="F75">
            <v>15557</v>
          </cell>
          <cell r="H75">
            <v>18520</v>
          </cell>
          <cell r="I75">
            <v>18520</v>
          </cell>
          <cell r="J75">
            <v>37040</v>
          </cell>
          <cell r="K75">
            <v>21483</v>
          </cell>
          <cell r="M75">
            <v>1088</v>
          </cell>
          <cell r="N75">
            <v>0</v>
          </cell>
          <cell r="O75">
            <v>1088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10000</v>
          </cell>
          <cell r="W75">
            <v>1088</v>
          </cell>
          <cell r="X75">
            <v>0</v>
          </cell>
          <cell r="Y75">
            <v>1088</v>
          </cell>
          <cell r="Z75">
            <v>0</v>
          </cell>
          <cell r="AA75">
            <v>500</v>
          </cell>
          <cell r="AB75">
            <v>0</v>
          </cell>
          <cell r="AC75">
            <v>0</v>
          </cell>
          <cell r="AD75">
            <v>500</v>
          </cell>
          <cell r="AE75">
            <v>0</v>
          </cell>
          <cell r="AG75">
            <v>1121</v>
          </cell>
          <cell r="AH75">
            <v>0</v>
          </cell>
          <cell r="AI75">
            <v>1121</v>
          </cell>
          <cell r="AJ75">
            <v>0</v>
          </cell>
          <cell r="AK75">
            <v>500</v>
          </cell>
          <cell r="AL75">
            <v>0</v>
          </cell>
          <cell r="AM75">
            <v>0</v>
          </cell>
          <cell r="AN75">
            <v>500</v>
          </cell>
          <cell r="AO75">
            <v>0</v>
          </cell>
          <cell r="AQ75">
            <v>1121</v>
          </cell>
          <cell r="AR75">
            <v>0</v>
          </cell>
          <cell r="AS75">
            <v>1121</v>
          </cell>
          <cell r="AT75">
            <v>0</v>
          </cell>
          <cell r="AU75">
            <v>500</v>
          </cell>
          <cell r="AV75">
            <v>0</v>
          </cell>
          <cell r="AW75">
            <v>0</v>
          </cell>
          <cell r="AX75">
            <v>500</v>
          </cell>
          <cell r="AY75">
            <v>0</v>
          </cell>
          <cell r="BA75">
            <v>1121</v>
          </cell>
          <cell r="BB75">
            <v>0</v>
          </cell>
          <cell r="BC75">
            <v>1121</v>
          </cell>
          <cell r="BD75">
            <v>0</v>
          </cell>
          <cell r="BE75">
            <v>500</v>
          </cell>
          <cell r="BF75">
            <v>0</v>
          </cell>
          <cell r="BG75">
            <v>0</v>
          </cell>
          <cell r="BH75">
            <v>500</v>
          </cell>
          <cell r="BI75">
            <v>0</v>
          </cell>
          <cell r="BK75">
            <v>1173</v>
          </cell>
          <cell r="BL75">
            <v>0</v>
          </cell>
          <cell r="BM75">
            <v>1173</v>
          </cell>
          <cell r="BN75">
            <v>0</v>
          </cell>
          <cell r="BO75">
            <v>500</v>
          </cell>
          <cell r="BP75">
            <v>0</v>
          </cell>
          <cell r="BQ75">
            <v>0</v>
          </cell>
          <cell r="BR75">
            <v>500</v>
          </cell>
          <cell r="BS75">
            <v>0</v>
          </cell>
          <cell r="BU75">
            <v>1173</v>
          </cell>
          <cell r="BV75">
            <v>0</v>
          </cell>
          <cell r="BW75">
            <v>1173</v>
          </cell>
          <cell r="BX75">
            <v>0</v>
          </cell>
          <cell r="BY75">
            <v>500</v>
          </cell>
          <cell r="BZ75">
            <v>0</v>
          </cell>
          <cell r="CA75">
            <v>0</v>
          </cell>
          <cell r="CB75">
            <v>500</v>
          </cell>
          <cell r="CC75">
            <v>0</v>
          </cell>
          <cell r="CE75">
            <v>1173</v>
          </cell>
          <cell r="CF75">
            <v>0</v>
          </cell>
          <cell r="CG75">
            <v>1173</v>
          </cell>
          <cell r="CH75">
            <v>0</v>
          </cell>
          <cell r="CI75">
            <v>500</v>
          </cell>
          <cell r="CJ75">
            <v>0</v>
          </cell>
          <cell r="CK75">
            <v>0</v>
          </cell>
          <cell r="CL75">
            <v>500</v>
          </cell>
          <cell r="CM75">
            <v>0</v>
          </cell>
          <cell r="CO75">
            <v>1173</v>
          </cell>
          <cell r="CP75">
            <v>0</v>
          </cell>
          <cell r="CQ75">
            <v>1173</v>
          </cell>
          <cell r="CR75">
            <v>0</v>
          </cell>
          <cell r="CS75">
            <v>500</v>
          </cell>
          <cell r="CT75">
            <v>0</v>
          </cell>
          <cell r="CU75">
            <v>0</v>
          </cell>
          <cell r="CV75">
            <v>500</v>
          </cell>
          <cell r="CW75">
            <v>0</v>
          </cell>
          <cell r="CY75">
            <v>1173</v>
          </cell>
          <cell r="CZ75">
            <v>0</v>
          </cell>
          <cell r="DA75">
            <v>1173</v>
          </cell>
          <cell r="DB75">
            <v>0</v>
          </cell>
          <cell r="DC75">
            <v>500</v>
          </cell>
          <cell r="DD75">
            <v>0</v>
          </cell>
          <cell r="DE75">
            <v>0</v>
          </cell>
          <cell r="DF75">
            <v>500</v>
          </cell>
          <cell r="DG75">
            <v>0</v>
          </cell>
          <cell r="DI75">
            <v>37040</v>
          </cell>
          <cell r="DJ75">
            <v>11404</v>
          </cell>
          <cell r="DK75">
            <v>0</v>
          </cell>
          <cell r="DL75">
            <v>11404</v>
          </cell>
          <cell r="DM75">
            <v>11404</v>
          </cell>
          <cell r="DN75">
            <v>0</v>
          </cell>
          <cell r="DO75">
            <v>11404</v>
          </cell>
          <cell r="DP75">
            <v>4500</v>
          </cell>
          <cell r="DQ75">
            <v>0</v>
          </cell>
          <cell r="DR75">
            <v>0</v>
          </cell>
          <cell r="DS75">
            <v>4500</v>
          </cell>
          <cell r="DT75">
            <v>27308</v>
          </cell>
          <cell r="DU75">
            <v>10000</v>
          </cell>
          <cell r="DW75">
            <v>0</v>
          </cell>
          <cell r="DX75">
            <v>0</v>
          </cell>
          <cell r="DY75">
            <v>29216</v>
          </cell>
          <cell r="DZ75">
            <v>31892</v>
          </cell>
          <cell r="EA75">
            <v>34634</v>
          </cell>
          <cell r="EB75">
            <v>37376</v>
          </cell>
          <cell r="EC75">
            <v>40118</v>
          </cell>
          <cell r="ED75">
            <v>42964</v>
          </cell>
          <cell r="EE75">
            <v>45810</v>
          </cell>
          <cell r="EF75">
            <v>48656</v>
          </cell>
          <cell r="EG75">
            <v>51502</v>
          </cell>
          <cell r="EH75">
            <v>54348</v>
          </cell>
          <cell r="EI75">
            <v>416516</v>
          </cell>
          <cell r="EK75">
            <v>0</v>
          </cell>
          <cell r="EL75">
            <v>0</v>
          </cell>
          <cell r="EM75">
            <v>194.77333333333334</v>
          </cell>
          <cell r="EN75">
            <v>212.61333333333334</v>
          </cell>
          <cell r="EO75">
            <v>230.89333333333332</v>
          </cell>
          <cell r="EP75">
            <v>249.17333333333332</v>
          </cell>
          <cell r="EQ75">
            <v>267.45333333333332</v>
          </cell>
          <cell r="ER75">
            <v>286.42666666666668</v>
          </cell>
          <cell r="ES75">
            <v>328.30500000000001</v>
          </cell>
          <cell r="ET75">
            <v>348.70133333333337</v>
          </cell>
          <cell r="EU75">
            <v>369.09766666666661</v>
          </cell>
          <cell r="EV75">
            <v>389.49399999999997</v>
          </cell>
          <cell r="EW75">
            <v>2876.9313333333334</v>
          </cell>
          <cell r="EY75">
            <v>216200</v>
          </cell>
          <cell r="EZ75">
            <v>8</v>
          </cell>
          <cell r="FA75">
            <v>1441.3333333333333</v>
          </cell>
          <cell r="FB75">
            <v>200316</v>
          </cell>
          <cell r="FC75">
            <v>8.6</v>
          </cell>
          <cell r="FD75">
            <v>1435.598</v>
          </cell>
          <cell r="FE75">
            <v>2876.931333333333</v>
          </cell>
          <cell r="FF75">
            <v>57225</v>
          </cell>
          <cell r="FH75">
            <v>57225</v>
          </cell>
        </row>
        <row r="76">
          <cell r="B76">
            <v>9357</v>
          </cell>
          <cell r="C76" t="str">
            <v>30.10.2006</v>
          </cell>
          <cell r="D76" t="str">
            <v>Dalod Sunil Prempal</v>
          </cell>
          <cell r="F76">
            <v>15133</v>
          </cell>
          <cell r="H76">
            <v>5420</v>
          </cell>
          <cell r="I76">
            <v>5420</v>
          </cell>
          <cell r="J76">
            <v>10840</v>
          </cell>
          <cell r="K76">
            <v>-4293</v>
          </cell>
          <cell r="M76">
            <v>1088</v>
          </cell>
          <cell r="N76">
            <v>0</v>
          </cell>
          <cell r="O76">
            <v>1088</v>
          </cell>
          <cell r="P76">
            <v>0</v>
          </cell>
          <cell r="Q76">
            <v>455</v>
          </cell>
          <cell r="R76">
            <v>0</v>
          </cell>
          <cell r="S76">
            <v>0</v>
          </cell>
          <cell r="T76">
            <v>455</v>
          </cell>
          <cell r="U76">
            <v>0</v>
          </cell>
          <cell r="W76">
            <v>1088</v>
          </cell>
          <cell r="X76">
            <v>0</v>
          </cell>
          <cell r="Y76">
            <v>1088</v>
          </cell>
          <cell r="Z76">
            <v>0</v>
          </cell>
          <cell r="AA76">
            <v>455</v>
          </cell>
          <cell r="AB76">
            <v>0</v>
          </cell>
          <cell r="AC76">
            <v>0</v>
          </cell>
          <cell r="AD76">
            <v>455</v>
          </cell>
          <cell r="AE76">
            <v>0</v>
          </cell>
          <cell r="AG76">
            <v>1121</v>
          </cell>
          <cell r="AH76">
            <v>0</v>
          </cell>
          <cell r="AI76">
            <v>1121</v>
          </cell>
          <cell r="AJ76">
            <v>0</v>
          </cell>
          <cell r="AK76">
            <v>455</v>
          </cell>
          <cell r="AL76">
            <v>0</v>
          </cell>
          <cell r="AM76">
            <v>0</v>
          </cell>
          <cell r="AN76">
            <v>455</v>
          </cell>
          <cell r="AO76">
            <v>5865</v>
          </cell>
          <cell r="AQ76">
            <v>1121</v>
          </cell>
          <cell r="AR76">
            <v>0</v>
          </cell>
          <cell r="AS76">
            <v>1121</v>
          </cell>
          <cell r="AT76">
            <v>0</v>
          </cell>
          <cell r="AU76">
            <v>680</v>
          </cell>
          <cell r="AV76">
            <v>0</v>
          </cell>
          <cell r="AW76">
            <v>0</v>
          </cell>
          <cell r="AX76">
            <v>680</v>
          </cell>
          <cell r="AY76">
            <v>0</v>
          </cell>
          <cell r="BA76">
            <v>1121</v>
          </cell>
          <cell r="BB76">
            <v>0</v>
          </cell>
          <cell r="BC76">
            <v>1121</v>
          </cell>
          <cell r="BD76">
            <v>0</v>
          </cell>
          <cell r="BE76">
            <v>680</v>
          </cell>
          <cell r="BF76">
            <v>0</v>
          </cell>
          <cell r="BG76">
            <v>0</v>
          </cell>
          <cell r="BH76">
            <v>680</v>
          </cell>
          <cell r="BI76">
            <v>0</v>
          </cell>
          <cell r="BK76">
            <v>1173</v>
          </cell>
          <cell r="BL76">
            <v>0</v>
          </cell>
          <cell r="BM76">
            <v>1173</v>
          </cell>
          <cell r="BN76">
            <v>0</v>
          </cell>
          <cell r="BO76">
            <v>680</v>
          </cell>
          <cell r="BP76">
            <v>0</v>
          </cell>
          <cell r="BQ76">
            <v>0</v>
          </cell>
          <cell r="BR76">
            <v>680</v>
          </cell>
          <cell r="BS76">
            <v>0</v>
          </cell>
          <cell r="BU76">
            <v>1173</v>
          </cell>
          <cell r="BV76">
            <v>0</v>
          </cell>
          <cell r="BW76">
            <v>1173</v>
          </cell>
          <cell r="BX76">
            <v>0</v>
          </cell>
          <cell r="BY76">
            <v>680</v>
          </cell>
          <cell r="BZ76">
            <v>0</v>
          </cell>
          <cell r="CA76">
            <v>0</v>
          </cell>
          <cell r="CB76">
            <v>680</v>
          </cell>
          <cell r="CC76">
            <v>0</v>
          </cell>
          <cell r="CE76">
            <v>1173</v>
          </cell>
          <cell r="CF76">
            <v>0</v>
          </cell>
          <cell r="CG76">
            <v>1173</v>
          </cell>
          <cell r="CH76">
            <v>0</v>
          </cell>
          <cell r="CI76">
            <v>680</v>
          </cell>
          <cell r="CJ76">
            <v>0</v>
          </cell>
          <cell r="CK76">
            <v>0</v>
          </cell>
          <cell r="CL76">
            <v>680</v>
          </cell>
          <cell r="CM76">
            <v>0</v>
          </cell>
          <cell r="CO76">
            <v>1173</v>
          </cell>
          <cell r="CP76">
            <v>0</v>
          </cell>
          <cell r="CQ76">
            <v>1173</v>
          </cell>
          <cell r="CR76">
            <v>0</v>
          </cell>
          <cell r="CS76">
            <v>680</v>
          </cell>
          <cell r="CT76">
            <v>0</v>
          </cell>
          <cell r="CU76">
            <v>0</v>
          </cell>
          <cell r="CV76">
            <v>680</v>
          </cell>
          <cell r="CW76">
            <v>0</v>
          </cell>
          <cell r="CY76">
            <v>1173</v>
          </cell>
          <cell r="CZ76">
            <v>0</v>
          </cell>
          <cell r="DA76">
            <v>1173</v>
          </cell>
          <cell r="DB76">
            <v>0</v>
          </cell>
          <cell r="DC76">
            <v>680</v>
          </cell>
          <cell r="DD76">
            <v>0</v>
          </cell>
          <cell r="DE76">
            <v>0</v>
          </cell>
          <cell r="DF76">
            <v>680</v>
          </cell>
          <cell r="DG76">
            <v>0</v>
          </cell>
          <cell r="DI76">
            <v>10840</v>
          </cell>
          <cell r="DJ76">
            <v>11404</v>
          </cell>
          <cell r="DK76">
            <v>0</v>
          </cell>
          <cell r="DL76">
            <v>11404</v>
          </cell>
          <cell r="DM76">
            <v>11404</v>
          </cell>
          <cell r="DN76">
            <v>0</v>
          </cell>
          <cell r="DO76">
            <v>11404</v>
          </cell>
          <cell r="DP76">
            <v>6125</v>
          </cell>
          <cell r="DQ76">
            <v>0</v>
          </cell>
          <cell r="DR76">
            <v>0</v>
          </cell>
          <cell r="DS76">
            <v>6125</v>
          </cell>
          <cell r="DT76">
            <v>28933</v>
          </cell>
          <cell r="DU76">
            <v>5865</v>
          </cell>
          <cell r="DW76">
            <v>0</v>
          </cell>
          <cell r="DX76">
            <v>0</v>
          </cell>
          <cell r="DY76">
            <v>13471</v>
          </cell>
          <cell r="DZ76">
            <v>16102</v>
          </cell>
          <cell r="EA76">
            <v>12934</v>
          </cell>
          <cell r="EB76">
            <v>15856</v>
          </cell>
          <cell r="EC76">
            <v>18778</v>
          </cell>
          <cell r="ED76">
            <v>21804</v>
          </cell>
          <cell r="EE76">
            <v>24830</v>
          </cell>
          <cell r="EF76">
            <v>27856</v>
          </cell>
          <cell r="EG76">
            <v>30882</v>
          </cell>
          <cell r="EH76">
            <v>33908</v>
          </cell>
          <cell r="EI76">
            <v>216421</v>
          </cell>
          <cell r="EK76">
            <v>0</v>
          </cell>
          <cell r="EL76">
            <v>0</v>
          </cell>
          <cell r="EM76">
            <v>89.806666666666672</v>
          </cell>
          <cell r="EN76">
            <v>107.34666666666668</v>
          </cell>
          <cell r="EO76">
            <v>86.226666666666674</v>
          </cell>
          <cell r="EP76">
            <v>105.70666666666666</v>
          </cell>
          <cell r="EQ76">
            <v>125.18666666666667</v>
          </cell>
          <cell r="ER76">
            <v>145.35999999999999</v>
          </cell>
          <cell r="ES76">
            <v>177.94833333333335</v>
          </cell>
          <cell r="ET76">
            <v>199.63466666666667</v>
          </cell>
          <cell r="EU76">
            <v>221.32100000000003</v>
          </cell>
          <cell r="EV76">
            <v>243.00733333333332</v>
          </cell>
          <cell r="EW76">
            <v>1501.5446666666664</v>
          </cell>
          <cell r="EY76">
            <v>98945</v>
          </cell>
          <cell r="EZ76">
            <v>8</v>
          </cell>
          <cell r="FA76">
            <v>659.63333333333333</v>
          </cell>
          <cell r="FB76">
            <v>117476</v>
          </cell>
          <cell r="FC76">
            <v>8.6</v>
          </cell>
          <cell r="FD76">
            <v>841.91133333333335</v>
          </cell>
          <cell r="FE76">
            <v>1501.5446666666667</v>
          </cell>
          <cell r="FF76">
            <v>35410</v>
          </cell>
          <cell r="FH76">
            <v>35410</v>
          </cell>
        </row>
        <row r="77">
          <cell r="B77">
            <v>9355</v>
          </cell>
          <cell r="C77" t="str">
            <v>31.10.2006</v>
          </cell>
          <cell r="D77" t="str">
            <v>Gangurde Siddharth Balu</v>
          </cell>
          <cell r="F77">
            <v>15557</v>
          </cell>
          <cell r="H77">
            <v>7540</v>
          </cell>
          <cell r="I77">
            <v>7540</v>
          </cell>
          <cell r="J77">
            <v>15080</v>
          </cell>
          <cell r="K77">
            <v>-477</v>
          </cell>
          <cell r="M77">
            <v>1088</v>
          </cell>
          <cell r="N77">
            <v>0</v>
          </cell>
          <cell r="O77">
            <v>1088</v>
          </cell>
          <cell r="P77">
            <v>0</v>
          </cell>
          <cell r="Q77">
            <v>420</v>
          </cell>
          <cell r="R77">
            <v>0</v>
          </cell>
          <cell r="S77">
            <v>0</v>
          </cell>
          <cell r="T77">
            <v>420</v>
          </cell>
          <cell r="U77">
            <v>0</v>
          </cell>
          <cell r="W77">
            <v>1088</v>
          </cell>
          <cell r="X77">
            <v>0</v>
          </cell>
          <cell r="Y77">
            <v>1088</v>
          </cell>
          <cell r="Z77">
            <v>0</v>
          </cell>
          <cell r="AA77">
            <v>420</v>
          </cell>
          <cell r="AB77">
            <v>0</v>
          </cell>
          <cell r="AC77">
            <v>0</v>
          </cell>
          <cell r="AD77">
            <v>420</v>
          </cell>
          <cell r="AE77">
            <v>0</v>
          </cell>
          <cell r="AG77">
            <v>1121</v>
          </cell>
          <cell r="AH77">
            <v>0</v>
          </cell>
          <cell r="AI77">
            <v>1121</v>
          </cell>
          <cell r="AJ77">
            <v>0</v>
          </cell>
          <cell r="AK77">
            <v>420</v>
          </cell>
          <cell r="AL77">
            <v>0</v>
          </cell>
          <cell r="AM77">
            <v>0</v>
          </cell>
          <cell r="AN77">
            <v>420</v>
          </cell>
          <cell r="AO77">
            <v>0</v>
          </cell>
          <cell r="AQ77">
            <v>1121</v>
          </cell>
          <cell r="AR77">
            <v>0</v>
          </cell>
          <cell r="AS77">
            <v>1121</v>
          </cell>
          <cell r="AT77">
            <v>0</v>
          </cell>
          <cell r="AU77">
            <v>420</v>
          </cell>
          <cell r="AV77">
            <v>0</v>
          </cell>
          <cell r="AW77">
            <v>0</v>
          </cell>
          <cell r="AX77">
            <v>420</v>
          </cell>
          <cell r="AY77">
            <v>0</v>
          </cell>
          <cell r="BA77">
            <v>1121</v>
          </cell>
          <cell r="BB77">
            <v>0</v>
          </cell>
          <cell r="BC77">
            <v>1121</v>
          </cell>
          <cell r="BD77">
            <v>0</v>
          </cell>
          <cell r="BE77">
            <v>420</v>
          </cell>
          <cell r="BF77">
            <v>0</v>
          </cell>
          <cell r="BG77">
            <v>0</v>
          </cell>
          <cell r="BH77">
            <v>420</v>
          </cell>
          <cell r="BI77">
            <v>0</v>
          </cell>
          <cell r="BK77">
            <v>1173</v>
          </cell>
          <cell r="BL77">
            <v>0</v>
          </cell>
          <cell r="BM77">
            <v>1173</v>
          </cell>
          <cell r="BN77">
            <v>0</v>
          </cell>
          <cell r="BO77">
            <v>420</v>
          </cell>
          <cell r="BP77">
            <v>0</v>
          </cell>
          <cell r="BQ77">
            <v>0</v>
          </cell>
          <cell r="BR77">
            <v>420</v>
          </cell>
          <cell r="BS77">
            <v>0</v>
          </cell>
          <cell r="BU77">
            <v>1173</v>
          </cell>
          <cell r="BV77">
            <v>0</v>
          </cell>
          <cell r="BW77">
            <v>1173</v>
          </cell>
          <cell r="BX77">
            <v>0</v>
          </cell>
          <cell r="BY77">
            <v>420</v>
          </cell>
          <cell r="BZ77">
            <v>0</v>
          </cell>
          <cell r="CA77">
            <v>0</v>
          </cell>
          <cell r="CB77">
            <v>420</v>
          </cell>
          <cell r="CC77">
            <v>0</v>
          </cell>
          <cell r="CE77">
            <v>1173</v>
          </cell>
          <cell r="CF77">
            <v>0</v>
          </cell>
          <cell r="CG77">
            <v>1173</v>
          </cell>
          <cell r="CH77">
            <v>0</v>
          </cell>
          <cell r="CI77">
            <v>420</v>
          </cell>
          <cell r="CJ77">
            <v>0</v>
          </cell>
          <cell r="CK77">
            <v>0</v>
          </cell>
          <cell r="CL77">
            <v>420</v>
          </cell>
          <cell r="CM77">
            <v>0</v>
          </cell>
          <cell r="CO77">
            <v>1173</v>
          </cell>
          <cell r="CP77">
            <v>0</v>
          </cell>
          <cell r="CQ77">
            <v>1173</v>
          </cell>
          <cell r="CR77">
            <v>0</v>
          </cell>
          <cell r="CS77">
            <v>420</v>
          </cell>
          <cell r="CT77">
            <v>0</v>
          </cell>
          <cell r="CU77">
            <v>0</v>
          </cell>
          <cell r="CV77">
            <v>420</v>
          </cell>
          <cell r="CW77">
            <v>0</v>
          </cell>
          <cell r="CY77">
            <v>1173</v>
          </cell>
          <cell r="CZ77">
            <v>0</v>
          </cell>
          <cell r="DA77">
            <v>1173</v>
          </cell>
          <cell r="DB77">
            <v>0</v>
          </cell>
          <cell r="DC77">
            <v>420</v>
          </cell>
          <cell r="DD77">
            <v>0</v>
          </cell>
          <cell r="DE77">
            <v>0</v>
          </cell>
          <cell r="DF77">
            <v>420</v>
          </cell>
          <cell r="DG77">
            <v>0</v>
          </cell>
          <cell r="DI77">
            <v>15080</v>
          </cell>
          <cell r="DJ77">
            <v>11404</v>
          </cell>
          <cell r="DK77">
            <v>0</v>
          </cell>
          <cell r="DL77">
            <v>11404</v>
          </cell>
          <cell r="DM77">
            <v>11404</v>
          </cell>
          <cell r="DN77">
            <v>0</v>
          </cell>
          <cell r="DO77">
            <v>11404</v>
          </cell>
          <cell r="DP77">
            <v>4200</v>
          </cell>
          <cell r="DQ77">
            <v>0</v>
          </cell>
          <cell r="DR77">
            <v>0</v>
          </cell>
          <cell r="DS77">
            <v>4200</v>
          </cell>
          <cell r="DT77">
            <v>27008</v>
          </cell>
          <cell r="DU77">
            <v>0</v>
          </cell>
          <cell r="DW77">
            <v>0</v>
          </cell>
          <cell r="DX77">
            <v>0</v>
          </cell>
          <cell r="DY77">
            <v>17676</v>
          </cell>
          <cell r="DZ77">
            <v>20272</v>
          </cell>
          <cell r="EA77">
            <v>22934</v>
          </cell>
          <cell r="EB77">
            <v>25596</v>
          </cell>
          <cell r="EC77">
            <v>28258</v>
          </cell>
          <cell r="ED77">
            <v>31024</v>
          </cell>
          <cell r="EE77">
            <v>33790</v>
          </cell>
          <cell r="EF77">
            <v>36556</v>
          </cell>
          <cell r="EG77">
            <v>39322</v>
          </cell>
          <cell r="EH77">
            <v>42088</v>
          </cell>
          <cell r="EI77">
            <v>297516</v>
          </cell>
          <cell r="EK77">
            <v>0</v>
          </cell>
          <cell r="EL77">
            <v>0</v>
          </cell>
          <cell r="EM77">
            <v>117.83999999999999</v>
          </cell>
          <cell r="EN77">
            <v>135.14666666666668</v>
          </cell>
          <cell r="EO77">
            <v>152.89333333333335</v>
          </cell>
          <cell r="EP77">
            <v>170.64000000000001</v>
          </cell>
          <cell r="EQ77">
            <v>188.38666666666666</v>
          </cell>
          <cell r="ER77">
            <v>206.82666666666668</v>
          </cell>
          <cell r="ES77">
            <v>242.16166666666666</v>
          </cell>
          <cell r="ET77">
            <v>261.98466666666667</v>
          </cell>
          <cell r="EU77">
            <v>281.80766666666665</v>
          </cell>
          <cell r="EV77">
            <v>301.63066666666663</v>
          </cell>
          <cell r="EW77">
            <v>2059.3179999999998</v>
          </cell>
          <cell r="EY77">
            <v>145760</v>
          </cell>
          <cell r="EZ77">
            <v>8</v>
          </cell>
          <cell r="FA77">
            <v>971.73333333333323</v>
          </cell>
          <cell r="FB77">
            <v>151756</v>
          </cell>
          <cell r="FC77">
            <v>8.6</v>
          </cell>
          <cell r="FD77">
            <v>1087.5846666666664</v>
          </cell>
          <cell r="FE77">
            <v>2059.3179999999998</v>
          </cell>
          <cell r="FF77">
            <v>44147</v>
          </cell>
          <cell r="FH77">
            <v>44147</v>
          </cell>
        </row>
        <row r="78">
          <cell r="B78">
            <v>9356</v>
          </cell>
          <cell r="C78" t="str">
            <v>31.10.2006</v>
          </cell>
          <cell r="D78" t="str">
            <v>Parmar Ganesh Laxman</v>
          </cell>
          <cell r="F78">
            <v>15557</v>
          </cell>
          <cell r="H78">
            <v>7540</v>
          </cell>
          <cell r="I78">
            <v>7540</v>
          </cell>
          <cell r="J78">
            <v>15080</v>
          </cell>
          <cell r="K78">
            <v>-477</v>
          </cell>
          <cell r="M78">
            <v>1088</v>
          </cell>
          <cell r="N78">
            <v>0</v>
          </cell>
          <cell r="O78">
            <v>1088</v>
          </cell>
          <cell r="P78">
            <v>0</v>
          </cell>
          <cell r="Q78">
            <v>420</v>
          </cell>
          <cell r="R78">
            <v>0</v>
          </cell>
          <cell r="S78">
            <v>0</v>
          </cell>
          <cell r="T78">
            <v>420</v>
          </cell>
          <cell r="U78">
            <v>0</v>
          </cell>
          <cell r="W78">
            <v>1088</v>
          </cell>
          <cell r="X78">
            <v>0</v>
          </cell>
          <cell r="Y78">
            <v>1088</v>
          </cell>
          <cell r="Z78">
            <v>0</v>
          </cell>
          <cell r="AA78">
            <v>420</v>
          </cell>
          <cell r="AB78">
            <v>0</v>
          </cell>
          <cell r="AC78">
            <v>0</v>
          </cell>
          <cell r="AD78">
            <v>420</v>
          </cell>
          <cell r="AE78">
            <v>0</v>
          </cell>
          <cell r="AG78">
            <v>1121</v>
          </cell>
          <cell r="AH78">
            <v>0</v>
          </cell>
          <cell r="AI78">
            <v>1121</v>
          </cell>
          <cell r="AJ78">
            <v>0</v>
          </cell>
          <cell r="AK78">
            <v>420</v>
          </cell>
          <cell r="AL78">
            <v>0</v>
          </cell>
          <cell r="AM78">
            <v>0</v>
          </cell>
          <cell r="AN78">
            <v>420</v>
          </cell>
          <cell r="AO78">
            <v>7380</v>
          </cell>
          <cell r="AQ78">
            <v>1121</v>
          </cell>
          <cell r="AR78">
            <v>0</v>
          </cell>
          <cell r="AS78">
            <v>1121</v>
          </cell>
          <cell r="AT78">
            <v>0</v>
          </cell>
          <cell r="AU78">
            <v>705</v>
          </cell>
          <cell r="AV78">
            <v>0</v>
          </cell>
          <cell r="AW78">
            <v>0</v>
          </cell>
          <cell r="AX78">
            <v>705</v>
          </cell>
          <cell r="AY78">
            <v>0</v>
          </cell>
          <cell r="BA78">
            <v>1121</v>
          </cell>
          <cell r="BB78">
            <v>0</v>
          </cell>
          <cell r="BC78">
            <v>1121</v>
          </cell>
          <cell r="BD78">
            <v>0</v>
          </cell>
          <cell r="BE78">
            <v>705</v>
          </cell>
          <cell r="BF78">
            <v>0</v>
          </cell>
          <cell r="BG78">
            <v>0</v>
          </cell>
          <cell r="BH78">
            <v>705</v>
          </cell>
          <cell r="BI78">
            <v>0</v>
          </cell>
          <cell r="BK78">
            <v>1173</v>
          </cell>
          <cell r="BL78">
            <v>0</v>
          </cell>
          <cell r="BM78">
            <v>1173</v>
          </cell>
          <cell r="BN78">
            <v>0</v>
          </cell>
          <cell r="BO78">
            <v>705</v>
          </cell>
          <cell r="BP78">
            <v>0</v>
          </cell>
          <cell r="BQ78">
            <v>0</v>
          </cell>
          <cell r="BR78">
            <v>705</v>
          </cell>
          <cell r="BS78">
            <v>0</v>
          </cell>
          <cell r="BU78">
            <v>1173</v>
          </cell>
          <cell r="BV78">
            <v>0</v>
          </cell>
          <cell r="BW78">
            <v>1173</v>
          </cell>
          <cell r="BX78">
            <v>0</v>
          </cell>
          <cell r="BY78">
            <v>705</v>
          </cell>
          <cell r="BZ78">
            <v>0</v>
          </cell>
          <cell r="CA78">
            <v>0</v>
          </cell>
          <cell r="CB78">
            <v>705</v>
          </cell>
          <cell r="CC78">
            <v>0</v>
          </cell>
          <cell r="CE78">
            <v>1173</v>
          </cell>
          <cell r="CF78">
            <v>0</v>
          </cell>
          <cell r="CG78">
            <v>1173</v>
          </cell>
          <cell r="CH78">
            <v>0</v>
          </cell>
          <cell r="CI78">
            <v>705</v>
          </cell>
          <cell r="CJ78">
            <v>0</v>
          </cell>
          <cell r="CK78">
            <v>0</v>
          </cell>
          <cell r="CL78">
            <v>705</v>
          </cell>
          <cell r="CM78">
            <v>0</v>
          </cell>
          <cell r="CO78">
            <v>1173</v>
          </cell>
          <cell r="CP78">
            <v>0</v>
          </cell>
          <cell r="CQ78">
            <v>1173</v>
          </cell>
          <cell r="CR78">
            <v>0</v>
          </cell>
          <cell r="CS78">
            <v>705</v>
          </cell>
          <cell r="CT78">
            <v>0</v>
          </cell>
          <cell r="CU78">
            <v>0</v>
          </cell>
          <cell r="CV78">
            <v>705</v>
          </cell>
          <cell r="CW78">
            <v>0</v>
          </cell>
          <cell r="CY78">
            <v>1173</v>
          </cell>
          <cell r="CZ78">
            <v>0</v>
          </cell>
          <cell r="DA78">
            <v>1173</v>
          </cell>
          <cell r="DB78">
            <v>0</v>
          </cell>
          <cell r="DC78">
            <v>705</v>
          </cell>
          <cell r="DD78">
            <v>0</v>
          </cell>
          <cell r="DE78">
            <v>0</v>
          </cell>
          <cell r="DF78">
            <v>705</v>
          </cell>
          <cell r="DG78">
            <v>0</v>
          </cell>
          <cell r="DI78">
            <v>15080</v>
          </cell>
          <cell r="DJ78">
            <v>11404</v>
          </cell>
          <cell r="DK78">
            <v>0</v>
          </cell>
          <cell r="DL78">
            <v>11404</v>
          </cell>
          <cell r="DM78">
            <v>11404</v>
          </cell>
          <cell r="DN78">
            <v>0</v>
          </cell>
          <cell r="DO78">
            <v>11404</v>
          </cell>
          <cell r="DP78">
            <v>6195</v>
          </cell>
          <cell r="DQ78">
            <v>0</v>
          </cell>
          <cell r="DR78">
            <v>0</v>
          </cell>
          <cell r="DS78">
            <v>6195</v>
          </cell>
          <cell r="DT78">
            <v>29003</v>
          </cell>
          <cell r="DU78">
            <v>7380</v>
          </cell>
          <cell r="DW78">
            <v>0</v>
          </cell>
          <cell r="DX78">
            <v>0</v>
          </cell>
          <cell r="DY78">
            <v>17676</v>
          </cell>
          <cell r="DZ78">
            <v>20272</v>
          </cell>
          <cell r="EA78">
            <v>15554</v>
          </cell>
          <cell r="EB78">
            <v>18501</v>
          </cell>
          <cell r="EC78">
            <v>21448</v>
          </cell>
          <cell r="ED78">
            <v>24499</v>
          </cell>
          <cell r="EE78">
            <v>27550</v>
          </cell>
          <cell r="EF78">
            <v>30601</v>
          </cell>
          <cell r="EG78">
            <v>33652</v>
          </cell>
          <cell r="EH78">
            <v>36703</v>
          </cell>
          <cell r="EI78">
            <v>246456</v>
          </cell>
          <cell r="EK78">
            <v>0</v>
          </cell>
          <cell r="EL78">
            <v>0</v>
          </cell>
          <cell r="EM78">
            <v>117.83999999999999</v>
          </cell>
          <cell r="EN78">
            <v>135.14666666666668</v>
          </cell>
          <cell r="EO78">
            <v>103.69333333333333</v>
          </cell>
          <cell r="EP78">
            <v>123.33999999999999</v>
          </cell>
          <cell r="EQ78">
            <v>142.98666666666665</v>
          </cell>
          <cell r="ER78">
            <v>163.32666666666668</v>
          </cell>
          <cell r="ES78">
            <v>197.44166666666669</v>
          </cell>
          <cell r="ET78">
            <v>219.30716666666663</v>
          </cell>
          <cell r="EU78">
            <v>241.17266666666669</v>
          </cell>
          <cell r="EV78">
            <v>263.03816666666665</v>
          </cell>
          <cell r="EW78">
            <v>1707.2930000000001</v>
          </cell>
          <cell r="EY78">
            <v>117950</v>
          </cell>
          <cell r="EZ78">
            <v>8</v>
          </cell>
          <cell r="FA78">
            <v>786.33333333333337</v>
          </cell>
          <cell r="FB78">
            <v>128506</v>
          </cell>
          <cell r="FC78">
            <v>8.6</v>
          </cell>
          <cell r="FD78">
            <v>920.95966666666652</v>
          </cell>
          <cell r="FE78">
            <v>1707.2929999999999</v>
          </cell>
          <cell r="FF78">
            <v>38410</v>
          </cell>
          <cell r="FH78">
            <v>38410</v>
          </cell>
        </row>
        <row r="79">
          <cell r="B79">
            <v>5914</v>
          </cell>
          <cell r="C79" t="str">
            <v>03.11.2006</v>
          </cell>
          <cell r="D79" t="str">
            <v>Malve Varsha Vishnupant</v>
          </cell>
          <cell r="F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D79">
            <v>0</v>
          </cell>
          <cell r="DE79">
            <v>0</v>
          </cell>
          <cell r="DF79">
            <v>0</v>
          </cell>
          <cell r="DG79">
            <v>0</v>
          </cell>
          <cell r="DI79">
            <v>0</v>
          </cell>
          <cell r="DJ79">
            <v>0</v>
          </cell>
          <cell r="DK79">
            <v>0</v>
          </cell>
          <cell r="DL79">
            <v>0</v>
          </cell>
          <cell r="DM79">
            <v>0</v>
          </cell>
          <cell r="DN79">
            <v>0</v>
          </cell>
          <cell r="DO79">
            <v>0</v>
          </cell>
          <cell r="DP79">
            <v>0</v>
          </cell>
          <cell r="DQ79">
            <v>0</v>
          </cell>
          <cell r="DR79">
            <v>0</v>
          </cell>
          <cell r="DS79">
            <v>0</v>
          </cell>
          <cell r="DT79">
            <v>0</v>
          </cell>
          <cell r="DU79">
            <v>0</v>
          </cell>
          <cell r="DW79">
            <v>0</v>
          </cell>
          <cell r="DX79">
            <v>0</v>
          </cell>
          <cell r="DY79">
            <v>0</v>
          </cell>
          <cell r="DZ79">
            <v>0</v>
          </cell>
          <cell r="EA79">
            <v>0</v>
          </cell>
          <cell r="EB79">
            <v>0</v>
          </cell>
          <cell r="EC79">
            <v>0</v>
          </cell>
          <cell r="ED79">
            <v>0</v>
          </cell>
          <cell r="EE79">
            <v>0</v>
          </cell>
          <cell r="EF79">
            <v>0</v>
          </cell>
          <cell r="EG79">
            <v>0</v>
          </cell>
          <cell r="EH79">
            <v>0</v>
          </cell>
          <cell r="EI79">
            <v>0</v>
          </cell>
          <cell r="EK79">
            <v>0</v>
          </cell>
          <cell r="EL79">
            <v>0</v>
          </cell>
          <cell r="EM79">
            <v>0</v>
          </cell>
          <cell r="EN79">
            <v>0</v>
          </cell>
          <cell r="EO79">
            <v>0</v>
          </cell>
          <cell r="EP79">
            <v>0</v>
          </cell>
          <cell r="EQ79">
            <v>0</v>
          </cell>
          <cell r="ER79">
            <v>0</v>
          </cell>
          <cell r="ES79">
            <v>0</v>
          </cell>
          <cell r="ET79">
            <v>0</v>
          </cell>
          <cell r="EU79">
            <v>0</v>
          </cell>
          <cell r="EV79">
            <v>0</v>
          </cell>
          <cell r="EW79">
            <v>0</v>
          </cell>
          <cell r="EY79">
            <v>0</v>
          </cell>
          <cell r="EZ79">
            <v>8</v>
          </cell>
          <cell r="FA79">
            <v>0</v>
          </cell>
          <cell r="FB79">
            <v>0</v>
          </cell>
          <cell r="FC79">
            <v>8.6</v>
          </cell>
          <cell r="FD79">
            <v>0</v>
          </cell>
          <cell r="FE79">
            <v>0</v>
          </cell>
          <cell r="FF79">
            <v>0</v>
          </cell>
          <cell r="FH79">
            <v>0</v>
          </cell>
        </row>
        <row r="80">
          <cell r="B80">
            <v>9358</v>
          </cell>
          <cell r="C80" t="str">
            <v>24.11.2006</v>
          </cell>
          <cell r="D80" t="str">
            <v>Kadam Sudhakar Ramesh</v>
          </cell>
          <cell r="F80">
            <v>15090</v>
          </cell>
          <cell r="H80">
            <v>7540</v>
          </cell>
          <cell r="I80">
            <v>7540</v>
          </cell>
          <cell r="J80">
            <v>15080</v>
          </cell>
          <cell r="K80">
            <v>-10</v>
          </cell>
          <cell r="M80">
            <v>1088</v>
          </cell>
          <cell r="N80">
            <v>0</v>
          </cell>
          <cell r="O80">
            <v>1088</v>
          </cell>
          <cell r="P80">
            <v>0</v>
          </cell>
          <cell r="Q80">
            <v>420</v>
          </cell>
          <cell r="R80">
            <v>0</v>
          </cell>
          <cell r="S80">
            <v>0</v>
          </cell>
          <cell r="T80">
            <v>420</v>
          </cell>
          <cell r="U80">
            <v>0</v>
          </cell>
          <cell r="W80">
            <v>1088</v>
          </cell>
          <cell r="X80">
            <v>0</v>
          </cell>
          <cell r="Y80">
            <v>1088</v>
          </cell>
          <cell r="Z80">
            <v>0</v>
          </cell>
          <cell r="AA80">
            <v>420</v>
          </cell>
          <cell r="AB80">
            <v>0</v>
          </cell>
          <cell r="AC80">
            <v>0</v>
          </cell>
          <cell r="AD80">
            <v>420</v>
          </cell>
          <cell r="AE80">
            <v>0</v>
          </cell>
          <cell r="AG80">
            <v>1121</v>
          </cell>
          <cell r="AH80">
            <v>0</v>
          </cell>
          <cell r="AI80">
            <v>1121</v>
          </cell>
          <cell r="AJ80">
            <v>0</v>
          </cell>
          <cell r="AK80">
            <v>420</v>
          </cell>
          <cell r="AL80">
            <v>0</v>
          </cell>
          <cell r="AM80">
            <v>0</v>
          </cell>
          <cell r="AN80">
            <v>420</v>
          </cell>
          <cell r="AO80">
            <v>6000</v>
          </cell>
          <cell r="AQ80">
            <v>1121</v>
          </cell>
          <cell r="AR80">
            <v>0</v>
          </cell>
          <cell r="AS80">
            <v>1121</v>
          </cell>
          <cell r="AT80">
            <v>0</v>
          </cell>
          <cell r="AU80">
            <v>615</v>
          </cell>
          <cell r="AV80">
            <v>0</v>
          </cell>
          <cell r="AW80">
            <v>0</v>
          </cell>
          <cell r="AX80">
            <v>615</v>
          </cell>
          <cell r="AY80">
            <v>0</v>
          </cell>
          <cell r="BA80">
            <v>1121</v>
          </cell>
          <cell r="BB80">
            <v>0</v>
          </cell>
          <cell r="BC80">
            <v>1121</v>
          </cell>
          <cell r="BD80">
            <v>0</v>
          </cell>
          <cell r="BE80">
            <v>615</v>
          </cell>
          <cell r="BF80">
            <v>0</v>
          </cell>
          <cell r="BG80">
            <v>0</v>
          </cell>
          <cell r="BH80">
            <v>615</v>
          </cell>
          <cell r="BI80">
            <v>0</v>
          </cell>
          <cell r="BK80">
            <v>1173</v>
          </cell>
          <cell r="BL80">
            <v>0</v>
          </cell>
          <cell r="BM80">
            <v>1173</v>
          </cell>
          <cell r="BN80">
            <v>0</v>
          </cell>
          <cell r="BO80">
            <v>615</v>
          </cell>
          <cell r="BP80">
            <v>0</v>
          </cell>
          <cell r="BQ80">
            <v>0</v>
          </cell>
          <cell r="BR80">
            <v>615</v>
          </cell>
          <cell r="BS80">
            <v>0</v>
          </cell>
          <cell r="BU80">
            <v>1173</v>
          </cell>
          <cell r="BV80">
            <v>0</v>
          </cell>
          <cell r="BW80">
            <v>1173</v>
          </cell>
          <cell r="BX80">
            <v>0</v>
          </cell>
          <cell r="BY80">
            <v>615</v>
          </cell>
          <cell r="BZ80">
            <v>0</v>
          </cell>
          <cell r="CA80">
            <v>0</v>
          </cell>
          <cell r="CB80">
            <v>615</v>
          </cell>
          <cell r="CC80">
            <v>0</v>
          </cell>
          <cell r="CE80">
            <v>1173</v>
          </cell>
          <cell r="CF80">
            <v>0</v>
          </cell>
          <cell r="CG80">
            <v>1173</v>
          </cell>
          <cell r="CH80">
            <v>0</v>
          </cell>
          <cell r="CI80">
            <v>615</v>
          </cell>
          <cell r="CJ80">
            <v>0</v>
          </cell>
          <cell r="CK80">
            <v>0</v>
          </cell>
          <cell r="CL80">
            <v>615</v>
          </cell>
          <cell r="CM80">
            <v>0</v>
          </cell>
          <cell r="CO80">
            <v>1173</v>
          </cell>
          <cell r="CP80">
            <v>0</v>
          </cell>
          <cell r="CQ80">
            <v>1173</v>
          </cell>
          <cell r="CR80">
            <v>0</v>
          </cell>
          <cell r="CS80">
            <v>615</v>
          </cell>
          <cell r="CT80">
            <v>0</v>
          </cell>
          <cell r="CU80">
            <v>0</v>
          </cell>
          <cell r="CV80">
            <v>615</v>
          </cell>
          <cell r="CW80">
            <v>0</v>
          </cell>
          <cell r="CY80">
            <v>1173</v>
          </cell>
          <cell r="CZ80">
            <v>0</v>
          </cell>
          <cell r="DA80">
            <v>1173</v>
          </cell>
          <cell r="DB80">
            <v>0</v>
          </cell>
          <cell r="DC80">
            <v>615</v>
          </cell>
          <cell r="DD80">
            <v>0</v>
          </cell>
          <cell r="DE80">
            <v>0</v>
          </cell>
          <cell r="DF80">
            <v>615</v>
          </cell>
          <cell r="DG80">
            <v>0</v>
          </cell>
          <cell r="DI80">
            <v>15080</v>
          </cell>
          <cell r="DJ80">
            <v>11404</v>
          </cell>
          <cell r="DK80">
            <v>0</v>
          </cell>
          <cell r="DL80">
            <v>11404</v>
          </cell>
          <cell r="DM80">
            <v>11404</v>
          </cell>
          <cell r="DN80">
            <v>0</v>
          </cell>
          <cell r="DO80">
            <v>11404</v>
          </cell>
          <cell r="DP80">
            <v>5565</v>
          </cell>
          <cell r="DQ80">
            <v>0</v>
          </cell>
          <cell r="DR80">
            <v>0</v>
          </cell>
          <cell r="DS80">
            <v>5565</v>
          </cell>
          <cell r="DT80">
            <v>28373</v>
          </cell>
          <cell r="DU80">
            <v>6000</v>
          </cell>
          <cell r="DW80">
            <v>0</v>
          </cell>
          <cell r="DX80">
            <v>0</v>
          </cell>
          <cell r="DY80">
            <v>17676</v>
          </cell>
          <cell r="DZ80">
            <v>20272</v>
          </cell>
          <cell r="EA80">
            <v>16934</v>
          </cell>
          <cell r="EB80">
            <v>19791</v>
          </cell>
          <cell r="EC80">
            <v>22648</v>
          </cell>
          <cell r="ED80">
            <v>25609</v>
          </cell>
          <cell r="EE80">
            <v>28570</v>
          </cell>
          <cell r="EF80">
            <v>31531</v>
          </cell>
          <cell r="EG80">
            <v>34492</v>
          </cell>
          <cell r="EH80">
            <v>37453</v>
          </cell>
          <cell r="EI80">
            <v>254976</v>
          </cell>
          <cell r="EK80">
            <v>0</v>
          </cell>
          <cell r="EL80">
            <v>0</v>
          </cell>
          <cell r="EM80">
            <v>117.83999999999999</v>
          </cell>
          <cell r="EN80">
            <v>135.14666666666668</v>
          </cell>
          <cell r="EO80">
            <v>112.89333333333333</v>
          </cell>
          <cell r="EP80">
            <v>131.94</v>
          </cell>
          <cell r="EQ80">
            <v>150.98666666666665</v>
          </cell>
          <cell r="ER80">
            <v>170.72666666666666</v>
          </cell>
          <cell r="ES80">
            <v>204.75166666666667</v>
          </cell>
          <cell r="ET80">
            <v>225.97216666666665</v>
          </cell>
          <cell r="EU80">
            <v>247.19266666666667</v>
          </cell>
          <cell r="EV80">
            <v>268.41316666666665</v>
          </cell>
          <cell r="EW80">
            <v>1765.8629999999998</v>
          </cell>
          <cell r="EY80">
            <v>122930</v>
          </cell>
          <cell r="EZ80">
            <v>8</v>
          </cell>
          <cell r="FA80">
            <v>819.5333333333333</v>
          </cell>
          <cell r="FB80">
            <v>132046</v>
          </cell>
          <cell r="FC80">
            <v>8.6</v>
          </cell>
          <cell r="FD80">
            <v>946.32966666666653</v>
          </cell>
          <cell r="FE80">
            <v>1765.8629999999998</v>
          </cell>
          <cell r="FF80">
            <v>39219</v>
          </cell>
          <cell r="FH80">
            <v>39219</v>
          </cell>
        </row>
        <row r="81">
          <cell r="B81">
            <v>9300</v>
          </cell>
          <cell r="C81" t="str">
            <v>04.12.2006</v>
          </cell>
          <cell r="D81" t="str">
            <v>Nigal Vikram Daulat</v>
          </cell>
          <cell r="F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O81">
            <v>0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Y81">
            <v>0</v>
          </cell>
          <cell r="CZ81">
            <v>0</v>
          </cell>
          <cell r="DA81">
            <v>0</v>
          </cell>
          <cell r="DB81">
            <v>0</v>
          </cell>
          <cell r="DC81">
            <v>0</v>
          </cell>
          <cell r="DD81">
            <v>0</v>
          </cell>
          <cell r="DE81">
            <v>0</v>
          </cell>
          <cell r="DF81">
            <v>0</v>
          </cell>
          <cell r="DG81">
            <v>0</v>
          </cell>
          <cell r="DI81">
            <v>0</v>
          </cell>
          <cell r="DJ81">
            <v>0</v>
          </cell>
          <cell r="DK81">
            <v>0</v>
          </cell>
          <cell r="DL81">
            <v>0</v>
          </cell>
          <cell r="DM81">
            <v>0</v>
          </cell>
          <cell r="DN81">
            <v>0</v>
          </cell>
          <cell r="DO81">
            <v>0</v>
          </cell>
          <cell r="DP81">
            <v>0</v>
          </cell>
          <cell r="DQ81">
            <v>0</v>
          </cell>
          <cell r="DR81">
            <v>0</v>
          </cell>
          <cell r="DS81">
            <v>0</v>
          </cell>
          <cell r="DT81">
            <v>0</v>
          </cell>
          <cell r="DU81">
            <v>0</v>
          </cell>
          <cell r="DW81">
            <v>0</v>
          </cell>
          <cell r="DX81">
            <v>0</v>
          </cell>
          <cell r="DY81">
            <v>0</v>
          </cell>
          <cell r="DZ81">
            <v>0</v>
          </cell>
          <cell r="EA81">
            <v>0</v>
          </cell>
          <cell r="EB81">
            <v>0</v>
          </cell>
          <cell r="EC81">
            <v>0</v>
          </cell>
          <cell r="ED81">
            <v>0</v>
          </cell>
          <cell r="EE81">
            <v>0</v>
          </cell>
          <cell r="EF81">
            <v>0</v>
          </cell>
          <cell r="EG81">
            <v>0</v>
          </cell>
          <cell r="EH81">
            <v>0</v>
          </cell>
          <cell r="EI81">
            <v>0</v>
          </cell>
          <cell r="EK81">
            <v>0</v>
          </cell>
          <cell r="EL81">
            <v>0</v>
          </cell>
          <cell r="EM81">
            <v>0</v>
          </cell>
          <cell r="EN81">
            <v>0</v>
          </cell>
          <cell r="EO81">
            <v>0</v>
          </cell>
          <cell r="EP81">
            <v>0</v>
          </cell>
          <cell r="EQ81">
            <v>0</v>
          </cell>
          <cell r="ER81">
            <v>0</v>
          </cell>
          <cell r="ES81">
            <v>0</v>
          </cell>
          <cell r="ET81">
            <v>0</v>
          </cell>
          <cell r="EU81">
            <v>0</v>
          </cell>
          <cell r="EV81">
            <v>0</v>
          </cell>
          <cell r="EW81">
            <v>0</v>
          </cell>
          <cell r="EY81">
            <v>0</v>
          </cell>
          <cell r="EZ81">
            <v>8</v>
          </cell>
          <cell r="FA81">
            <v>0</v>
          </cell>
          <cell r="FB81">
            <v>0</v>
          </cell>
          <cell r="FC81">
            <v>8.6</v>
          </cell>
          <cell r="FD81">
            <v>0</v>
          </cell>
          <cell r="FE81">
            <v>0</v>
          </cell>
          <cell r="FF81">
            <v>0</v>
          </cell>
          <cell r="FH81">
            <v>0</v>
          </cell>
        </row>
        <row r="82">
          <cell r="B82">
            <v>9370</v>
          </cell>
          <cell r="C82" t="str">
            <v>06.12.2006</v>
          </cell>
          <cell r="D82" t="str">
            <v>Gaikwad Sandesh Raghunath</v>
          </cell>
          <cell r="F82">
            <v>13022</v>
          </cell>
          <cell r="G82">
            <v>27289</v>
          </cell>
          <cell r="H82">
            <v>8634</v>
          </cell>
          <cell r="I82">
            <v>8634</v>
          </cell>
          <cell r="J82">
            <v>17268</v>
          </cell>
          <cell r="K82">
            <v>4246</v>
          </cell>
          <cell r="M82">
            <v>1088</v>
          </cell>
          <cell r="N82">
            <v>0</v>
          </cell>
          <cell r="O82">
            <v>1088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W82">
            <v>1088</v>
          </cell>
          <cell r="X82">
            <v>0</v>
          </cell>
          <cell r="Y82">
            <v>1088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G82">
            <v>1121</v>
          </cell>
          <cell r="AH82">
            <v>0</v>
          </cell>
          <cell r="AI82">
            <v>1121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Q82">
            <v>1121</v>
          </cell>
          <cell r="AR82">
            <v>0</v>
          </cell>
          <cell r="AS82">
            <v>1121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BA82">
            <v>1121</v>
          </cell>
          <cell r="BB82">
            <v>0</v>
          </cell>
          <cell r="BC82">
            <v>1121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K82">
            <v>1173</v>
          </cell>
          <cell r="BL82">
            <v>0</v>
          </cell>
          <cell r="BM82">
            <v>1173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U82">
            <v>1173</v>
          </cell>
          <cell r="BV82">
            <v>0</v>
          </cell>
          <cell r="BW82">
            <v>1173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E82">
            <v>1173</v>
          </cell>
          <cell r="CF82">
            <v>0</v>
          </cell>
          <cell r="CG82">
            <v>1173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O82">
            <v>1173</v>
          </cell>
          <cell r="CP82">
            <v>0</v>
          </cell>
          <cell r="CQ82">
            <v>1173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Y82">
            <v>1173</v>
          </cell>
          <cell r="CZ82">
            <v>0</v>
          </cell>
          <cell r="DA82">
            <v>1173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I82">
            <v>17268</v>
          </cell>
          <cell r="DJ82">
            <v>11404</v>
          </cell>
          <cell r="DK82">
            <v>0</v>
          </cell>
          <cell r="DL82">
            <v>11404</v>
          </cell>
          <cell r="DM82">
            <v>11404</v>
          </cell>
          <cell r="DN82">
            <v>0</v>
          </cell>
          <cell r="DO82">
            <v>11404</v>
          </cell>
          <cell r="DP82">
            <v>0</v>
          </cell>
          <cell r="DQ82">
            <v>0</v>
          </cell>
          <cell r="DR82">
            <v>0</v>
          </cell>
          <cell r="DS82">
            <v>0</v>
          </cell>
          <cell r="DT82">
            <v>22808</v>
          </cell>
          <cell r="DU82">
            <v>0</v>
          </cell>
          <cell r="DW82">
            <v>0</v>
          </cell>
          <cell r="DX82">
            <v>0</v>
          </cell>
          <cell r="DY82">
            <v>19444</v>
          </cell>
          <cell r="DZ82">
            <v>21620</v>
          </cell>
          <cell r="EA82">
            <v>23862</v>
          </cell>
          <cell r="EB82">
            <v>26104</v>
          </cell>
          <cell r="EC82">
            <v>28346</v>
          </cell>
          <cell r="ED82">
            <v>30692</v>
          </cell>
          <cell r="EE82">
            <v>33038</v>
          </cell>
          <cell r="EF82">
            <v>35384</v>
          </cell>
          <cell r="EG82">
            <v>37730</v>
          </cell>
          <cell r="EH82">
            <v>40076</v>
          </cell>
          <cell r="EI82">
            <v>296296</v>
          </cell>
          <cell r="EK82">
            <v>0</v>
          </cell>
          <cell r="EL82">
            <v>0</v>
          </cell>
          <cell r="EM82">
            <v>129.62666666666667</v>
          </cell>
          <cell r="EN82">
            <v>144.13333333333333</v>
          </cell>
          <cell r="EO82">
            <v>159.08000000000001</v>
          </cell>
          <cell r="EP82">
            <v>174.02666666666667</v>
          </cell>
          <cell r="EQ82">
            <v>188.97333333333333</v>
          </cell>
          <cell r="ER82">
            <v>204.61333333333334</v>
          </cell>
          <cell r="ES82">
            <v>236.77233333333334</v>
          </cell>
          <cell r="ET82">
            <v>253.5853333333333</v>
          </cell>
          <cell r="EU82">
            <v>270.39833333333337</v>
          </cell>
          <cell r="EV82">
            <v>287.2113333333333</v>
          </cell>
          <cell r="EW82">
            <v>2048.4206666666664</v>
          </cell>
          <cell r="EY82">
            <v>150068</v>
          </cell>
          <cell r="EZ82">
            <v>8</v>
          </cell>
          <cell r="FA82">
            <v>1000.4533333333334</v>
          </cell>
          <cell r="FB82">
            <v>146228</v>
          </cell>
          <cell r="FC82">
            <v>8.6</v>
          </cell>
          <cell r="FD82">
            <v>1047.9673333333333</v>
          </cell>
          <cell r="FE82">
            <v>2048.4206666666669</v>
          </cell>
          <cell r="FF82">
            <v>42124</v>
          </cell>
          <cell r="FH82">
            <v>42124</v>
          </cell>
        </row>
        <row r="83">
          <cell r="B83">
            <v>9379</v>
          </cell>
          <cell r="C83" t="str">
            <v>06.12.2006</v>
          </cell>
          <cell r="D83" t="str">
            <v>Sanap Dattu Vasant</v>
          </cell>
          <cell r="F83">
            <v>12890</v>
          </cell>
          <cell r="G83">
            <v>27291</v>
          </cell>
          <cell r="H83">
            <v>7148</v>
          </cell>
          <cell r="I83">
            <v>7148</v>
          </cell>
          <cell r="J83">
            <v>14296</v>
          </cell>
          <cell r="K83">
            <v>1406</v>
          </cell>
          <cell r="M83">
            <v>1088</v>
          </cell>
          <cell r="N83">
            <v>0</v>
          </cell>
          <cell r="O83">
            <v>1088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W83">
            <v>1088</v>
          </cell>
          <cell r="X83">
            <v>0</v>
          </cell>
          <cell r="Y83">
            <v>1088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G83">
            <v>1121</v>
          </cell>
          <cell r="AH83">
            <v>0</v>
          </cell>
          <cell r="AI83">
            <v>1121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Q83">
            <v>1121</v>
          </cell>
          <cell r="AR83">
            <v>0</v>
          </cell>
          <cell r="AS83">
            <v>1121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BA83">
            <v>1121</v>
          </cell>
          <cell r="BB83">
            <v>0</v>
          </cell>
          <cell r="BC83">
            <v>1121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K83">
            <v>1173</v>
          </cell>
          <cell r="BL83">
            <v>0</v>
          </cell>
          <cell r="BM83">
            <v>1173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U83">
            <v>1173</v>
          </cell>
          <cell r="BV83">
            <v>0</v>
          </cell>
          <cell r="BW83">
            <v>1173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E83">
            <v>1173</v>
          </cell>
          <cell r="CF83">
            <v>0</v>
          </cell>
          <cell r="CG83">
            <v>1173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O83">
            <v>1173</v>
          </cell>
          <cell r="CP83">
            <v>0</v>
          </cell>
          <cell r="CQ83">
            <v>1173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Y83">
            <v>1173</v>
          </cell>
          <cell r="CZ83">
            <v>0</v>
          </cell>
          <cell r="DA83">
            <v>1173</v>
          </cell>
          <cell r="DB83">
            <v>0</v>
          </cell>
          <cell r="DC83">
            <v>0</v>
          </cell>
          <cell r="DD83">
            <v>0</v>
          </cell>
          <cell r="DE83">
            <v>0</v>
          </cell>
          <cell r="DF83">
            <v>0</v>
          </cell>
          <cell r="DG83">
            <v>0</v>
          </cell>
          <cell r="DI83">
            <v>14296</v>
          </cell>
          <cell r="DJ83">
            <v>11404</v>
          </cell>
          <cell r="DK83">
            <v>0</v>
          </cell>
          <cell r="DL83">
            <v>11404</v>
          </cell>
          <cell r="DM83">
            <v>11404</v>
          </cell>
          <cell r="DN83">
            <v>0</v>
          </cell>
          <cell r="DO83">
            <v>11404</v>
          </cell>
          <cell r="DP83">
            <v>0</v>
          </cell>
          <cell r="DQ83">
            <v>0</v>
          </cell>
          <cell r="DR83">
            <v>0</v>
          </cell>
          <cell r="DS83">
            <v>0</v>
          </cell>
          <cell r="DT83">
            <v>22808</v>
          </cell>
          <cell r="DU83">
            <v>0</v>
          </cell>
          <cell r="DW83">
            <v>0</v>
          </cell>
          <cell r="DX83">
            <v>0</v>
          </cell>
          <cell r="DY83">
            <v>16472</v>
          </cell>
          <cell r="DZ83">
            <v>18648</v>
          </cell>
          <cell r="EA83">
            <v>20890</v>
          </cell>
          <cell r="EB83">
            <v>23132</v>
          </cell>
          <cell r="EC83">
            <v>25374</v>
          </cell>
          <cell r="ED83">
            <v>27720</v>
          </cell>
          <cell r="EE83">
            <v>30066</v>
          </cell>
          <cell r="EF83">
            <v>32412</v>
          </cell>
          <cell r="EG83">
            <v>34758</v>
          </cell>
          <cell r="EH83">
            <v>37104</v>
          </cell>
          <cell r="EI83">
            <v>266576</v>
          </cell>
          <cell r="EK83">
            <v>0</v>
          </cell>
          <cell r="EL83">
            <v>0</v>
          </cell>
          <cell r="EM83">
            <v>109.81333333333333</v>
          </cell>
          <cell r="EN83">
            <v>124.32</v>
          </cell>
          <cell r="EO83">
            <v>139.26666666666668</v>
          </cell>
          <cell r="EP83">
            <v>154.21333333333334</v>
          </cell>
          <cell r="EQ83">
            <v>169.16</v>
          </cell>
          <cell r="ER83">
            <v>184.79999999999998</v>
          </cell>
          <cell r="ES83">
            <v>215.47299999999998</v>
          </cell>
          <cell r="ET83">
            <v>232.28600000000003</v>
          </cell>
          <cell r="EU83">
            <v>249.09900000000002</v>
          </cell>
          <cell r="EV83">
            <v>265.91199999999998</v>
          </cell>
          <cell r="EW83">
            <v>1844.3433333333332</v>
          </cell>
          <cell r="EY83">
            <v>132236</v>
          </cell>
          <cell r="EZ83">
            <v>8</v>
          </cell>
          <cell r="FA83">
            <v>881.57333333333327</v>
          </cell>
          <cell r="FB83">
            <v>134340</v>
          </cell>
          <cell r="FC83">
            <v>8.6</v>
          </cell>
          <cell r="FD83">
            <v>962.77</v>
          </cell>
          <cell r="FE83">
            <v>1844.3433333333332</v>
          </cell>
          <cell r="FF83">
            <v>38948</v>
          </cell>
          <cell r="FH83">
            <v>38948</v>
          </cell>
        </row>
        <row r="84">
          <cell r="B84">
            <v>8859</v>
          </cell>
          <cell r="C84" t="str">
            <v>12.12.2006</v>
          </cell>
          <cell r="D84" t="str">
            <v>Patil Rajashri Dilipsingh</v>
          </cell>
          <cell r="F84">
            <v>142446</v>
          </cell>
          <cell r="G84">
            <v>178171</v>
          </cell>
          <cell r="H84">
            <v>145188</v>
          </cell>
          <cell r="I84">
            <v>145188</v>
          </cell>
          <cell r="J84">
            <v>290376</v>
          </cell>
          <cell r="K84">
            <v>147930</v>
          </cell>
          <cell r="M84">
            <v>4312</v>
          </cell>
          <cell r="N84">
            <v>0</v>
          </cell>
          <cell r="O84">
            <v>4312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W84">
            <v>4312</v>
          </cell>
          <cell r="X84">
            <v>0</v>
          </cell>
          <cell r="Y84">
            <v>4312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G84">
            <v>4442</v>
          </cell>
          <cell r="AH84">
            <v>0</v>
          </cell>
          <cell r="AI84">
            <v>4442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Q84">
            <v>4442</v>
          </cell>
          <cell r="AR84">
            <v>0</v>
          </cell>
          <cell r="AS84">
            <v>4442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BA84">
            <v>4442</v>
          </cell>
          <cell r="BB84">
            <v>0</v>
          </cell>
          <cell r="BC84">
            <v>4442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K84">
            <v>4648</v>
          </cell>
          <cell r="BL84">
            <v>0</v>
          </cell>
          <cell r="BM84">
            <v>4648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U84">
            <v>4648</v>
          </cell>
          <cell r="BV84">
            <v>0</v>
          </cell>
          <cell r="BW84">
            <v>4648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E84">
            <v>4648</v>
          </cell>
          <cell r="CF84">
            <v>0</v>
          </cell>
          <cell r="CG84">
            <v>4648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O84">
            <v>4648</v>
          </cell>
          <cell r="CP84">
            <v>0</v>
          </cell>
          <cell r="CQ84">
            <v>4648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Y84">
            <v>4648</v>
          </cell>
          <cell r="CZ84">
            <v>0</v>
          </cell>
          <cell r="DA84">
            <v>4648</v>
          </cell>
          <cell r="DB84">
            <v>0</v>
          </cell>
          <cell r="DC84">
            <v>0</v>
          </cell>
          <cell r="DD84">
            <v>0</v>
          </cell>
          <cell r="DE84">
            <v>0</v>
          </cell>
          <cell r="DF84">
            <v>0</v>
          </cell>
          <cell r="DG84">
            <v>0</v>
          </cell>
          <cell r="DI84">
            <v>290376</v>
          </cell>
          <cell r="DJ84">
            <v>45190</v>
          </cell>
          <cell r="DK84">
            <v>0</v>
          </cell>
          <cell r="DL84">
            <v>45190</v>
          </cell>
          <cell r="DM84">
            <v>45190</v>
          </cell>
          <cell r="DN84">
            <v>0</v>
          </cell>
          <cell r="DO84">
            <v>45190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90380</v>
          </cell>
          <cell r="DU84">
            <v>0</v>
          </cell>
          <cell r="DW84">
            <v>0</v>
          </cell>
          <cell r="DX84">
            <v>0</v>
          </cell>
          <cell r="DY84">
            <v>299000</v>
          </cell>
          <cell r="DZ84">
            <v>307624</v>
          </cell>
          <cell r="EA84">
            <v>316508</v>
          </cell>
          <cell r="EB84">
            <v>325392</v>
          </cell>
          <cell r="EC84">
            <v>334276</v>
          </cell>
          <cell r="ED84">
            <v>343572</v>
          </cell>
          <cell r="EE84">
            <v>352868</v>
          </cell>
          <cell r="EF84">
            <v>362164</v>
          </cell>
          <cell r="EG84">
            <v>371460</v>
          </cell>
          <cell r="EH84">
            <v>380756</v>
          </cell>
          <cell r="EI84">
            <v>3393620</v>
          </cell>
          <cell r="EK84">
            <v>0</v>
          </cell>
          <cell r="EL84">
            <v>0</v>
          </cell>
          <cell r="EM84">
            <v>1993.3333333333333</v>
          </cell>
          <cell r="EN84">
            <v>2050.8266666666664</v>
          </cell>
          <cell r="EO84">
            <v>2110.0533333333333</v>
          </cell>
          <cell r="EP84">
            <v>2169.2800000000002</v>
          </cell>
          <cell r="EQ84">
            <v>2228.5066666666667</v>
          </cell>
          <cell r="ER84">
            <v>2290.48</v>
          </cell>
          <cell r="ES84">
            <v>2528.8873333333331</v>
          </cell>
          <cell r="ET84">
            <v>2595.5086666666666</v>
          </cell>
          <cell r="EU84">
            <v>2662.13</v>
          </cell>
          <cell r="EV84">
            <v>2728.7513333333332</v>
          </cell>
          <cell r="EW84">
            <v>23357.757333333331</v>
          </cell>
          <cell r="EY84">
            <v>1926372</v>
          </cell>
          <cell r="EZ84">
            <v>8</v>
          </cell>
          <cell r="FA84">
            <v>12842.480000000001</v>
          </cell>
          <cell r="FB84">
            <v>1467248</v>
          </cell>
          <cell r="FC84">
            <v>8.6</v>
          </cell>
          <cell r="FD84">
            <v>10515.277333333333</v>
          </cell>
          <cell r="FE84">
            <v>23357.757333333335</v>
          </cell>
          <cell r="FF84">
            <v>404114</v>
          </cell>
          <cell r="FH84">
            <v>404114</v>
          </cell>
        </row>
        <row r="85">
          <cell r="B85">
            <v>8860</v>
          </cell>
          <cell r="C85" t="str">
            <v>12.12.2006</v>
          </cell>
          <cell r="D85" t="str">
            <v>Koshire Yogesh Ramesh</v>
          </cell>
          <cell r="F85">
            <v>142296</v>
          </cell>
          <cell r="H85">
            <v>43696</v>
          </cell>
          <cell r="I85">
            <v>43696</v>
          </cell>
          <cell r="J85">
            <v>87392</v>
          </cell>
          <cell r="K85">
            <v>-54904</v>
          </cell>
          <cell r="M85">
            <v>4312</v>
          </cell>
          <cell r="N85">
            <v>0</v>
          </cell>
          <cell r="O85">
            <v>4312</v>
          </cell>
          <cell r="P85">
            <v>0</v>
          </cell>
          <cell r="Q85">
            <v>2280</v>
          </cell>
          <cell r="R85">
            <v>0</v>
          </cell>
          <cell r="S85">
            <v>0</v>
          </cell>
          <cell r="T85">
            <v>2280</v>
          </cell>
          <cell r="U85">
            <v>0</v>
          </cell>
          <cell r="W85">
            <v>4312</v>
          </cell>
          <cell r="X85">
            <v>0</v>
          </cell>
          <cell r="Y85">
            <v>4312</v>
          </cell>
          <cell r="Z85">
            <v>0</v>
          </cell>
          <cell r="AA85">
            <v>2280</v>
          </cell>
          <cell r="AB85">
            <v>0</v>
          </cell>
          <cell r="AC85">
            <v>0</v>
          </cell>
          <cell r="AD85">
            <v>2280</v>
          </cell>
          <cell r="AE85">
            <v>0</v>
          </cell>
          <cell r="AG85">
            <v>4442</v>
          </cell>
          <cell r="AH85">
            <v>0</v>
          </cell>
          <cell r="AI85">
            <v>4442</v>
          </cell>
          <cell r="AJ85">
            <v>0</v>
          </cell>
          <cell r="AK85">
            <v>2280</v>
          </cell>
          <cell r="AL85">
            <v>0</v>
          </cell>
          <cell r="AM85">
            <v>0</v>
          </cell>
          <cell r="AN85">
            <v>2280</v>
          </cell>
          <cell r="AO85">
            <v>0</v>
          </cell>
          <cell r="AQ85">
            <v>4442</v>
          </cell>
          <cell r="AR85">
            <v>0</v>
          </cell>
          <cell r="AS85">
            <v>4442</v>
          </cell>
          <cell r="AT85">
            <v>0</v>
          </cell>
          <cell r="AU85">
            <v>2280</v>
          </cell>
          <cell r="AV85">
            <v>0</v>
          </cell>
          <cell r="AW85">
            <v>0</v>
          </cell>
          <cell r="AX85">
            <v>2280</v>
          </cell>
          <cell r="AY85">
            <v>0</v>
          </cell>
          <cell r="BA85">
            <v>4442</v>
          </cell>
          <cell r="BB85">
            <v>0</v>
          </cell>
          <cell r="BC85">
            <v>4442</v>
          </cell>
          <cell r="BD85">
            <v>0</v>
          </cell>
          <cell r="BE85">
            <v>2280</v>
          </cell>
          <cell r="BF85">
            <v>0</v>
          </cell>
          <cell r="BG85">
            <v>0</v>
          </cell>
          <cell r="BH85">
            <v>2280</v>
          </cell>
          <cell r="BI85">
            <v>0</v>
          </cell>
          <cell r="BK85">
            <v>4648</v>
          </cell>
          <cell r="BL85">
            <v>0</v>
          </cell>
          <cell r="BM85">
            <v>4648</v>
          </cell>
          <cell r="BN85">
            <v>0</v>
          </cell>
          <cell r="BO85">
            <v>2280</v>
          </cell>
          <cell r="BP85">
            <v>0</v>
          </cell>
          <cell r="BQ85">
            <v>0</v>
          </cell>
          <cell r="BR85">
            <v>2280</v>
          </cell>
          <cell r="BS85">
            <v>0</v>
          </cell>
          <cell r="BU85">
            <v>4648</v>
          </cell>
          <cell r="BV85">
            <v>0</v>
          </cell>
          <cell r="BW85">
            <v>4648</v>
          </cell>
          <cell r="BX85">
            <v>0</v>
          </cell>
          <cell r="BY85">
            <v>2280</v>
          </cell>
          <cell r="BZ85">
            <v>0</v>
          </cell>
          <cell r="CA85">
            <v>0</v>
          </cell>
          <cell r="CB85">
            <v>2280</v>
          </cell>
          <cell r="CC85">
            <v>0</v>
          </cell>
          <cell r="CE85">
            <v>4648</v>
          </cell>
          <cell r="CF85">
            <v>0</v>
          </cell>
          <cell r="CG85">
            <v>4648</v>
          </cell>
          <cell r="CH85">
            <v>0</v>
          </cell>
          <cell r="CI85">
            <v>2280</v>
          </cell>
          <cell r="CJ85">
            <v>0</v>
          </cell>
          <cell r="CK85">
            <v>20520</v>
          </cell>
          <cell r="CL85">
            <v>22800</v>
          </cell>
          <cell r="CM85">
            <v>0</v>
          </cell>
          <cell r="CO85">
            <v>4648</v>
          </cell>
          <cell r="CP85">
            <v>0</v>
          </cell>
          <cell r="CQ85">
            <v>4648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Y85">
            <v>4648</v>
          </cell>
          <cell r="CZ85">
            <v>0</v>
          </cell>
          <cell r="DA85">
            <v>4648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I85">
            <v>87392</v>
          </cell>
          <cell r="DJ85">
            <v>45190</v>
          </cell>
          <cell r="DK85">
            <v>0</v>
          </cell>
          <cell r="DL85">
            <v>45190</v>
          </cell>
          <cell r="DM85">
            <v>45190</v>
          </cell>
          <cell r="DN85">
            <v>0</v>
          </cell>
          <cell r="DO85">
            <v>45190</v>
          </cell>
          <cell r="DP85">
            <v>18240</v>
          </cell>
          <cell r="DQ85">
            <v>0</v>
          </cell>
          <cell r="DR85">
            <v>20520</v>
          </cell>
          <cell r="DS85">
            <v>38760</v>
          </cell>
          <cell r="DT85">
            <v>129140</v>
          </cell>
          <cell r="DU85">
            <v>0</v>
          </cell>
          <cell r="DW85">
            <v>0</v>
          </cell>
          <cell r="DX85">
            <v>0</v>
          </cell>
          <cell r="DY85">
            <v>98296</v>
          </cell>
          <cell r="DZ85">
            <v>109200</v>
          </cell>
          <cell r="EA85">
            <v>120364</v>
          </cell>
          <cell r="EB85">
            <v>131528</v>
          </cell>
          <cell r="EC85">
            <v>142692</v>
          </cell>
          <cell r="ED85">
            <v>154268</v>
          </cell>
          <cell r="EE85">
            <v>165844</v>
          </cell>
          <cell r="EF85">
            <v>197940</v>
          </cell>
          <cell r="EG85">
            <v>207236</v>
          </cell>
          <cell r="EH85">
            <v>216532</v>
          </cell>
          <cell r="EI85">
            <v>1543900</v>
          </cell>
          <cell r="EK85">
            <v>0</v>
          </cell>
          <cell r="EL85">
            <v>0</v>
          </cell>
          <cell r="EM85">
            <v>655.30666666666673</v>
          </cell>
          <cell r="EN85">
            <v>728</v>
          </cell>
          <cell r="EO85">
            <v>802.42666666666673</v>
          </cell>
          <cell r="EP85">
            <v>876.85333333333335</v>
          </cell>
          <cell r="EQ85">
            <v>951.28000000000009</v>
          </cell>
          <cell r="ER85">
            <v>1028.4533333333334</v>
          </cell>
          <cell r="ES85">
            <v>1188.5486666666666</v>
          </cell>
          <cell r="ET85">
            <v>1418.57</v>
          </cell>
          <cell r="EU85">
            <v>1485.1913333333332</v>
          </cell>
          <cell r="EV85">
            <v>1551.8126666666667</v>
          </cell>
          <cell r="EW85">
            <v>10686.442666666668</v>
          </cell>
          <cell r="EY85">
            <v>756348</v>
          </cell>
          <cell r="EZ85">
            <v>8</v>
          </cell>
          <cell r="FA85">
            <v>5042.32</v>
          </cell>
          <cell r="FB85">
            <v>787552</v>
          </cell>
          <cell r="FC85">
            <v>8.6</v>
          </cell>
          <cell r="FD85">
            <v>5644.1226666666662</v>
          </cell>
          <cell r="FE85">
            <v>10686.442666666666</v>
          </cell>
          <cell r="FF85">
            <v>227218</v>
          </cell>
          <cell r="FH85">
            <v>227218</v>
          </cell>
        </row>
        <row r="86">
          <cell r="B86">
            <v>8861</v>
          </cell>
          <cell r="C86" t="str">
            <v>12.12.2006</v>
          </cell>
          <cell r="D86" t="str">
            <v>Baji Navin Govind</v>
          </cell>
          <cell r="F86">
            <v>142378</v>
          </cell>
          <cell r="H86">
            <v>25196</v>
          </cell>
          <cell r="I86">
            <v>25196</v>
          </cell>
          <cell r="J86">
            <v>50392</v>
          </cell>
          <cell r="K86">
            <v>-91986</v>
          </cell>
          <cell r="M86">
            <v>4312</v>
          </cell>
          <cell r="N86">
            <v>0</v>
          </cell>
          <cell r="O86">
            <v>4312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W86">
            <v>4312</v>
          </cell>
          <cell r="X86">
            <v>0</v>
          </cell>
          <cell r="Y86">
            <v>4312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G86">
            <v>4442</v>
          </cell>
          <cell r="AH86">
            <v>0</v>
          </cell>
          <cell r="AI86">
            <v>4442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Q86">
            <v>4442</v>
          </cell>
          <cell r="AR86">
            <v>0</v>
          </cell>
          <cell r="AS86">
            <v>4442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BA86">
            <v>4442</v>
          </cell>
          <cell r="BB86">
            <v>0</v>
          </cell>
          <cell r="BC86">
            <v>4442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K86">
            <v>4648</v>
          </cell>
          <cell r="BL86">
            <v>0</v>
          </cell>
          <cell r="BM86">
            <v>4648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U86">
            <v>4648</v>
          </cell>
          <cell r="BV86">
            <v>0</v>
          </cell>
          <cell r="BW86">
            <v>4648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E86">
            <v>4648</v>
          </cell>
          <cell r="CF86">
            <v>0</v>
          </cell>
          <cell r="CG86">
            <v>4648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O86">
            <v>4648</v>
          </cell>
          <cell r="CP86">
            <v>0</v>
          </cell>
          <cell r="CQ86">
            <v>4648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Y86">
            <v>4648</v>
          </cell>
          <cell r="CZ86">
            <v>0</v>
          </cell>
          <cell r="DA86">
            <v>4648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I86">
            <v>50392</v>
          </cell>
          <cell r="DJ86">
            <v>45190</v>
          </cell>
          <cell r="DK86">
            <v>0</v>
          </cell>
          <cell r="DL86">
            <v>45190</v>
          </cell>
          <cell r="DM86">
            <v>45190</v>
          </cell>
          <cell r="DN86">
            <v>0</v>
          </cell>
          <cell r="DO86">
            <v>45190</v>
          </cell>
          <cell r="DP86">
            <v>0</v>
          </cell>
          <cell r="DQ86">
            <v>0</v>
          </cell>
          <cell r="DR86">
            <v>0</v>
          </cell>
          <cell r="DS86">
            <v>0</v>
          </cell>
          <cell r="DT86">
            <v>90380</v>
          </cell>
          <cell r="DU86">
            <v>0</v>
          </cell>
          <cell r="DW86">
            <v>0</v>
          </cell>
          <cell r="DX86">
            <v>0</v>
          </cell>
          <cell r="DY86">
            <v>59016</v>
          </cell>
          <cell r="DZ86">
            <v>67640</v>
          </cell>
          <cell r="EA86">
            <v>76524</v>
          </cell>
          <cell r="EB86">
            <v>85408</v>
          </cell>
          <cell r="EC86">
            <v>94292</v>
          </cell>
          <cell r="ED86">
            <v>103588</v>
          </cell>
          <cell r="EE86">
            <v>112884</v>
          </cell>
          <cell r="EF86">
            <v>122180</v>
          </cell>
          <cell r="EG86">
            <v>131476</v>
          </cell>
          <cell r="EH86">
            <v>140772</v>
          </cell>
          <cell r="EI86">
            <v>993780</v>
          </cell>
          <cell r="EK86">
            <v>0</v>
          </cell>
          <cell r="EL86">
            <v>0</v>
          </cell>
          <cell r="EM86">
            <v>393.44</v>
          </cell>
          <cell r="EN86">
            <v>450.93333333333334</v>
          </cell>
          <cell r="EO86">
            <v>510.16</v>
          </cell>
          <cell r="EP86">
            <v>569.38666666666666</v>
          </cell>
          <cell r="EQ86">
            <v>628.61333333333334</v>
          </cell>
          <cell r="ER86">
            <v>690.5866666666667</v>
          </cell>
          <cell r="ES86">
            <v>809.00199999999995</v>
          </cell>
          <cell r="ET86">
            <v>875.62333333333333</v>
          </cell>
          <cell r="EU86">
            <v>942.24466666666649</v>
          </cell>
          <cell r="EV86">
            <v>1008.866</v>
          </cell>
          <cell r="EW86">
            <v>6878.8559999999998</v>
          </cell>
          <cell r="EY86">
            <v>486468</v>
          </cell>
          <cell r="EZ86">
            <v>8</v>
          </cell>
          <cell r="FA86">
            <v>3243.1200000000003</v>
          </cell>
          <cell r="FB86">
            <v>507312</v>
          </cell>
          <cell r="FC86">
            <v>8.6</v>
          </cell>
          <cell r="FD86">
            <v>3635.7360000000003</v>
          </cell>
          <cell r="FE86">
            <v>6878.8560000000007</v>
          </cell>
          <cell r="FF86">
            <v>147651</v>
          </cell>
          <cell r="FH86">
            <v>147651</v>
          </cell>
        </row>
        <row r="87">
          <cell r="B87">
            <v>8862</v>
          </cell>
          <cell r="C87" t="str">
            <v>12.12.2006</v>
          </cell>
          <cell r="D87" t="str">
            <v>Pagare Ratnakar Bhikaji</v>
          </cell>
          <cell r="F87">
            <v>142446</v>
          </cell>
          <cell r="H87">
            <v>71427</v>
          </cell>
          <cell r="I87">
            <v>71427</v>
          </cell>
          <cell r="J87">
            <v>142854</v>
          </cell>
          <cell r="K87">
            <v>408</v>
          </cell>
          <cell r="M87">
            <v>4312</v>
          </cell>
          <cell r="N87">
            <v>0</v>
          </cell>
          <cell r="O87">
            <v>4312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W87">
            <v>4312</v>
          </cell>
          <cell r="X87">
            <v>0</v>
          </cell>
          <cell r="Y87">
            <v>4312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G87">
            <v>4442</v>
          </cell>
          <cell r="AH87">
            <v>0</v>
          </cell>
          <cell r="AI87">
            <v>4442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Q87">
            <v>4442</v>
          </cell>
          <cell r="AR87">
            <v>0</v>
          </cell>
          <cell r="AS87">
            <v>4442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BA87">
            <v>4442</v>
          </cell>
          <cell r="BB87">
            <v>0</v>
          </cell>
          <cell r="BC87">
            <v>4442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K87">
            <v>4648</v>
          </cell>
          <cell r="BL87">
            <v>0</v>
          </cell>
          <cell r="BM87">
            <v>4648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U87">
            <v>4648</v>
          </cell>
          <cell r="BV87">
            <v>0</v>
          </cell>
          <cell r="BW87">
            <v>4648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E87">
            <v>4648</v>
          </cell>
          <cell r="CF87">
            <v>0</v>
          </cell>
          <cell r="CG87">
            <v>4648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O87">
            <v>4648</v>
          </cell>
          <cell r="CP87">
            <v>0</v>
          </cell>
          <cell r="CQ87">
            <v>4648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Y87">
            <v>4648</v>
          </cell>
          <cell r="CZ87">
            <v>0</v>
          </cell>
          <cell r="DA87">
            <v>4648</v>
          </cell>
          <cell r="DB87">
            <v>0</v>
          </cell>
          <cell r="DC87">
            <v>0</v>
          </cell>
          <cell r="DD87">
            <v>0</v>
          </cell>
          <cell r="DE87">
            <v>0</v>
          </cell>
          <cell r="DF87">
            <v>0</v>
          </cell>
          <cell r="DG87">
            <v>0</v>
          </cell>
          <cell r="DI87">
            <v>142854</v>
          </cell>
          <cell r="DJ87">
            <v>45190</v>
          </cell>
          <cell r="DK87">
            <v>0</v>
          </cell>
          <cell r="DL87">
            <v>45190</v>
          </cell>
          <cell r="DM87">
            <v>45190</v>
          </cell>
          <cell r="DN87">
            <v>0</v>
          </cell>
          <cell r="DO87">
            <v>45190</v>
          </cell>
          <cell r="DP87">
            <v>0</v>
          </cell>
          <cell r="DQ87">
            <v>0</v>
          </cell>
          <cell r="DR87">
            <v>0</v>
          </cell>
          <cell r="DS87">
            <v>0</v>
          </cell>
          <cell r="DT87">
            <v>90380</v>
          </cell>
          <cell r="DU87">
            <v>0</v>
          </cell>
          <cell r="DW87">
            <v>0</v>
          </cell>
          <cell r="DX87">
            <v>0</v>
          </cell>
          <cell r="DY87">
            <v>151478</v>
          </cell>
          <cell r="DZ87">
            <v>160102</v>
          </cell>
          <cell r="EA87">
            <v>168986</v>
          </cell>
          <cell r="EB87">
            <v>177870</v>
          </cell>
          <cell r="EC87">
            <v>186754</v>
          </cell>
          <cell r="ED87">
            <v>196050</v>
          </cell>
          <cell r="EE87">
            <v>205346</v>
          </cell>
          <cell r="EF87">
            <v>214642</v>
          </cell>
          <cell r="EG87">
            <v>223938</v>
          </cell>
          <cell r="EH87">
            <v>233234</v>
          </cell>
          <cell r="EI87">
            <v>1918400</v>
          </cell>
          <cell r="EK87">
            <v>0</v>
          </cell>
          <cell r="EL87">
            <v>0</v>
          </cell>
          <cell r="EM87">
            <v>1009.8533333333334</v>
          </cell>
          <cell r="EN87">
            <v>1067.3466666666666</v>
          </cell>
          <cell r="EO87">
            <v>1126.5733333333333</v>
          </cell>
          <cell r="EP87">
            <v>1185.8</v>
          </cell>
          <cell r="EQ87">
            <v>1245.0266666666666</v>
          </cell>
          <cell r="ER87">
            <v>1307</v>
          </cell>
          <cell r="ES87">
            <v>1471.6463333333331</v>
          </cell>
          <cell r="ET87">
            <v>1538.2676666666666</v>
          </cell>
          <cell r="EU87">
            <v>1604.8889999999999</v>
          </cell>
          <cell r="EV87">
            <v>1671.5103333333334</v>
          </cell>
          <cell r="EW87">
            <v>13227.913333333332</v>
          </cell>
          <cell r="EY87">
            <v>1041240</v>
          </cell>
          <cell r="EZ87">
            <v>8</v>
          </cell>
          <cell r="FA87">
            <v>6941.5999999999995</v>
          </cell>
          <cell r="FB87">
            <v>877160</v>
          </cell>
          <cell r="FC87">
            <v>8.6</v>
          </cell>
          <cell r="FD87">
            <v>6286.3133333333326</v>
          </cell>
          <cell r="FE87">
            <v>13227.913333333332</v>
          </cell>
          <cell r="FF87">
            <v>246462</v>
          </cell>
          <cell r="FH87">
            <v>246462</v>
          </cell>
        </row>
        <row r="88">
          <cell r="B88">
            <v>8863</v>
          </cell>
          <cell r="C88" t="str">
            <v>12.12.2006</v>
          </cell>
          <cell r="D88" t="str">
            <v>Khune Shailesh Vishwasrao</v>
          </cell>
          <cell r="F88">
            <v>139777</v>
          </cell>
          <cell r="H88">
            <v>158218</v>
          </cell>
          <cell r="I88">
            <v>158218</v>
          </cell>
          <cell r="J88">
            <v>316436</v>
          </cell>
          <cell r="K88">
            <v>176659</v>
          </cell>
          <cell r="M88">
            <v>4312</v>
          </cell>
          <cell r="N88">
            <v>0</v>
          </cell>
          <cell r="O88">
            <v>4312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W88">
            <v>4312</v>
          </cell>
          <cell r="X88">
            <v>0</v>
          </cell>
          <cell r="Y88">
            <v>4312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G88">
            <v>4442</v>
          </cell>
          <cell r="AH88">
            <v>0</v>
          </cell>
          <cell r="AI88">
            <v>4442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Q88">
            <v>4442</v>
          </cell>
          <cell r="AR88">
            <v>0</v>
          </cell>
          <cell r="AS88">
            <v>4442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BA88">
            <v>4442</v>
          </cell>
          <cell r="BB88">
            <v>0</v>
          </cell>
          <cell r="BC88">
            <v>4442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K88">
            <v>4648</v>
          </cell>
          <cell r="BL88">
            <v>0</v>
          </cell>
          <cell r="BM88">
            <v>4648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U88">
            <v>4648</v>
          </cell>
          <cell r="BV88">
            <v>0</v>
          </cell>
          <cell r="BW88">
            <v>4648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E88">
            <v>4648</v>
          </cell>
          <cell r="CF88">
            <v>0</v>
          </cell>
          <cell r="CG88">
            <v>4648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O88">
            <v>4648</v>
          </cell>
          <cell r="CP88">
            <v>0</v>
          </cell>
          <cell r="CQ88">
            <v>4648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Y88">
            <v>4648</v>
          </cell>
          <cell r="CZ88">
            <v>0</v>
          </cell>
          <cell r="DA88">
            <v>4648</v>
          </cell>
          <cell r="DB88">
            <v>0</v>
          </cell>
          <cell r="DC88">
            <v>0</v>
          </cell>
          <cell r="DD88">
            <v>0</v>
          </cell>
          <cell r="DE88">
            <v>0</v>
          </cell>
          <cell r="DF88">
            <v>0</v>
          </cell>
          <cell r="DG88">
            <v>0</v>
          </cell>
          <cell r="DI88">
            <v>316436</v>
          </cell>
          <cell r="DJ88">
            <v>45190</v>
          </cell>
          <cell r="DK88">
            <v>0</v>
          </cell>
          <cell r="DL88">
            <v>45190</v>
          </cell>
          <cell r="DM88">
            <v>45190</v>
          </cell>
          <cell r="DN88">
            <v>0</v>
          </cell>
          <cell r="DO88">
            <v>45190</v>
          </cell>
          <cell r="DP88">
            <v>0</v>
          </cell>
          <cell r="DQ88">
            <v>0</v>
          </cell>
          <cell r="DR88">
            <v>0</v>
          </cell>
          <cell r="DS88">
            <v>0</v>
          </cell>
          <cell r="DT88">
            <v>90380</v>
          </cell>
          <cell r="DU88">
            <v>0</v>
          </cell>
          <cell r="DW88">
            <v>0</v>
          </cell>
          <cell r="DX88">
            <v>0</v>
          </cell>
          <cell r="DY88">
            <v>325060</v>
          </cell>
          <cell r="DZ88">
            <v>333684</v>
          </cell>
          <cell r="EA88">
            <v>342568</v>
          </cell>
          <cell r="EB88">
            <v>351452</v>
          </cell>
          <cell r="EC88">
            <v>360336</v>
          </cell>
          <cell r="ED88">
            <v>369632</v>
          </cell>
          <cell r="EE88">
            <v>378928</v>
          </cell>
          <cell r="EF88">
            <v>388224</v>
          </cell>
          <cell r="EG88">
            <v>397520</v>
          </cell>
          <cell r="EH88">
            <v>406816</v>
          </cell>
          <cell r="EI88">
            <v>3654220</v>
          </cell>
          <cell r="EK88">
            <v>0</v>
          </cell>
          <cell r="EL88">
            <v>0</v>
          </cell>
          <cell r="EM88">
            <v>2167.0666666666666</v>
          </cell>
          <cell r="EN88">
            <v>2224.56</v>
          </cell>
          <cell r="EO88">
            <v>2283.7866666666664</v>
          </cell>
          <cell r="EP88">
            <v>2343.0133333333333</v>
          </cell>
          <cell r="EQ88">
            <v>2402.2400000000002</v>
          </cell>
          <cell r="ER88">
            <v>2464.2133333333336</v>
          </cell>
          <cell r="ES88">
            <v>2715.6506666666664</v>
          </cell>
          <cell r="ET88">
            <v>2782.2719999999995</v>
          </cell>
          <cell r="EU88">
            <v>2848.8933333333334</v>
          </cell>
          <cell r="EV88">
            <v>2915.5146666666665</v>
          </cell>
          <cell r="EW88">
            <v>25147.210666666666</v>
          </cell>
          <cell r="EY88">
            <v>2082732</v>
          </cell>
          <cell r="EZ88">
            <v>8</v>
          </cell>
          <cell r="FA88">
            <v>13884.88</v>
          </cell>
          <cell r="FB88">
            <v>1571488</v>
          </cell>
          <cell r="FC88">
            <v>8.6</v>
          </cell>
          <cell r="FD88">
            <v>11262.330666666667</v>
          </cell>
          <cell r="FE88">
            <v>25147.210666666666</v>
          </cell>
          <cell r="FF88">
            <v>431963</v>
          </cell>
          <cell r="FH88">
            <v>431963</v>
          </cell>
        </row>
        <row r="89">
          <cell r="B89">
            <v>8864</v>
          </cell>
          <cell r="C89" t="str">
            <v>12.12.2006</v>
          </cell>
          <cell r="D89" t="str">
            <v>Hire Anita Nitin</v>
          </cell>
          <cell r="F89">
            <v>140840</v>
          </cell>
          <cell r="G89">
            <v>191811</v>
          </cell>
          <cell r="H89">
            <v>25196</v>
          </cell>
          <cell r="I89">
            <v>25196</v>
          </cell>
          <cell r="J89">
            <v>50392</v>
          </cell>
          <cell r="K89">
            <v>-90448</v>
          </cell>
          <cell r="M89">
            <v>4312</v>
          </cell>
          <cell r="N89">
            <v>0</v>
          </cell>
          <cell r="O89">
            <v>4312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W89">
            <v>4312</v>
          </cell>
          <cell r="X89">
            <v>0</v>
          </cell>
          <cell r="Y89">
            <v>4312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G89">
            <v>4442</v>
          </cell>
          <cell r="AH89">
            <v>0</v>
          </cell>
          <cell r="AI89">
            <v>4442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Q89">
            <v>4442</v>
          </cell>
          <cell r="AR89">
            <v>0</v>
          </cell>
          <cell r="AS89">
            <v>4442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BA89">
            <v>4442</v>
          </cell>
          <cell r="BB89">
            <v>0</v>
          </cell>
          <cell r="BC89">
            <v>4442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K89">
            <v>4648</v>
          </cell>
          <cell r="BL89">
            <v>0</v>
          </cell>
          <cell r="BM89">
            <v>4648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U89">
            <v>4648</v>
          </cell>
          <cell r="BV89">
            <v>0</v>
          </cell>
          <cell r="BW89">
            <v>4648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E89">
            <v>4648</v>
          </cell>
          <cell r="CF89">
            <v>0</v>
          </cell>
          <cell r="CG89">
            <v>4648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O89">
            <v>4648</v>
          </cell>
          <cell r="CP89">
            <v>0</v>
          </cell>
          <cell r="CQ89">
            <v>4648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Y89">
            <v>4648</v>
          </cell>
          <cell r="CZ89">
            <v>0</v>
          </cell>
          <cell r="DA89">
            <v>4648</v>
          </cell>
          <cell r="DB89">
            <v>0</v>
          </cell>
          <cell r="DC89">
            <v>0</v>
          </cell>
          <cell r="DD89">
            <v>0</v>
          </cell>
          <cell r="DE89">
            <v>0</v>
          </cell>
          <cell r="DF89">
            <v>0</v>
          </cell>
          <cell r="DG89">
            <v>0</v>
          </cell>
          <cell r="DI89">
            <v>50392</v>
          </cell>
          <cell r="DJ89">
            <v>45190</v>
          </cell>
          <cell r="DK89">
            <v>0</v>
          </cell>
          <cell r="DL89">
            <v>45190</v>
          </cell>
          <cell r="DM89">
            <v>45190</v>
          </cell>
          <cell r="DN89">
            <v>0</v>
          </cell>
          <cell r="DO89">
            <v>45190</v>
          </cell>
          <cell r="DP89">
            <v>0</v>
          </cell>
          <cell r="DQ89">
            <v>0</v>
          </cell>
          <cell r="DR89">
            <v>0</v>
          </cell>
          <cell r="DS89">
            <v>0</v>
          </cell>
          <cell r="DT89">
            <v>90380</v>
          </cell>
          <cell r="DU89">
            <v>0</v>
          </cell>
          <cell r="DW89">
            <v>0</v>
          </cell>
          <cell r="DX89">
            <v>0</v>
          </cell>
          <cell r="DY89">
            <v>59016</v>
          </cell>
          <cell r="DZ89">
            <v>67640</v>
          </cell>
          <cell r="EA89">
            <v>76524</v>
          </cell>
          <cell r="EB89">
            <v>85408</v>
          </cell>
          <cell r="EC89">
            <v>94292</v>
          </cell>
          <cell r="ED89">
            <v>103588</v>
          </cell>
          <cell r="EE89">
            <v>112884</v>
          </cell>
          <cell r="EF89">
            <v>122180</v>
          </cell>
          <cell r="EG89">
            <v>131476</v>
          </cell>
          <cell r="EH89">
            <v>140772</v>
          </cell>
          <cell r="EI89">
            <v>993780</v>
          </cell>
          <cell r="EK89">
            <v>0</v>
          </cell>
          <cell r="EL89">
            <v>0</v>
          </cell>
          <cell r="EM89">
            <v>393.44</v>
          </cell>
          <cell r="EN89">
            <v>450.93333333333334</v>
          </cell>
          <cell r="EO89">
            <v>510.16</v>
          </cell>
          <cell r="EP89">
            <v>569.38666666666666</v>
          </cell>
          <cell r="EQ89">
            <v>628.61333333333334</v>
          </cell>
          <cell r="ER89">
            <v>690.5866666666667</v>
          </cell>
          <cell r="ES89">
            <v>809.00199999999995</v>
          </cell>
          <cell r="ET89">
            <v>875.62333333333333</v>
          </cell>
          <cell r="EU89">
            <v>942.24466666666649</v>
          </cell>
          <cell r="EV89">
            <v>1008.866</v>
          </cell>
          <cell r="EW89">
            <v>6878.8559999999998</v>
          </cell>
          <cell r="EY89">
            <v>486468</v>
          </cell>
          <cell r="EZ89">
            <v>8</v>
          </cell>
          <cell r="FA89">
            <v>3243.1200000000003</v>
          </cell>
          <cell r="FB89">
            <v>507312</v>
          </cell>
          <cell r="FC89">
            <v>8.6</v>
          </cell>
          <cell r="FD89">
            <v>3635.7360000000003</v>
          </cell>
          <cell r="FE89">
            <v>6878.8560000000007</v>
          </cell>
          <cell r="FF89">
            <v>147651</v>
          </cell>
          <cell r="FH89">
            <v>147651</v>
          </cell>
        </row>
        <row r="90">
          <cell r="B90">
            <v>8865</v>
          </cell>
          <cell r="C90" t="str">
            <v>12.12.2006</v>
          </cell>
          <cell r="D90" t="str">
            <v>Dhaneshwar Jitendra Shripadrao</v>
          </cell>
          <cell r="F90">
            <v>142446</v>
          </cell>
          <cell r="H90">
            <v>66221</v>
          </cell>
          <cell r="I90">
            <v>66221</v>
          </cell>
          <cell r="J90">
            <v>132442</v>
          </cell>
          <cell r="K90">
            <v>-10004</v>
          </cell>
          <cell r="M90">
            <v>4312</v>
          </cell>
          <cell r="N90">
            <v>0</v>
          </cell>
          <cell r="O90">
            <v>4312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W90">
            <v>4312</v>
          </cell>
          <cell r="X90">
            <v>0</v>
          </cell>
          <cell r="Y90">
            <v>4312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G90">
            <v>4442</v>
          </cell>
          <cell r="AH90">
            <v>0</v>
          </cell>
          <cell r="AI90">
            <v>4442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Q90">
            <v>4442</v>
          </cell>
          <cell r="AR90">
            <v>0</v>
          </cell>
          <cell r="AS90">
            <v>4442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BA90">
            <v>4442</v>
          </cell>
          <cell r="BB90">
            <v>0</v>
          </cell>
          <cell r="BC90">
            <v>4442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K90">
            <v>4648</v>
          </cell>
          <cell r="BL90">
            <v>0</v>
          </cell>
          <cell r="BM90">
            <v>4648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U90">
            <v>4648</v>
          </cell>
          <cell r="BV90">
            <v>0</v>
          </cell>
          <cell r="BW90">
            <v>4648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E90">
            <v>4648</v>
          </cell>
          <cell r="CF90">
            <v>0</v>
          </cell>
          <cell r="CG90">
            <v>4648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O90">
            <v>4648</v>
          </cell>
          <cell r="CP90">
            <v>0</v>
          </cell>
          <cell r="CQ90">
            <v>4648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Y90">
            <v>4648</v>
          </cell>
          <cell r="CZ90">
            <v>0</v>
          </cell>
          <cell r="DA90">
            <v>4648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I90">
            <v>132442</v>
          </cell>
          <cell r="DJ90">
            <v>45190</v>
          </cell>
          <cell r="DK90">
            <v>0</v>
          </cell>
          <cell r="DL90">
            <v>45190</v>
          </cell>
          <cell r="DM90">
            <v>45190</v>
          </cell>
          <cell r="DN90">
            <v>0</v>
          </cell>
          <cell r="DO90">
            <v>45190</v>
          </cell>
          <cell r="DP90">
            <v>0</v>
          </cell>
          <cell r="DQ90">
            <v>0</v>
          </cell>
          <cell r="DR90">
            <v>0</v>
          </cell>
          <cell r="DS90">
            <v>0</v>
          </cell>
          <cell r="DT90">
            <v>90380</v>
          </cell>
          <cell r="DU90">
            <v>0</v>
          </cell>
          <cell r="DW90">
            <v>0</v>
          </cell>
          <cell r="DX90">
            <v>0</v>
          </cell>
          <cell r="DY90">
            <v>141066</v>
          </cell>
          <cell r="DZ90">
            <v>149690</v>
          </cell>
          <cell r="EA90">
            <v>158574</v>
          </cell>
          <cell r="EB90">
            <v>167458</v>
          </cell>
          <cell r="EC90">
            <v>176342</v>
          </cell>
          <cell r="ED90">
            <v>185638</v>
          </cell>
          <cell r="EE90">
            <v>194934</v>
          </cell>
          <cell r="EF90">
            <v>204230</v>
          </cell>
          <cell r="EG90">
            <v>213526</v>
          </cell>
          <cell r="EH90">
            <v>222822</v>
          </cell>
          <cell r="EI90">
            <v>1814280</v>
          </cell>
          <cell r="EK90">
            <v>0</v>
          </cell>
          <cell r="EL90">
            <v>0</v>
          </cell>
          <cell r="EM90">
            <v>940.44</v>
          </cell>
          <cell r="EN90">
            <v>997.93333333333339</v>
          </cell>
          <cell r="EO90">
            <v>1057.1600000000001</v>
          </cell>
          <cell r="EP90">
            <v>1116.3866666666665</v>
          </cell>
          <cell r="EQ90">
            <v>1175.6133333333335</v>
          </cell>
          <cell r="ER90">
            <v>1237.5866666666668</v>
          </cell>
          <cell r="ES90">
            <v>1397.027</v>
          </cell>
          <cell r="ET90">
            <v>1463.6483333333333</v>
          </cell>
          <cell r="EU90">
            <v>1530.2696666666664</v>
          </cell>
          <cell r="EV90">
            <v>1596.8909999999998</v>
          </cell>
          <cell r="EW90">
            <v>12512.956</v>
          </cell>
          <cell r="EY90">
            <v>978768</v>
          </cell>
          <cell r="EZ90">
            <v>8</v>
          </cell>
          <cell r="FA90">
            <v>6525.12</v>
          </cell>
          <cell r="FB90">
            <v>835512</v>
          </cell>
          <cell r="FC90">
            <v>8.6</v>
          </cell>
          <cell r="FD90">
            <v>5987.8359999999993</v>
          </cell>
          <cell r="FE90">
            <v>12512.955999999998</v>
          </cell>
          <cell r="FF90">
            <v>235335</v>
          </cell>
          <cell r="FH90">
            <v>235335</v>
          </cell>
        </row>
        <row r="91">
          <cell r="B91">
            <v>8866</v>
          </cell>
          <cell r="C91" t="str">
            <v>12.12.2006</v>
          </cell>
          <cell r="D91" t="str">
            <v>Garud Ganesh Pandit</v>
          </cell>
          <cell r="F91">
            <v>142366</v>
          </cell>
          <cell r="H91">
            <v>94273</v>
          </cell>
          <cell r="I91">
            <v>94273</v>
          </cell>
          <cell r="J91">
            <v>188546</v>
          </cell>
          <cell r="K91">
            <v>46180</v>
          </cell>
          <cell r="M91">
            <v>4312</v>
          </cell>
          <cell r="N91">
            <v>0</v>
          </cell>
          <cell r="O91">
            <v>4312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W91">
            <v>4312</v>
          </cell>
          <cell r="X91">
            <v>0</v>
          </cell>
          <cell r="Y91">
            <v>4312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G91">
            <v>4442</v>
          </cell>
          <cell r="AH91">
            <v>0</v>
          </cell>
          <cell r="AI91">
            <v>4442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Q91">
            <v>4442</v>
          </cell>
          <cell r="AR91">
            <v>0</v>
          </cell>
          <cell r="AS91">
            <v>4442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BA91">
            <v>4442</v>
          </cell>
          <cell r="BB91">
            <v>0</v>
          </cell>
          <cell r="BC91">
            <v>4442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K91">
            <v>4648</v>
          </cell>
          <cell r="BL91">
            <v>0</v>
          </cell>
          <cell r="BM91">
            <v>4648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U91">
            <v>4648</v>
          </cell>
          <cell r="BV91">
            <v>0</v>
          </cell>
          <cell r="BW91">
            <v>4648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E91">
            <v>4648</v>
          </cell>
          <cell r="CF91">
            <v>0</v>
          </cell>
          <cell r="CG91">
            <v>4648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O91">
            <v>4648</v>
          </cell>
          <cell r="CP91">
            <v>0</v>
          </cell>
          <cell r="CQ91">
            <v>4648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Y91">
            <v>4648</v>
          </cell>
          <cell r="CZ91">
            <v>0</v>
          </cell>
          <cell r="DA91">
            <v>4648</v>
          </cell>
          <cell r="DB91">
            <v>0</v>
          </cell>
          <cell r="DC91">
            <v>0</v>
          </cell>
          <cell r="DD91">
            <v>0</v>
          </cell>
          <cell r="DE91">
            <v>0</v>
          </cell>
          <cell r="DF91">
            <v>0</v>
          </cell>
          <cell r="DG91">
            <v>0</v>
          </cell>
          <cell r="DI91">
            <v>188546</v>
          </cell>
          <cell r="DJ91">
            <v>45190</v>
          </cell>
          <cell r="DK91">
            <v>0</v>
          </cell>
          <cell r="DL91">
            <v>45190</v>
          </cell>
          <cell r="DM91">
            <v>45190</v>
          </cell>
          <cell r="DN91">
            <v>0</v>
          </cell>
          <cell r="DO91">
            <v>45190</v>
          </cell>
          <cell r="DP91">
            <v>0</v>
          </cell>
          <cell r="DQ91">
            <v>0</v>
          </cell>
          <cell r="DR91">
            <v>0</v>
          </cell>
          <cell r="DS91">
            <v>0</v>
          </cell>
          <cell r="DT91">
            <v>90380</v>
          </cell>
          <cell r="DU91">
            <v>0</v>
          </cell>
          <cell r="DW91">
            <v>0</v>
          </cell>
          <cell r="DX91">
            <v>0</v>
          </cell>
          <cell r="DY91">
            <v>197170</v>
          </cell>
          <cell r="DZ91">
            <v>205794</v>
          </cell>
          <cell r="EA91">
            <v>214678</v>
          </cell>
          <cell r="EB91">
            <v>223562</v>
          </cell>
          <cell r="EC91">
            <v>232446</v>
          </cell>
          <cell r="ED91">
            <v>241742</v>
          </cell>
          <cell r="EE91">
            <v>251038</v>
          </cell>
          <cell r="EF91">
            <v>260334</v>
          </cell>
          <cell r="EG91">
            <v>269630</v>
          </cell>
          <cell r="EH91">
            <v>278926</v>
          </cell>
          <cell r="EI91">
            <v>2375320</v>
          </cell>
          <cell r="EK91">
            <v>0</v>
          </cell>
          <cell r="EL91">
            <v>0</v>
          </cell>
          <cell r="EM91">
            <v>1314.4666666666667</v>
          </cell>
          <cell r="EN91">
            <v>1371.96</v>
          </cell>
          <cell r="EO91">
            <v>1431.1866666666667</v>
          </cell>
          <cell r="EP91">
            <v>1490.4133333333332</v>
          </cell>
          <cell r="EQ91">
            <v>1549.64</v>
          </cell>
          <cell r="ER91">
            <v>1611.6133333333335</v>
          </cell>
          <cell r="ES91">
            <v>1799.1056666666664</v>
          </cell>
          <cell r="ET91">
            <v>1865.7269999999999</v>
          </cell>
          <cell r="EU91">
            <v>1932.3483333333334</v>
          </cell>
          <cell r="EV91">
            <v>1998.9696666666669</v>
          </cell>
          <cell r="EW91">
            <v>16365.430666666667</v>
          </cell>
          <cell r="EY91">
            <v>1315392</v>
          </cell>
          <cell r="EZ91">
            <v>8</v>
          </cell>
          <cell r="FA91">
            <v>8769.2800000000007</v>
          </cell>
          <cell r="FB91">
            <v>1059928</v>
          </cell>
          <cell r="FC91">
            <v>8.6</v>
          </cell>
          <cell r="FD91">
            <v>7596.1506666666655</v>
          </cell>
          <cell r="FE91">
            <v>16365.430666666667</v>
          </cell>
          <cell r="FF91">
            <v>295291</v>
          </cell>
          <cell r="FH91">
            <v>295291</v>
          </cell>
        </row>
        <row r="92">
          <cell r="B92">
            <v>9394</v>
          </cell>
          <cell r="C92" t="str">
            <v>12.12.2006</v>
          </cell>
          <cell r="D92" t="str">
            <v>Gaikwad Yuvraj Sahadu</v>
          </cell>
          <cell r="F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  <cell r="CV92">
            <v>0</v>
          </cell>
          <cell r="CW92">
            <v>0</v>
          </cell>
          <cell r="CY92">
            <v>0</v>
          </cell>
          <cell r="CZ92">
            <v>0</v>
          </cell>
          <cell r="DA92">
            <v>0</v>
          </cell>
          <cell r="DB92">
            <v>0</v>
          </cell>
          <cell r="DC92">
            <v>0</v>
          </cell>
          <cell r="DD92">
            <v>0</v>
          </cell>
          <cell r="DE92">
            <v>0</v>
          </cell>
          <cell r="DF92">
            <v>0</v>
          </cell>
          <cell r="DG92">
            <v>0</v>
          </cell>
          <cell r="DI92">
            <v>0</v>
          </cell>
          <cell r="DJ92">
            <v>0</v>
          </cell>
          <cell r="DK92">
            <v>0</v>
          </cell>
          <cell r="DL92">
            <v>0</v>
          </cell>
          <cell r="DM92">
            <v>0</v>
          </cell>
          <cell r="DN92">
            <v>0</v>
          </cell>
          <cell r="DO92">
            <v>0</v>
          </cell>
          <cell r="DP92">
            <v>0</v>
          </cell>
          <cell r="DQ92">
            <v>0</v>
          </cell>
          <cell r="DR92">
            <v>0</v>
          </cell>
          <cell r="DS92">
            <v>0</v>
          </cell>
          <cell r="DT92">
            <v>0</v>
          </cell>
          <cell r="DU92">
            <v>0</v>
          </cell>
          <cell r="DW92">
            <v>0</v>
          </cell>
          <cell r="DX92">
            <v>0</v>
          </cell>
          <cell r="DY92">
            <v>0</v>
          </cell>
          <cell r="DZ92">
            <v>0</v>
          </cell>
          <cell r="EA92">
            <v>0</v>
          </cell>
          <cell r="EB92">
            <v>0</v>
          </cell>
          <cell r="EC92">
            <v>0</v>
          </cell>
          <cell r="ED92">
            <v>0</v>
          </cell>
          <cell r="EE92">
            <v>0</v>
          </cell>
          <cell r="EF92">
            <v>0</v>
          </cell>
          <cell r="EG92">
            <v>0</v>
          </cell>
          <cell r="EH92">
            <v>0</v>
          </cell>
          <cell r="EI92">
            <v>0</v>
          </cell>
          <cell r="EK92">
            <v>0</v>
          </cell>
          <cell r="EL92">
            <v>0</v>
          </cell>
          <cell r="EM92">
            <v>0</v>
          </cell>
          <cell r="EN92">
            <v>0</v>
          </cell>
          <cell r="EO92">
            <v>0</v>
          </cell>
          <cell r="EP92">
            <v>0</v>
          </cell>
          <cell r="EQ92">
            <v>0</v>
          </cell>
          <cell r="ER92">
            <v>0</v>
          </cell>
          <cell r="ES92">
            <v>0</v>
          </cell>
          <cell r="ET92">
            <v>0</v>
          </cell>
          <cell r="EU92">
            <v>0</v>
          </cell>
          <cell r="EV92">
            <v>0</v>
          </cell>
          <cell r="EW92">
            <v>0</v>
          </cell>
          <cell r="EY92">
            <v>0</v>
          </cell>
          <cell r="EZ92">
            <v>8</v>
          </cell>
          <cell r="FA92">
            <v>0</v>
          </cell>
          <cell r="FB92">
            <v>0</v>
          </cell>
          <cell r="FC92">
            <v>8.6</v>
          </cell>
          <cell r="FD92">
            <v>0</v>
          </cell>
          <cell r="FE92">
            <v>0</v>
          </cell>
          <cell r="FF92">
            <v>0</v>
          </cell>
          <cell r="FH92">
            <v>0</v>
          </cell>
        </row>
        <row r="93">
          <cell r="B93">
            <v>9371</v>
          </cell>
          <cell r="C93" t="str">
            <v>13.12.2006</v>
          </cell>
          <cell r="D93" t="str">
            <v>Kale Pushpavati Aananda</v>
          </cell>
          <cell r="F93">
            <v>13779</v>
          </cell>
          <cell r="G93">
            <v>26670</v>
          </cell>
          <cell r="H93">
            <v>6534</v>
          </cell>
          <cell r="I93">
            <v>6534</v>
          </cell>
          <cell r="J93">
            <v>13068</v>
          </cell>
          <cell r="K93">
            <v>-711</v>
          </cell>
          <cell r="M93">
            <v>1088</v>
          </cell>
          <cell r="N93">
            <v>0</v>
          </cell>
          <cell r="O93">
            <v>1088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W93">
            <v>1088</v>
          </cell>
          <cell r="X93">
            <v>0</v>
          </cell>
          <cell r="Y93">
            <v>1088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G93">
            <v>1121</v>
          </cell>
          <cell r="AH93">
            <v>0</v>
          </cell>
          <cell r="AI93">
            <v>1121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Q93">
            <v>1121</v>
          </cell>
          <cell r="AR93">
            <v>0</v>
          </cell>
          <cell r="AS93">
            <v>1121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BA93">
            <v>1121</v>
          </cell>
          <cell r="BB93">
            <v>0</v>
          </cell>
          <cell r="BC93">
            <v>1121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K93">
            <v>1173</v>
          </cell>
          <cell r="BL93">
            <v>0</v>
          </cell>
          <cell r="BM93">
            <v>1173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U93">
            <v>1173</v>
          </cell>
          <cell r="BV93">
            <v>0</v>
          </cell>
          <cell r="BW93">
            <v>1173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E93">
            <v>1173</v>
          </cell>
          <cell r="CF93">
            <v>0</v>
          </cell>
          <cell r="CG93">
            <v>1173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O93">
            <v>1173</v>
          </cell>
          <cell r="CP93">
            <v>0</v>
          </cell>
          <cell r="CQ93">
            <v>1173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Y93">
            <v>1173</v>
          </cell>
          <cell r="CZ93">
            <v>0</v>
          </cell>
          <cell r="DA93">
            <v>1173</v>
          </cell>
          <cell r="DB93">
            <v>0</v>
          </cell>
          <cell r="DC93">
            <v>0</v>
          </cell>
          <cell r="DD93">
            <v>0</v>
          </cell>
          <cell r="DE93">
            <v>0</v>
          </cell>
          <cell r="DF93">
            <v>0</v>
          </cell>
          <cell r="DG93">
            <v>0</v>
          </cell>
          <cell r="DI93">
            <v>13068</v>
          </cell>
          <cell r="DJ93">
            <v>11404</v>
          </cell>
          <cell r="DK93">
            <v>0</v>
          </cell>
          <cell r="DL93">
            <v>11404</v>
          </cell>
          <cell r="DM93">
            <v>11404</v>
          </cell>
          <cell r="DN93">
            <v>0</v>
          </cell>
          <cell r="DO93">
            <v>11404</v>
          </cell>
          <cell r="DP93">
            <v>0</v>
          </cell>
          <cell r="DQ93">
            <v>0</v>
          </cell>
          <cell r="DR93">
            <v>0</v>
          </cell>
          <cell r="DS93">
            <v>0</v>
          </cell>
          <cell r="DT93">
            <v>22808</v>
          </cell>
          <cell r="DU93">
            <v>0</v>
          </cell>
          <cell r="DW93">
            <v>0</v>
          </cell>
          <cell r="DX93">
            <v>0</v>
          </cell>
          <cell r="DY93">
            <v>15244</v>
          </cell>
          <cell r="DZ93">
            <v>17420</v>
          </cell>
          <cell r="EA93">
            <v>19662</v>
          </cell>
          <cell r="EB93">
            <v>21904</v>
          </cell>
          <cell r="EC93">
            <v>24146</v>
          </cell>
          <cell r="ED93">
            <v>26492</v>
          </cell>
          <cell r="EE93">
            <v>28838</v>
          </cell>
          <cell r="EF93">
            <v>31184</v>
          </cell>
          <cell r="EG93">
            <v>33530</v>
          </cell>
          <cell r="EH93">
            <v>35876</v>
          </cell>
          <cell r="EI93">
            <v>254296</v>
          </cell>
          <cell r="EK93">
            <v>0</v>
          </cell>
          <cell r="EL93">
            <v>0</v>
          </cell>
          <cell r="EM93">
            <v>101.62666666666667</v>
          </cell>
          <cell r="EN93">
            <v>116.13333333333333</v>
          </cell>
          <cell r="EO93">
            <v>131.08000000000001</v>
          </cell>
          <cell r="EP93">
            <v>146.02666666666667</v>
          </cell>
          <cell r="EQ93">
            <v>160.97333333333333</v>
          </cell>
          <cell r="ER93">
            <v>176.61333333333334</v>
          </cell>
          <cell r="ES93">
            <v>206.67233333333331</v>
          </cell>
          <cell r="ET93">
            <v>223.4853333333333</v>
          </cell>
          <cell r="EU93">
            <v>240.29833333333332</v>
          </cell>
          <cell r="EV93">
            <v>257.11133333333333</v>
          </cell>
          <cell r="EW93">
            <v>1760.0206666666668</v>
          </cell>
          <cell r="EY93">
            <v>124868</v>
          </cell>
          <cell r="EZ93">
            <v>8</v>
          </cell>
          <cell r="FA93">
            <v>832.45333333333338</v>
          </cell>
          <cell r="FB93">
            <v>129428</v>
          </cell>
          <cell r="FC93">
            <v>8.6</v>
          </cell>
          <cell r="FD93">
            <v>927.56733333333341</v>
          </cell>
          <cell r="FE93">
            <v>1760.0206666666668</v>
          </cell>
          <cell r="FF93">
            <v>37636</v>
          </cell>
          <cell r="FH93">
            <v>37636</v>
          </cell>
        </row>
        <row r="94">
          <cell r="B94">
            <v>9380</v>
          </cell>
          <cell r="C94" t="str">
            <v>19.12.2006</v>
          </cell>
          <cell r="D94" t="str">
            <v>Pawara Rajkumar Bansilal</v>
          </cell>
          <cell r="F94">
            <v>12001</v>
          </cell>
          <cell r="G94">
            <v>26347</v>
          </cell>
          <cell r="H94">
            <v>7665</v>
          </cell>
          <cell r="I94">
            <v>7665</v>
          </cell>
          <cell r="J94">
            <v>15330</v>
          </cell>
          <cell r="K94">
            <v>3329</v>
          </cell>
          <cell r="M94">
            <v>1088</v>
          </cell>
          <cell r="N94">
            <v>0</v>
          </cell>
          <cell r="O94">
            <v>1088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W94">
            <v>1088</v>
          </cell>
          <cell r="X94">
            <v>0</v>
          </cell>
          <cell r="Y94">
            <v>1088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G94">
            <v>1121</v>
          </cell>
          <cell r="AH94">
            <v>0</v>
          </cell>
          <cell r="AI94">
            <v>1121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Q94">
            <v>1121</v>
          </cell>
          <cell r="AR94">
            <v>0</v>
          </cell>
          <cell r="AS94">
            <v>1121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BA94">
            <v>1121</v>
          </cell>
          <cell r="BB94">
            <v>0</v>
          </cell>
          <cell r="BC94">
            <v>1121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K94">
            <v>1173</v>
          </cell>
          <cell r="BL94">
            <v>0</v>
          </cell>
          <cell r="BM94">
            <v>1173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U94">
            <v>1173</v>
          </cell>
          <cell r="BV94">
            <v>0</v>
          </cell>
          <cell r="BW94">
            <v>1173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E94">
            <v>1173</v>
          </cell>
          <cell r="CF94">
            <v>0</v>
          </cell>
          <cell r="CG94">
            <v>1173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O94">
            <v>1173</v>
          </cell>
          <cell r="CP94">
            <v>0</v>
          </cell>
          <cell r="CQ94">
            <v>1173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Y94">
            <v>1173</v>
          </cell>
          <cell r="CZ94">
            <v>0</v>
          </cell>
          <cell r="DA94">
            <v>1173</v>
          </cell>
          <cell r="DB94">
            <v>0</v>
          </cell>
          <cell r="DC94">
            <v>0</v>
          </cell>
          <cell r="DD94">
            <v>0</v>
          </cell>
          <cell r="DE94">
            <v>0</v>
          </cell>
          <cell r="DF94">
            <v>0</v>
          </cell>
          <cell r="DG94">
            <v>0</v>
          </cell>
          <cell r="DI94">
            <v>15330</v>
          </cell>
          <cell r="DJ94">
            <v>11404</v>
          </cell>
          <cell r="DK94">
            <v>0</v>
          </cell>
          <cell r="DL94">
            <v>11404</v>
          </cell>
          <cell r="DM94">
            <v>11404</v>
          </cell>
          <cell r="DN94">
            <v>0</v>
          </cell>
          <cell r="DO94">
            <v>11404</v>
          </cell>
          <cell r="DP94">
            <v>0</v>
          </cell>
          <cell r="DQ94">
            <v>0</v>
          </cell>
          <cell r="DR94">
            <v>0</v>
          </cell>
          <cell r="DS94">
            <v>0</v>
          </cell>
          <cell r="DT94">
            <v>22808</v>
          </cell>
          <cell r="DU94">
            <v>0</v>
          </cell>
          <cell r="DW94">
            <v>0</v>
          </cell>
          <cell r="DX94">
            <v>0</v>
          </cell>
          <cell r="DY94">
            <v>17506</v>
          </cell>
          <cell r="DZ94">
            <v>19682</v>
          </cell>
          <cell r="EA94">
            <v>21924</v>
          </cell>
          <cell r="EB94">
            <v>24166</v>
          </cell>
          <cell r="EC94">
            <v>26408</v>
          </cell>
          <cell r="ED94">
            <v>28754</v>
          </cell>
          <cell r="EE94">
            <v>31100</v>
          </cell>
          <cell r="EF94">
            <v>33446</v>
          </cell>
          <cell r="EG94">
            <v>35792</v>
          </cell>
          <cell r="EH94">
            <v>38138</v>
          </cell>
          <cell r="EI94">
            <v>276916</v>
          </cell>
          <cell r="EK94">
            <v>0</v>
          </cell>
          <cell r="EL94">
            <v>0</v>
          </cell>
          <cell r="EM94">
            <v>116.70666666666666</v>
          </cell>
          <cell r="EN94">
            <v>131.21333333333334</v>
          </cell>
          <cell r="EO94">
            <v>146.16</v>
          </cell>
          <cell r="EP94">
            <v>161.10666666666665</v>
          </cell>
          <cell r="EQ94">
            <v>176.05333333333331</v>
          </cell>
          <cell r="ER94">
            <v>191.69333333333336</v>
          </cell>
          <cell r="ES94">
            <v>222.88333333333333</v>
          </cell>
          <cell r="ET94">
            <v>239.69633333333331</v>
          </cell>
          <cell r="EU94">
            <v>256.50933333333336</v>
          </cell>
          <cell r="EV94">
            <v>273.32233333333335</v>
          </cell>
          <cell r="EW94">
            <v>1915.3446666666666</v>
          </cell>
          <cell r="EY94">
            <v>138440</v>
          </cell>
          <cell r="EZ94">
            <v>8</v>
          </cell>
          <cell r="FA94">
            <v>922.93333333333339</v>
          </cell>
          <cell r="FB94">
            <v>138476</v>
          </cell>
          <cell r="FC94">
            <v>8.6</v>
          </cell>
          <cell r="FD94">
            <v>992.41133333333312</v>
          </cell>
          <cell r="FE94">
            <v>1915.3446666666664</v>
          </cell>
          <cell r="FF94">
            <v>40053</v>
          </cell>
          <cell r="FH94">
            <v>40053</v>
          </cell>
        </row>
        <row r="95">
          <cell r="B95">
            <v>9404</v>
          </cell>
          <cell r="C95" t="str">
            <v>20.12.2006</v>
          </cell>
          <cell r="D95" t="str">
            <v>Deore Hemant Hari</v>
          </cell>
          <cell r="F95">
            <v>8956</v>
          </cell>
          <cell r="G95">
            <v>26614</v>
          </cell>
          <cell r="H95">
            <v>4134</v>
          </cell>
          <cell r="I95">
            <v>4134</v>
          </cell>
          <cell r="J95">
            <v>8268</v>
          </cell>
          <cell r="K95">
            <v>-688</v>
          </cell>
          <cell r="M95">
            <v>1088</v>
          </cell>
          <cell r="N95">
            <v>0</v>
          </cell>
          <cell r="O95">
            <v>1088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W95">
            <v>1088</v>
          </cell>
          <cell r="X95">
            <v>0</v>
          </cell>
          <cell r="Y95">
            <v>1088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G95">
            <v>1121</v>
          </cell>
          <cell r="AH95">
            <v>0</v>
          </cell>
          <cell r="AI95">
            <v>1121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Q95">
            <v>1121</v>
          </cell>
          <cell r="AR95">
            <v>0</v>
          </cell>
          <cell r="AS95">
            <v>1121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BA95">
            <v>1121</v>
          </cell>
          <cell r="BB95">
            <v>0</v>
          </cell>
          <cell r="BC95">
            <v>1121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K95">
            <v>1173</v>
          </cell>
          <cell r="BL95">
            <v>0</v>
          </cell>
          <cell r="BM95">
            <v>1173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U95">
            <v>1173</v>
          </cell>
          <cell r="BV95">
            <v>0</v>
          </cell>
          <cell r="BW95">
            <v>1173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E95">
            <v>1173</v>
          </cell>
          <cell r="CF95">
            <v>0</v>
          </cell>
          <cell r="CG95">
            <v>1173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CL95">
            <v>0</v>
          </cell>
          <cell r="CM95">
            <v>0</v>
          </cell>
          <cell r="CO95">
            <v>1173</v>
          </cell>
          <cell r="CP95">
            <v>0</v>
          </cell>
          <cell r="CQ95">
            <v>1173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Y95">
            <v>1173</v>
          </cell>
          <cell r="CZ95">
            <v>0</v>
          </cell>
          <cell r="DA95">
            <v>1173</v>
          </cell>
          <cell r="DB95">
            <v>0</v>
          </cell>
          <cell r="DC95">
            <v>0</v>
          </cell>
          <cell r="DD95">
            <v>0</v>
          </cell>
          <cell r="DE95">
            <v>0</v>
          </cell>
          <cell r="DF95">
            <v>0</v>
          </cell>
          <cell r="DG95">
            <v>0</v>
          </cell>
          <cell r="DI95">
            <v>8268</v>
          </cell>
          <cell r="DJ95">
            <v>11404</v>
          </cell>
          <cell r="DK95">
            <v>0</v>
          </cell>
          <cell r="DL95">
            <v>11404</v>
          </cell>
          <cell r="DM95">
            <v>11404</v>
          </cell>
          <cell r="DN95">
            <v>0</v>
          </cell>
          <cell r="DO95">
            <v>11404</v>
          </cell>
          <cell r="DP95">
            <v>0</v>
          </cell>
          <cell r="DQ95">
            <v>0</v>
          </cell>
          <cell r="DR95">
            <v>0</v>
          </cell>
          <cell r="DS95">
            <v>0</v>
          </cell>
          <cell r="DT95">
            <v>22808</v>
          </cell>
          <cell r="DU95">
            <v>0</v>
          </cell>
          <cell r="DW95">
            <v>0</v>
          </cell>
          <cell r="DX95">
            <v>0</v>
          </cell>
          <cell r="DY95">
            <v>10444</v>
          </cell>
          <cell r="DZ95">
            <v>12620</v>
          </cell>
          <cell r="EA95">
            <v>14862</v>
          </cell>
          <cell r="EB95">
            <v>17104</v>
          </cell>
          <cell r="EC95">
            <v>19346</v>
          </cell>
          <cell r="ED95">
            <v>21692</v>
          </cell>
          <cell r="EE95">
            <v>24038</v>
          </cell>
          <cell r="EF95">
            <v>26384</v>
          </cell>
          <cell r="EG95">
            <v>28730</v>
          </cell>
          <cell r="EH95">
            <v>31076</v>
          </cell>
          <cell r="EI95">
            <v>206296</v>
          </cell>
          <cell r="EK95">
            <v>0</v>
          </cell>
          <cell r="EL95">
            <v>0</v>
          </cell>
          <cell r="EM95">
            <v>69.626666666666665</v>
          </cell>
          <cell r="EN95">
            <v>84.13333333333334</v>
          </cell>
          <cell r="EO95">
            <v>99.08</v>
          </cell>
          <cell r="EP95">
            <v>114.02666666666666</v>
          </cell>
          <cell r="EQ95">
            <v>128.97333333333333</v>
          </cell>
          <cell r="ER95">
            <v>144.61333333333332</v>
          </cell>
          <cell r="ES95">
            <v>172.27233333333334</v>
          </cell>
          <cell r="ET95">
            <v>189.08533333333332</v>
          </cell>
          <cell r="EU95">
            <v>205.89833333333334</v>
          </cell>
          <cell r="EV95">
            <v>222.7113333333333</v>
          </cell>
          <cell r="EW95">
            <v>1430.4206666666664</v>
          </cell>
          <cell r="EY95">
            <v>96068</v>
          </cell>
          <cell r="EZ95">
            <v>8</v>
          </cell>
          <cell r="FA95">
            <v>640.45333333333326</v>
          </cell>
          <cell r="FB95">
            <v>110228</v>
          </cell>
          <cell r="FC95">
            <v>8.6</v>
          </cell>
          <cell r="FD95">
            <v>789.96733333333339</v>
          </cell>
          <cell r="FE95">
            <v>1430.4206666666666</v>
          </cell>
          <cell r="FF95">
            <v>32506</v>
          </cell>
          <cell r="FH95">
            <v>32506</v>
          </cell>
        </row>
        <row r="96">
          <cell r="B96">
            <v>9400</v>
          </cell>
          <cell r="C96" t="str">
            <v>26.12.2006</v>
          </cell>
          <cell r="D96" t="str">
            <v>Gite Ankush Vishvanath</v>
          </cell>
          <cell r="F96">
            <v>11112</v>
          </cell>
          <cell r="G96">
            <v>25538</v>
          </cell>
          <cell r="H96">
            <v>6234</v>
          </cell>
          <cell r="I96">
            <v>6234</v>
          </cell>
          <cell r="J96">
            <v>12468</v>
          </cell>
          <cell r="K96">
            <v>1356</v>
          </cell>
          <cell r="M96">
            <v>1088</v>
          </cell>
          <cell r="N96">
            <v>0</v>
          </cell>
          <cell r="O96">
            <v>1088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W96">
            <v>1088</v>
          </cell>
          <cell r="X96">
            <v>0</v>
          </cell>
          <cell r="Y96">
            <v>1088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G96">
            <v>1121</v>
          </cell>
          <cell r="AH96">
            <v>0</v>
          </cell>
          <cell r="AI96">
            <v>1121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Q96">
            <v>1121</v>
          </cell>
          <cell r="AR96">
            <v>0</v>
          </cell>
          <cell r="AS96">
            <v>1121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BA96">
            <v>1121</v>
          </cell>
          <cell r="BB96">
            <v>0</v>
          </cell>
          <cell r="BC96">
            <v>1121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K96">
            <v>1173</v>
          </cell>
          <cell r="BL96">
            <v>0</v>
          </cell>
          <cell r="BM96">
            <v>1173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U96">
            <v>1173</v>
          </cell>
          <cell r="BV96">
            <v>0</v>
          </cell>
          <cell r="BW96">
            <v>1173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E96">
            <v>1173</v>
          </cell>
          <cell r="CF96">
            <v>0</v>
          </cell>
          <cell r="CG96">
            <v>1173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O96">
            <v>1173</v>
          </cell>
          <cell r="CP96">
            <v>0</v>
          </cell>
          <cell r="CQ96">
            <v>1173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Y96">
            <v>1173</v>
          </cell>
          <cell r="CZ96">
            <v>0</v>
          </cell>
          <cell r="DA96">
            <v>1173</v>
          </cell>
          <cell r="DB96">
            <v>0</v>
          </cell>
          <cell r="DC96">
            <v>0</v>
          </cell>
          <cell r="DD96">
            <v>0</v>
          </cell>
          <cell r="DE96">
            <v>0</v>
          </cell>
          <cell r="DF96">
            <v>0</v>
          </cell>
          <cell r="DG96">
            <v>0</v>
          </cell>
          <cell r="DI96">
            <v>12468</v>
          </cell>
          <cell r="DJ96">
            <v>11404</v>
          </cell>
          <cell r="DK96">
            <v>0</v>
          </cell>
          <cell r="DL96">
            <v>11404</v>
          </cell>
          <cell r="DM96">
            <v>11404</v>
          </cell>
          <cell r="DN96">
            <v>0</v>
          </cell>
          <cell r="DO96">
            <v>11404</v>
          </cell>
          <cell r="DP96">
            <v>0</v>
          </cell>
          <cell r="DQ96">
            <v>0</v>
          </cell>
          <cell r="DR96">
            <v>0</v>
          </cell>
          <cell r="DS96">
            <v>0</v>
          </cell>
          <cell r="DT96">
            <v>22808</v>
          </cell>
          <cell r="DU96">
            <v>0</v>
          </cell>
          <cell r="DW96">
            <v>0</v>
          </cell>
          <cell r="DX96">
            <v>0</v>
          </cell>
          <cell r="DY96">
            <v>14644</v>
          </cell>
          <cell r="DZ96">
            <v>16820</v>
          </cell>
          <cell r="EA96">
            <v>19062</v>
          </cell>
          <cell r="EB96">
            <v>21304</v>
          </cell>
          <cell r="EC96">
            <v>23546</v>
          </cell>
          <cell r="ED96">
            <v>25892</v>
          </cell>
          <cell r="EE96">
            <v>28238</v>
          </cell>
          <cell r="EF96">
            <v>30584</v>
          </cell>
          <cell r="EG96">
            <v>32930</v>
          </cell>
          <cell r="EH96">
            <v>35276</v>
          </cell>
          <cell r="EI96">
            <v>248296</v>
          </cell>
          <cell r="EK96">
            <v>0</v>
          </cell>
          <cell r="EL96">
            <v>0</v>
          </cell>
          <cell r="EM96">
            <v>97.626666666666665</v>
          </cell>
          <cell r="EN96">
            <v>112.13333333333333</v>
          </cell>
          <cell r="EO96">
            <v>127.08</v>
          </cell>
          <cell r="EP96">
            <v>142.02666666666667</v>
          </cell>
          <cell r="EQ96">
            <v>156.97333333333333</v>
          </cell>
          <cell r="ER96">
            <v>172.61333333333334</v>
          </cell>
          <cell r="ES96">
            <v>202.37233333333333</v>
          </cell>
          <cell r="ET96">
            <v>219.18533333333332</v>
          </cell>
          <cell r="EU96">
            <v>235.99833333333333</v>
          </cell>
          <cell r="EV96">
            <v>252.81133333333332</v>
          </cell>
          <cell r="EW96">
            <v>1718.8206666666667</v>
          </cell>
          <cell r="EY96">
            <v>121268</v>
          </cell>
          <cell r="EZ96">
            <v>8</v>
          </cell>
          <cell r="FA96">
            <v>808.45333333333338</v>
          </cell>
          <cell r="FB96">
            <v>127028</v>
          </cell>
          <cell r="FC96">
            <v>8.6</v>
          </cell>
          <cell r="FD96">
            <v>910.36733333333348</v>
          </cell>
          <cell r="FE96">
            <v>1718.820666666667</v>
          </cell>
          <cell r="FF96">
            <v>36995</v>
          </cell>
          <cell r="FH96">
            <v>36995</v>
          </cell>
        </row>
        <row r="97">
          <cell r="B97">
            <v>9408</v>
          </cell>
          <cell r="C97" t="str">
            <v>26.12.2006</v>
          </cell>
          <cell r="D97" t="str">
            <v>Kulkarni Prasad Vishwanath</v>
          </cell>
          <cell r="F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Y97">
            <v>0</v>
          </cell>
          <cell r="CZ97">
            <v>0</v>
          </cell>
          <cell r="DA97">
            <v>0</v>
          </cell>
          <cell r="DB97">
            <v>0</v>
          </cell>
          <cell r="DC97">
            <v>0</v>
          </cell>
          <cell r="DD97">
            <v>0</v>
          </cell>
          <cell r="DE97">
            <v>0</v>
          </cell>
          <cell r="DF97">
            <v>0</v>
          </cell>
          <cell r="DG97">
            <v>0</v>
          </cell>
          <cell r="DI97">
            <v>0</v>
          </cell>
          <cell r="DJ97">
            <v>0</v>
          </cell>
          <cell r="DK97">
            <v>0</v>
          </cell>
          <cell r="DL97">
            <v>0</v>
          </cell>
          <cell r="DM97">
            <v>0</v>
          </cell>
          <cell r="DN97">
            <v>0</v>
          </cell>
          <cell r="DO97">
            <v>0</v>
          </cell>
          <cell r="DP97">
            <v>0</v>
          </cell>
          <cell r="DQ97">
            <v>0</v>
          </cell>
          <cell r="DR97">
            <v>0</v>
          </cell>
          <cell r="DS97">
            <v>0</v>
          </cell>
          <cell r="DT97">
            <v>0</v>
          </cell>
          <cell r="DU97">
            <v>0</v>
          </cell>
          <cell r="DW97">
            <v>0</v>
          </cell>
          <cell r="DX97">
            <v>0</v>
          </cell>
          <cell r="DY97">
            <v>0</v>
          </cell>
          <cell r="DZ97">
            <v>0</v>
          </cell>
          <cell r="EA97">
            <v>0</v>
          </cell>
          <cell r="EB97">
            <v>0</v>
          </cell>
          <cell r="EC97">
            <v>0</v>
          </cell>
          <cell r="ED97">
            <v>0</v>
          </cell>
          <cell r="EE97">
            <v>0</v>
          </cell>
          <cell r="EF97">
            <v>0</v>
          </cell>
          <cell r="EG97">
            <v>0</v>
          </cell>
          <cell r="EH97">
            <v>0</v>
          </cell>
          <cell r="EI97">
            <v>0</v>
          </cell>
          <cell r="EK97">
            <v>0</v>
          </cell>
          <cell r="EL97">
            <v>0</v>
          </cell>
          <cell r="EM97">
            <v>0</v>
          </cell>
          <cell r="EN97">
            <v>0</v>
          </cell>
          <cell r="EO97">
            <v>0</v>
          </cell>
          <cell r="EP97">
            <v>0</v>
          </cell>
          <cell r="EQ97">
            <v>0</v>
          </cell>
          <cell r="ER97">
            <v>0</v>
          </cell>
          <cell r="ES97">
            <v>0</v>
          </cell>
          <cell r="ET97">
            <v>0</v>
          </cell>
          <cell r="EU97">
            <v>0</v>
          </cell>
          <cell r="EV97">
            <v>0</v>
          </cell>
          <cell r="EW97">
            <v>0</v>
          </cell>
          <cell r="EY97">
            <v>0</v>
          </cell>
          <cell r="EZ97">
            <v>8</v>
          </cell>
          <cell r="FA97">
            <v>0</v>
          </cell>
          <cell r="FB97">
            <v>0</v>
          </cell>
          <cell r="FC97">
            <v>8.6</v>
          </cell>
          <cell r="FD97">
            <v>0</v>
          </cell>
          <cell r="FE97">
            <v>0</v>
          </cell>
          <cell r="FF97">
            <v>0</v>
          </cell>
          <cell r="FH97">
            <v>0</v>
          </cell>
        </row>
        <row r="98">
          <cell r="B98">
            <v>9413</v>
          </cell>
          <cell r="C98" t="str">
            <v>18.01.2007</v>
          </cell>
          <cell r="D98" t="str">
            <v>Sarukte Gorakh Bodhaji</v>
          </cell>
          <cell r="F98">
            <v>7980</v>
          </cell>
          <cell r="G98">
            <v>16932</v>
          </cell>
          <cell r="H98">
            <v>5763</v>
          </cell>
          <cell r="I98">
            <v>5763</v>
          </cell>
          <cell r="J98">
            <v>11526</v>
          </cell>
          <cell r="K98">
            <v>3546</v>
          </cell>
          <cell r="M98">
            <v>1057</v>
          </cell>
          <cell r="N98">
            <v>0</v>
          </cell>
          <cell r="O98">
            <v>1057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W98">
            <v>1057</v>
          </cell>
          <cell r="X98">
            <v>0</v>
          </cell>
          <cell r="Y98">
            <v>1057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G98">
            <v>1088</v>
          </cell>
          <cell r="AH98">
            <v>0</v>
          </cell>
          <cell r="AI98">
            <v>1088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Q98">
            <v>1088</v>
          </cell>
          <cell r="AR98">
            <v>0</v>
          </cell>
          <cell r="AS98">
            <v>1088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BA98">
            <v>1088</v>
          </cell>
          <cell r="BB98">
            <v>0</v>
          </cell>
          <cell r="BC98">
            <v>1088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K98">
            <v>1139</v>
          </cell>
          <cell r="BL98">
            <v>0</v>
          </cell>
          <cell r="BM98">
            <v>1139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U98">
            <v>1139</v>
          </cell>
          <cell r="BV98">
            <v>0</v>
          </cell>
          <cell r="BW98">
            <v>1139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E98">
            <v>1139</v>
          </cell>
          <cell r="CF98">
            <v>0</v>
          </cell>
          <cell r="CG98">
            <v>1139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O98">
            <v>1139</v>
          </cell>
          <cell r="CP98">
            <v>0</v>
          </cell>
          <cell r="CQ98">
            <v>1139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Y98">
            <v>1139</v>
          </cell>
          <cell r="CZ98">
            <v>0</v>
          </cell>
          <cell r="DA98">
            <v>1139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I98">
            <v>11526</v>
          </cell>
          <cell r="DJ98">
            <v>11073</v>
          </cell>
          <cell r="DK98">
            <v>0</v>
          </cell>
          <cell r="DL98">
            <v>11073</v>
          </cell>
          <cell r="DM98">
            <v>11073</v>
          </cell>
          <cell r="DN98">
            <v>0</v>
          </cell>
          <cell r="DO98">
            <v>11073</v>
          </cell>
          <cell r="DP98">
            <v>0</v>
          </cell>
          <cell r="DQ98">
            <v>0</v>
          </cell>
          <cell r="DR98">
            <v>0</v>
          </cell>
          <cell r="DS98">
            <v>0</v>
          </cell>
          <cell r="DT98">
            <v>22146</v>
          </cell>
          <cell r="DU98">
            <v>0</v>
          </cell>
          <cell r="DW98">
            <v>0</v>
          </cell>
          <cell r="DX98">
            <v>0</v>
          </cell>
          <cell r="DY98">
            <v>13640</v>
          </cell>
          <cell r="DZ98">
            <v>15754</v>
          </cell>
          <cell r="EA98">
            <v>17930</v>
          </cell>
          <cell r="EB98">
            <v>20106</v>
          </cell>
          <cell r="EC98">
            <v>22282</v>
          </cell>
          <cell r="ED98">
            <v>24560</v>
          </cell>
          <cell r="EE98">
            <v>26838</v>
          </cell>
          <cell r="EF98">
            <v>29116</v>
          </cell>
          <cell r="EG98">
            <v>31394</v>
          </cell>
          <cell r="EH98">
            <v>33672</v>
          </cell>
          <cell r="EI98">
            <v>235292</v>
          </cell>
          <cell r="EK98">
            <v>0</v>
          </cell>
          <cell r="EL98">
            <v>0</v>
          </cell>
          <cell r="EM98">
            <v>90.933333333333337</v>
          </cell>
          <cell r="EN98">
            <v>105.02666666666666</v>
          </cell>
          <cell r="EO98">
            <v>119.53333333333335</v>
          </cell>
          <cell r="EP98">
            <v>134.04</v>
          </cell>
          <cell r="EQ98">
            <v>148.54666666666665</v>
          </cell>
          <cell r="ER98">
            <v>163.73333333333332</v>
          </cell>
          <cell r="ES98">
            <v>192.33899999999997</v>
          </cell>
          <cell r="ET98">
            <v>208.66466666666665</v>
          </cell>
          <cell r="EU98">
            <v>224.9903333333333</v>
          </cell>
          <cell r="EV98">
            <v>241.316</v>
          </cell>
          <cell r="EW98">
            <v>1629.1233333333332</v>
          </cell>
          <cell r="EY98">
            <v>114272</v>
          </cell>
          <cell r="EZ98">
            <v>8</v>
          </cell>
          <cell r="FA98">
            <v>761.81333333333339</v>
          </cell>
          <cell r="FB98">
            <v>121020</v>
          </cell>
          <cell r="FC98">
            <v>8.6</v>
          </cell>
          <cell r="FD98">
            <v>867.31</v>
          </cell>
          <cell r="FE98">
            <v>1629.1233333333334</v>
          </cell>
          <cell r="FF98">
            <v>35301</v>
          </cell>
          <cell r="FH98">
            <v>35301</v>
          </cell>
        </row>
        <row r="99">
          <cell r="B99">
            <v>9377</v>
          </cell>
          <cell r="C99" t="str">
            <v>13.02.2007</v>
          </cell>
          <cell r="D99" t="str">
            <v>Revar Mukesh Galji</v>
          </cell>
          <cell r="F99">
            <v>12890</v>
          </cell>
          <cell r="G99">
            <v>25586</v>
          </cell>
          <cell r="H99">
            <v>7148</v>
          </cell>
          <cell r="I99">
            <v>7148</v>
          </cell>
          <cell r="J99">
            <v>14296</v>
          </cell>
          <cell r="K99">
            <v>1406</v>
          </cell>
          <cell r="M99">
            <v>1088</v>
          </cell>
          <cell r="N99">
            <v>0</v>
          </cell>
          <cell r="O99">
            <v>1088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W99">
            <v>1088</v>
          </cell>
          <cell r="X99">
            <v>0</v>
          </cell>
          <cell r="Y99">
            <v>1088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G99">
            <v>1121</v>
          </cell>
          <cell r="AH99">
            <v>0</v>
          </cell>
          <cell r="AI99">
            <v>1121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Q99">
            <v>1121</v>
          </cell>
          <cell r="AR99">
            <v>0</v>
          </cell>
          <cell r="AS99">
            <v>1121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BA99">
            <v>1121</v>
          </cell>
          <cell r="BB99">
            <v>0</v>
          </cell>
          <cell r="BC99">
            <v>1121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K99">
            <v>1173</v>
          </cell>
          <cell r="BL99">
            <v>0</v>
          </cell>
          <cell r="BM99">
            <v>1173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U99">
            <v>1173</v>
          </cell>
          <cell r="BV99">
            <v>0</v>
          </cell>
          <cell r="BW99">
            <v>1173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E99">
            <v>1173</v>
          </cell>
          <cell r="CF99">
            <v>0</v>
          </cell>
          <cell r="CG99">
            <v>1173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O99">
            <v>1173</v>
          </cell>
          <cell r="CP99">
            <v>0</v>
          </cell>
          <cell r="CQ99">
            <v>1173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Y99">
            <v>1173</v>
          </cell>
          <cell r="CZ99">
            <v>0</v>
          </cell>
          <cell r="DA99">
            <v>1173</v>
          </cell>
          <cell r="DB99">
            <v>0</v>
          </cell>
          <cell r="DC99">
            <v>0</v>
          </cell>
          <cell r="DD99">
            <v>0</v>
          </cell>
          <cell r="DE99">
            <v>0</v>
          </cell>
          <cell r="DF99">
            <v>0</v>
          </cell>
          <cell r="DG99">
            <v>0</v>
          </cell>
          <cell r="DI99">
            <v>14296</v>
          </cell>
          <cell r="DJ99">
            <v>11404</v>
          </cell>
          <cell r="DK99">
            <v>0</v>
          </cell>
          <cell r="DL99">
            <v>11404</v>
          </cell>
          <cell r="DM99">
            <v>11404</v>
          </cell>
          <cell r="DN99">
            <v>0</v>
          </cell>
          <cell r="DO99">
            <v>11404</v>
          </cell>
          <cell r="DP99">
            <v>0</v>
          </cell>
          <cell r="DQ99">
            <v>0</v>
          </cell>
          <cell r="DR99">
            <v>0</v>
          </cell>
          <cell r="DS99">
            <v>0</v>
          </cell>
          <cell r="DT99">
            <v>22808</v>
          </cell>
          <cell r="DU99">
            <v>0</v>
          </cell>
          <cell r="DW99">
            <v>0</v>
          </cell>
          <cell r="DX99">
            <v>0</v>
          </cell>
          <cell r="DY99">
            <v>16472</v>
          </cell>
          <cell r="DZ99">
            <v>18648</v>
          </cell>
          <cell r="EA99">
            <v>20890</v>
          </cell>
          <cell r="EB99">
            <v>23132</v>
          </cell>
          <cell r="EC99">
            <v>25374</v>
          </cell>
          <cell r="ED99">
            <v>27720</v>
          </cell>
          <cell r="EE99">
            <v>30066</v>
          </cell>
          <cell r="EF99">
            <v>32412</v>
          </cell>
          <cell r="EG99">
            <v>34758</v>
          </cell>
          <cell r="EH99">
            <v>37104</v>
          </cell>
          <cell r="EI99">
            <v>266576</v>
          </cell>
          <cell r="EK99">
            <v>0</v>
          </cell>
          <cell r="EL99">
            <v>0</v>
          </cell>
          <cell r="EM99">
            <v>109.81333333333333</v>
          </cell>
          <cell r="EN99">
            <v>124.32</v>
          </cell>
          <cell r="EO99">
            <v>139.26666666666668</v>
          </cell>
          <cell r="EP99">
            <v>154.21333333333334</v>
          </cell>
          <cell r="EQ99">
            <v>169.16</v>
          </cell>
          <cell r="ER99">
            <v>184.79999999999998</v>
          </cell>
          <cell r="ES99">
            <v>215.47299999999998</v>
          </cell>
          <cell r="ET99">
            <v>232.28600000000003</v>
          </cell>
          <cell r="EU99">
            <v>249.09900000000002</v>
          </cell>
          <cell r="EV99">
            <v>265.91199999999998</v>
          </cell>
          <cell r="EW99">
            <v>1844.3433333333332</v>
          </cell>
          <cell r="EY99">
            <v>132236</v>
          </cell>
          <cell r="EZ99">
            <v>8</v>
          </cell>
          <cell r="FA99">
            <v>881.57333333333327</v>
          </cell>
          <cell r="FB99">
            <v>134340</v>
          </cell>
          <cell r="FC99">
            <v>8.6</v>
          </cell>
          <cell r="FD99">
            <v>962.77</v>
          </cell>
          <cell r="FE99">
            <v>1844.3433333333332</v>
          </cell>
          <cell r="FF99">
            <v>38948</v>
          </cell>
          <cell r="FH99">
            <v>38948</v>
          </cell>
        </row>
        <row r="100">
          <cell r="B100">
            <v>9399</v>
          </cell>
          <cell r="C100" t="str">
            <v>14.02.2007</v>
          </cell>
          <cell r="D100" t="str">
            <v>Wagh Sandip Sudhakar</v>
          </cell>
          <cell r="F100">
            <v>10800</v>
          </cell>
          <cell r="H100">
            <v>6234</v>
          </cell>
          <cell r="I100">
            <v>6234</v>
          </cell>
          <cell r="J100">
            <v>12468</v>
          </cell>
          <cell r="K100">
            <v>1668</v>
          </cell>
          <cell r="M100">
            <v>1057</v>
          </cell>
          <cell r="N100">
            <v>0</v>
          </cell>
          <cell r="O100">
            <v>1057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W100">
            <v>1057</v>
          </cell>
          <cell r="X100">
            <v>0</v>
          </cell>
          <cell r="Y100">
            <v>1057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G100">
            <v>1088</v>
          </cell>
          <cell r="AH100">
            <v>0</v>
          </cell>
          <cell r="AI100">
            <v>1088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Q100">
            <v>1088</v>
          </cell>
          <cell r="AR100">
            <v>0</v>
          </cell>
          <cell r="AS100">
            <v>1088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BA100">
            <v>1088</v>
          </cell>
          <cell r="BB100">
            <v>0</v>
          </cell>
          <cell r="BC100">
            <v>1088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K100">
            <v>1139</v>
          </cell>
          <cell r="BL100">
            <v>0</v>
          </cell>
          <cell r="BM100">
            <v>1139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U100">
            <v>1139</v>
          </cell>
          <cell r="BV100">
            <v>0</v>
          </cell>
          <cell r="BW100">
            <v>1139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E100">
            <v>1139</v>
          </cell>
          <cell r="CF100">
            <v>0</v>
          </cell>
          <cell r="CG100">
            <v>1139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O100">
            <v>1139</v>
          </cell>
          <cell r="CP100">
            <v>0</v>
          </cell>
          <cell r="CQ100">
            <v>1139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Y100">
            <v>1139</v>
          </cell>
          <cell r="CZ100">
            <v>0</v>
          </cell>
          <cell r="DA100">
            <v>1139</v>
          </cell>
          <cell r="DB100">
            <v>0</v>
          </cell>
          <cell r="DC100">
            <v>0</v>
          </cell>
          <cell r="DD100">
            <v>0</v>
          </cell>
          <cell r="DE100">
            <v>0</v>
          </cell>
          <cell r="DF100">
            <v>0</v>
          </cell>
          <cell r="DG100">
            <v>0</v>
          </cell>
          <cell r="DI100">
            <v>12468</v>
          </cell>
          <cell r="DJ100">
            <v>11073</v>
          </cell>
          <cell r="DK100">
            <v>0</v>
          </cell>
          <cell r="DL100">
            <v>11073</v>
          </cell>
          <cell r="DM100">
            <v>11073</v>
          </cell>
          <cell r="DN100">
            <v>0</v>
          </cell>
          <cell r="DO100">
            <v>11073</v>
          </cell>
          <cell r="DP100">
            <v>0</v>
          </cell>
          <cell r="DQ100">
            <v>0</v>
          </cell>
          <cell r="DR100">
            <v>0</v>
          </cell>
          <cell r="DS100">
            <v>0</v>
          </cell>
          <cell r="DT100">
            <v>22146</v>
          </cell>
          <cell r="DU100">
            <v>0</v>
          </cell>
          <cell r="DW100">
            <v>0</v>
          </cell>
          <cell r="DX100">
            <v>0</v>
          </cell>
          <cell r="DY100">
            <v>14582</v>
          </cell>
          <cell r="DZ100">
            <v>16696</v>
          </cell>
          <cell r="EA100">
            <v>18872</v>
          </cell>
          <cell r="EB100">
            <v>21048</v>
          </cell>
          <cell r="EC100">
            <v>23224</v>
          </cell>
          <cell r="ED100">
            <v>25502</v>
          </cell>
          <cell r="EE100">
            <v>27780</v>
          </cell>
          <cell r="EF100">
            <v>30058</v>
          </cell>
          <cell r="EG100">
            <v>32336</v>
          </cell>
          <cell r="EH100">
            <v>34614</v>
          </cell>
          <cell r="EI100">
            <v>244712</v>
          </cell>
          <cell r="EK100">
            <v>0</v>
          </cell>
          <cell r="EL100">
            <v>0</v>
          </cell>
          <cell r="EM100">
            <v>97.213333333333324</v>
          </cell>
          <cell r="EN100">
            <v>111.30666666666667</v>
          </cell>
          <cell r="EO100">
            <v>125.81333333333333</v>
          </cell>
          <cell r="EP100">
            <v>140.32</v>
          </cell>
          <cell r="EQ100">
            <v>154.82666666666668</v>
          </cell>
          <cell r="ER100">
            <v>170.01333333333335</v>
          </cell>
          <cell r="ES100">
            <v>199.09</v>
          </cell>
          <cell r="ET100">
            <v>215.41566666666665</v>
          </cell>
          <cell r="EU100">
            <v>231.7413333333333</v>
          </cell>
          <cell r="EV100">
            <v>248.06699999999998</v>
          </cell>
          <cell r="EW100">
            <v>1693.8073333333334</v>
          </cell>
          <cell r="EY100">
            <v>119924</v>
          </cell>
          <cell r="EZ100">
            <v>8</v>
          </cell>
          <cell r="FA100">
            <v>799.49333333333334</v>
          </cell>
          <cell r="FB100">
            <v>124788</v>
          </cell>
          <cell r="FC100">
            <v>8.6</v>
          </cell>
          <cell r="FD100">
            <v>894.31399999999996</v>
          </cell>
          <cell r="FE100">
            <v>1693.8073333333332</v>
          </cell>
          <cell r="FF100">
            <v>36308</v>
          </cell>
          <cell r="FH100">
            <v>36308</v>
          </cell>
        </row>
        <row r="101">
          <cell r="B101">
            <v>9396</v>
          </cell>
          <cell r="C101" t="str">
            <v>19.02.2007</v>
          </cell>
          <cell r="D101" t="str">
            <v>Kamble Laxmi Rama</v>
          </cell>
          <cell r="F101">
            <v>10720</v>
          </cell>
          <cell r="H101">
            <v>5234</v>
          </cell>
          <cell r="I101">
            <v>5234</v>
          </cell>
          <cell r="J101">
            <v>10468</v>
          </cell>
          <cell r="K101">
            <v>-252</v>
          </cell>
          <cell r="M101">
            <v>1057</v>
          </cell>
          <cell r="N101">
            <v>0</v>
          </cell>
          <cell r="O101">
            <v>1057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W101">
            <v>1057</v>
          </cell>
          <cell r="X101">
            <v>0</v>
          </cell>
          <cell r="Y101">
            <v>1057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G101">
            <v>1088</v>
          </cell>
          <cell r="AH101">
            <v>0</v>
          </cell>
          <cell r="AI101">
            <v>1088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Q101">
            <v>1088</v>
          </cell>
          <cell r="AR101">
            <v>0</v>
          </cell>
          <cell r="AS101">
            <v>1088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BA101">
            <v>1088</v>
          </cell>
          <cell r="BB101">
            <v>0</v>
          </cell>
          <cell r="BC101">
            <v>1088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K101">
            <v>1139</v>
          </cell>
          <cell r="BL101">
            <v>0</v>
          </cell>
          <cell r="BM101">
            <v>1139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U101">
            <v>1139</v>
          </cell>
          <cell r="BV101">
            <v>0</v>
          </cell>
          <cell r="BW101">
            <v>1139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E101">
            <v>1139</v>
          </cell>
          <cell r="CF101">
            <v>0</v>
          </cell>
          <cell r="CG101">
            <v>1139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M101">
            <v>0</v>
          </cell>
          <cell r="CO101">
            <v>1139</v>
          </cell>
          <cell r="CP101">
            <v>0</v>
          </cell>
          <cell r="CQ101">
            <v>1139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Y101">
            <v>1139</v>
          </cell>
          <cell r="CZ101">
            <v>0</v>
          </cell>
          <cell r="DA101">
            <v>1139</v>
          </cell>
          <cell r="DB101">
            <v>0</v>
          </cell>
          <cell r="DC101">
            <v>0</v>
          </cell>
          <cell r="DD101">
            <v>0</v>
          </cell>
          <cell r="DE101">
            <v>0</v>
          </cell>
          <cell r="DF101">
            <v>0</v>
          </cell>
          <cell r="DG101">
            <v>0</v>
          </cell>
          <cell r="DI101">
            <v>10468</v>
          </cell>
          <cell r="DJ101">
            <v>11073</v>
          </cell>
          <cell r="DK101">
            <v>0</v>
          </cell>
          <cell r="DL101">
            <v>11073</v>
          </cell>
          <cell r="DM101">
            <v>11073</v>
          </cell>
          <cell r="DN101">
            <v>0</v>
          </cell>
          <cell r="DO101">
            <v>11073</v>
          </cell>
          <cell r="DP101">
            <v>0</v>
          </cell>
          <cell r="DQ101">
            <v>0</v>
          </cell>
          <cell r="DR101">
            <v>0</v>
          </cell>
          <cell r="DS101">
            <v>0</v>
          </cell>
          <cell r="DT101">
            <v>22146</v>
          </cell>
          <cell r="DU101">
            <v>0</v>
          </cell>
          <cell r="DW101">
            <v>0</v>
          </cell>
          <cell r="DX101">
            <v>0</v>
          </cell>
          <cell r="DY101">
            <v>12582</v>
          </cell>
          <cell r="DZ101">
            <v>14696</v>
          </cell>
          <cell r="EA101">
            <v>16872</v>
          </cell>
          <cell r="EB101">
            <v>19048</v>
          </cell>
          <cell r="EC101">
            <v>21224</v>
          </cell>
          <cell r="ED101">
            <v>23502</v>
          </cell>
          <cell r="EE101">
            <v>25780</v>
          </cell>
          <cell r="EF101">
            <v>28058</v>
          </cell>
          <cell r="EG101">
            <v>30336</v>
          </cell>
          <cell r="EH101">
            <v>32614</v>
          </cell>
          <cell r="EI101">
            <v>224712</v>
          </cell>
          <cell r="EK101">
            <v>0</v>
          </cell>
          <cell r="EL101">
            <v>0</v>
          </cell>
          <cell r="EM101">
            <v>83.88</v>
          </cell>
          <cell r="EN101">
            <v>97.973333333333343</v>
          </cell>
          <cell r="EO101">
            <v>112.48</v>
          </cell>
          <cell r="EP101">
            <v>126.98666666666666</v>
          </cell>
          <cell r="EQ101">
            <v>141.49333333333334</v>
          </cell>
          <cell r="ER101">
            <v>156.68</v>
          </cell>
          <cell r="ES101">
            <v>184.75666666666666</v>
          </cell>
          <cell r="ET101">
            <v>201.08233333333331</v>
          </cell>
          <cell r="EU101">
            <v>217.40799999999999</v>
          </cell>
          <cell r="EV101">
            <v>233.73366666666664</v>
          </cell>
          <cell r="EW101">
            <v>1556.4739999999997</v>
          </cell>
          <cell r="EY101">
            <v>107924</v>
          </cell>
          <cell r="EZ101">
            <v>8</v>
          </cell>
          <cell r="FA101">
            <v>719.49333333333334</v>
          </cell>
          <cell r="FB101">
            <v>116788</v>
          </cell>
          <cell r="FC101">
            <v>8.6</v>
          </cell>
          <cell r="FD101">
            <v>836.98066666666671</v>
          </cell>
          <cell r="FE101">
            <v>1556.4740000000002</v>
          </cell>
          <cell r="FF101">
            <v>34170</v>
          </cell>
          <cell r="FH101">
            <v>34170</v>
          </cell>
        </row>
        <row r="102">
          <cell r="B102">
            <v>9374</v>
          </cell>
          <cell r="C102" t="str">
            <v>21.02.2007</v>
          </cell>
          <cell r="D102" t="str">
            <v>Tathe Vaishali Namdev</v>
          </cell>
          <cell r="F102">
            <v>13482</v>
          </cell>
          <cell r="H102">
            <v>7634</v>
          </cell>
          <cell r="I102">
            <v>7634</v>
          </cell>
          <cell r="J102">
            <v>15268</v>
          </cell>
          <cell r="K102">
            <v>1786</v>
          </cell>
          <cell r="M102">
            <v>1057</v>
          </cell>
          <cell r="N102">
            <v>0</v>
          </cell>
          <cell r="O102">
            <v>1057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W102">
            <v>1057</v>
          </cell>
          <cell r="X102">
            <v>0</v>
          </cell>
          <cell r="Y102">
            <v>1057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G102">
            <v>1088</v>
          </cell>
          <cell r="AH102">
            <v>0</v>
          </cell>
          <cell r="AI102">
            <v>1088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Q102">
            <v>1088</v>
          </cell>
          <cell r="AR102">
            <v>0</v>
          </cell>
          <cell r="AS102">
            <v>1088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BA102">
            <v>1088</v>
          </cell>
          <cell r="BB102">
            <v>0</v>
          </cell>
          <cell r="BC102">
            <v>1088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K102">
            <v>1139</v>
          </cell>
          <cell r="BL102">
            <v>0</v>
          </cell>
          <cell r="BM102">
            <v>1139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U102">
            <v>1139</v>
          </cell>
          <cell r="BV102">
            <v>0</v>
          </cell>
          <cell r="BW102">
            <v>1139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E102">
            <v>1139</v>
          </cell>
          <cell r="CF102">
            <v>0</v>
          </cell>
          <cell r="CG102">
            <v>1139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O102">
            <v>1139</v>
          </cell>
          <cell r="CP102">
            <v>0</v>
          </cell>
          <cell r="CQ102">
            <v>1139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Y102">
            <v>1139</v>
          </cell>
          <cell r="CZ102">
            <v>0</v>
          </cell>
          <cell r="DA102">
            <v>1139</v>
          </cell>
          <cell r="DB102">
            <v>0</v>
          </cell>
          <cell r="DC102">
            <v>0</v>
          </cell>
          <cell r="DD102">
            <v>0</v>
          </cell>
          <cell r="DE102">
            <v>0</v>
          </cell>
          <cell r="DF102">
            <v>0</v>
          </cell>
          <cell r="DG102">
            <v>0</v>
          </cell>
          <cell r="DI102">
            <v>15268</v>
          </cell>
          <cell r="DJ102">
            <v>11073</v>
          </cell>
          <cell r="DK102">
            <v>0</v>
          </cell>
          <cell r="DL102">
            <v>11073</v>
          </cell>
          <cell r="DM102">
            <v>11073</v>
          </cell>
          <cell r="DN102">
            <v>0</v>
          </cell>
          <cell r="DO102">
            <v>11073</v>
          </cell>
          <cell r="DP102">
            <v>0</v>
          </cell>
          <cell r="DQ102">
            <v>0</v>
          </cell>
          <cell r="DR102">
            <v>0</v>
          </cell>
          <cell r="DS102">
            <v>0</v>
          </cell>
          <cell r="DT102">
            <v>22146</v>
          </cell>
          <cell r="DU102">
            <v>0</v>
          </cell>
          <cell r="DW102">
            <v>0</v>
          </cell>
          <cell r="DX102">
            <v>0</v>
          </cell>
          <cell r="DY102">
            <v>17382</v>
          </cell>
          <cell r="DZ102">
            <v>19496</v>
          </cell>
          <cell r="EA102">
            <v>21672</v>
          </cell>
          <cell r="EB102">
            <v>23848</v>
          </cell>
          <cell r="EC102">
            <v>26024</v>
          </cell>
          <cell r="ED102">
            <v>28302</v>
          </cell>
          <cell r="EE102">
            <v>30580</v>
          </cell>
          <cell r="EF102">
            <v>32858</v>
          </cell>
          <cell r="EG102">
            <v>35136</v>
          </cell>
          <cell r="EH102">
            <v>37414</v>
          </cell>
          <cell r="EI102">
            <v>272712</v>
          </cell>
          <cell r="EK102">
            <v>0</v>
          </cell>
          <cell r="EL102">
            <v>0</v>
          </cell>
          <cell r="EM102">
            <v>115.88</v>
          </cell>
          <cell r="EN102">
            <v>129.97333333333333</v>
          </cell>
          <cell r="EO102">
            <v>144.47999999999999</v>
          </cell>
          <cell r="EP102">
            <v>158.98666666666665</v>
          </cell>
          <cell r="EQ102">
            <v>173.49333333333334</v>
          </cell>
          <cell r="ER102">
            <v>188.67999999999998</v>
          </cell>
          <cell r="ES102">
            <v>219.15666666666667</v>
          </cell>
          <cell r="ET102">
            <v>235.48233333333334</v>
          </cell>
          <cell r="EU102">
            <v>251.80799999999999</v>
          </cell>
          <cell r="EV102">
            <v>268.13366666666667</v>
          </cell>
          <cell r="EW102">
            <v>1886.0739999999998</v>
          </cell>
          <cell r="EY102">
            <v>136724</v>
          </cell>
          <cell r="EZ102">
            <v>8</v>
          </cell>
          <cell r="FA102">
            <v>911.49333333333334</v>
          </cell>
          <cell r="FB102">
            <v>135988</v>
          </cell>
          <cell r="FC102">
            <v>8.6</v>
          </cell>
          <cell r="FD102">
            <v>974.58066666666673</v>
          </cell>
          <cell r="FE102">
            <v>1886.0740000000001</v>
          </cell>
          <cell r="FF102">
            <v>39300</v>
          </cell>
          <cell r="FH102">
            <v>39300</v>
          </cell>
        </row>
        <row r="103">
          <cell r="B103">
            <v>9376</v>
          </cell>
          <cell r="C103" t="str">
            <v>21.02.2007</v>
          </cell>
          <cell r="D103" t="str">
            <v>Rathod Govind Becher</v>
          </cell>
          <cell r="F103">
            <v>12890</v>
          </cell>
          <cell r="H103">
            <v>6048</v>
          </cell>
          <cell r="I103">
            <v>6048</v>
          </cell>
          <cell r="J103">
            <v>12096</v>
          </cell>
          <cell r="K103">
            <v>-794</v>
          </cell>
          <cell r="M103">
            <v>1088</v>
          </cell>
          <cell r="N103">
            <v>0</v>
          </cell>
          <cell r="O103">
            <v>1088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W103">
            <v>1088</v>
          </cell>
          <cell r="X103">
            <v>0</v>
          </cell>
          <cell r="Y103">
            <v>1088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G103">
            <v>1121</v>
          </cell>
          <cell r="AH103">
            <v>0</v>
          </cell>
          <cell r="AI103">
            <v>1121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Q103">
            <v>1121</v>
          </cell>
          <cell r="AR103">
            <v>0</v>
          </cell>
          <cell r="AS103">
            <v>1121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BA103">
            <v>1121</v>
          </cell>
          <cell r="BB103">
            <v>0</v>
          </cell>
          <cell r="BC103">
            <v>1121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K103">
            <v>1173</v>
          </cell>
          <cell r="BL103">
            <v>0</v>
          </cell>
          <cell r="BM103">
            <v>1173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U103">
            <v>1173</v>
          </cell>
          <cell r="BV103">
            <v>0</v>
          </cell>
          <cell r="BW103">
            <v>1173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E103">
            <v>1173</v>
          </cell>
          <cell r="CF103">
            <v>0</v>
          </cell>
          <cell r="CG103">
            <v>1173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O103">
            <v>1173</v>
          </cell>
          <cell r="CP103">
            <v>0</v>
          </cell>
          <cell r="CQ103">
            <v>1173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Y103">
            <v>1173</v>
          </cell>
          <cell r="CZ103">
            <v>0</v>
          </cell>
          <cell r="DA103">
            <v>1173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I103">
            <v>12096</v>
          </cell>
          <cell r="DJ103">
            <v>11404</v>
          </cell>
          <cell r="DK103">
            <v>0</v>
          </cell>
          <cell r="DL103">
            <v>11404</v>
          </cell>
          <cell r="DM103">
            <v>11404</v>
          </cell>
          <cell r="DN103">
            <v>0</v>
          </cell>
          <cell r="DO103">
            <v>11404</v>
          </cell>
          <cell r="DP103">
            <v>0</v>
          </cell>
          <cell r="DQ103">
            <v>0</v>
          </cell>
          <cell r="DR103">
            <v>0</v>
          </cell>
          <cell r="DS103">
            <v>0</v>
          </cell>
          <cell r="DT103">
            <v>22808</v>
          </cell>
          <cell r="DU103">
            <v>0</v>
          </cell>
          <cell r="DW103">
            <v>0</v>
          </cell>
          <cell r="DX103">
            <v>0</v>
          </cell>
          <cell r="DY103">
            <v>14272</v>
          </cell>
          <cell r="DZ103">
            <v>16448</v>
          </cell>
          <cell r="EA103">
            <v>18690</v>
          </cell>
          <cell r="EB103">
            <v>20932</v>
          </cell>
          <cell r="EC103">
            <v>23174</v>
          </cell>
          <cell r="ED103">
            <v>25520</v>
          </cell>
          <cell r="EE103">
            <v>27866</v>
          </cell>
          <cell r="EF103">
            <v>30212</v>
          </cell>
          <cell r="EG103">
            <v>32558</v>
          </cell>
          <cell r="EH103">
            <v>34904</v>
          </cell>
          <cell r="EI103">
            <v>244576</v>
          </cell>
          <cell r="EK103">
            <v>0</v>
          </cell>
          <cell r="EL103">
            <v>0</v>
          </cell>
          <cell r="EM103">
            <v>95.146666666666661</v>
          </cell>
          <cell r="EN103">
            <v>109.65333333333332</v>
          </cell>
          <cell r="EO103">
            <v>124.60000000000001</v>
          </cell>
          <cell r="EP103">
            <v>139.54666666666665</v>
          </cell>
          <cell r="EQ103">
            <v>154.49333333333334</v>
          </cell>
          <cell r="ER103">
            <v>170.13333333333333</v>
          </cell>
          <cell r="ES103">
            <v>199.7063333333333</v>
          </cell>
          <cell r="ET103">
            <v>216.51933333333332</v>
          </cell>
          <cell r="EU103">
            <v>233.33233333333331</v>
          </cell>
          <cell r="EV103">
            <v>250.1453333333333</v>
          </cell>
          <cell r="EW103">
            <v>1693.2766666666666</v>
          </cell>
          <cell r="EY103">
            <v>119036</v>
          </cell>
          <cell r="EZ103">
            <v>8</v>
          </cell>
          <cell r="FA103">
            <v>793.57333333333327</v>
          </cell>
          <cell r="FB103">
            <v>125540</v>
          </cell>
          <cell r="FC103">
            <v>8.6</v>
          </cell>
          <cell r="FD103">
            <v>899.70333333333338</v>
          </cell>
          <cell r="FE103">
            <v>1693.2766666666666</v>
          </cell>
          <cell r="FF103">
            <v>36597</v>
          </cell>
          <cell r="FH103">
            <v>36597</v>
          </cell>
        </row>
        <row r="104">
          <cell r="B104">
            <v>9383</v>
          </cell>
          <cell r="C104" t="str">
            <v>22.02.2007</v>
          </cell>
          <cell r="D104" t="str">
            <v>Pagare Pravin Pundalik</v>
          </cell>
          <cell r="F104">
            <v>11465</v>
          </cell>
          <cell r="G104">
            <v>25214</v>
          </cell>
          <cell r="H104">
            <v>7665</v>
          </cell>
          <cell r="I104">
            <v>7665</v>
          </cell>
          <cell r="J104">
            <v>15330</v>
          </cell>
          <cell r="K104">
            <v>3865</v>
          </cell>
          <cell r="M104">
            <v>1057</v>
          </cell>
          <cell r="N104">
            <v>0</v>
          </cell>
          <cell r="O104">
            <v>1057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W104">
            <v>1057</v>
          </cell>
          <cell r="X104">
            <v>0</v>
          </cell>
          <cell r="Y104">
            <v>1057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G104">
            <v>1088</v>
          </cell>
          <cell r="AH104">
            <v>0</v>
          </cell>
          <cell r="AI104">
            <v>1088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Q104">
            <v>1088</v>
          </cell>
          <cell r="AR104">
            <v>0</v>
          </cell>
          <cell r="AS104">
            <v>1088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BA104">
            <v>1088</v>
          </cell>
          <cell r="BB104">
            <v>0</v>
          </cell>
          <cell r="BC104">
            <v>1088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K104">
            <v>1139</v>
          </cell>
          <cell r="BL104">
            <v>0</v>
          </cell>
          <cell r="BM104">
            <v>1139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U104">
            <v>1139</v>
          </cell>
          <cell r="BV104">
            <v>0</v>
          </cell>
          <cell r="BW104">
            <v>1139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E104">
            <v>1139</v>
          </cell>
          <cell r="CF104">
            <v>0</v>
          </cell>
          <cell r="CG104">
            <v>1139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O104">
            <v>1139</v>
          </cell>
          <cell r="CP104">
            <v>0</v>
          </cell>
          <cell r="CQ104">
            <v>1139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Y104">
            <v>1139</v>
          </cell>
          <cell r="CZ104">
            <v>0</v>
          </cell>
          <cell r="DA104">
            <v>1139</v>
          </cell>
          <cell r="DB104">
            <v>0</v>
          </cell>
          <cell r="DC104">
            <v>0</v>
          </cell>
          <cell r="DD104">
            <v>0</v>
          </cell>
          <cell r="DE104">
            <v>0</v>
          </cell>
          <cell r="DF104">
            <v>0</v>
          </cell>
          <cell r="DG104">
            <v>0</v>
          </cell>
          <cell r="DI104">
            <v>15330</v>
          </cell>
          <cell r="DJ104">
            <v>11073</v>
          </cell>
          <cell r="DK104">
            <v>0</v>
          </cell>
          <cell r="DL104">
            <v>11073</v>
          </cell>
          <cell r="DM104">
            <v>11073</v>
          </cell>
          <cell r="DN104">
            <v>0</v>
          </cell>
          <cell r="DO104">
            <v>11073</v>
          </cell>
          <cell r="DP104">
            <v>0</v>
          </cell>
          <cell r="DQ104">
            <v>0</v>
          </cell>
          <cell r="DR104">
            <v>0</v>
          </cell>
          <cell r="DS104">
            <v>0</v>
          </cell>
          <cell r="DT104">
            <v>22146</v>
          </cell>
          <cell r="DU104">
            <v>0</v>
          </cell>
          <cell r="DW104">
            <v>0</v>
          </cell>
          <cell r="DX104">
            <v>0</v>
          </cell>
          <cell r="DY104">
            <v>17444</v>
          </cell>
          <cell r="DZ104">
            <v>19558</v>
          </cell>
          <cell r="EA104">
            <v>21734</v>
          </cell>
          <cell r="EB104">
            <v>23910</v>
          </cell>
          <cell r="EC104">
            <v>26086</v>
          </cell>
          <cell r="ED104">
            <v>28364</v>
          </cell>
          <cell r="EE104">
            <v>30642</v>
          </cell>
          <cell r="EF104">
            <v>32920</v>
          </cell>
          <cell r="EG104">
            <v>35198</v>
          </cell>
          <cell r="EH104">
            <v>37476</v>
          </cell>
          <cell r="EI104">
            <v>273332</v>
          </cell>
          <cell r="EK104">
            <v>0</v>
          </cell>
          <cell r="EL104">
            <v>0</v>
          </cell>
          <cell r="EM104">
            <v>116.29333333333334</v>
          </cell>
          <cell r="EN104">
            <v>130.38666666666668</v>
          </cell>
          <cell r="EO104">
            <v>144.89333333333335</v>
          </cell>
          <cell r="EP104">
            <v>159.4</v>
          </cell>
          <cell r="EQ104">
            <v>173.90666666666667</v>
          </cell>
          <cell r="ER104">
            <v>189.09333333333333</v>
          </cell>
          <cell r="ES104">
            <v>219.601</v>
          </cell>
          <cell r="ET104">
            <v>235.92666666666665</v>
          </cell>
          <cell r="EU104">
            <v>252.25233333333333</v>
          </cell>
          <cell r="EV104">
            <v>268.57799999999997</v>
          </cell>
          <cell r="EW104">
            <v>1890.3313333333335</v>
          </cell>
          <cell r="EY104">
            <v>137096</v>
          </cell>
          <cell r="EZ104">
            <v>8</v>
          </cell>
          <cell r="FA104">
            <v>913.97333333333336</v>
          </cell>
          <cell r="FB104">
            <v>136236</v>
          </cell>
          <cell r="FC104">
            <v>8.6</v>
          </cell>
          <cell r="FD104">
            <v>976.35799999999983</v>
          </cell>
          <cell r="FE104">
            <v>1890.3313333333331</v>
          </cell>
          <cell r="FF104">
            <v>39366</v>
          </cell>
          <cell r="FH104">
            <v>39366</v>
          </cell>
        </row>
        <row r="105">
          <cell r="B105">
            <v>9401</v>
          </cell>
          <cell r="C105" t="str">
            <v>22.02.2007</v>
          </cell>
          <cell r="D105" t="str">
            <v>Waghale Nitin Ashok</v>
          </cell>
          <cell r="F105">
            <v>9870</v>
          </cell>
          <cell r="H105">
            <v>8013</v>
          </cell>
          <cell r="I105">
            <v>8013</v>
          </cell>
          <cell r="J105">
            <v>16026</v>
          </cell>
          <cell r="K105">
            <v>6156</v>
          </cell>
          <cell r="M105">
            <v>1057</v>
          </cell>
          <cell r="N105">
            <v>0</v>
          </cell>
          <cell r="O105">
            <v>1057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W105">
            <v>1057</v>
          </cell>
          <cell r="X105">
            <v>0</v>
          </cell>
          <cell r="Y105">
            <v>1057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G105">
            <v>1088</v>
          </cell>
          <cell r="AH105">
            <v>0</v>
          </cell>
          <cell r="AI105">
            <v>1088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Q105">
            <v>1088</v>
          </cell>
          <cell r="AR105">
            <v>0</v>
          </cell>
          <cell r="AS105">
            <v>1088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BA105">
            <v>1088</v>
          </cell>
          <cell r="BB105">
            <v>0</v>
          </cell>
          <cell r="BC105">
            <v>1088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K105">
            <v>1139</v>
          </cell>
          <cell r="BL105">
            <v>0</v>
          </cell>
          <cell r="BM105">
            <v>1139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U105">
            <v>1139</v>
          </cell>
          <cell r="BV105">
            <v>0</v>
          </cell>
          <cell r="BW105">
            <v>1139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E105">
            <v>1139</v>
          </cell>
          <cell r="CF105">
            <v>0</v>
          </cell>
          <cell r="CG105">
            <v>1139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O105">
            <v>1139</v>
          </cell>
          <cell r="CP105">
            <v>0</v>
          </cell>
          <cell r="CQ105">
            <v>1139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Y105">
            <v>1139</v>
          </cell>
          <cell r="CZ105">
            <v>0</v>
          </cell>
          <cell r="DA105">
            <v>1139</v>
          </cell>
          <cell r="DB105">
            <v>0</v>
          </cell>
          <cell r="DC105">
            <v>0</v>
          </cell>
          <cell r="DD105">
            <v>0</v>
          </cell>
          <cell r="DE105">
            <v>0</v>
          </cell>
          <cell r="DF105">
            <v>0</v>
          </cell>
          <cell r="DG105">
            <v>0</v>
          </cell>
          <cell r="DI105">
            <v>16026</v>
          </cell>
          <cell r="DJ105">
            <v>11073</v>
          </cell>
          <cell r="DK105">
            <v>0</v>
          </cell>
          <cell r="DL105">
            <v>11073</v>
          </cell>
          <cell r="DM105">
            <v>11073</v>
          </cell>
          <cell r="DN105">
            <v>0</v>
          </cell>
          <cell r="DO105">
            <v>11073</v>
          </cell>
          <cell r="DP105">
            <v>0</v>
          </cell>
          <cell r="DQ105">
            <v>0</v>
          </cell>
          <cell r="DR105">
            <v>0</v>
          </cell>
          <cell r="DS105">
            <v>0</v>
          </cell>
          <cell r="DT105">
            <v>22146</v>
          </cell>
          <cell r="DU105">
            <v>0</v>
          </cell>
          <cell r="DW105">
            <v>0</v>
          </cell>
          <cell r="DX105">
            <v>0</v>
          </cell>
          <cell r="DY105">
            <v>18140</v>
          </cell>
          <cell r="DZ105">
            <v>20254</v>
          </cell>
          <cell r="EA105">
            <v>22430</v>
          </cell>
          <cell r="EB105">
            <v>24606</v>
          </cell>
          <cell r="EC105">
            <v>26782</v>
          </cell>
          <cell r="ED105">
            <v>29060</v>
          </cell>
          <cell r="EE105">
            <v>31338</v>
          </cell>
          <cell r="EF105">
            <v>33616</v>
          </cell>
          <cell r="EG105">
            <v>35894</v>
          </cell>
          <cell r="EH105">
            <v>38172</v>
          </cell>
          <cell r="EI105">
            <v>280292</v>
          </cell>
          <cell r="EK105">
            <v>0</v>
          </cell>
          <cell r="EL105">
            <v>0</v>
          </cell>
          <cell r="EM105">
            <v>120.93333333333334</v>
          </cell>
          <cell r="EN105">
            <v>135.02666666666667</v>
          </cell>
          <cell r="EO105">
            <v>149.53333333333333</v>
          </cell>
          <cell r="EP105">
            <v>164.04</v>
          </cell>
          <cell r="EQ105">
            <v>178.54666666666665</v>
          </cell>
          <cell r="ER105">
            <v>193.73333333333335</v>
          </cell>
          <cell r="ES105">
            <v>224.58899999999997</v>
          </cell>
          <cell r="ET105">
            <v>240.91466666666665</v>
          </cell>
          <cell r="EU105">
            <v>257.2403333333333</v>
          </cell>
          <cell r="EV105">
            <v>273.56599999999997</v>
          </cell>
          <cell r="EW105">
            <v>1938.1233333333332</v>
          </cell>
          <cell r="EY105">
            <v>141272</v>
          </cell>
          <cell r="EZ105">
            <v>8</v>
          </cell>
          <cell r="FA105">
            <v>941.81333333333339</v>
          </cell>
          <cell r="FB105">
            <v>139020</v>
          </cell>
          <cell r="FC105">
            <v>8.6</v>
          </cell>
          <cell r="FD105">
            <v>996.31</v>
          </cell>
          <cell r="FE105">
            <v>1938.1233333333334</v>
          </cell>
          <cell r="FF105">
            <v>40110</v>
          </cell>
          <cell r="FH105">
            <v>40110</v>
          </cell>
        </row>
        <row r="106">
          <cell r="B106">
            <v>9386</v>
          </cell>
          <cell r="C106" t="str">
            <v>23.02.2007</v>
          </cell>
          <cell r="D106" t="str">
            <v>Parmar Vanita Samant</v>
          </cell>
          <cell r="F106">
            <v>12001</v>
          </cell>
          <cell r="H106">
            <v>5565</v>
          </cell>
          <cell r="I106">
            <v>5565</v>
          </cell>
          <cell r="J106">
            <v>11130</v>
          </cell>
          <cell r="K106">
            <v>-871</v>
          </cell>
          <cell r="M106">
            <v>1088</v>
          </cell>
          <cell r="N106">
            <v>0</v>
          </cell>
          <cell r="O106">
            <v>1088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W106">
            <v>1088</v>
          </cell>
          <cell r="X106">
            <v>0</v>
          </cell>
          <cell r="Y106">
            <v>1088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G106">
            <v>1121</v>
          </cell>
          <cell r="AH106">
            <v>0</v>
          </cell>
          <cell r="AI106">
            <v>1121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Q106">
            <v>1121</v>
          </cell>
          <cell r="AR106">
            <v>0</v>
          </cell>
          <cell r="AS106">
            <v>1121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BA106">
            <v>1121</v>
          </cell>
          <cell r="BB106">
            <v>0</v>
          </cell>
          <cell r="BC106">
            <v>1121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K106">
            <v>1173</v>
          </cell>
          <cell r="BL106">
            <v>0</v>
          </cell>
          <cell r="BM106">
            <v>1173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U106">
            <v>1173</v>
          </cell>
          <cell r="BV106">
            <v>0</v>
          </cell>
          <cell r="BW106">
            <v>1173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E106">
            <v>1173</v>
          </cell>
          <cell r="CF106">
            <v>0</v>
          </cell>
          <cell r="CG106">
            <v>1173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O106">
            <v>1173</v>
          </cell>
          <cell r="CP106">
            <v>0</v>
          </cell>
          <cell r="CQ106">
            <v>1173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Y106">
            <v>1173</v>
          </cell>
          <cell r="CZ106">
            <v>0</v>
          </cell>
          <cell r="DA106">
            <v>1173</v>
          </cell>
          <cell r="DB106">
            <v>0</v>
          </cell>
          <cell r="DC106">
            <v>0</v>
          </cell>
          <cell r="DD106">
            <v>0</v>
          </cell>
          <cell r="DE106">
            <v>0</v>
          </cell>
          <cell r="DF106">
            <v>0</v>
          </cell>
          <cell r="DG106">
            <v>0</v>
          </cell>
          <cell r="DI106">
            <v>11130</v>
          </cell>
          <cell r="DJ106">
            <v>11404</v>
          </cell>
          <cell r="DK106">
            <v>0</v>
          </cell>
          <cell r="DL106">
            <v>11404</v>
          </cell>
          <cell r="DM106">
            <v>11404</v>
          </cell>
          <cell r="DN106">
            <v>0</v>
          </cell>
          <cell r="DO106">
            <v>11404</v>
          </cell>
          <cell r="DP106">
            <v>0</v>
          </cell>
          <cell r="DQ106">
            <v>0</v>
          </cell>
          <cell r="DR106">
            <v>0</v>
          </cell>
          <cell r="DS106">
            <v>0</v>
          </cell>
          <cell r="DT106">
            <v>22808</v>
          </cell>
          <cell r="DU106">
            <v>0</v>
          </cell>
          <cell r="DW106">
            <v>0</v>
          </cell>
          <cell r="DX106">
            <v>0</v>
          </cell>
          <cell r="DY106">
            <v>13306</v>
          </cell>
          <cell r="DZ106">
            <v>15482</v>
          </cell>
          <cell r="EA106">
            <v>17724</v>
          </cell>
          <cell r="EB106">
            <v>19966</v>
          </cell>
          <cell r="EC106">
            <v>22208</v>
          </cell>
          <cell r="ED106">
            <v>24554</v>
          </cell>
          <cell r="EE106">
            <v>26900</v>
          </cell>
          <cell r="EF106">
            <v>29246</v>
          </cell>
          <cell r="EG106">
            <v>31592</v>
          </cell>
          <cell r="EH106">
            <v>33938</v>
          </cell>
          <cell r="EI106">
            <v>234916</v>
          </cell>
          <cell r="EK106">
            <v>0</v>
          </cell>
          <cell r="EL106">
            <v>0</v>
          </cell>
          <cell r="EM106">
            <v>88.706666666666663</v>
          </cell>
          <cell r="EN106">
            <v>103.21333333333332</v>
          </cell>
          <cell r="EO106">
            <v>118.16000000000001</v>
          </cell>
          <cell r="EP106">
            <v>133.10666666666665</v>
          </cell>
          <cell r="EQ106">
            <v>148.05333333333334</v>
          </cell>
          <cell r="ER106">
            <v>163.69333333333333</v>
          </cell>
          <cell r="ES106">
            <v>192.78333333333333</v>
          </cell>
          <cell r="ET106">
            <v>209.59633333333332</v>
          </cell>
          <cell r="EU106">
            <v>226.40933333333336</v>
          </cell>
          <cell r="EV106">
            <v>243.2223333333333</v>
          </cell>
          <cell r="EW106">
            <v>1626.9446666666668</v>
          </cell>
          <cell r="EY106">
            <v>113240</v>
          </cell>
          <cell r="EZ106">
            <v>8</v>
          </cell>
          <cell r="FA106">
            <v>754.93333333333339</v>
          </cell>
          <cell r="FB106">
            <v>121676</v>
          </cell>
          <cell r="FC106">
            <v>8.6</v>
          </cell>
          <cell r="FD106">
            <v>872.01133333333337</v>
          </cell>
          <cell r="FE106">
            <v>1626.9446666666668</v>
          </cell>
          <cell r="FF106">
            <v>35565</v>
          </cell>
          <cell r="FH106">
            <v>35565</v>
          </cell>
        </row>
        <row r="107">
          <cell r="B107">
            <v>9398</v>
          </cell>
          <cell r="C107" t="str">
            <v>26.02.2007</v>
          </cell>
          <cell r="D107" t="str">
            <v>Hande Sunita Rajendra</v>
          </cell>
          <cell r="F107">
            <v>10815</v>
          </cell>
          <cell r="G107">
            <v>25178</v>
          </cell>
          <cell r="H107">
            <v>4134</v>
          </cell>
          <cell r="I107">
            <v>4134</v>
          </cell>
          <cell r="J107">
            <v>8268</v>
          </cell>
          <cell r="K107">
            <v>-2547</v>
          </cell>
          <cell r="M107">
            <v>1057</v>
          </cell>
          <cell r="N107">
            <v>0</v>
          </cell>
          <cell r="O107">
            <v>1057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W107">
            <v>1057</v>
          </cell>
          <cell r="X107">
            <v>0</v>
          </cell>
          <cell r="Y107">
            <v>1057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G107">
            <v>1088</v>
          </cell>
          <cell r="AH107">
            <v>0</v>
          </cell>
          <cell r="AI107">
            <v>1088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Q107">
            <v>1088</v>
          </cell>
          <cell r="AR107">
            <v>0</v>
          </cell>
          <cell r="AS107">
            <v>1088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BA107">
            <v>1088</v>
          </cell>
          <cell r="BB107">
            <v>0</v>
          </cell>
          <cell r="BC107">
            <v>1088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K107">
            <v>1139</v>
          </cell>
          <cell r="BL107">
            <v>0</v>
          </cell>
          <cell r="BM107">
            <v>1139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U107">
            <v>1139</v>
          </cell>
          <cell r="BV107">
            <v>0</v>
          </cell>
          <cell r="BW107">
            <v>1139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E107">
            <v>1139</v>
          </cell>
          <cell r="CF107">
            <v>0</v>
          </cell>
          <cell r="CG107">
            <v>1139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O107">
            <v>1139</v>
          </cell>
          <cell r="CP107">
            <v>0</v>
          </cell>
          <cell r="CQ107">
            <v>1139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Y107">
            <v>1139</v>
          </cell>
          <cell r="CZ107">
            <v>0</v>
          </cell>
          <cell r="DA107">
            <v>1139</v>
          </cell>
          <cell r="DB107">
            <v>0</v>
          </cell>
          <cell r="DC107">
            <v>0</v>
          </cell>
          <cell r="DD107">
            <v>0</v>
          </cell>
          <cell r="DE107">
            <v>0</v>
          </cell>
          <cell r="DF107">
            <v>0</v>
          </cell>
          <cell r="DG107">
            <v>0</v>
          </cell>
          <cell r="DI107">
            <v>8268</v>
          </cell>
          <cell r="DJ107">
            <v>11073</v>
          </cell>
          <cell r="DK107">
            <v>0</v>
          </cell>
          <cell r="DL107">
            <v>11073</v>
          </cell>
          <cell r="DM107">
            <v>11073</v>
          </cell>
          <cell r="DN107">
            <v>0</v>
          </cell>
          <cell r="DO107">
            <v>11073</v>
          </cell>
          <cell r="DP107">
            <v>0</v>
          </cell>
          <cell r="DQ107">
            <v>0</v>
          </cell>
          <cell r="DR107">
            <v>0</v>
          </cell>
          <cell r="DS107">
            <v>0</v>
          </cell>
          <cell r="DT107">
            <v>22146</v>
          </cell>
          <cell r="DU107">
            <v>0</v>
          </cell>
          <cell r="DW107">
            <v>0</v>
          </cell>
          <cell r="DX107">
            <v>0</v>
          </cell>
          <cell r="DY107">
            <v>10382</v>
          </cell>
          <cell r="DZ107">
            <v>12496</v>
          </cell>
          <cell r="EA107">
            <v>14672</v>
          </cell>
          <cell r="EB107">
            <v>16848</v>
          </cell>
          <cell r="EC107">
            <v>19024</v>
          </cell>
          <cell r="ED107">
            <v>21302</v>
          </cell>
          <cell r="EE107">
            <v>23580</v>
          </cell>
          <cell r="EF107">
            <v>25858</v>
          </cell>
          <cell r="EG107">
            <v>28136</v>
          </cell>
          <cell r="EH107">
            <v>30414</v>
          </cell>
          <cell r="EI107">
            <v>202712</v>
          </cell>
          <cell r="EK107">
            <v>0</v>
          </cell>
          <cell r="EL107">
            <v>0</v>
          </cell>
          <cell r="EM107">
            <v>69.213333333333324</v>
          </cell>
          <cell r="EN107">
            <v>83.306666666666658</v>
          </cell>
          <cell r="EO107">
            <v>97.813333333333333</v>
          </cell>
          <cell r="EP107">
            <v>112.32</v>
          </cell>
          <cell r="EQ107">
            <v>126.82666666666667</v>
          </cell>
          <cell r="ER107">
            <v>142.01333333333335</v>
          </cell>
          <cell r="ES107">
            <v>168.99</v>
          </cell>
          <cell r="ET107">
            <v>185.31566666666666</v>
          </cell>
          <cell r="EU107">
            <v>201.64133333333334</v>
          </cell>
          <cell r="EV107">
            <v>217.96699999999998</v>
          </cell>
          <cell r="EW107">
            <v>1405.4073333333331</v>
          </cell>
          <cell r="EY107">
            <v>94724</v>
          </cell>
          <cell r="EZ107">
            <v>8</v>
          </cell>
          <cell r="FA107">
            <v>631.49333333333334</v>
          </cell>
          <cell r="FB107">
            <v>107988</v>
          </cell>
          <cell r="FC107">
            <v>8.6</v>
          </cell>
          <cell r="FD107">
            <v>773.91399999999987</v>
          </cell>
          <cell r="FE107">
            <v>1405.4073333333331</v>
          </cell>
          <cell r="FF107">
            <v>31819</v>
          </cell>
          <cell r="FH107">
            <v>31819</v>
          </cell>
        </row>
        <row r="108">
          <cell r="B108">
            <v>9385</v>
          </cell>
          <cell r="C108" t="str">
            <v>27.02.2007</v>
          </cell>
          <cell r="D108" t="str">
            <v>Gogaliya Vinay Raj</v>
          </cell>
          <cell r="F108">
            <v>12001</v>
          </cell>
          <cell r="H108">
            <v>5165</v>
          </cell>
          <cell r="I108">
            <v>5165</v>
          </cell>
          <cell r="J108">
            <v>10330</v>
          </cell>
          <cell r="K108">
            <v>-1671</v>
          </cell>
          <cell r="M108">
            <v>1088</v>
          </cell>
          <cell r="N108">
            <v>0</v>
          </cell>
          <cell r="O108">
            <v>1088</v>
          </cell>
          <cell r="P108">
            <v>0</v>
          </cell>
          <cell r="Q108">
            <v>175</v>
          </cell>
          <cell r="R108">
            <v>0</v>
          </cell>
          <cell r="S108">
            <v>0</v>
          </cell>
          <cell r="T108">
            <v>175</v>
          </cell>
          <cell r="U108">
            <v>0</v>
          </cell>
          <cell r="W108">
            <v>1088</v>
          </cell>
          <cell r="X108">
            <v>0</v>
          </cell>
          <cell r="Y108">
            <v>1088</v>
          </cell>
          <cell r="Z108">
            <v>0</v>
          </cell>
          <cell r="AA108">
            <v>175</v>
          </cell>
          <cell r="AB108">
            <v>0</v>
          </cell>
          <cell r="AC108">
            <v>0</v>
          </cell>
          <cell r="AD108">
            <v>175</v>
          </cell>
          <cell r="AE108">
            <v>0</v>
          </cell>
          <cell r="AG108">
            <v>1121</v>
          </cell>
          <cell r="AH108">
            <v>0</v>
          </cell>
          <cell r="AI108">
            <v>1121</v>
          </cell>
          <cell r="AJ108">
            <v>0</v>
          </cell>
          <cell r="AK108">
            <v>175</v>
          </cell>
          <cell r="AL108">
            <v>0</v>
          </cell>
          <cell r="AM108">
            <v>0</v>
          </cell>
          <cell r="AN108">
            <v>175</v>
          </cell>
          <cell r="AO108">
            <v>0</v>
          </cell>
          <cell r="AQ108">
            <v>1121</v>
          </cell>
          <cell r="AR108">
            <v>0</v>
          </cell>
          <cell r="AS108">
            <v>1121</v>
          </cell>
          <cell r="AT108">
            <v>0</v>
          </cell>
          <cell r="AU108">
            <v>175</v>
          </cell>
          <cell r="AV108">
            <v>0</v>
          </cell>
          <cell r="AW108">
            <v>0</v>
          </cell>
          <cell r="AX108">
            <v>175</v>
          </cell>
          <cell r="AY108">
            <v>0</v>
          </cell>
          <cell r="BA108">
            <v>1121</v>
          </cell>
          <cell r="BB108">
            <v>0</v>
          </cell>
          <cell r="BC108">
            <v>1121</v>
          </cell>
          <cell r="BD108">
            <v>0</v>
          </cell>
          <cell r="BE108">
            <v>175</v>
          </cell>
          <cell r="BF108">
            <v>0</v>
          </cell>
          <cell r="BG108">
            <v>0</v>
          </cell>
          <cell r="BH108">
            <v>175</v>
          </cell>
          <cell r="BI108">
            <v>7175</v>
          </cell>
          <cell r="BK108">
            <v>1173</v>
          </cell>
          <cell r="BL108">
            <v>0</v>
          </cell>
          <cell r="BM108">
            <v>1173</v>
          </cell>
          <cell r="BN108">
            <v>0</v>
          </cell>
          <cell r="BO108">
            <v>490</v>
          </cell>
          <cell r="BP108">
            <v>0</v>
          </cell>
          <cell r="BQ108">
            <v>0</v>
          </cell>
          <cell r="BR108">
            <v>490</v>
          </cell>
          <cell r="BS108">
            <v>0</v>
          </cell>
          <cell r="BU108">
            <v>1173</v>
          </cell>
          <cell r="BV108">
            <v>0</v>
          </cell>
          <cell r="BW108">
            <v>1173</v>
          </cell>
          <cell r="BX108">
            <v>0</v>
          </cell>
          <cell r="BY108">
            <v>490</v>
          </cell>
          <cell r="BZ108">
            <v>0</v>
          </cell>
          <cell r="CA108">
            <v>0</v>
          </cell>
          <cell r="CB108">
            <v>490</v>
          </cell>
          <cell r="CC108">
            <v>0</v>
          </cell>
          <cell r="CE108">
            <v>1173</v>
          </cell>
          <cell r="CF108">
            <v>0</v>
          </cell>
          <cell r="CG108">
            <v>1173</v>
          </cell>
          <cell r="CH108">
            <v>0</v>
          </cell>
          <cell r="CI108">
            <v>490</v>
          </cell>
          <cell r="CJ108">
            <v>0</v>
          </cell>
          <cell r="CK108">
            <v>0</v>
          </cell>
          <cell r="CL108">
            <v>490</v>
          </cell>
          <cell r="CM108">
            <v>0</v>
          </cell>
          <cell r="CO108">
            <v>1173</v>
          </cell>
          <cell r="CP108">
            <v>0</v>
          </cell>
          <cell r="CQ108">
            <v>1173</v>
          </cell>
          <cell r="CR108">
            <v>0</v>
          </cell>
          <cell r="CS108">
            <v>490</v>
          </cell>
          <cell r="CT108">
            <v>0</v>
          </cell>
          <cell r="CU108">
            <v>0</v>
          </cell>
          <cell r="CV108">
            <v>490</v>
          </cell>
          <cell r="CW108">
            <v>0</v>
          </cell>
          <cell r="CY108">
            <v>1173</v>
          </cell>
          <cell r="CZ108">
            <v>0</v>
          </cell>
          <cell r="DA108">
            <v>1173</v>
          </cell>
          <cell r="DB108">
            <v>0</v>
          </cell>
          <cell r="DC108">
            <v>490</v>
          </cell>
          <cell r="DD108">
            <v>0</v>
          </cell>
          <cell r="DE108">
            <v>0</v>
          </cell>
          <cell r="DF108">
            <v>490</v>
          </cell>
          <cell r="DG108">
            <v>0</v>
          </cell>
          <cell r="DI108">
            <v>10330</v>
          </cell>
          <cell r="DJ108">
            <v>11404</v>
          </cell>
          <cell r="DK108">
            <v>0</v>
          </cell>
          <cell r="DL108">
            <v>11404</v>
          </cell>
          <cell r="DM108">
            <v>11404</v>
          </cell>
          <cell r="DN108">
            <v>0</v>
          </cell>
          <cell r="DO108">
            <v>11404</v>
          </cell>
          <cell r="DP108">
            <v>3325</v>
          </cell>
          <cell r="DQ108">
            <v>0</v>
          </cell>
          <cell r="DR108">
            <v>0</v>
          </cell>
          <cell r="DS108">
            <v>3325</v>
          </cell>
          <cell r="DT108">
            <v>26133</v>
          </cell>
          <cell r="DU108">
            <v>7175</v>
          </cell>
          <cell r="DW108">
            <v>0</v>
          </cell>
          <cell r="DX108">
            <v>0</v>
          </cell>
          <cell r="DY108">
            <v>12681</v>
          </cell>
          <cell r="DZ108">
            <v>15032</v>
          </cell>
          <cell r="EA108">
            <v>17449</v>
          </cell>
          <cell r="EB108">
            <v>19866</v>
          </cell>
          <cell r="EC108">
            <v>15108</v>
          </cell>
          <cell r="ED108">
            <v>17944</v>
          </cell>
          <cell r="EE108">
            <v>20780</v>
          </cell>
          <cell r="EF108">
            <v>23616</v>
          </cell>
          <cell r="EG108">
            <v>26452</v>
          </cell>
          <cell r="EH108">
            <v>29288</v>
          </cell>
          <cell r="EI108">
            <v>198216</v>
          </cell>
          <cell r="EK108">
            <v>0</v>
          </cell>
          <cell r="EL108">
            <v>0</v>
          </cell>
          <cell r="EM108">
            <v>84.54</v>
          </cell>
          <cell r="EN108">
            <v>100.21333333333332</v>
          </cell>
          <cell r="EO108">
            <v>116.32666666666667</v>
          </cell>
          <cell r="EP108">
            <v>132.44</v>
          </cell>
          <cell r="EQ108">
            <v>100.72000000000001</v>
          </cell>
          <cell r="ER108">
            <v>119.62666666666667</v>
          </cell>
          <cell r="ES108">
            <v>148.92333333333332</v>
          </cell>
          <cell r="ET108">
            <v>169.24800000000002</v>
          </cell>
          <cell r="EU108">
            <v>189.57266666666666</v>
          </cell>
          <cell r="EV108">
            <v>209.89733333333334</v>
          </cell>
          <cell r="EW108">
            <v>1371.508</v>
          </cell>
          <cell r="EY108">
            <v>98080</v>
          </cell>
          <cell r="EZ108">
            <v>8</v>
          </cell>
          <cell r="FA108">
            <v>653.86666666666667</v>
          </cell>
          <cell r="FB108">
            <v>100136</v>
          </cell>
          <cell r="FC108">
            <v>8.6</v>
          </cell>
          <cell r="FD108">
            <v>717.64133333333336</v>
          </cell>
          <cell r="FE108">
            <v>1371.508</v>
          </cell>
          <cell r="FF108">
            <v>30660</v>
          </cell>
          <cell r="FH108">
            <v>30660</v>
          </cell>
        </row>
        <row r="109">
          <cell r="B109">
            <v>9375</v>
          </cell>
          <cell r="C109" t="str">
            <v>02.03.2007</v>
          </cell>
          <cell r="D109" t="str">
            <v>Jadhav Yuvraj Janardan</v>
          </cell>
          <cell r="F109">
            <v>13482</v>
          </cell>
          <cell r="H109">
            <v>6534</v>
          </cell>
          <cell r="I109">
            <v>6534</v>
          </cell>
          <cell r="J109">
            <v>13068</v>
          </cell>
          <cell r="K109">
            <v>-414</v>
          </cell>
          <cell r="M109">
            <v>1057</v>
          </cell>
          <cell r="N109">
            <v>0</v>
          </cell>
          <cell r="O109">
            <v>1057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W109">
            <v>1057</v>
          </cell>
          <cell r="X109">
            <v>0</v>
          </cell>
          <cell r="Y109">
            <v>1057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G109">
            <v>1088</v>
          </cell>
          <cell r="AH109">
            <v>0</v>
          </cell>
          <cell r="AI109">
            <v>1088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Q109">
            <v>1088</v>
          </cell>
          <cell r="AR109">
            <v>0</v>
          </cell>
          <cell r="AS109">
            <v>1088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BA109">
            <v>1088</v>
          </cell>
          <cell r="BB109">
            <v>0</v>
          </cell>
          <cell r="BC109">
            <v>1088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K109">
            <v>1139</v>
          </cell>
          <cell r="BL109">
            <v>0</v>
          </cell>
          <cell r="BM109">
            <v>1139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U109">
            <v>1139</v>
          </cell>
          <cell r="BV109">
            <v>0</v>
          </cell>
          <cell r="BW109">
            <v>1139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E109">
            <v>1139</v>
          </cell>
          <cell r="CF109">
            <v>0</v>
          </cell>
          <cell r="CG109">
            <v>1139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O109">
            <v>1139</v>
          </cell>
          <cell r="CP109">
            <v>0</v>
          </cell>
          <cell r="CQ109">
            <v>1139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Y109">
            <v>1139</v>
          </cell>
          <cell r="CZ109">
            <v>0</v>
          </cell>
          <cell r="DA109">
            <v>1139</v>
          </cell>
          <cell r="DB109">
            <v>0</v>
          </cell>
          <cell r="DC109">
            <v>0</v>
          </cell>
          <cell r="DD109">
            <v>0</v>
          </cell>
          <cell r="DE109">
            <v>0</v>
          </cell>
          <cell r="DF109">
            <v>0</v>
          </cell>
          <cell r="DG109">
            <v>0</v>
          </cell>
          <cell r="DI109">
            <v>13068</v>
          </cell>
          <cell r="DJ109">
            <v>11073</v>
          </cell>
          <cell r="DK109">
            <v>0</v>
          </cell>
          <cell r="DL109">
            <v>11073</v>
          </cell>
          <cell r="DM109">
            <v>11073</v>
          </cell>
          <cell r="DN109">
            <v>0</v>
          </cell>
          <cell r="DO109">
            <v>11073</v>
          </cell>
          <cell r="DP109">
            <v>0</v>
          </cell>
          <cell r="DQ109">
            <v>0</v>
          </cell>
          <cell r="DR109">
            <v>0</v>
          </cell>
          <cell r="DS109">
            <v>0</v>
          </cell>
          <cell r="DT109">
            <v>22146</v>
          </cell>
          <cell r="DU109">
            <v>0</v>
          </cell>
          <cell r="DW109">
            <v>0</v>
          </cell>
          <cell r="DX109">
            <v>0</v>
          </cell>
          <cell r="DY109">
            <v>15182</v>
          </cell>
          <cell r="DZ109">
            <v>17296</v>
          </cell>
          <cell r="EA109">
            <v>19472</v>
          </cell>
          <cell r="EB109">
            <v>21648</v>
          </cell>
          <cell r="EC109">
            <v>23824</v>
          </cell>
          <cell r="ED109">
            <v>26102</v>
          </cell>
          <cell r="EE109">
            <v>28380</v>
          </cell>
          <cell r="EF109">
            <v>30658</v>
          </cell>
          <cell r="EG109">
            <v>32936</v>
          </cell>
          <cell r="EH109">
            <v>35214</v>
          </cell>
          <cell r="EI109">
            <v>250712</v>
          </cell>
          <cell r="EK109">
            <v>0</v>
          </cell>
          <cell r="EL109">
            <v>0</v>
          </cell>
          <cell r="EM109">
            <v>101.21333333333332</v>
          </cell>
          <cell r="EN109">
            <v>115.30666666666667</v>
          </cell>
          <cell r="EO109">
            <v>129.81333333333333</v>
          </cell>
          <cell r="EP109">
            <v>144.32</v>
          </cell>
          <cell r="EQ109">
            <v>158.82666666666668</v>
          </cell>
          <cell r="ER109">
            <v>174.01333333333332</v>
          </cell>
          <cell r="ES109">
            <v>203.39</v>
          </cell>
          <cell r="ET109">
            <v>219.71566666666664</v>
          </cell>
          <cell r="EU109">
            <v>236.04133333333331</v>
          </cell>
          <cell r="EV109">
            <v>252.36699999999996</v>
          </cell>
          <cell r="EW109">
            <v>1735.0073333333332</v>
          </cell>
          <cell r="EY109">
            <v>123524</v>
          </cell>
          <cell r="EZ109">
            <v>8</v>
          </cell>
          <cell r="FA109">
            <v>823.49333333333334</v>
          </cell>
          <cell r="FB109">
            <v>127188</v>
          </cell>
          <cell r="FC109">
            <v>8.6</v>
          </cell>
          <cell r="FD109">
            <v>911.51400000000001</v>
          </cell>
          <cell r="FE109">
            <v>1735.0073333333335</v>
          </cell>
          <cell r="FF109">
            <v>36949</v>
          </cell>
          <cell r="FH109">
            <v>36949</v>
          </cell>
        </row>
        <row r="110">
          <cell r="B110">
            <v>9384</v>
          </cell>
          <cell r="C110" t="str">
            <v>12.03.2007</v>
          </cell>
          <cell r="D110" t="str">
            <v>Jadhav Manohar Nivruti</v>
          </cell>
          <cell r="F110">
            <v>12001</v>
          </cell>
          <cell r="H110">
            <v>5565</v>
          </cell>
          <cell r="I110">
            <v>5565</v>
          </cell>
          <cell r="J110">
            <v>11130</v>
          </cell>
          <cell r="K110">
            <v>-871</v>
          </cell>
          <cell r="M110">
            <v>1088</v>
          </cell>
          <cell r="N110">
            <v>0</v>
          </cell>
          <cell r="O110">
            <v>1088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W110">
            <v>1088</v>
          </cell>
          <cell r="X110">
            <v>0</v>
          </cell>
          <cell r="Y110">
            <v>1088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G110">
            <v>1121</v>
          </cell>
          <cell r="AH110">
            <v>0</v>
          </cell>
          <cell r="AI110">
            <v>1121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Q110">
            <v>1121</v>
          </cell>
          <cell r="AR110">
            <v>0</v>
          </cell>
          <cell r="AS110">
            <v>1121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BA110">
            <v>1121</v>
          </cell>
          <cell r="BB110">
            <v>0</v>
          </cell>
          <cell r="BC110">
            <v>1121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K110">
            <v>1173</v>
          </cell>
          <cell r="BL110">
            <v>0</v>
          </cell>
          <cell r="BM110">
            <v>1173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U110">
            <v>1173</v>
          </cell>
          <cell r="BV110">
            <v>0</v>
          </cell>
          <cell r="BW110">
            <v>1173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E110">
            <v>1173</v>
          </cell>
          <cell r="CF110">
            <v>0</v>
          </cell>
          <cell r="CG110">
            <v>1173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O110">
            <v>1173</v>
          </cell>
          <cell r="CP110">
            <v>0</v>
          </cell>
          <cell r="CQ110">
            <v>1173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Y110">
            <v>1173</v>
          </cell>
          <cell r="CZ110">
            <v>0</v>
          </cell>
          <cell r="DA110">
            <v>1173</v>
          </cell>
          <cell r="DB110">
            <v>0</v>
          </cell>
          <cell r="DC110">
            <v>0</v>
          </cell>
          <cell r="DD110">
            <v>0</v>
          </cell>
          <cell r="DE110">
            <v>0</v>
          </cell>
          <cell r="DF110">
            <v>0</v>
          </cell>
          <cell r="DG110">
            <v>0</v>
          </cell>
          <cell r="DI110">
            <v>11130</v>
          </cell>
          <cell r="DJ110">
            <v>11404</v>
          </cell>
          <cell r="DK110">
            <v>0</v>
          </cell>
          <cell r="DL110">
            <v>11404</v>
          </cell>
          <cell r="DM110">
            <v>11404</v>
          </cell>
          <cell r="DN110">
            <v>0</v>
          </cell>
          <cell r="DO110">
            <v>11404</v>
          </cell>
          <cell r="DP110">
            <v>0</v>
          </cell>
          <cell r="DQ110">
            <v>0</v>
          </cell>
          <cell r="DR110">
            <v>0</v>
          </cell>
          <cell r="DS110">
            <v>0</v>
          </cell>
          <cell r="DT110">
            <v>22808</v>
          </cell>
          <cell r="DU110">
            <v>0</v>
          </cell>
          <cell r="DW110">
            <v>0</v>
          </cell>
          <cell r="DX110">
            <v>0</v>
          </cell>
          <cell r="DY110">
            <v>13306</v>
          </cell>
          <cell r="DZ110">
            <v>15482</v>
          </cell>
          <cell r="EA110">
            <v>17724</v>
          </cell>
          <cell r="EB110">
            <v>19966</v>
          </cell>
          <cell r="EC110">
            <v>22208</v>
          </cell>
          <cell r="ED110">
            <v>24554</v>
          </cell>
          <cell r="EE110">
            <v>26900</v>
          </cell>
          <cell r="EF110">
            <v>29246</v>
          </cell>
          <cell r="EG110">
            <v>31592</v>
          </cell>
          <cell r="EH110">
            <v>33938</v>
          </cell>
          <cell r="EI110">
            <v>234916</v>
          </cell>
          <cell r="EK110">
            <v>0</v>
          </cell>
          <cell r="EL110">
            <v>0</v>
          </cell>
          <cell r="EM110">
            <v>88.706666666666663</v>
          </cell>
          <cell r="EN110">
            <v>103.21333333333332</v>
          </cell>
          <cell r="EO110">
            <v>118.16000000000001</v>
          </cell>
          <cell r="EP110">
            <v>133.10666666666665</v>
          </cell>
          <cell r="EQ110">
            <v>148.05333333333334</v>
          </cell>
          <cell r="ER110">
            <v>163.69333333333333</v>
          </cell>
          <cell r="ES110">
            <v>192.78333333333333</v>
          </cell>
          <cell r="ET110">
            <v>209.59633333333332</v>
          </cell>
          <cell r="EU110">
            <v>226.40933333333336</v>
          </cell>
          <cell r="EV110">
            <v>243.2223333333333</v>
          </cell>
          <cell r="EW110">
            <v>1626.9446666666668</v>
          </cell>
          <cell r="EY110">
            <v>113240</v>
          </cell>
          <cell r="EZ110">
            <v>8</v>
          </cell>
          <cell r="FA110">
            <v>754.93333333333339</v>
          </cell>
          <cell r="FB110">
            <v>121676</v>
          </cell>
          <cell r="FC110">
            <v>8.6</v>
          </cell>
          <cell r="FD110">
            <v>872.01133333333337</v>
          </cell>
          <cell r="FE110">
            <v>1626.9446666666668</v>
          </cell>
          <cell r="FF110">
            <v>35565</v>
          </cell>
          <cell r="FH110">
            <v>35565</v>
          </cell>
        </row>
        <row r="111">
          <cell r="B111">
            <v>8899</v>
          </cell>
          <cell r="C111" t="str">
            <v>13.03.2007</v>
          </cell>
          <cell r="D111" t="str">
            <v>Kollur Mery Ananda</v>
          </cell>
          <cell r="F111">
            <v>66342</v>
          </cell>
          <cell r="H111">
            <v>57110</v>
          </cell>
          <cell r="I111">
            <v>57110</v>
          </cell>
          <cell r="J111">
            <v>114220</v>
          </cell>
          <cell r="K111">
            <v>47878</v>
          </cell>
          <cell r="M111">
            <v>2228</v>
          </cell>
          <cell r="N111">
            <v>0</v>
          </cell>
          <cell r="O111">
            <v>2228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W111">
            <v>2228</v>
          </cell>
          <cell r="X111">
            <v>0</v>
          </cell>
          <cell r="Y111">
            <v>2228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G111">
            <v>2296</v>
          </cell>
          <cell r="AH111">
            <v>0</v>
          </cell>
          <cell r="AI111">
            <v>2296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Q111">
            <v>2296</v>
          </cell>
          <cell r="AR111">
            <v>0</v>
          </cell>
          <cell r="AS111">
            <v>2296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BA111">
            <v>2296</v>
          </cell>
          <cell r="BB111">
            <v>0</v>
          </cell>
          <cell r="BC111">
            <v>2296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K111">
            <v>2403</v>
          </cell>
          <cell r="BL111">
            <v>0</v>
          </cell>
          <cell r="BM111">
            <v>2403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U111">
            <v>2403</v>
          </cell>
          <cell r="BV111">
            <v>0</v>
          </cell>
          <cell r="BW111">
            <v>2403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E111">
            <v>2403</v>
          </cell>
          <cell r="CF111">
            <v>0</v>
          </cell>
          <cell r="CG111">
            <v>2403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M111">
            <v>0</v>
          </cell>
          <cell r="CO111">
            <v>2403</v>
          </cell>
          <cell r="CP111">
            <v>0</v>
          </cell>
          <cell r="CQ111">
            <v>2403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Y111">
            <v>2403</v>
          </cell>
          <cell r="CZ111">
            <v>0</v>
          </cell>
          <cell r="DA111">
            <v>2403</v>
          </cell>
          <cell r="DB111">
            <v>0</v>
          </cell>
          <cell r="DC111">
            <v>0</v>
          </cell>
          <cell r="DD111">
            <v>0</v>
          </cell>
          <cell r="DE111">
            <v>0</v>
          </cell>
          <cell r="DF111">
            <v>0</v>
          </cell>
          <cell r="DG111">
            <v>0</v>
          </cell>
          <cell r="DI111">
            <v>114220</v>
          </cell>
          <cell r="DJ111">
            <v>23359</v>
          </cell>
          <cell r="DK111">
            <v>0</v>
          </cell>
          <cell r="DL111">
            <v>23359</v>
          </cell>
          <cell r="DM111">
            <v>23359</v>
          </cell>
          <cell r="DN111">
            <v>0</v>
          </cell>
          <cell r="DO111">
            <v>23359</v>
          </cell>
          <cell r="DP111">
            <v>0</v>
          </cell>
          <cell r="DQ111">
            <v>0</v>
          </cell>
          <cell r="DR111">
            <v>0</v>
          </cell>
          <cell r="DS111">
            <v>0</v>
          </cell>
          <cell r="DT111">
            <v>46718</v>
          </cell>
          <cell r="DU111">
            <v>0</v>
          </cell>
          <cell r="DW111">
            <v>0</v>
          </cell>
          <cell r="DX111">
            <v>0</v>
          </cell>
          <cell r="DY111">
            <v>118676</v>
          </cell>
          <cell r="DZ111">
            <v>123132</v>
          </cell>
          <cell r="EA111">
            <v>127724</v>
          </cell>
          <cell r="EB111">
            <v>132316</v>
          </cell>
          <cell r="EC111">
            <v>136908</v>
          </cell>
          <cell r="ED111">
            <v>141714</v>
          </cell>
          <cell r="EE111">
            <v>146520</v>
          </cell>
          <cell r="EF111">
            <v>151326</v>
          </cell>
          <cell r="EG111">
            <v>156132</v>
          </cell>
          <cell r="EH111">
            <v>160938</v>
          </cell>
          <cell r="EI111">
            <v>1395386</v>
          </cell>
          <cell r="EK111">
            <v>0</v>
          </cell>
          <cell r="EL111">
            <v>0</v>
          </cell>
          <cell r="EM111">
            <v>791.17333333333329</v>
          </cell>
          <cell r="EN111">
            <v>820.88</v>
          </cell>
          <cell r="EO111">
            <v>851.49333333333334</v>
          </cell>
          <cell r="EP111">
            <v>882.10666666666668</v>
          </cell>
          <cell r="EQ111">
            <v>912.71999999999991</v>
          </cell>
          <cell r="ER111">
            <v>944.7600000000001</v>
          </cell>
          <cell r="ES111">
            <v>1050.06</v>
          </cell>
          <cell r="ET111">
            <v>1084.5029999999999</v>
          </cell>
          <cell r="EU111">
            <v>1118.9459999999999</v>
          </cell>
          <cell r="EV111">
            <v>1153.3889999999999</v>
          </cell>
          <cell r="EW111">
            <v>9610.0313333333324</v>
          </cell>
          <cell r="EY111">
            <v>780470</v>
          </cell>
          <cell r="EZ111">
            <v>8</v>
          </cell>
          <cell r="FA111">
            <v>5203.1333333333332</v>
          </cell>
          <cell r="FB111">
            <v>614916</v>
          </cell>
          <cell r="FC111">
            <v>8.6</v>
          </cell>
          <cell r="FD111">
            <v>4406.8980000000001</v>
          </cell>
          <cell r="FE111">
            <v>9610.0313333333324</v>
          </cell>
          <cell r="FF111">
            <v>170548</v>
          </cell>
          <cell r="FH111">
            <v>170548</v>
          </cell>
        </row>
        <row r="112">
          <cell r="B112">
            <v>8900</v>
          </cell>
          <cell r="C112" t="str">
            <v>13.03.2007</v>
          </cell>
          <cell r="D112" t="str">
            <v>Lokwani Kanchan Hasanand</v>
          </cell>
          <cell r="F112">
            <v>136725</v>
          </cell>
          <cell r="H112">
            <v>60020</v>
          </cell>
          <cell r="I112">
            <v>60020</v>
          </cell>
          <cell r="J112">
            <v>120040</v>
          </cell>
          <cell r="K112">
            <v>-16685</v>
          </cell>
          <cell r="M112">
            <v>4185</v>
          </cell>
          <cell r="N112">
            <v>0</v>
          </cell>
          <cell r="O112">
            <v>4185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W112">
            <v>4185</v>
          </cell>
          <cell r="X112">
            <v>0</v>
          </cell>
          <cell r="Y112">
            <v>4185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G112">
            <v>4312</v>
          </cell>
          <cell r="AH112">
            <v>0</v>
          </cell>
          <cell r="AI112">
            <v>4312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Q112">
            <v>4312</v>
          </cell>
          <cell r="AR112">
            <v>0</v>
          </cell>
          <cell r="AS112">
            <v>4312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BA112">
            <v>4312</v>
          </cell>
          <cell r="BB112">
            <v>0</v>
          </cell>
          <cell r="BC112">
            <v>4312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K112">
            <v>4512</v>
          </cell>
          <cell r="BL112">
            <v>0</v>
          </cell>
          <cell r="BM112">
            <v>4512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U112">
            <v>4512</v>
          </cell>
          <cell r="BV112">
            <v>0</v>
          </cell>
          <cell r="BW112">
            <v>4512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E112">
            <v>4512</v>
          </cell>
          <cell r="CF112">
            <v>0</v>
          </cell>
          <cell r="CG112">
            <v>4512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O112">
            <v>4512</v>
          </cell>
          <cell r="CP112">
            <v>0</v>
          </cell>
          <cell r="CQ112">
            <v>4512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Y112">
            <v>4512</v>
          </cell>
          <cell r="CZ112">
            <v>0</v>
          </cell>
          <cell r="DA112">
            <v>4512</v>
          </cell>
          <cell r="DB112">
            <v>0</v>
          </cell>
          <cell r="DC112">
            <v>0</v>
          </cell>
          <cell r="DD112">
            <v>0</v>
          </cell>
          <cell r="DE112">
            <v>0</v>
          </cell>
          <cell r="DF112">
            <v>0</v>
          </cell>
          <cell r="DG112">
            <v>0</v>
          </cell>
          <cell r="DI112">
            <v>120040</v>
          </cell>
          <cell r="DJ112">
            <v>43866</v>
          </cell>
          <cell r="DK112">
            <v>0</v>
          </cell>
          <cell r="DL112">
            <v>43866</v>
          </cell>
          <cell r="DM112">
            <v>43866</v>
          </cell>
          <cell r="DN112">
            <v>0</v>
          </cell>
          <cell r="DO112">
            <v>43866</v>
          </cell>
          <cell r="DP112">
            <v>0</v>
          </cell>
          <cell r="DQ112">
            <v>0</v>
          </cell>
          <cell r="DR112">
            <v>0</v>
          </cell>
          <cell r="DS112">
            <v>0</v>
          </cell>
          <cell r="DT112">
            <v>87732</v>
          </cell>
          <cell r="DU112">
            <v>0</v>
          </cell>
          <cell r="DW112">
            <v>0</v>
          </cell>
          <cell r="DX112">
            <v>0</v>
          </cell>
          <cell r="DY112">
            <v>128410</v>
          </cell>
          <cell r="DZ112">
            <v>136780</v>
          </cell>
          <cell r="EA112">
            <v>145404</v>
          </cell>
          <cell r="EB112">
            <v>154028</v>
          </cell>
          <cell r="EC112">
            <v>162652</v>
          </cell>
          <cell r="ED112">
            <v>171676</v>
          </cell>
          <cell r="EE112">
            <v>180700</v>
          </cell>
          <cell r="EF112">
            <v>189724</v>
          </cell>
          <cell r="EG112">
            <v>198748</v>
          </cell>
          <cell r="EH112">
            <v>207772</v>
          </cell>
          <cell r="EI112">
            <v>1675894</v>
          </cell>
          <cell r="EK112">
            <v>0</v>
          </cell>
          <cell r="EL112">
            <v>0</v>
          </cell>
          <cell r="EM112">
            <v>856.06666666666661</v>
          </cell>
          <cell r="EN112">
            <v>911.86666666666667</v>
          </cell>
          <cell r="EO112">
            <v>969.36</v>
          </cell>
          <cell r="EP112">
            <v>1026.8533333333332</v>
          </cell>
          <cell r="EQ112">
            <v>1084.3466666666666</v>
          </cell>
          <cell r="ER112">
            <v>1144.5066666666667</v>
          </cell>
          <cell r="ES112">
            <v>1295.0166666666667</v>
          </cell>
          <cell r="ET112">
            <v>1359.6886666666667</v>
          </cell>
          <cell r="EU112">
            <v>1424.3606666666665</v>
          </cell>
          <cell r="EV112">
            <v>1489.0326666666667</v>
          </cell>
          <cell r="EW112">
            <v>11561.098666666665</v>
          </cell>
          <cell r="EY112">
            <v>898950</v>
          </cell>
          <cell r="EZ112">
            <v>8</v>
          </cell>
          <cell r="FA112">
            <v>5993</v>
          </cell>
          <cell r="FB112">
            <v>776944</v>
          </cell>
          <cell r="FC112">
            <v>8.6</v>
          </cell>
          <cell r="FD112">
            <v>5568.0986666666658</v>
          </cell>
          <cell r="FE112">
            <v>11561.098666666665</v>
          </cell>
          <cell r="FF112">
            <v>219333</v>
          </cell>
          <cell r="FH112">
            <v>219333</v>
          </cell>
        </row>
        <row r="113">
          <cell r="B113">
            <v>8901</v>
          </cell>
          <cell r="C113" t="str">
            <v>13.03.2007</v>
          </cell>
          <cell r="D113" t="str">
            <v>Patil (Dhikale) Madhura Sagar</v>
          </cell>
          <cell r="F113">
            <v>70081</v>
          </cell>
          <cell r="H113">
            <v>16520</v>
          </cell>
          <cell r="I113">
            <v>16520</v>
          </cell>
          <cell r="J113">
            <v>33040</v>
          </cell>
          <cell r="K113">
            <v>-37041</v>
          </cell>
          <cell r="M113">
            <v>2228</v>
          </cell>
          <cell r="N113">
            <v>0</v>
          </cell>
          <cell r="O113">
            <v>2228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W113">
            <v>2228</v>
          </cell>
          <cell r="X113">
            <v>0</v>
          </cell>
          <cell r="Y113">
            <v>2228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G113">
            <v>2296</v>
          </cell>
          <cell r="AH113">
            <v>0</v>
          </cell>
          <cell r="AI113">
            <v>2296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Q113">
            <v>2296</v>
          </cell>
          <cell r="AR113">
            <v>0</v>
          </cell>
          <cell r="AS113">
            <v>2296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BA113">
            <v>2296</v>
          </cell>
          <cell r="BB113">
            <v>0</v>
          </cell>
          <cell r="BC113">
            <v>2296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K113">
            <v>2403</v>
          </cell>
          <cell r="BL113">
            <v>0</v>
          </cell>
          <cell r="BM113">
            <v>2403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U113">
            <v>2403</v>
          </cell>
          <cell r="BV113">
            <v>0</v>
          </cell>
          <cell r="BW113">
            <v>2403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E113">
            <v>2403</v>
          </cell>
          <cell r="CF113">
            <v>0</v>
          </cell>
          <cell r="CG113">
            <v>2403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O113">
            <v>2403</v>
          </cell>
          <cell r="CP113">
            <v>0</v>
          </cell>
          <cell r="CQ113">
            <v>2403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Y113">
            <v>2403</v>
          </cell>
          <cell r="CZ113">
            <v>0</v>
          </cell>
          <cell r="DA113">
            <v>2403</v>
          </cell>
          <cell r="DB113">
            <v>0</v>
          </cell>
          <cell r="DC113">
            <v>0</v>
          </cell>
          <cell r="DD113">
            <v>0</v>
          </cell>
          <cell r="DE113">
            <v>0</v>
          </cell>
          <cell r="DF113">
            <v>0</v>
          </cell>
          <cell r="DG113">
            <v>0</v>
          </cell>
          <cell r="DI113">
            <v>33040</v>
          </cell>
          <cell r="DJ113">
            <v>23359</v>
          </cell>
          <cell r="DK113">
            <v>0</v>
          </cell>
          <cell r="DL113">
            <v>23359</v>
          </cell>
          <cell r="DM113">
            <v>23359</v>
          </cell>
          <cell r="DN113">
            <v>0</v>
          </cell>
          <cell r="DO113">
            <v>23359</v>
          </cell>
          <cell r="DP113">
            <v>0</v>
          </cell>
          <cell r="DQ113">
            <v>0</v>
          </cell>
          <cell r="DR113">
            <v>0</v>
          </cell>
          <cell r="DS113">
            <v>0</v>
          </cell>
          <cell r="DT113">
            <v>46718</v>
          </cell>
          <cell r="DU113">
            <v>0</v>
          </cell>
          <cell r="DW113">
            <v>0</v>
          </cell>
          <cell r="DX113">
            <v>0</v>
          </cell>
          <cell r="DY113">
            <v>37496</v>
          </cell>
          <cell r="DZ113">
            <v>41952</v>
          </cell>
          <cell r="EA113">
            <v>46544</v>
          </cell>
          <cell r="EB113">
            <v>51136</v>
          </cell>
          <cell r="EC113">
            <v>55728</v>
          </cell>
          <cell r="ED113">
            <v>60534</v>
          </cell>
          <cell r="EE113">
            <v>65340</v>
          </cell>
          <cell r="EF113">
            <v>70146</v>
          </cell>
          <cell r="EG113">
            <v>74952</v>
          </cell>
          <cell r="EH113">
            <v>79758</v>
          </cell>
          <cell r="EI113">
            <v>583586</v>
          </cell>
          <cell r="EK113">
            <v>0</v>
          </cell>
          <cell r="EL113">
            <v>0</v>
          </cell>
          <cell r="EM113">
            <v>249.97333333333333</v>
          </cell>
          <cell r="EN113">
            <v>279.68</v>
          </cell>
          <cell r="EO113">
            <v>310.29333333333335</v>
          </cell>
          <cell r="EP113">
            <v>340.90666666666669</v>
          </cell>
          <cell r="EQ113">
            <v>371.52</v>
          </cell>
          <cell r="ER113">
            <v>403.56</v>
          </cell>
          <cell r="ES113">
            <v>468.27</v>
          </cell>
          <cell r="ET113">
            <v>502.71299999999997</v>
          </cell>
          <cell r="EU113">
            <v>537.15599999999995</v>
          </cell>
          <cell r="EV113">
            <v>571.59899999999993</v>
          </cell>
          <cell r="EW113">
            <v>4035.6713333333337</v>
          </cell>
          <cell r="EY113">
            <v>293390</v>
          </cell>
          <cell r="EZ113">
            <v>8</v>
          </cell>
          <cell r="FA113">
            <v>1955.9333333333334</v>
          </cell>
          <cell r="FB113">
            <v>290196</v>
          </cell>
          <cell r="FC113">
            <v>8.6</v>
          </cell>
          <cell r="FD113">
            <v>2079.7379999999998</v>
          </cell>
          <cell r="FE113">
            <v>4035.6713333333332</v>
          </cell>
          <cell r="FF113">
            <v>83794</v>
          </cell>
          <cell r="FH113">
            <v>83794</v>
          </cell>
        </row>
        <row r="114">
          <cell r="B114">
            <v>8902</v>
          </cell>
          <cell r="C114" t="str">
            <v>13.03.2007</v>
          </cell>
          <cell r="D114" t="str">
            <v>Shinde (Aaher) Manisha Pravin</v>
          </cell>
          <cell r="F114">
            <v>70447</v>
          </cell>
          <cell r="H114">
            <v>9387</v>
          </cell>
          <cell r="I114">
            <v>9387</v>
          </cell>
          <cell r="J114">
            <v>18774</v>
          </cell>
          <cell r="K114">
            <v>-51673</v>
          </cell>
          <cell r="M114">
            <v>2228</v>
          </cell>
          <cell r="N114">
            <v>0</v>
          </cell>
          <cell r="O114">
            <v>2228</v>
          </cell>
          <cell r="P114">
            <v>0</v>
          </cell>
          <cell r="Q114">
            <v>975</v>
          </cell>
          <cell r="R114">
            <v>0</v>
          </cell>
          <cell r="S114">
            <v>0</v>
          </cell>
          <cell r="T114">
            <v>975</v>
          </cell>
          <cell r="U114">
            <v>0</v>
          </cell>
          <cell r="W114">
            <v>2228</v>
          </cell>
          <cell r="X114">
            <v>0</v>
          </cell>
          <cell r="Y114">
            <v>2228</v>
          </cell>
          <cell r="Z114">
            <v>0</v>
          </cell>
          <cell r="AA114">
            <v>975</v>
          </cell>
          <cell r="AB114">
            <v>0</v>
          </cell>
          <cell r="AC114">
            <v>0</v>
          </cell>
          <cell r="AD114">
            <v>975</v>
          </cell>
          <cell r="AE114">
            <v>0</v>
          </cell>
          <cell r="AG114">
            <v>2296</v>
          </cell>
          <cell r="AH114">
            <v>0</v>
          </cell>
          <cell r="AI114">
            <v>2296</v>
          </cell>
          <cell r="AJ114">
            <v>0</v>
          </cell>
          <cell r="AK114">
            <v>975</v>
          </cell>
          <cell r="AL114">
            <v>0</v>
          </cell>
          <cell r="AM114">
            <v>0</v>
          </cell>
          <cell r="AN114">
            <v>975</v>
          </cell>
          <cell r="AO114">
            <v>0</v>
          </cell>
          <cell r="AQ114">
            <v>2296</v>
          </cell>
          <cell r="AR114">
            <v>0</v>
          </cell>
          <cell r="AS114">
            <v>2296</v>
          </cell>
          <cell r="AT114">
            <v>0</v>
          </cell>
          <cell r="AU114">
            <v>975</v>
          </cell>
          <cell r="AV114">
            <v>0</v>
          </cell>
          <cell r="AW114">
            <v>0</v>
          </cell>
          <cell r="AX114">
            <v>975</v>
          </cell>
          <cell r="AY114">
            <v>0</v>
          </cell>
          <cell r="BA114">
            <v>2296</v>
          </cell>
          <cell r="BB114">
            <v>0</v>
          </cell>
          <cell r="BC114">
            <v>2296</v>
          </cell>
          <cell r="BD114">
            <v>0</v>
          </cell>
          <cell r="BE114">
            <v>975</v>
          </cell>
          <cell r="BF114">
            <v>0</v>
          </cell>
          <cell r="BG114">
            <v>0</v>
          </cell>
          <cell r="BH114">
            <v>975</v>
          </cell>
          <cell r="BI114">
            <v>0</v>
          </cell>
          <cell r="BK114">
            <v>2403</v>
          </cell>
          <cell r="BL114">
            <v>0</v>
          </cell>
          <cell r="BM114">
            <v>2403</v>
          </cell>
          <cell r="BN114">
            <v>0</v>
          </cell>
          <cell r="BO114">
            <v>975</v>
          </cell>
          <cell r="BP114">
            <v>0</v>
          </cell>
          <cell r="BQ114">
            <v>0</v>
          </cell>
          <cell r="BR114">
            <v>975</v>
          </cell>
          <cell r="BS114">
            <v>0</v>
          </cell>
          <cell r="BU114">
            <v>2403</v>
          </cell>
          <cell r="BV114">
            <v>0</v>
          </cell>
          <cell r="BW114">
            <v>2403</v>
          </cell>
          <cell r="BX114">
            <v>0</v>
          </cell>
          <cell r="BY114">
            <v>975</v>
          </cell>
          <cell r="BZ114">
            <v>0</v>
          </cell>
          <cell r="CA114">
            <v>0</v>
          </cell>
          <cell r="CB114">
            <v>975</v>
          </cell>
          <cell r="CC114">
            <v>0</v>
          </cell>
          <cell r="CE114">
            <v>2403</v>
          </cell>
          <cell r="CF114">
            <v>0</v>
          </cell>
          <cell r="CG114">
            <v>2403</v>
          </cell>
          <cell r="CH114">
            <v>0</v>
          </cell>
          <cell r="CI114">
            <v>975</v>
          </cell>
          <cell r="CJ114">
            <v>0</v>
          </cell>
          <cell r="CK114">
            <v>0</v>
          </cell>
          <cell r="CL114">
            <v>975</v>
          </cell>
          <cell r="CM114">
            <v>0</v>
          </cell>
          <cell r="CO114">
            <v>2403</v>
          </cell>
          <cell r="CP114">
            <v>0</v>
          </cell>
          <cell r="CQ114">
            <v>2403</v>
          </cell>
          <cell r="CR114">
            <v>0</v>
          </cell>
          <cell r="CS114">
            <v>975</v>
          </cell>
          <cell r="CT114">
            <v>0</v>
          </cell>
          <cell r="CU114">
            <v>0</v>
          </cell>
          <cell r="CV114">
            <v>975</v>
          </cell>
          <cell r="CW114">
            <v>0</v>
          </cell>
          <cell r="CY114">
            <v>2403</v>
          </cell>
          <cell r="CZ114">
            <v>0</v>
          </cell>
          <cell r="DA114">
            <v>2403</v>
          </cell>
          <cell r="DB114">
            <v>0</v>
          </cell>
          <cell r="DC114">
            <v>975</v>
          </cell>
          <cell r="DD114">
            <v>0</v>
          </cell>
          <cell r="DE114">
            <v>0</v>
          </cell>
          <cell r="DF114">
            <v>975</v>
          </cell>
          <cell r="DG114">
            <v>0</v>
          </cell>
          <cell r="DI114">
            <v>18774</v>
          </cell>
          <cell r="DJ114">
            <v>23359</v>
          </cell>
          <cell r="DK114">
            <v>0</v>
          </cell>
          <cell r="DL114">
            <v>23359</v>
          </cell>
          <cell r="DM114">
            <v>23359</v>
          </cell>
          <cell r="DN114">
            <v>0</v>
          </cell>
          <cell r="DO114">
            <v>23359</v>
          </cell>
          <cell r="DP114">
            <v>9750</v>
          </cell>
          <cell r="DQ114">
            <v>0</v>
          </cell>
          <cell r="DR114">
            <v>0</v>
          </cell>
          <cell r="DS114">
            <v>9750</v>
          </cell>
          <cell r="DT114">
            <v>56468</v>
          </cell>
          <cell r="DU114">
            <v>0</v>
          </cell>
          <cell r="DW114">
            <v>0</v>
          </cell>
          <cell r="DX114">
            <v>0</v>
          </cell>
          <cell r="DY114">
            <v>24205</v>
          </cell>
          <cell r="DZ114">
            <v>29636</v>
          </cell>
          <cell r="EA114">
            <v>35203</v>
          </cell>
          <cell r="EB114">
            <v>40770</v>
          </cell>
          <cell r="EC114">
            <v>46337</v>
          </cell>
          <cell r="ED114">
            <v>52118</v>
          </cell>
          <cell r="EE114">
            <v>57899</v>
          </cell>
          <cell r="EF114">
            <v>63680</v>
          </cell>
          <cell r="EG114">
            <v>69461</v>
          </cell>
          <cell r="EH114">
            <v>75242</v>
          </cell>
          <cell r="EI114">
            <v>494551</v>
          </cell>
          <cell r="EK114">
            <v>0</v>
          </cell>
          <cell r="EL114">
            <v>0</v>
          </cell>
          <cell r="EM114">
            <v>161.36666666666667</v>
          </cell>
          <cell r="EN114">
            <v>197.57333333333335</v>
          </cell>
          <cell r="EO114">
            <v>234.68666666666664</v>
          </cell>
          <cell r="EP114">
            <v>271.8</v>
          </cell>
          <cell r="EQ114">
            <v>308.91333333333336</v>
          </cell>
          <cell r="ER114">
            <v>347.45333333333332</v>
          </cell>
          <cell r="ES114">
            <v>414.94283333333328</v>
          </cell>
          <cell r="ET114">
            <v>456.37333333333328</v>
          </cell>
          <cell r="EU114">
            <v>497.80383333333333</v>
          </cell>
          <cell r="EV114">
            <v>539.23433333333332</v>
          </cell>
          <cell r="EW114">
            <v>3430.1476666666667</v>
          </cell>
          <cell r="EY114">
            <v>228269</v>
          </cell>
          <cell r="EZ114">
            <v>8</v>
          </cell>
          <cell r="FA114">
            <v>1521.7933333333333</v>
          </cell>
          <cell r="FB114">
            <v>266282</v>
          </cell>
          <cell r="FC114">
            <v>8.6</v>
          </cell>
          <cell r="FD114">
            <v>1908.354333333333</v>
          </cell>
          <cell r="FE114">
            <v>3430.1476666666663</v>
          </cell>
          <cell r="FF114">
            <v>78672</v>
          </cell>
          <cell r="FH114">
            <v>78672</v>
          </cell>
        </row>
        <row r="115">
          <cell r="B115">
            <v>8903</v>
          </cell>
          <cell r="C115" t="str">
            <v>13.03.2007</v>
          </cell>
          <cell r="D115" t="str">
            <v>Daryapurkar (Dethe) Esther Avinash</v>
          </cell>
          <cell r="F115">
            <v>70447</v>
          </cell>
          <cell r="H115">
            <v>57165</v>
          </cell>
          <cell r="I115">
            <v>57165</v>
          </cell>
          <cell r="J115">
            <v>114330</v>
          </cell>
          <cell r="K115">
            <v>43883</v>
          </cell>
          <cell r="M115">
            <v>2228</v>
          </cell>
          <cell r="N115">
            <v>0</v>
          </cell>
          <cell r="O115">
            <v>2228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W115">
            <v>2228</v>
          </cell>
          <cell r="X115">
            <v>0</v>
          </cell>
          <cell r="Y115">
            <v>2228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G115">
            <v>2296</v>
          </cell>
          <cell r="AH115">
            <v>0</v>
          </cell>
          <cell r="AI115">
            <v>2296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Q115">
            <v>2296</v>
          </cell>
          <cell r="AR115">
            <v>0</v>
          </cell>
          <cell r="AS115">
            <v>2296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BA115">
            <v>2296</v>
          </cell>
          <cell r="BB115">
            <v>0</v>
          </cell>
          <cell r="BC115">
            <v>2296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K115">
            <v>2403</v>
          </cell>
          <cell r="BL115">
            <v>0</v>
          </cell>
          <cell r="BM115">
            <v>2403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U115">
            <v>2403</v>
          </cell>
          <cell r="BV115">
            <v>0</v>
          </cell>
          <cell r="BW115">
            <v>2403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E115">
            <v>2403</v>
          </cell>
          <cell r="CF115">
            <v>0</v>
          </cell>
          <cell r="CG115">
            <v>2403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O115">
            <v>2403</v>
          </cell>
          <cell r="CP115">
            <v>0</v>
          </cell>
          <cell r="CQ115">
            <v>2403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Y115">
            <v>2403</v>
          </cell>
          <cell r="CZ115">
            <v>0</v>
          </cell>
          <cell r="DA115">
            <v>2403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I115">
            <v>114330</v>
          </cell>
          <cell r="DJ115">
            <v>23359</v>
          </cell>
          <cell r="DK115">
            <v>0</v>
          </cell>
          <cell r="DL115">
            <v>23359</v>
          </cell>
          <cell r="DM115">
            <v>23359</v>
          </cell>
          <cell r="DN115">
            <v>0</v>
          </cell>
          <cell r="DO115">
            <v>23359</v>
          </cell>
          <cell r="DP115">
            <v>0</v>
          </cell>
          <cell r="DQ115">
            <v>0</v>
          </cell>
          <cell r="DR115">
            <v>0</v>
          </cell>
          <cell r="DS115">
            <v>0</v>
          </cell>
          <cell r="DT115">
            <v>46718</v>
          </cell>
          <cell r="DU115">
            <v>0</v>
          </cell>
          <cell r="DW115">
            <v>0</v>
          </cell>
          <cell r="DX115">
            <v>0</v>
          </cell>
          <cell r="DY115">
            <v>118786</v>
          </cell>
          <cell r="DZ115">
            <v>123242</v>
          </cell>
          <cell r="EA115">
            <v>127834</v>
          </cell>
          <cell r="EB115">
            <v>132426</v>
          </cell>
          <cell r="EC115">
            <v>137018</v>
          </cell>
          <cell r="ED115">
            <v>141824</v>
          </cell>
          <cell r="EE115">
            <v>146630</v>
          </cell>
          <cell r="EF115">
            <v>151436</v>
          </cell>
          <cell r="EG115">
            <v>156242</v>
          </cell>
          <cell r="EH115">
            <v>161048</v>
          </cell>
          <cell r="EI115">
            <v>1396486</v>
          </cell>
          <cell r="EK115">
            <v>0</v>
          </cell>
          <cell r="EL115">
            <v>0</v>
          </cell>
          <cell r="EM115">
            <v>791.90666666666664</v>
          </cell>
          <cell r="EN115">
            <v>821.61333333333334</v>
          </cell>
          <cell r="EO115">
            <v>852.22666666666657</v>
          </cell>
          <cell r="EP115">
            <v>882.84</v>
          </cell>
          <cell r="EQ115">
            <v>913.45333333333338</v>
          </cell>
          <cell r="ER115">
            <v>945.49333333333334</v>
          </cell>
          <cell r="ES115">
            <v>1050.8483333333334</v>
          </cell>
          <cell r="ET115">
            <v>1085.2913333333333</v>
          </cell>
          <cell r="EU115">
            <v>1119.7343333333333</v>
          </cell>
          <cell r="EV115">
            <v>1154.1773333333333</v>
          </cell>
          <cell r="EW115">
            <v>9617.5846666666657</v>
          </cell>
          <cell r="EY115">
            <v>781130</v>
          </cell>
          <cell r="EZ115">
            <v>8</v>
          </cell>
          <cell r="FA115">
            <v>5207.5333333333338</v>
          </cell>
          <cell r="FB115">
            <v>615356</v>
          </cell>
          <cell r="FC115">
            <v>8.6</v>
          </cell>
          <cell r="FD115">
            <v>4410.0513333333329</v>
          </cell>
          <cell r="FE115">
            <v>9617.5846666666657</v>
          </cell>
          <cell r="FF115">
            <v>170666</v>
          </cell>
          <cell r="FH115">
            <v>170666</v>
          </cell>
        </row>
        <row r="116">
          <cell r="B116">
            <v>8904</v>
          </cell>
          <cell r="C116" t="str">
            <v>13.03.2007</v>
          </cell>
          <cell r="D116" t="str">
            <v>Ghagre Usha Vishal</v>
          </cell>
          <cell r="F116">
            <v>70171</v>
          </cell>
          <cell r="H116">
            <v>56085</v>
          </cell>
          <cell r="I116">
            <v>56085</v>
          </cell>
          <cell r="J116">
            <v>112170</v>
          </cell>
          <cell r="K116">
            <v>41999</v>
          </cell>
          <cell r="M116">
            <v>2228</v>
          </cell>
          <cell r="N116">
            <v>0</v>
          </cell>
          <cell r="O116">
            <v>2228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W116">
            <v>2228</v>
          </cell>
          <cell r="X116">
            <v>0</v>
          </cell>
          <cell r="Y116">
            <v>2228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G116">
            <v>2296</v>
          </cell>
          <cell r="AH116">
            <v>0</v>
          </cell>
          <cell r="AI116">
            <v>2296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Q116">
            <v>2296</v>
          </cell>
          <cell r="AR116">
            <v>0</v>
          </cell>
          <cell r="AS116">
            <v>2296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BA116">
            <v>2296</v>
          </cell>
          <cell r="BB116">
            <v>0</v>
          </cell>
          <cell r="BC116">
            <v>2296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K116">
            <v>2403</v>
          </cell>
          <cell r="BL116">
            <v>0</v>
          </cell>
          <cell r="BM116">
            <v>2403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U116">
            <v>2403</v>
          </cell>
          <cell r="BV116">
            <v>0</v>
          </cell>
          <cell r="BW116">
            <v>2403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E116">
            <v>2403</v>
          </cell>
          <cell r="CF116">
            <v>0</v>
          </cell>
          <cell r="CG116">
            <v>2403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O116">
            <v>2403</v>
          </cell>
          <cell r="CP116">
            <v>0</v>
          </cell>
          <cell r="CQ116">
            <v>2403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Y116">
            <v>2403</v>
          </cell>
          <cell r="CZ116">
            <v>0</v>
          </cell>
          <cell r="DA116">
            <v>2403</v>
          </cell>
          <cell r="DB116">
            <v>0</v>
          </cell>
          <cell r="DC116">
            <v>0</v>
          </cell>
          <cell r="DD116">
            <v>0</v>
          </cell>
          <cell r="DE116">
            <v>0</v>
          </cell>
          <cell r="DF116">
            <v>0</v>
          </cell>
          <cell r="DG116">
            <v>0</v>
          </cell>
          <cell r="DI116">
            <v>112170</v>
          </cell>
          <cell r="DJ116">
            <v>23359</v>
          </cell>
          <cell r="DK116">
            <v>0</v>
          </cell>
          <cell r="DL116">
            <v>23359</v>
          </cell>
          <cell r="DM116">
            <v>23359</v>
          </cell>
          <cell r="DN116">
            <v>0</v>
          </cell>
          <cell r="DO116">
            <v>23359</v>
          </cell>
          <cell r="DP116">
            <v>0</v>
          </cell>
          <cell r="DQ116">
            <v>0</v>
          </cell>
          <cell r="DR116">
            <v>0</v>
          </cell>
          <cell r="DS116">
            <v>0</v>
          </cell>
          <cell r="DT116">
            <v>46718</v>
          </cell>
          <cell r="DU116">
            <v>0</v>
          </cell>
          <cell r="DW116">
            <v>0</v>
          </cell>
          <cell r="DX116">
            <v>0</v>
          </cell>
          <cell r="DY116">
            <v>116626</v>
          </cell>
          <cell r="DZ116">
            <v>121082</v>
          </cell>
          <cell r="EA116">
            <v>125674</v>
          </cell>
          <cell r="EB116">
            <v>130266</v>
          </cell>
          <cell r="EC116">
            <v>134858</v>
          </cell>
          <cell r="ED116">
            <v>139664</v>
          </cell>
          <cell r="EE116">
            <v>144470</v>
          </cell>
          <cell r="EF116">
            <v>149276</v>
          </cell>
          <cell r="EG116">
            <v>154082</v>
          </cell>
          <cell r="EH116">
            <v>158888</v>
          </cell>
          <cell r="EI116">
            <v>1374886</v>
          </cell>
          <cell r="EK116">
            <v>0</v>
          </cell>
          <cell r="EL116">
            <v>0</v>
          </cell>
          <cell r="EM116">
            <v>777.50666666666666</v>
          </cell>
          <cell r="EN116">
            <v>807.21333333333325</v>
          </cell>
          <cell r="EO116">
            <v>837.82666666666671</v>
          </cell>
          <cell r="EP116">
            <v>868.44</v>
          </cell>
          <cell r="EQ116">
            <v>899.05333333333328</v>
          </cell>
          <cell r="ER116">
            <v>931.09333333333336</v>
          </cell>
          <cell r="ES116">
            <v>1035.3683333333333</v>
          </cell>
          <cell r="ET116">
            <v>1069.8113333333333</v>
          </cell>
          <cell r="EU116">
            <v>1104.2543333333333</v>
          </cell>
          <cell r="EV116">
            <v>1138.6973333333333</v>
          </cell>
          <cell r="EW116">
            <v>9469.264666666666</v>
          </cell>
          <cell r="EY116">
            <v>768170</v>
          </cell>
          <cell r="EZ116">
            <v>8</v>
          </cell>
          <cell r="FA116">
            <v>5121.1333333333332</v>
          </cell>
          <cell r="FB116">
            <v>606716</v>
          </cell>
          <cell r="FC116">
            <v>8.6</v>
          </cell>
          <cell r="FD116">
            <v>4348.1313333333328</v>
          </cell>
          <cell r="FE116">
            <v>9469.264666666666</v>
          </cell>
          <cell r="FF116">
            <v>168357</v>
          </cell>
          <cell r="FH116">
            <v>168357</v>
          </cell>
        </row>
        <row r="117">
          <cell r="B117">
            <v>8905</v>
          </cell>
          <cell r="C117" t="str">
            <v>13.03.2007</v>
          </cell>
          <cell r="D117" t="str">
            <v>Patil Priyatama Bhaskarrao</v>
          </cell>
          <cell r="F117">
            <v>70447</v>
          </cell>
          <cell r="H117">
            <v>56085</v>
          </cell>
          <cell r="I117">
            <v>56085</v>
          </cell>
          <cell r="J117">
            <v>112170</v>
          </cell>
          <cell r="K117">
            <v>41723</v>
          </cell>
          <cell r="M117">
            <v>2228</v>
          </cell>
          <cell r="N117">
            <v>0</v>
          </cell>
          <cell r="O117">
            <v>2228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W117">
            <v>2228</v>
          </cell>
          <cell r="X117">
            <v>0</v>
          </cell>
          <cell r="Y117">
            <v>2228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G117">
            <v>2296</v>
          </cell>
          <cell r="AH117">
            <v>0</v>
          </cell>
          <cell r="AI117">
            <v>2296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Q117">
            <v>2296</v>
          </cell>
          <cell r="AR117">
            <v>0</v>
          </cell>
          <cell r="AS117">
            <v>2296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BA117">
            <v>2296</v>
          </cell>
          <cell r="BB117">
            <v>0</v>
          </cell>
          <cell r="BC117">
            <v>2296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K117">
            <v>2403</v>
          </cell>
          <cell r="BL117">
            <v>0</v>
          </cell>
          <cell r="BM117">
            <v>2403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U117">
            <v>2403</v>
          </cell>
          <cell r="BV117">
            <v>0</v>
          </cell>
          <cell r="BW117">
            <v>2403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E117">
            <v>2403</v>
          </cell>
          <cell r="CF117">
            <v>0</v>
          </cell>
          <cell r="CG117">
            <v>2403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O117">
            <v>2403</v>
          </cell>
          <cell r="CP117">
            <v>0</v>
          </cell>
          <cell r="CQ117">
            <v>2403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Y117">
            <v>2403</v>
          </cell>
          <cell r="CZ117">
            <v>0</v>
          </cell>
          <cell r="DA117">
            <v>2403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I117">
            <v>112170</v>
          </cell>
          <cell r="DJ117">
            <v>23359</v>
          </cell>
          <cell r="DK117">
            <v>0</v>
          </cell>
          <cell r="DL117">
            <v>23359</v>
          </cell>
          <cell r="DM117">
            <v>23359</v>
          </cell>
          <cell r="DN117">
            <v>0</v>
          </cell>
          <cell r="DO117">
            <v>23359</v>
          </cell>
          <cell r="DP117">
            <v>0</v>
          </cell>
          <cell r="DQ117">
            <v>0</v>
          </cell>
          <cell r="DR117">
            <v>0</v>
          </cell>
          <cell r="DS117">
            <v>0</v>
          </cell>
          <cell r="DT117">
            <v>46718</v>
          </cell>
          <cell r="DU117">
            <v>0</v>
          </cell>
          <cell r="DW117">
            <v>0</v>
          </cell>
          <cell r="DX117">
            <v>0</v>
          </cell>
          <cell r="DY117">
            <v>116626</v>
          </cell>
          <cell r="DZ117">
            <v>121082</v>
          </cell>
          <cell r="EA117">
            <v>125674</v>
          </cell>
          <cell r="EB117">
            <v>130266</v>
          </cell>
          <cell r="EC117">
            <v>134858</v>
          </cell>
          <cell r="ED117">
            <v>139664</v>
          </cell>
          <cell r="EE117">
            <v>144470</v>
          </cell>
          <cell r="EF117">
            <v>149276</v>
          </cell>
          <cell r="EG117">
            <v>154082</v>
          </cell>
          <cell r="EH117">
            <v>158888</v>
          </cell>
          <cell r="EI117">
            <v>1374886</v>
          </cell>
          <cell r="EK117">
            <v>0</v>
          </cell>
          <cell r="EL117">
            <v>0</v>
          </cell>
          <cell r="EM117">
            <v>777.50666666666666</v>
          </cell>
          <cell r="EN117">
            <v>807.21333333333325</v>
          </cell>
          <cell r="EO117">
            <v>837.82666666666671</v>
          </cell>
          <cell r="EP117">
            <v>868.44</v>
          </cell>
          <cell r="EQ117">
            <v>899.05333333333328</v>
          </cell>
          <cell r="ER117">
            <v>931.09333333333336</v>
          </cell>
          <cell r="ES117">
            <v>1035.3683333333333</v>
          </cell>
          <cell r="ET117">
            <v>1069.8113333333333</v>
          </cell>
          <cell r="EU117">
            <v>1104.2543333333333</v>
          </cell>
          <cell r="EV117">
            <v>1138.6973333333333</v>
          </cell>
          <cell r="EW117">
            <v>9469.264666666666</v>
          </cell>
          <cell r="EY117">
            <v>768170</v>
          </cell>
          <cell r="EZ117">
            <v>8</v>
          </cell>
          <cell r="FA117">
            <v>5121.1333333333332</v>
          </cell>
          <cell r="FB117">
            <v>606716</v>
          </cell>
          <cell r="FC117">
            <v>8.6</v>
          </cell>
          <cell r="FD117">
            <v>4348.1313333333328</v>
          </cell>
          <cell r="FE117">
            <v>9469.264666666666</v>
          </cell>
          <cell r="FF117">
            <v>168357</v>
          </cell>
          <cell r="FH117">
            <v>168357</v>
          </cell>
        </row>
        <row r="118">
          <cell r="B118">
            <v>8906</v>
          </cell>
          <cell r="C118" t="str">
            <v>13.03.2007</v>
          </cell>
          <cell r="D118" t="str">
            <v>Jadhav Vidya Bhausaheb</v>
          </cell>
          <cell r="F118">
            <v>70171</v>
          </cell>
          <cell r="H118">
            <v>59666</v>
          </cell>
          <cell r="I118">
            <v>59666</v>
          </cell>
          <cell r="J118">
            <v>119332</v>
          </cell>
          <cell r="K118">
            <v>49161</v>
          </cell>
          <cell r="M118">
            <v>2228</v>
          </cell>
          <cell r="N118">
            <v>0</v>
          </cell>
          <cell r="O118">
            <v>2228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W118">
            <v>2228</v>
          </cell>
          <cell r="X118">
            <v>0</v>
          </cell>
          <cell r="Y118">
            <v>2228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G118">
            <v>2296</v>
          </cell>
          <cell r="AH118">
            <v>0</v>
          </cell>
          <cell r="AI118">
            <v>2296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Q118">
            <v>2296</v>
          </cell>
          <cell r="AR118">
            <v>0</v>
          </cell>
          <cell r="AS118">
            <v>2296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BA118">
            <v>2296</v>
          </cell>
          <cell r="BB118">
            <v>0</v>
          </cell>
          <cell r="BC118">
            <v>2296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30000</v>
          </cell>
          <cell r="BK118">
            <v>2403</v>
          </cell>
          <cell r="BL118">
            <v>0</v>
          </cell>
          <cell r="BM118">
            <v>2403</v>
          </cell>
          <cell r="BN118">
            <v>0</v>
          </cell>
          <cell r="BO118">
            <v>1500</v>
          </cell>
          <cell r="BP118">
            <v>0</v>
          </cell>
          <cell r="BQ118">
            <v>0</v>
          </cell>
          <cell r="BR118">
            <v>1500</v>
          </cell>
          <cell r="BS118">
            <v>0</v>
          </cell>
          <cell r="BU118">
            <v>2403</v>
          </cell>
          <cell r="BV118">
            <v>0</v>
          </cell>
          <cell r="BW118">
            <v>2403</v>
          </cell>
          <cell r="BX118">
            <v>0</v>
          </cell>
          <cell r="BY118">
            <v>1500</v>
          </cell>
          <cell r="BZ118">
            <v>0</v>
          </cell>
          <cell r="CA118">
            <v>0</v>
          </cell>
          <cell r="CB118">
            <v>1500</v>
          </cell>
          <cell r="CC118">
            <v>0</v>
          </cell>
          <cell r="CE118">
            <v>2403</v>
          </cell>
          <cell r="CF118">
            <v>0</v>
          </cell>
          <cell r="CG118">
            <v>2403</v>
          </cell>
          <cell r="CH118">
            <v>0</v>
          </cell>
          <cell r="CI118">
            <v>1500</v>
          </cell>
          <cell r="CJ118">
            <v>0</v>
          </cell>
          <cell r="CK118">
            <v>0</v>
          </cell>
          <cell r="CL118">
            <v>1500</v>
          </cell>
          <cell r="CM118">
            <v>0</v>
          </cell>
          <cell r="CO118">
            <v>2403</v>
          </cell>
          <cell r="CP118">
            <v>0</v>
          </cell>
          <cell r="CQ118">
            <v>2403</v>
          </cell>
          <cell r="CR118">
            <v>0</v>
          </cell>
          <cell r="CS118">
            <v>1500</v>
          </cell>
          <cell r="CT118">
            <v>0</v>
          </cell>
          <cell r="CU118">
            <v>0</v>
          </cell>
          <cell r="CV118">
            <v>1500</v>
          </cell>
          <cell r="CW118">
            <v>0</v>
          </cell>
          <cell r="CY118">
            <v>2403</v>
          </cell>
          <cell r="CZ118">
            <v>0</v>
          </cell>
          <cell r="DA118">
            <v>2403</v>
          </cell>
          <cell r="DB118">
            <v>0</v>
          </cell>
          <cell r="DC118">
            <v>1500</v>
          </cell>
          <cell r="DD118">
            <v>0</v>
          </cell>
          <cell r="DE118">
            <v>0</v>
          </cell>
          <cell r="DF118">
            <v>1500</v>
          </cell>
          <cell r="DG118">
            <v>0</v>
          </cell>
          <cell r="DI118">
            <v>119332</v>
          </cell>
          <cell r="DJ118">
            <v>23359</v>
          </cell>
          <cell r="DK118">
            <v>0</v>
          </cell>
          <cell r="DL118">
            <v>23359</v>
          </cell>
          <cell r="DM118">
            <v>23359</v>
          </cell>
          <cell r="DN118">
            <v>0</v>
          </cell>
          <cell r="DO118">
            <v>23359</v>
          </cell>
          <cell r="DP118">
            <v>7500</v>
          </cell>
          <cell r="DQ118">
            <v>0</v>
          </cell>
          <cell r="DR118">
            <v>0</v>
          </cell>
          <cell r="DS118">
            <v>7500</v>
          </cell>
          <cell r="DT118">
            <v>54218</v>
          </cell>
          <cell r="DU118">
            <v>30000</v>
          </cell>
          <cell r="DW118">
            <v>0</v>
          </cell>
          <cell r="DX118">
            <v>0</v>
          </cell>
          <cell r="DY118">
            <v>123788</v>
          </cell>
          <cell r="DZ118">
            <v>128244</v>
          </cell>
          <cell r="EA118">
            <v>132836</v>
          </cell>
          <cell r="EB118">
            <v>137428</v>
          </cell>
          <cell r="EC118">
            <v>112020</v>
          </cell>
          <cell r="ED118">
            <v>118326</v>
          </cell>
          <cell r="EE118">
            <v>124632</v>
          </cell>
          <cell r="EF118">
            <v>130938</v>
          </cell>
          <cell r="EG118">
            <v>137244</v>
          </cell>
          <cell r="EH118">
            <v>143550</v>
          </cell>
          <cell r="EI118">
            <v>1289006</v>
          </cell>
          <cell r="EK118">
            <v>0</v>
          </cell>
          <cell r="EL118">
            <v>0</v>
          </cell>
          <cell r="EM118">
            <v>825.25333333333344</v>
          </cell>
          <cell r="EN118">
            <v>854.96</v>
          </cell>
          <cell r="EO118">
            <v>885.57333333333327</v>
          </cell>
          <cell r="EP118">
            <v>916.18666666666661</v>
          </cell>
          <cell r="EQ118">
            <v>746.80000000000007</v>
          </cell>
          <cell r="ER118">
            <v>788.84</v>
          </cell>
          <cell r="ES118">
            <v>893.19599999999991</v>
          </cell>
          <cell r="ET118">
            <v>938.38900000000001</v>
          </cell>
          <cell r="EU118">
            <v>983.58199999999988</v>
          </cell>
          <cell r="EV118">
            <v>1028.7749999999999</v>
          </cell>
          <cell r="EW118">
            <v>8861.5553333333337</v>
          </cell>
          <cell r="EY118">
            <v>752642</v>
          </cell>
          <cell r="EZ118">
            <v>8</v>
          </cell>
          <cell r="FA118">
            <v>5017.6133333333337</v>
          </cell>
          <cell r="FB118">
            <v>536364</v>
          </cell>
          <cell r="FC118">
            <v>8.6</v>
          </cell>
          <cell r="FD118">
            <v>3843.9419999999996</v>
          </cell>
          <cell r="FE118">
            <v>8861.5553333333337</v>
          </cell>
          <cell r="FF118">
            <v>152412</v>
          </cell>
          <cell r="FH118">
            <v>152412</v>
          </cell>
        </row>
        <row r="119">
          <cell r="B119">
            <v>8910</v>
          </cell>
          <cell r="C119" t="str">
            <v>13.03.2007</v>
          </cell>
          <cell r="D119" t="str">
            <v>Gaikwad Ashok Bandu</v>
          </cell>
          <cell r="F119">
            <v>135623</v>
          </cell>
          <cell r="H119">
            <v>140208</v>
          </cell>
          <cell r="I119">
            <v>140208</v>
          </cell>
          <cell r="J119">
            <v>280416</v>
          </cell>
          <cell r="K119">
            <v>144793</v>
          </cell>
          <cell r="M119">
            <v>4185</v>
          </cell>
          <cell r="N119">
            <v>0</v>
          </cell>
          <cell r="O119">
            <v>4185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W119">
            <v>4185</v>
          </cell>
          <cell r="X119">
            <v>0</v>
          </cell>
          <cell r="Y119">
            <v>4185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G119">
            <v>4312</v>
          </cell>
          <cell r="AH119">
            <v>0</v>
          </cell>
          <cell r="AI119">
            <v>4312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Q119">
            <v>4312</v>
          </cell>
          <cell r="AR119">
            <v>0</v>
          </cell>
          <cell r="AS119">
            <v>4312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BA119">
            <v>4312</v>
          </cell>
          <cell r="BB119">
            <v>0</v>
          </cell>
          <cell r="BC119">
            <v>4312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K119">
            <v>4512</v>
          </cell>
          <cell r="BL119">
            <v>0</v>
          </cell>
          <cell r="BM119">
            <v>4512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U119">
            <v>4512</v>
          </cell>
          <cell r="BV119">
            <v>0</v>
          </cell>
          <cell r="BW119">
            <v>4512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E119">
            <v>4512</v>
          </cell>
          <cell r="CF119">
            <v>0</v>
          </cell>
          <cell r="CG119">
            <v>4512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O119">
            <v>4512</v>
          </cell>
          <cell r="CP119">
            <v>0</v>
          </cell>
          <cell r="CQ119">
            <v>4512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Y119">
            <v>4512</v>
          </cell>
          <cell r="CZ119">
            <v>0</v>
          </cell>
          <cell r="DA119">
            <v>4512</v>
          </cell>
          <cell r="DB119">
            <v>0</v>
          </cell>
          <cell r="DC119">
            <v>0</v>
          </cell>
          <cell r="DD119">
            <v>0</v>
          </cell>
          <cell r="DE119">
            <v>0</v>
          </cell>
          <cell r="DF119">
            <v>0</v>
          </cell>
          <cell r="DG119">
            <v>0</v>
          </cell>
          <cell r="DI119">
            <v>280416</v>
          </cell>
          <cell r="DJ119">
            <v>43866</v>
          </cell>
          <cell r="DK119">
            <v>0</v>
          </cell>
          <cell r="DL119">
            <v>43866</v>
          </cell>
          <cell r="DM119">
            <v>43866</v>
          </cell>
          <cell r="DN119">
            <v>0</v>
          </cell>
          <cell r="DO119">
            <v>43866</v>
          </cell>
          <cell r="DP119">
            <v>0</v>
          </cell>
          <cell r="DQ119">
            <v>0</v>
          </cell>
          <cell r="DR119">
            <v>0</v>
          </cell>
          <cell r="DS119">
            <v>0</v>
          </cell>
          <cell r="DT119">
            <v>87732</v>
          </cell>
          <cell r="DU119">
            <v>0</v>
          </cell>
          <cell r="DW119">
            <v>0</v>
          </cell>
          <cell r="DX119">
            <v>0</v>
          </cell>
          <cell r="DY119">
            <v>288786</v>
          </cell>
          <cell r="DZ119">
            <v>297156</v>
          </cell>
          <cell r="EA119">
            <v>305780</v>
          </cell>
          <cell r="EB119">
            <v>314404</v>
          </cell>
          <cell r="EC119">
            <v>323028</v>
          </cell>
          <cell r="ED119">
            <v>332052</v>
          </cell>
          <cell r="EE119">
            <v>341076</v>
          </cell>
          <cell r="EF119">
            <v>350100</v>
          </cell>
          <cell r="EG119">
            <v>359124</v>
          </cell>
          <cell r="EH119">
            <v>368148</v>
          </cell>
          <cell r="EI119">
            <v>3279654</v>
          </cell>
          <cell r="EK119">
            <v>0</v>
          </cell>
          <cell r="EL119">
            <v>0</v>
          </cell>
          <cell r="EM119">
            <v>1925.24</v>
          </cell>
          <cell r="EN119">
            <v>1981.04</v>
          </cell>
          <cell r="EO119">
            <v>2038.5333333333335</v>
          </cell>
          <cell r="EP119">
            <v>2096.0266666666666</v>
          </cell>
          <cell r="EQ119">
            <v>2153.52</v>
          </cell>
          <cell r="ER119">
            <v>2213.6799999999998</v>
          </cell>
          <cell r="ES119">
            <v>2444.3780000000002</v>
          </cell>
          <cell r="ET119">
            <v>2509.0499999999997</v>
          </cell>
          <cell r="EU119">
            <v>2573.7220000000002</v>
          </cell>
          <cell r="EV119">
            <v>2638.3939999999998</v>
          </cell>
          <cell r="EW119">
            <v>22573.584000000003</v>
          </cell>
          <cell r="EY119">
            <v>1861206</v>
          </cell>
          <cell r="EZ119">
            <v>8</v>
          </cell>
          <cell r="FA119">
            <v>12408.04</v>
          </cell>
          <cell r="FB119">
            <v>1418448</v>
          </cell>
          <cell r="FC119">
            <v>8.6</v>
          </cell>
          <cell r="FD119">
            <v>10165.544</v>
          </cell>
          <cell r="FE119">
            <v>22573.584000000003</v>
          </cell>
          <cell r="FF119">
            <v>390722</v>
          </cell>
          <cell r="FH119">
            <v>390722</v>
          </cell>
        </row>
        <row r="120">
          <cell r="B120">
            <v>8911</v>
          </cell>
          <cell r="C120" t="str">
            <v>13.03.2007</v>
          </cell>
          <cell r="D120" t="str">
            <v>Sonawane Jyoti Govindrao / Sanance Kalpana V</v>
          </cell>
          <cell r="F120">
            <v>68543</v>
          </cell>
          <cell r="H120">
            <v>44645</v>
          </cell>
          <cell r="I120">
            <v>44645</v>
          </cell>
          <cell r="J120">
            <v>89290</v>
          </cell>
          <cell r="K120">
            <v>20747</v>
          </cell>
          <cell r="M120">
            <v>2100</v>
          </cell>
          <cell r="N120">
            <v>0</v>
          </cell>
          <cell r="O120">
            <v>2100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W120">
            <v>2100</v>
          </cell>
          <cell r="X120">
            <v>0</v>
          </cell>
          <cell r="Y120">
            <v>2100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G120">
            <v>2100</v>
          </cell>
          <cell r="AH120">
            <v>0</v>
          </cell>
          <cell r="AI120">
            <v>2100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Q120">
            <v>2100</v>
          </cell>
          <cell r="AR120">
            <v>0</v>
          </cell>
          <cell r="AS120">
            <v>2100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BA120">
            <v>2100</v>
          </cell>
          <cell r="BB120">
            <v>0</v>
          </cell>
          <cell r="BC120">
            <v>2100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K120">
            <v>2197</v>
          </cell>
          <cell r="BL120">
            <v>0</v>
          </cell>
          <cell r="BM120">
            <v>2197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U120">
            <v>2197</v>
          </cell>
          <cell r="BV120">
            <v>0</v>
          </cell>
          <cell r="BW120">
            <v>2197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E120">
            <v>2403</v>
          </cell>
          <cell r="CF120">
            <v>0</v>
          </cell>
          <cell r="CG120">
            <v>2403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O120">
            <v>2403</v>
          </cell>
          <cell r="CP120">
            <v>0</v>
          </cell>
          <cell r="CQ120">
            <v>2403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Y120">
            <v>2403</v>
          </cell>
          <cell r="CZ120">
            <v>0</v>
          </cell>
          <cell r="DA120">
            <v>2403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I120">
            <v>89290</v>
          </cell>
          <cell r="DJ120">
            <v>22103</v>
          </cell>
          <cell r="DK120">
            <v>0</v>
          </cell>
          <cell r="DL120">
            <v>22103</v>
          </cell>
          <cell r="DM120">
            <v>22103</v>
          </cell>
          <cell r="DN120">
            <v>0</v>
          </cell>
          <cell r="DO120">
            <v>22103</v>
          </cell>
          <cell r="DP120">
            <v>0</v>
          </cell>
          <cell r="DQ120">
            <v>0</v>
          </cell>
          <cell r="DR120">
            <v>0</v>
          </cell>
          <cell r="DS120">
            <v>0</v>
          </cell>
          <cell r="DT120">
            <v>44206</v>
          </cell>
          <cell r="DU120">
            <v>0</v>
          </cell>
          <cell r="DW120">
            <v>0</v>
          </cell>
          <cell r="DX120">
            <v>0</v>
          </cell>
          <cell r="DY120">
            <v>93490</v>
          </cell>
          <cell r="DZ120">
            <v>97690</v>
          </cell>
          <cell r="EA120">
            <v>101890</v>
          </cell>
          <cell r="EB120">
            <v>106090</v>
          </cell>
          <cell r="EC120">
            <v>110290</v>
          </cell>
          <cell r="ED120">
            <v>114684</v>
          </cell>
          <cell r="EE120">
            <v>119078</v>
          </cell>
          <cell r="EF120">
            <v>123884</v>
          </cell>
          <cell r="EG120">
            <v>128690</v>
          </cell>
          <cell r="EH120">
            <v>133496</v>
          </cell>
          <cell r="EI120">
            <v>1129282</v>
          </cell>
          <cell r="EK120">
            <v>0</v>
          </cell>
          <cell r="EL120">
            <v>0</v>
          </cell>
          <cell r="EM120">
            <v>623.26666666666665</v>
          </cell>
          <cell r="EN120">
            <v>651.26666666666665</v>
          </cell>
          <cell r="EO120">
            <v>679.26666666666665</v>
          </cell>
          <cell r="EP120">
            <v>707.26666666666677</v>
          </cell>
          <cell r="EQ120">
            <v>735.26666666666677</v>
          </cell>
          <cell r="ER120">
            <v>764.56</v>
          </cell>
          <cell r="ES120">
            <v>853.39233333333323</v>
          </cell>
          <cell r="ET120">
            <v>887.83533333333332</v>
          </cell>
          <cell r="EU120">
            <v>922.27833333333331</v>
          </cell>
          <cell r="EV120">
            <v>956.72133333333329</v>
          </cell>
          <cell r="EW120">
            <v>7781.1206666666667</v>
          </cell>
          <cell r="EY120">
            <v>624134</v>
          </cell>
          <cell r="EZ120">
            <v>8</v>
          </cell>
          <cell r="FA120">
            <v>4160.8933333333334</v>
          </cell>
          <cell r="FB120">
            <v>505148</v>
          </cell>
          <cell r="FC120">
            <v>8.6</v>
          </cell>
          <cell r="FD120">
            <v>3620.2273333333328</v>
          </cell>
          <cell r="FE120">
            <v>7781.1206666666658</v>
          </cell>
          <cell r="FF120">
            <v>141277</v>
          </cell>
          <cell r="FH120">
            <v>141277</v>
          </cell>
        </row>
        <row r="121">
          <cell r="B121">
            <v>8914</v>
          </cell>
          <cell r="C121" t="str">
            <v>13.03.2007</v>
          </cell>
          <cell r="D121" t="str">
            <v>Shinde Jaya Santwan</v>
          </cell>
          <cell r="F121">
            <v>70171</v>
          </cell>
          <cell r="G121">
            <v>93924</v>
          </cell>
          <cell r="H121">
            <v>32087</v>
          </cell>
          <cell r="I121">
            <v>32087</v>
          </cell>
          <cell r="J121">
            <v>64174</v>
          </cell>
          <cell r="K121">
            <v>-5997</v>
          </cell>
          <cell r="M121">
            <v>2228</v>
          </cell>
          <cell r="N121">
            <v>0</v>
          </cell>
          <cell r="O121">
            <v>2228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W121">
            <v>2228</v>
          </cell>
          <cell r="X121">
            <v>0</v>
          </cell>
          <cell r="Y121">
            <v>2228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G121">
            <v>2296</v>
          </cell>
          <cell r="AH121">
            <v>0</v>
          </cell>
          <cell r="AI121">
            <v>2296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Q121">
            <v>2296</v>
          </cell>
          <cell r="AR121">
            <v>0</v>
          </cell>
          <cell r="AS121">
            <v>2296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BA121">
            <v>2296</v>
          </cell>
          <cell r="BB121">
            <v>0</v>
          </cell>
          <cell r="BC121">
            <v>2296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K121">
            <v>2403</v>
          </cell>
          <cell r="BL121">
            <v>0</v>
          </cell>
          <cell r="BM121">
            <v>2403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U121">
            <v>2403</v>
          </cell>
          <cell r="BV121">
            <v>0</v>
          </cell>
          <cell r="BW121">
            <v>2403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E121">
            <v>2403</v>
          </cell>
          <cell r="CF121">
            <v>0</v>
          </cell>
          <cell r="CG121">
            <v>2403</v>
          </cell>
          <cell r="CH121">
            <v>0</v>
          </cell>
          <cell r="CI121">
            <v>0</v>
          </cell>
          <cell r="CJ121">
            <v>0</v>
          </cell>
          <cell r="CK121">
            <v>0</v>
          </cell>
          <cell r="CL121">
            <v>0</v>
          </cell>
          <cell r="CM121">
            <v>0</v>
          </cell>
          <cell r="CO121">
            <v>2403</v>
          </cell>
          <cell r="CP121">
            <v>0</v>
          </cell>
          <cell r="CQ121">
            <v>2403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Y121">
            <v>2403</v>
          </cell>
          <cell r="CZ121">
            <v>0</v>
          </cell>
          <cell r="DA121">
            <v>2403</v>
          </cell>
          <cell r="DB121">
            <v>0</v>
          </cell>
          <cell r="DC121">
            <v>0</v>
          </cell>
          <cell r="DD121">
            <v>0</v>
          </cell>
          <cell r="DE121">
            <v>0</v>
          </cell>
          <cell r="DF121">
            <v>0</v>
          </cell>
          <cell r="DG121">
            <v>0</v>
          </cell>
          <cell r="DI121">
            <v>64174</v>
          </cell>
          <cell r="DJ121">
            <v>23359</v>
          </cell>
          <cell r="DK121">
            <v>0</v>
          </cell>
          <cell r="DL121">
            <v>23359</v>
          </cell>
          <cell r="DM121">
            <v>23359</v>
          </cell>
          <cell r="DN121">
            <v>0</v>
          </cell>
          <cell r="DO121">
            <v>23359</v>
          </cell>
          <cell r="DP121">
            <v>0</v>
          </cell>
          <cell r="DQ121">
            <v>0</v>
          </cell>
          <cell r="DR121">
            <v>0</v>
          </cell>
          <cell r="DS121">
            <v>0</v>
          </cell>
          <cell r="DT121">
            <v>46718</v>
          </cell>
          <cell r="DU121">
            <v>0</v>
          </cell>
          <cell r="DW121">
            <v>0</v>
          </cell>
          <cell r="DX121">
            <v>0</v>
          </cell>
          <cell r="DY121">
            <v>68630</v>
          </cell>
          <cell r="DZ121">
            <v>73086</v>
          </cell>
          <cell r="EA121">
            <v>77678</v>
          </cell>
          <cell r="EB121">
            <v>82270</v>
          </cell>
          <cell r="EC121">
            <v>86862</v>
          </cell>
          <cell r="ED121">
            <v>91668</v>
          </cell>
          <cell r="EE121">
            <v>96474</v>
          </cell>
          <cell r="EF121">
            <v>101280</v>
          </cell>
          <cell r="EG121">
            <v>106086</v>
          </cell>
          <cell r="EH121">
            <v>110892</v>
          </cell>
          <cell r="EI121">
            <v>894926</v>
          </cell>
          <cell r="EK121">
            <v>0</v>
          </cell>
          <cell r="EL121">
            <v>0</v>
          </cell>
          <cell r="EM121">
            <v>457.5333333333333</v>
          </cell>
          <cell r="EN121">
            <v>487.24</v>
          </cell>
          <cell r="EO121">
            <v>517.85333333333335</v>
          </cell>
          <cell r="EP121">
            <v>548.4666666666667</v>
          </cell>
          <cell r="EQ121">
            <v>579.08000000000004</v>
          </cell>
          <cell r="ER121">
            <v>611.12</v>
          </cell>
          <cell r="ES121">
            <v>691.39700000000005</v>
          </cell>
          <cell r="ET121">
            <v>725.84</v>
          </cell>
          <cell r="EU121">
            <v>760.28300000000002</v>
          </cell>
          <cell r="EV121">
            <v>794.726</v>
          </cell>
          <cell r="EW121">
            <v>6173.5393333333332</v>
          </cell>
          <cell r="EY121">
            <v>480194</v>
          </cell>
          <cell r="EZ121">
            <v>8</v>
          </cell>
          <cell r="FA121">
            <v>3201.2933333333331</v>
          </cell>
          <cell r="FB121">
            <v>414732</v>
          </cell>
          <cell r="FC121">
            <v>8.6</v>
          </cell>
          <cell r="FD121">
            <v>2972.2459999999996</v>
          </cell>
          <cell r="FE121">
            <v>6173.5393333333323</v>
          </cell>
          <cell r="FF121">
            <v>117066</v>
          </cell>
          <cell r="FH121">
            <v>117066</v>
          </cell>
        </row>
        <row r="122">
          <cell r="B122">
            <v>8915</v>
          </cell>
          <cell r="C122" t="str">
            <v>13.03.2007</v>
          </cell>
          <cell r="D122" t="str">
            <v>Jadhav Savita Balkrishna</v>
          </cell>
          <cell r="F122">
            <v>64282</v>
          </cell>
          <cell r="H122">
            <v>43543</v>
          </cell>
          <cell r="I122">
            <v>43543</v>
          </cell>
          <cell r="J122">
            <v>87086</v>
          </cell>
          <cell r="K122">
            <v>22804</v>
          </cell>
          <cell r="M122">
            <v>2228</v>
          </cell>
          <cell r="N122">
            <v>0</v>
          </cell>
          <cell r="O122">
            <v>2228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W122">
            <v>2228</v>
          </cell>
          <cell r="X122">
            <v>0</v>
          </cell>
          <cell r="Y122">
            <v>2228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G122">
            <v>2296</v>
          </cell>
          <cell r="AH122">
            <v>0</v>
          </cell>
          <cell r="AI122">
            <v>2296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Q122">
            <v>2296</v>
          </cell>
          <cell r="AR122">
            <v>0</v>
          </cell>
          <cell r="AS122">
            <v>2296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BA122">
            <v>2296</v>
          </cell>
          <cell r="BB122">
            <v>0</v>
          </cell>
          <cell r="BC122">
            <v>2296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K122">
            <v>2403</v>
          </cell>
          <cell r="BL122">
            <v>0</v>
          </cell>
          <cell r="BM122">
            <v>2403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U122">
            <v>2403</v>
          </cell>
          <cell r="BV122">
            <v>0</v>
          </cell>
          <cell r="BW122">
            <v>2403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E122">
            <v>2403</v>
          </cell>
          <cell r="CF122">
            <v>0</v>
          </cell>
          <cell r="CG122">
            <v>2403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O122">
            <v>2403</v>
          </cell>
          <cell r="CP122">
            <v>0</v>
          </cell>
          <cell r="CQ122">
            <v>2403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Y122">
            <v>2403</v>
          </cell>
          <cell r="CZ122">
            <v>0</v>
          </cell>
          <cell r="DA122">
            <v>2403</v>
          </cell>
          <cell r="DB122">
            <v>0</v>
          </cell>
          <cell r="DC122">
            <v>0</v>
          </cell>
          <cell r="DD122">
            <v>0</v>
          </cell>
          <cell r="DE122">
            <v>0</v>
          </cell>
          <cell r="DF122">
            <v>0</v>
          </cell>
          <cell r="DG122">
            <v>0</v>
          </cell>
          <cell r="DI122">
            <v>87086</v>
          </cell>
          <cell r="DJ122">
            <v>23359</v>
          </cell>
          <cell r="DK122">
            <v>0</v>
          </cell>
          <cell r="DL122">
            <v>23359</v>
          </cell>
          <cell r="DM122">
            <v>23359</v>
          </cell>
          <cell r="DN122">
            <v>0</v>
          </cell>
          <cell r="DO122">
            <v>23359</v>
          </cell>
          <cell r="DP122">
            <v>0</v>
          </cell>
          <cell r="DQ122">
            <v>0</v>
          </cell>
          <cell r="DR122">
            <v>0</v>
          </cell>
          <cell r="DS122">
            <v>0</v>
          </cell>
          <cell r="DT122">
            <v>46718</v>
          </cell>
          <cell r="DU122">
            <v>0</v>
          </cell>
          <cell r="DW122">
            <v>0</v>
          </cell>
          <cell r="DX122">
            <v>0</v>
          </cell>
          <cell r="DY122">
            <v>91542</v>
          </cell>
          <cell r="DZ122">
            <v>95998</v>
          </cell>
          <cell r="EA122">
            <v>100590</v>
          </cell>
          <cell r="EB122">
            <v>105182</v>
          </cell>
          <cell r="EC122">
            <v>109774</v>
          </cell>
          <cell r="ED122">
            <v>114580</v>
          </cell>
          <cell r="EE122">
            <v>119386</v>
          </cell>
          <cell r="EF122">
            <v>124192</v>
          </cell>
          <cell r="EG122">
            <v>128998</v>
          </cell>
          <cell r="EH122">
            <v>133804</v>
          </cell>
          <cell r="EI122">
            <v>1124046</v>
          </cell>
          <cell r="EK122">
            <v>0</v>
          </cell>
          <cell r="EL122">
            <v>0</v>
          </cell>
          <cell r="EM122">
            <v>610.28</v>
          </cell>
          <cell r="EN122">
            <v>639.98666666666668</v>
          </cell>
          <cell r="EO122">
            <v>670.6</v>
          </cell>
          <cell r="EP122">
            <v>701.21333333333325</v>
          </cell>
          <cell r="EQ122">
            <v>731.82666666666671</v>
          </cell>
          <cell r="ER122">
            <v>763.86666666666667</v>
          </cell>
          <cell r="ES122">
            <v>855.59966666666662</v>
          </cell>
          <cell r="ET122">
            <v>890.04266666666661</v>
          </cell>
          <cell r="EU122">
            <v>924.48566666666682</v>
          </cell>
          <cell r="EV122">
            <v>958.92866666666657</v>
          </cell>
          <cell r="EW122">
            <v>7746.83</v>
          </cell>
          <cell r="EY122">
            <v>617666</v>
          </cell>
          <cell r="EZ122">
            <v>8</v>
          </cell>
          <cell r="FA122">
            <v>4117.7733333333335</v>
          </cell>
          <cell r="FB122">
            <v>506380</v>
          </cell>
          <cell r="FC122">
            <v>8.6</v>
          </cell>
          <cell r="FD122">
            <v>3629.0566666666668</v>
          </cell>
          <cell r="FE122">
            <v>7746.83</v>
          </cell>
          <cell r="FF122">
            <v>141551</v>
          </cell>
          <cell r="FH122">
            <v>141551</v>
          </cell>
        </row>
        <row r="123">
          <cell r="B123">
            <v>8916</v>
          </cell>
          <cell r="C123" t="str">
            <v>13.03.2007</v>
          </cell>
          <cell r="D123" t="str">
            <v>Mardhekar Shital Rajendrakumar</v>
          </cell>
          <cell r="F123">
            <v>68834</v>
          </cell>
          <cell r="H123">
            <v>42645</v>
          </cell>
          <cell r="I123">
            <v>42645</v>
          </cell>
          <cell r="J123">
            <v>85290</v>
          </cell>
          <cell r="K123">
            <v>16456</v>
          </cell>
          <cell r="M123">
            <v>2228</v>
          </cell>
          <cell r="N123">
            <v>0</v>
          </cell>
          <cell r="O123">
            <v>2228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W123">
            <v>2228</v>
          </cell>
          <cell r="X123">
            <v>0</v>
          </cell>
          <cell r="Y123">
            <v>2228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G123">
            <v>2296</v>
          </cell>
          <cell r="AH123">
            <v>0</v>
          </cell>
          <cell r="AI123">
            <v>2296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Q123">
            <v>2296</v>
          </cell>
          <cell r="AR123">
            <v>0</v>
          </cell>
          <cell r="AS123">
            <v>2296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BA123">
            <v>2296</v>
          </cell>
          <cell r="BB123">
            <v>0</v>
          </cell>
          <cell r="BC123">
            <v>2296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K123">
            <v>2403</v>
          </cell>
          <cell r="BL123">
            <v>0</v>
          </cell>
          <cell r="BM123">
            <v>2403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U123">
            <v>2403</v>
          </cell>
          <cell r="BV123">
            <v>0</v>
          </cell>
          <cell r="BW123">
            <v>2403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E123">
            <v>2403</v>
          </cell>
          <cell r="CF123">
            <v>0</v>
          </cell>
          <cell r="CG123">
            <v>2403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O123">
            <v>2403</v>
          </cell>
          <cell r="CP123">
            <v>0</v>
          </cell>
          <cell r="CQ123">
            <v>2403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Y123">
            <v>2403</v>
          </cell>
          <cell r="CZ123">
            <v>0</v>
          </cell>
          <cell r="DA123">
            <v>2403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I123">
            <v>85290</v>
          </cell>
          <cell r="DJ123">
            <v>23359</v>
          </cell>
          <cell r="DK123">
            <v>0</v>
          </cell>
          <cell r="DL123">
            <v>23359</v>
          </cell>
          <cell r="DM123">
            <v>23359</v>
          </cell>
          <cell r="DN123">
            <v>0</v>
          </cell>
          <cell r="DO123">
            <v>23359</v>
          </cell>
          <cell r="DP123">
            <v>0</v>
          </cell>
          <cell r="DQ123">
            <v>0</v>
          </cell>
          <cell r="DR123">
            <v>0</v>
          </cell>
          <cell r="DS123">
            <v>0</v>
          </cell>
          <cell r="DT123">
            <v>46718</v>
          </cell>
          <cell r="DU123">
            <v>0</v>
          </cell>
          <cell r="DW123">
            <v>0</v>
          </cell>
          <cell r="DX123">
            <v>0</v>
          </cell>
          <cell r="DY123">
            <v>89746</v>
          </cell>
          <cell r="DZ123">
            <v>94202</v>
          </cell>
          <cell r="EA123">
            <v>98794</v>
          </cell>
          <cell r="EB123">
            <v>103386</v>
          </cell>
          <cell r="EC123">
            <v>107978</v>
          </cell>
          <cell r="ED123">
            <v>112784</v>
          </cell>
          <cell r="EE123">
            <v>117590</v>
          </cell>
          <cell r="EF123">
            <v>122396</v>
          </cell>
          <cell r="EG123">
            <v>127202</v>
          </cell>
          <cell r="EH123">
            <v>132008</v>
          </cell>
          <cell r="EI123">
            <v>1106086</v>
          </cell>
          <cell r="EK123">
            <v>0</v>
          </cell>
          <cell r="EL123">
            <v>0</v>
          </cell>
          <cell r="EM123">
            <v>598.30666666666673</v>
          </cell>
          <cell r="EN123">
            <v>628.01333333333332</v>
          </cell>
          <cell r="EO123">
            <v>658.62666666666667</v>
          </cell>
          <cell r="EP123">
            <v>689.2399999999999</v>
          </cell>
          <cell r="EQ123">
            <v>719.85333333333335</v>
          </cell>
          <cell r="ER123">
            <v>751.89333333333332</v>
          </cell>
          <cell r="ES123">
            <v>842.72833333333335</v>
          </cell>
          <cell r="ET123">
            <v>877.17133333333322</v>
          </cell>
          <cell r="EU123">
            <v>911.61433333333332</v>
          </cell>
          <cell r="EV123">
            <v>946.0573333333333</v>
          </cell>
          <cell r="EW123">
            <v>7623.5046666666667</v>
          </cell>
          <cell r="EY123">
            <v>606890</v>
          </cell>
          <cell r="EZ123">
            <v>8</v>
          </cell>
          <cell r="FA123">
            <v>4045.9333333333329</v>
          </cell>
          <cell r="FB123">
            <v>499196</v>
          </cell>
          <cell r="FC123">
            <v>8.6</v>
          </cell>
          <cell r="FD123">
            <v>3577.5713333333333</v>
          </cell>
          <cell r="FE123">
            <v>7623.5046666666658</v>
          </cell>
          <cell r="FF123">
            <v>139632</v>
          </cell>
          <cell r="FH123">
            <v>139632</v>
          </cell>
        </row>
        <row r="124">
          <cell r="B124">
            <v>8917</v>
          </cell>
          <cell r="C124" t="str">
            <v>13.03.2007</v>
          </cell>
          <cell r="D124" t="str">
            <v>Kamble Shaila Vijaykumar</v>
          </cell>
          <cell r="F124">
            <v>54579</v>
          </cell>
          <cell r="H124">
            <v>12384</v>
          </cell>
          <cell r="I124">
            <v>12384</v>
          </cell>
          <cell r="J124">
            <v>24768</v>
          </cell>
          <cell r="K124">
            <v>-29811</v>
          </cell>
          <cell r="M124">
            <v>2228</v>
          </cell>
          <cell r="N124">
            <v>900</v>
          </cell>
          <cell r="O124">
            <v>2228</v>
          </cell>
          <cell r="P124">
            <v>900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W124">
            <v>2228</v>
          </cell>
          <cell r="X124">
            <v>0</v>
          </cell>
          <cell r="Y124">
            <v>2228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G124">
            <v>2296</v>
          </cell>
          <cell r="AH124">
            <v>0</v>
          </cell>
          <cell r="AI124">
            <v>2296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Q124">
            <v>2296</v>
          </cell>
          <cell r="AR124">
            <v>0</v>
          </cell>
          <cell r="AS124">
            <v>2296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BA124">
            <v>2296</v>
          </cell>
          <cell r="BB124">
            <v>0</v>
          </cell>
          <cell r="BC124">
            <v>2296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K124">
            <v>2403</v>
          </cell>
          <cell r="BL124">
            <v>0</v>
          </cell>
          <cell r="BM124">
            <v>2403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U124">
            <v>2403</v>
          </cell>
          <cell r="BV124">
            <v>0</v>
          </cell>
          <cell r="BW124">
            <v>2403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E124">
            <v>2403</v>
          </cell>
          <cell r="CF124">
            <v>0</v>
          </cell>
          <cell r="CG124">
            <v>2403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O124">
            <v>2403</v>
          </cell>
          <cell r="CP124">
            <v>0</v>
          </cell>
          <cell r="CQ124">
            <v>2403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Y124">
            <v>2403</v>
          </cell>
          <cell r="CZ124">
            <v>0</v>
          </cell>
          <cell r="DA124">
            <v>2403</v>
          </cell>
          <cell r="DB124">
            <v>0</v>
          </cell>
          <cell r="DC124">
            <v>0</v>
          </cell>
          <cell r="DD124">
            <v>0</v>
          </cell>
          <cell r="DE124">
            <v>0</v>
          </cell>
          <cell r="DF124">
            <v>0</v>
          </cell>
          <cell r="DG124">
            <v>0</v>
          </cell>
          <cell r="DI124">
            <v>24768</v>
          </cell>
          <cell r="DJ124">
            <v>23359</v>
          </cell>
          <cell r="DK124">
            <v>900</v>
          </cell>
          <cell r="DL124">
            <v>24259</v>
          </cell>
          <cell r="DM124">
            <v>23359</v>
          </cell>
          <cell r="DN124">
            <v>900</v>
          </cell>
          <cell r="DO124">
            <v>24259</v>
          </cell>
          <cell r="DP124">
            <v>0</v>
          </cell>
          <cell r="DQ124">
            <v>0</v>
          </cell>
          <cell r="DR124">
            <v>0</v>
          </cell>
          <cell r="DS124">
            <v>0</v>
          </cell>
          <cell r="DT124">
            <v>48518</v>
          </cell>
          <cell r="DU124">
            <v>0</v>
          </cell>
          <cell r="DW124">
            <v>0</v>
          </cell>
          <cell r="DX124">
            <v>0</v>
          </cell>
          <cell r="DY124">
            <v>31024</v>
          </cell>
          <cell r="DZ124">
            <v>35480</v>
          </cell>
          <cell r="EA124">
            <v>40072</v>
          </cell>
          <cell r="EB124">
            <v>44664</v>
          </cell>
          <cell r="EC124">
            <v>49256</v>
          </cell>
          <cell r="ED124">
            <v>54062</v>
          </cell>
          <cell r="EE124">
            <v>58868</v>
          </cell>
          <cell r="EF124">
            <v>63674</v>
          </cell>
          <cell r="EG124">
            <v>68480</v>
          </cell>
          <cell r="EH124">
            <v>73286</v>
          </cell>
          <cell r="EI124">
            <v>518866</v>
          </cell>
          <cell r="EK124">
            <v>0</v>
          </cell>
          <cell r="EL124">
            <v>0</v>
          </cell>
          <cell r="EM124">
            <v>206.82666666666668</v>
          </cell>
          <cell r="EN124">
            <v>236.53333333333333</v>
          </cell>
          <cell r="EO124">
            <v>267.1466666666667</v>
          </cell>
          <cell r="EP124">
            <v>297.76</v>
          </cell>
          <cell r="EQ124">
            <v>328.37333333333333</v>
          </cell>
          <cell r="ER124">
            <v>360.41333333333336</v>
          </cell>
          <cell r="ES124">
            <v>421.88733333333334</v>
          </cell>
          <cell r="ET124">
            <v>456.33033333333333</v>
          </cell>
          <cell r="EU124">
            <v>490.77333333333331</v>
          </cell>
          <cell r="EV124">
            <v>525.2163333333333</v>
          </cell>
          <cell r="EW124">
            <v>3591.2606666666666</v>
          </cell>
          <cell r="EY124">
            <v>254558</v>
          </cell>
          <cell r="EZ124">
            <v>8</v>
          </cell>
          <cell r="FA124">
            <v>1697.0533333333333</v>
          </cell>
          <cell r="FB124">
            <v>264308</v>
          </cell>
          <cell r="FC124">
            <v>8.6</v>
          </cell>
          <cell r="FD124">
            <v>1894.2073333333331</v>
          </cell>
          <cell r="FE124">
            <v>3591.2606666666661</v>
          </cell>
          <cell r="FF124">
            <v>76877</v>
          </cell>
          <cell r="FH124">
            <v>76877</v>
          </cell>
        </row>
        <row r="125">
          <cell r="B125">
            <v>8918</v>
          </cell>
          <cell r="C125" t="str">
            <v>13.03.2007</v>
          </cell>
          <cell r="D125" t="str">
            <v>Khan Mahejabeen Meer Mohammad</v>
          </cell>
          <cell r="F125">
            <v>69619</v>
          </cell>
          <cell r="H125">
            <v>44645</v>
          </cell>
          <cell r="I125">
            <v>44645</v>
          </cell>
          <cell r="J125">
            <v>89290</v>
          </cell>
          <cell r="K125">
            <v>19671</v>
          </cell>
          <cell r="M125">
            <v>2228</v>
          </cell>
          <cell r="N125">
            <v>0</v>
          </cell>
          <cell r="O125">
            <v>2228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W125">
            <v>2228</v>
          </cell>
          <cell r="X125">
            <v>0</v>
          </cell>
          <cell r="Y125">
            <v>2228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G125">
            <v>2296</v>
          </cell>
          <cell r="AH125">
            <v>0</v>
          </cell>
          <cell r="AI125">
            <v>2296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Q125">
            <v>2296</v>
          </cell>
          <cell r="AR125">
            <v>0</v>
          </cell>
          <cell r="AS125">
            <v>2296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BA125">
            <v>2296</v>
          </cell>
          <cell r="BB125">
            <v>0</v>
          </cell>
          <cell r="BC125">
            <v>2296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K125">
            <v>2403</v>
          </cell>
          <cell r="BL125">
            <v>0</v>
          </cell>
          <cell r="BM125">
            <v>2403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U125">
            <v>2403</v>
          </cell>
          <cell r="BV125">
            <v>0</v>
          </cell>
          <cell r="BW125">
            <v>2403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E125">
            <v>2403</v>
          </cell>
          <cell r="CF125">
            <v>0</v>
          </cell>
          <cell r="CG125">
            <v>2403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O125">
            <v>2403</v>
          </cell>
          <cell r="CP125">
            <v>0</v>
          </cell>
          <cell r="CQ125">
            <v>2403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Y125">
            <v>2403</v>
          </cell>
          <cell r="CZ125">
            <v>0</v>
          </cell>
          <cell r="DA125">
            <v>2403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I125">
            <v>89290</v>
          </cell>
          <cell r="DJ125">
            <v>23359</v>
          </cell>
          <cell r="DK125">
            <v>0</v>
          </cell>
          <cell r="DL125">
            <v>23359</v>
          </cell>
          <cell r="DM125">
            <v>23359</v>
          </cell>
          <cell r="DN125">
            <v>0</v>
          </cell>
          <cell r="DO125">
            <v>23359</v>
          </cell>
          <cell r="DP125">
            <v>0</v>
          </cell>
          <cell r="DQ125">
            <v>0</v>
          </cell>
          <cell r="DR125">
            <v>0</v>
          </cell>
          <cell r="DS125">
            <v>0</v>
          </cell>
          <cell r="DT125">
            <v>46718</v>
          </cell>
          <cell r="DU125">
            <v>0</v>
          </cell>
          <cell r="DW125">
            <v>0</v>
          </cell>
          <cell r="DX125">
            <v>0</v>
          </cell>
          <cell r="DY125">
            <v>93746</v>
          </cell>
          <cell r="DZ125">
            <v>98202</v>
          </cell>
          <cell r="EA125">
            <v>102794</v>
          </cell>
          <cell r="EB125">
            <v>107386</v>
          </cell>
          <cell r="EC125">
            <v>111978</v>
          </cell>
          <cell r="ED125">
            <v>116784</v>
          </cell>
          <cell r="EE125">
            <v>121590</v>
          </cell>
          <cell r="EF125">
            <v>126396</v>
          </cell>
          <cell r="EG125">
            <v>131202</v>
          </cell>
          <cell r="EH125">
            <v>136008</v>
          </cell>
          <cell r="EI125">
            <v>1146086</v>
          </cell>
          <cell r="EK125">
            <v>0</v>
          </cell>
          <cell r="EL125">
            <v>0</v>
          </cell>
          <cell r="EM125">
            <v>624.97333333333336</v>
          </cell>
          <cell r="EN125">
            <v>654.67999999999995</v>
          </cell>
          <cell r="EO125">
            <v>685.29333333333341</v>
          </cell>
          <cell r="EP125">
            <v>715.90666666666664</v>
          </cell>
          <cell r="EQ125">
            <v>746.52</v>
          </cell>
          <cell r="ER125">
            <v>778.56</v>
          </cell>
          <cell r="ES125">
            <v>871.39499999999998</v>
          </cell>
          <cell r="ET125">
            <v>905.83799999999985</v>
          </cell>
          <cell r="EU125">
            <v>940.28099999999995</v>
          </cell>
          <cell r="EV125">
            <v>974.72400000000005</v>
          </cell>
          <cell r="EW125">
            <v>7898.1713333333328</v>
          </cell>
          <cell r="EY125">
            <v>630890</v>
          </cell>
          <cell r="EZ125">
            <v>8</v>
          </cell>
          <cell r="FA125">
            <v>4205.9333333333334</v>
          </cell>
          <cell r="FB125">
            <v>515196</v>
          </cell>
          <cell r="FC125">
            <v>8.6</v>
          </cell>
          <cell r="FD125">
            <v>3692.2379999999998</v>
          </cell>
          <cell r="FE125">
            <v>7898.1713333333337</v>
          </cell>
          <cell r="FF125">
            <v>143906</v>
          </cell>
          <cell r="FH125">
            <v>143906</v>
          </cell>
        </row>
        <row r="126">
          <cell r="B126">
            <v>8919</v>
          </cell>
          <cell r="C126" t="str">
            <v>13.03.2007</v>
          </cell>
          <cell r="D126" t="str">
            <v>Kushare Pushpa Bapurao</v>
          </cell>
          <cell r="F126">
            <v>66305</v>
          </cell>
          <cell r="H126">
            <v>44594</v>
          </cell>
          <cell r="I126">
            <v>44594</v>
          </cell>
          <cell r="J126">
            <v>89188</v>
          </cell>
          <cell r="K126">
            <v>22883</v>
          </cell>
          <cell r="M126">
            <v>2228</v>
          </cell>
          <cell r="N126">
            <v>0</v>
          </cell>
          <cell r="O126">
            <v>2228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W126">
            <v>2228</v>
          </cell>
          <cell r="X126">
            <v>0</v>
          </cell>
          <cell r="Y126">
            <v>2228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G126">
            <v>2296</v>
          </cell>
          <cell r="AH126">
            <v>0</v>
          </cell>
          <cell r="AI126">
            <v>2296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Q126">
            <v>2296</v>
          </cell>
          <cell r="AR126">
            <v>0</v>
          </cell>
          <cell r="AS126">
            <v>2296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BA126">
            <v>2296</v>
          </cell>
          <cell r="BB126">
            <v>0</v>
          </cell>
          <cell r="BC126">
            <v>2296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K126">
            <v>2403</v>
          </cell>
          <cell r="BL126">
            <v>0</v>
          </cell>
          <cell r="BM126">
            <v>2403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U126">
            <v>2403</v>
          </cell>
          <cell r="BV126">
            <v>0</v>
          </cell>
          <cell r="BW126">
            <v>2403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E126">
            <v>2403</v>
          </cell>
          <cell r="CF126">
            <v>0</v>
          </cell>
          <cell r="CG126">
            <v>2403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O126">
            <v>2403</v>
          </cell>
          <cell r="CP126">
            <v>0</v>
          </cell>
          <cell r="CQ126">
            <v>2403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Y126">
            <v>2403</v>
          </cell>
          <cell r="CZ126">
            <v>0</v>
          </cell>
          <cell r="DA126">
            <v>2403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I126">
            <v>89188</v>
          </cell>
          <cell r="DJ126">
            <v>23359</v>
          </cell>
          <cell r="DK126">
            <v>0</v>
          </cell>
          <cell r="DL126">
            <v>23359</v>
          </cell>
          <cell r="DM126">
            <v>23359</v>
          </cell>
          <cell r="DN126">
            <v>0</v>
          </cell>
          <cell r="DO126">
            <v>23359</v>
          </cell>
          <cell r="DP126">
            <v>0</v>
          </cell>
          <cell r="DQ126">
            <v>0</v>
          </cell>
          <cell r="DR126">
            <v>0</v>
          </cell>
          <cell r="DS126">
            <v>0</v>
          </cell>
          <cell r="DT126">
            <v>46718</v>
          </cell>
          <cell r="DU126">
            <v>0</v>
          </cell>
          <cell r="DW126">
            <v>0</v>
          </cell>
          <cell r="DX126">
            <v>0</v>
          </cell>
          <cell r="DY126">
            <v>93644</v>
          </cell>
          <cell r="DZ126">
            <v>98100</v>
          </cell>
          <cell r="EA126">
            <v>102692</v>
          </cell>
          <cell r="EB126">
            <v>107284</v>
          </cell>
          <cell r="EC126">
            <v>111876</v>
          </cell>
          <cell r="ED126">
            <v>116682</v>
          </cell>
          <cell r="EE126">
            <v>121488</v>
          </cell>
          <cell r="EF126">
            <v>126294</v>
          </cell>
          <cell r="EG126">
            <v>131100</v>
          </cell>
          <cell r="EH126">
            <v>135906</v>
          </cell>
          <cell r="EI126">
            <v>1145066</v>
          </cell>
          <cell r="EK126">
            <v>0</v>
          </cell>
          <cell r="EL126">
            <v>0</v>
          </cell>
          <cell r="EM126">
            <v>624.29333333333341</v>
          </cell>
          <cell r="EN126">
            <v>654</v>
          </cell>
          <cell r="EO126">
            <v>684.61333333333334</v>
          </cell>
          <cell r="EP126">
            <v>715.22666666666657</v>
          </cell>
          <cell r="EQ126">
            <v>745.84</v>
          </cell>
          <cell r="ER126">
            <v>777.88</v>
          </cell>
          <cell r="ES126">
            <v>870.66399999999987</v>
          </cell>
          <cell r="ET126">
            <v>905.10699999999997</v>
          </cell>
          <cell r="EU126">
            <v>939.55000000000007</v>
          </cell>
          <cell r="EV126">
            <v>973.99299999999994</v>
          </cell>
          <cell r="EW126">
            <v>7891.1673333333329</v>
          </cell>
          <cell r="EY126">
            <v>630278</v>
          </cell>
          <cell r="EZ126">
            <v>8</v>
          </cell>
          <cell r="FA126">
            <v>4201.8533333333335</v>
          </cell>
          <cell r="FB126">
            <v>514788</v>
          </cell>
          <cell r="FC126">
            <v>8.6</v>
          </cell>
          <cell r="FD126">
            <v>3689.3139999999999</v>
          </cell>
          <cell r="FE126">
            <v>7891.1673333333329</v>
          </cell>
          <cell r="FF126">
            <v>143797</v>
          </cell>
          <cell r="FH126">
            <v>143797</v>
          </cell>
        </row>
        <row r="127">
          <cell r="B127">
            <v>8920</v>
          </cell>
          <cell r="C127" t="str">
            <v>13.03.2007</v>
          </cell>
          <cell r="D127" t="str">
            <v>Dhondge Ujjwala Damu / Patil Ujjwala S</v>
          </cell>
          <cell r="F127">
            <v>68757</v>
          </cell>
          <cell r="H127">
            <v>42645</v>
          </cell>
          <cell r="I127">
            <v>42645</v>
          </cell>
          <cell r="J127">
            <v>85290</v>
          </cell>
          <cell r="K127">
            <v>16533</v>
          </cell>
          <cell r="M127">
            <v>2228</v>
          </cell>
          <cell r="N127">
            <v>0</v>
          </cell>
          <cell r="O127">
            <v>2228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W127">
            <v>2228</v>
          </cell>
          <cell r="X127">
            <v>0</v>
          </cell>
          <cell r="Y127">
            <v>2228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G127">
            <v>2296</v>
          </cell>
          <cell r="AH127">
            <v>0</v>
          </cell>
          <cell r="AI127">
            <v>2296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Q127">
            <v>2296</v>
          </cell>
          <cell r="AR127">
            <v>0</v>
          </cell>
          <cell r="AS127">
            <v>2296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BA127">
            <v>2296</v>
          </cell>
          <cell r="BB127">
            <v>0</v>
          </cell>
          <cell r="BC127">
            <v>2296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K127">
            <v>2403</v>
          </cell>
          <cell r="BL127">
            <v>0</v>
          </cell>
          <cell r="BM127">
            <v>2403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U127">
            <v>2403</v>
          </cell>
          <cell r="BV127">
            <v>0</v>
          </cell>
          <cell r="BW127">
            <v>2403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E127">
            <v>2403</v>
          </cell>
          <cell r="CF127">
            <v>0</v>
          </cell>
          <cell r="CG127">
            <v>2403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O127">
            <v>2403</v>
          </cell>
          <cell r="CP127">
            <v>0</v>
          </cell>
          <cell r="CQ127">
            <v>2403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Y127">
            <v>2403</v>
          </cell>
          <cell r="CZ127">
            <v>0</v>
          </cell>
          <cell r="DA127">
            <v>2403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I127">
            <v>85290</v>
          </cell>
          <cell r="DJ127">
            <v>23359</v>
          </cell>
          <cell r="DK127">
            <v>0</v>
          </cell>
          <cell r="DL127">
            <v>23359</v>
          </cell>
          <cell r="DM127">
            <v>23359</v>
          </cell>
          <cell r="DN127">
            <v>0</v>
          </cell>
          <cell r="DO127">
            <v>23359</v>
          </cell>
          <cell r="DP127">
            <v>0</v>
          </cell>
          <cell r="DQ127">
            <v>0</v>
          </cell>
          <cell r="DR127">
            <v>0</v>
          </cell>
          <cell r="DS127">
            <v>0</v>
          </cell>
          <cell r="DT127">
            <v>46718</v>
          </cell>
          <cell r="DU127">
            <v>0</v>
          </cell>
          <cell r="DW127">
            <v>0</v>
          </cell>
          <cell r="DX127">
            <v>0</v>
          </cell>
          <cell r="DY127">
            <v>89746</v>
          </cell>
          <cell r="DZ127">
            <v>94202</v>
          </cell>
          <cell r="EA127">
            <v>98794</v>
          </cell>
          <cell r="EB127">
            <v>103386</v>
          </cell>
          <cell r="EC127">
            <v>107978</v>
          </cell>
          <cell r="ED127">
            <v>112784</v>
          </cell>
          <cell r="EE127">
            <v>117590</v>
          </cell>
          <cell r="EF127">
            <v>122396</v>
          </cell>
          <cell r="EG127">
            <v>127202</v>
          </cell>
          <cell r="EH127">
            <v>132008</v>
          </cell>
          <cell r="EI127">
            <v>1106086</v>
          </cell>
          <cell r="EK127">
            <v>0</v>
          </cell>
          <cell r="EL127">
            <v>0</v>
          </cell>
          <cell r="EM127">
            <v>598.30666666666673</v>
          </cell>
          <cell r="EN127">
            <v>628.01333333333332</v>
          </cell>
          <cell r="EO127">
            <v>658.62666666666667</v>
          </cell>
          <cell r="EP127">
            <v>689.2399999999999</v>
          </cell>
          <cell r="EQ127">
            <v>719.85333333333335</v>
          </cell>
          <cell r="ER127">
            <v>751.89333333333332</v>
          </cell>
          <cell r="ES127">
            <v>842.72833333333335</v>
          </cell>
          <cell r="ET127">
            <v>877.17133333333322</v>
          </cell>
          <cell r="EU127">
            <v>911.61433333333332</v>
          </cell>
          <cell r="EV127">
            <v>946.0573333333333</v>
          </cell>
          <cell r="EW127">
            <v>7623.5046666666667</v>
          </cell>
          <cell r="EY127">
            <v>606890</v>
          </cell>
          <cell r="EZ127">
            <v>8</v>
          </cell>
          <cell r="FA127">
            <v>4045.9333333333329</v>
          </cell>
          <cell r="FB127">
            <v>499196</v>
          </cell>
          <cell r="FC127">
            <v>8.6</v>
          </cell>
          <cell r="FD127">
            <v>3577.5713333333333</v>
          </cell>
          <cell r="FE127">
            <v>7623.5046666666658</v>
          </cell>
          <cell r="FF127">
            <v>139632</v>
          </cell>
          <cell r="FH127">
            <v>139632</v>
          </cell>
        </row>
        <row r="128">
          <cell r="B128">
            <v>8921</v>
          </cell>
          <cell r="C128" t="str">
            <v>13.03.2007</v>
          </cell>
          <cell r="D128" t="str">
            <v>Shelke Mai Keshav</v>
          </cell>
          <cell r="F128">
            <v>68940</v>
          </cell>
          <cell r="H128">
            <v>19279</v>
          </cell>
          <cell r="I128">
            <v>19279</v>
          </cell>
          <cell r="J128">
            <v>38558</v>
          </cell>
          <cell r="K128">
            <v>-30382</v>
          </cell>
          <cell r="M128">
            <v>2228</v>
          </cell>
          <cell r="N128">
            <v>0</v>
          </cell>
          <cell r="O128">
            <v>2228</v>
          </cell>
          <cell r="P128">
            <v>0</v>
          </cell>
          <cell r="Q128">
            <v>1285</v>
          </cell>
          <cell r="R128">
            <v>0</v>
          </cell>
          <cell r="S128">
            <v>0</v>
          </cell>
          <cell r="T128">
            <v>1285</v>
          </cell>
          <cell r="U128">
            <v>0</v>
          </cell>
          <cell r="W128">
            <v>2228</v>
          </cell>
          <cell r="X128">
            <v>0</v>
          </cell>
          <cell r="Y128">
            <v>2228</v>
          </cell>
          <cell r="Z128">
            <v>0</v>
          </cell>
          <cell r="AA128">
            <v>1285</v>
          </cell>
          <cell r="AB128">
            <v>0</v>
          </cell>
          <cell r="AC128">
            <v>0</v>
          </cell>
          <cell r="AD128">
            <v>1285</v>
          </cell>
          <cell r="AE128">
            <v>0</v>
          </cell>
          <cell r="AG128">
            <v>2296</v>
          </cell>
          <cell r="AH128">
            <v>0</v>
          </cell>
          <cell r="AI128">
            <v>2296</v>
          </cell>
          <cell r="AJ128">
            <v>0</v>
          </cell>
          <cell r="AK128">
            <v>1285</v>
          </cell>
          <cell r="AL128">
            <v>0</v>
          </cell>
          <cell r="AM128">
            <v>0</v>
          </cell>
          <cell r="AN128">
            <v>1285</v>
          </cell>
          <cell r="AO128">
            <v>0</v>
          </cell>
          <cell r="AQ128">
            <v>2296</v>
          </cell>
          <cell r="AR128">
            <v>0</v>
          </cell>
          <cell r="AS128">
            <v>2296</v>
          </cell>
          <cell r="AT128">
            <v>0</v>
          </cell>
          <cell r="AU128">
            <v>1285</v>
          </cell>
          <cell r="AV128">
            <v>0</v>
          </cell>
          <cell r="AW128">
            <v>0</v>
          </cell>
          <cell r="AX128">
            <v>1285</v>
          </cell>
          <cell r="AY128">
            <v>0</v>
          </cell>
          <cell r="BA128">
            <v>2296</v>
          </cell>
          <cell r="BB128">
            <v>0</v>
          </cell>
          <cell r="BC128">
            <v>2296</v>
          </cell>
          <cell r="BD128">
            <v>0</v>
          </cell>
          <cell r="BE128">
            <v>1285</v>
          </cell>
          <cell r="BF128">
            <v>0</v>
          </cell>
          <cell r="BG128">
            <v>0</v>
          </cell>
          <cell r="BH128">
            <v>1285</v>
          </cell>
          <cell r="BI128">
            <v>0</v>
          </cell>
          <cell r="BK128">
            <v>2403</v>
          </cell>
          <cell r="BL128">
            <v>0</v>
          </cell>
          <cell r="BM128">
            <v>2403</v>
          </cell>
          <cell r="BN128">
            <v>0</v>
          </cell>
          <cell r="BO128">
            <v>1285</v>
          </cell>
          <cell r="BP128">
            <v>0</v>
          </cell>
          <cell r="BQ128">
            <v>0</v>
          </cell>
          <cell r="BR128">
            <v>1285</v>
          </cell>
          <cell r="BS128">
            <v>0</v>
          </cell>
          <cell r="BU128">
            <v>2403</v>
          </cell>
          <cell r="BV128">
            <v>0</v>
          </cell>
          <cell r="BW128">
            <v>2403</v>
          </cell>
          <cell r="BX128">
            <v>0</v>
          </cell>
          <cell r="BY128">
            <v>1285</v>
          </cell>
          <cell r="BZ128">
            <v>0</v>
          </cell>
          <cell r="CA128">
            <v>0</v>
          </cell>
          <cell r="CB128">
            <v>1285</v>
          </cell>
          <cell r="CC128">
            <v>0</v>
          </cell>
          <cell r="CE128">
            <v>2403</v>
          </cell>
          <cell r="CF128">
            <v>0</v>
          </cell>
          <cell r="CG128">
            <v>2403</v>
          </cell>
          <cell r="CH128">
            <v>0</v>
          </cell>
          <cell r="CI128">
            <v>1285</v>
          </cell>
          <cell r="CJ128">
            <v>0</v>
          </cell>
          <cell r="CK128">
            <v>0</v>
          </cell>
          <cell r="CL128">
            <v>1285</v>
          </cell>
          <cell r="CM128">
            <v>33665</v>
          </cell>
          <cell r="CO128">
            <v>2403</v>
          </cell>
          <cell r="CP128">
            <v>0</v>
          </cell>
          <cell r="CQ128">
            <v>2403</v>
          </cell>
          <cell r="CR128">
            <v>0</v>
          </cell>
          <cell r="CS128">
            <v>2390</v>
          </cell>
          <cell r="CT128">
            <v>0</v>
          </cell>
          <cell r="CU128">
            <v>0</v>
          </cell>
          <cell r="CV128">
            <v>2390</v>
          </cell>
          <cell r="CW128">
            <v>0</v>
          </cell>
          <cell r="CY128">
            <v>2403</v>
          </cell>
          <cell r="CZ128">
            <v>0</v>
          </cell>
          <cell r="DA128">
            <v>2403</v>
          </cell>
          <cell r="DB128">
            <v>0</v>
          </cell>
          <cell r="DC128">
            <v>2390</v>
          </cell>
          <cell r="DD128">
            <v>0</v>
          </cell>
          <cell r="DE128">
            <v>0</v>
          </cell>
          <cell r="DF128">
            <v>2390</v>
          </cell>
          <cell r="DG128">
            <v>0</v>
          </cell>
          <cell r="DI128">
            <v>38558</v>
          </cell>
          <cell r="DJ128">
            <v>23359</v>
          </cell>
          <cell r="DK128">
            <v>0</v>
          </cell>
          <cell r="DL128">
            <v>23359</v>
          </cell>
          <cell r="DM128">
            <v>23359</v>
          </cell>
          <cell r="DN128">
            <v>0</v>
          </cell>
          <cell r="DO128">
            <v>23359</v>
          </cell>
          <cell r="DP128">
            <v>15060</v>
          </cell>
          <cell r="DQ128">
            <v>0</v>
          </cell>
          <cell r="DR128">
            <v>0</v>
          </cell>
          <cell r="DS128">
            <v>15060</v>
          </cell>
          <cell r="DT128">
            <v>61778</v>
          </cell>
          <cell r="DU128">
            <v>33665</v>
          </cell>
          <cell r="DW128">
            <v>0</v>
          </cell>
          <cell r="DX128">
            <v>0</v>
          </cell>
          <cell r="DY128">
            <v>44299</v>
          </cell>
          <cell r="DZ128">
            <v>50040</v>
          </cell>
          <cell r="EA128">
            <v>55917</v>
          </cell>
          <cell r="EB128">
            <v>61794</v>
          </cell>
          <cell r="EC128">
            <v>67671</v>
          </cell>
          <cell r="ED128">
            <v>73762</v>
          </cell>
          <cell r="EE128">
            <v>79853</v>
          </cell>
          <cell r="EF128">
            <v>52279</v>
          </cell>
          <cell r="EG128">
            <v>59475</v>
          </cell>
          <cell r="EH128">
            <v>66671</v>
          </cell>
          <cell r="EI128">
            <v>611761</v>
          </cell>
          <cell r="EK128">
            <v>0</v>
          </cell>
          <cell r="EL128">
            <v>0</v>
          </cell>
          <cell r="EM128">
            <v>295.32666666666665</v>
          </cell>
          <cell r="EN128">
            <v>333.59999999999997</v>
          </cell>
          <cell r="EO128">
            <v>372.78</v>
          </cell>
          <cell r="EP128">
            <v>411.96000000000004</v>
          </cell>
          <cell r="EQ128">
            <v>451.14000000000004</v>
          </cell>
          <cell r="ER128">
            <v>491.74666666666667</v>
          </cell>
          <cell r="ES128">
            <v>572.27983333333327</v>
          </cell>
          <cell r="ET128">
            <v>374.66616666666664</v>
          </cell>
          <cell r="EU128">
            <v>426.23750000000001</v>
          </cell>
          <cell r="EV128">
            <v>477.80883333333333</v>
          </cell>
          <cell r="EW128">
            <v>4207.5456666666669</v>
          </cell>
          <cell r="EY128">
            <v>353483</v>
          </cell>
          <cell r="EZ128">
            <v>8</v>
          </cell>
          <cell r="FA128">
            <v>2356.5533333333333</v>
          </cell>
          <cell r="FB128">
            <v>258278</v>
          </cell>
          <cell r="FC128">
            <v>8.6</v>
          </cell>
          <cell r="FD128">
            <v>1850.9923333333334</v>
          </cell>
          <cell r="FE128">
            <v>4207.5456666666669</v>
          </cell>
          <cell r="FF128">
            <v>70879</v>
          </cell>
          <cell r="FH128">
            <v>70879</v>
          </cell>
        </row>
        <row r="129">
          <cell r="B129">
            <v>8924</v>
          </cell>
          <cell r="C129" t="str">
            <v>13.03.2007</v>
          </cell>
          <cell r="D129" t="str">
            <v>Thakaraj Evelin Melita</v>
          </cell>
          <cell r="F129">
            <v>136497</v>
          </cell>
          <cell r="H129">
            <v>140208</v>
          </cell>
          <cell r="I129">
            <v>140208</v>
          </cell>
          <cell r="J129">
            <v>280416</v>
          </cell>
          <cell r="K129">
            <v>143919</v>
          </cell>
          <cell r="M129">
            <v>4185</v>
          </cell>
          <cell r="N129">
            <v>0</v>
          </cell>
          <cell r="O129">
            <v>4185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W129">
            <v>4185</v>
          </cell>
          <cell r="X129">
            <v>0</v>
          </cell>
          <cell r="Y129">
            <v>4185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G129">
            <v>4312</v>
          </cell>
          <cell r="AH129">
            <v>0</v>
          </cell>
          <cell r="AI129">
            <v>4312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Q129">
            <v>4312</v>
          </cell>
          <cell r="AR129">
            <v>0</v>
          </cell>
          <cell r="AS129">
            <v>4312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BA129">
            <v>4312</v>
          </cell>
          <cell r="BB129">
            <v>0</v>
          </cell>
          <cell r="BC129">
            <v>4312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K129">
            <v>4512</v>
          </cell>
          <cell r="BL129">
            <v>0</v>
          </cell>
          <cell r="BM129">
            <v>4512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U129">
            <v>4512</v>
          </cell>
          <cell r="BV129">
            <v>0</v>
          </cell>
          <cell r="BW129">
            <v>4512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E129">
            <v>4512</v>
          </cell>
          <cell r="CF129">
            <v>0</v>
          </cell>
          <cell r="CG129">
            <v>4512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O129">
            <v>4512</v>
          </cell>
          <cell r="CP129">
            <v>0</v>
          </cell>
          <cell r="CQ129">
            <v>4512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Y129">
            <v>4512</v>
          </cell>
          <cell r="CZ129">
            <v>0</v>
          </cell>
          <cell r="DA129">
            <v>4512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I129">
            <v>280416</v>
          </cell>
          <cell r="DJ129">
            <v>43866</v>
          </cell>
          <cell r="DK129">
            <v>0</v>
          </cell>
          <cell r="DL129">
            <v>43866</v>
          </cell>
          <cell r="DM129">
            <v>43866</v>
          </cell>
          <cell r="DN129">
            <v>0</v>
          </cell>
          <cell r="DO129">
            <v>43866</v>
          </cell>
          <cell r="DP129">
            <v>0</v>
          </cell>
          <cell r="DQ129">
            <v>0</v>
          </cell>
          <cell r="DR129">
            <v>0</v>
          </cell>
          <cell r="DS129">
            <v>0</v>
          </cell>
          <cell r="DT129">
            <v>87732</v>
          </cell>
          <cell r="DU129">
            <v>0</v>
          </cell>
          <cell r="DW129">
            <v>0</v>
          </cell>
          <cell r="DX129">
            <v>0</v>
          </cell>
          <cell r="DY129">
            <v>288786</v>
          </cell>
          <cell r="DZ129">
            <v>297156</v>
          </cell>
          <cell r="EA129">
            <v>305780</v>
          </cell>
          <cell r="EB129">
            <v>314404</v>
          </cell>
          <cell r="EC129">
            <v>323028</v>
          </cell>
          <cell r="ED129">
            <v>332052</v>
          </cell>
          <cell r="EE129">
            <v>341076</v>
          </cell>
          <cell r="EF129">
            <v>350100</v>
          </cell>
          <cell r="EG129">
            <v>359124</v>
          </cell>
          <cell r="EH129">
            <v>368148</v>
          </cell>
          <cell r="EI129">
            <v>3279654</v>
          </cell>
          <cell r="EK129">
            <v>0</v>
          </cell>
          <cell r="EL129">
            <v>0</v>
          </cell>
          <cell r="EM129">
            <v>1925.24</v>
          </cell>
          <cell r="EN129">
            <v>1981.04</v>
          </cell>
          <cell r="EO129">
            <v>2038.5333333333335</v>
          </cell>
          <cell r="EP129">
            <v>2096.0266666666666</v>
          </cell>
          <cell r="EQ129">
            <v>2153.52</v>
          </cell>
          <cell r="ER129">
            <v>2213.6799999999998</v>
          </cell>
          <cell r="ES129">
            <v>2444.3780000000002</v>
          </cell>
          <cell r="ET129">
            <v>2509.0499999999997</v>
          </cell>
          <cell r="EU129">
            <v>2573.7220000000002</v>
          </cell>
          <cell r="EV129">
            <v>2638.3939999999998</v>
          </cell>
          <cell r="EW129">
            <v>22573.584000000003</v>
          </cell>
          <cell r="EY129">
            <v>1861206</v>
          </cell>
          <cell r="EZ129">
            <v>8</v>
          </cell>
          <cell r="FA129">
            <v>12408.04</v>
          </cell>
          <cell r="FB129">
            <v>1418448</v>
          </cell>
          <cell r="FC129">
            <v>8.6</v>
          </cell>
          <cell r="FD129">
            <v>10165.544</v>
          </cell>
          <cell r="FE129">
            <v>22573.584000000003</v>
          </cell>
          <cell r="FF129">
            <v>390722</v>
          </cell>
          <cell r="FH129">
            <v>390722</v>
          </cell>
        </row>
        <row r="130">
          <cell r="B130">
            <v>8925</v>
          </cell>
          <cell r="C130" t="str">
            <v>13.03.2007</v>
          </cell>
          <cell r="D130" t="str">
            <v>Pathak Kanchan Vasantrao / Kulkarni Kanchan N</v>
          </cell>
          <cell r="F130">
            <v>66804</v>
          </cell>
          <cell r="H130">
            <v>52822</v>
          </cell>
          <cell r="I130">
            <v>52822</v>
          </cell>
          <cell r="J130">
            <v>105644</v>
          </cell>
          <cell r="K130">
            <v>38840</v>
          </cell>
          <cell r="M130">
            <v>2228</v>
          </cell>
          <cell r="N130">
            <v>0</v>
          </cell>
          <cell r="O130">
            <v>2228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W130">
            <v>2228</v>
          </cell>
          <cell r="X130">
            <v>0</v>
          </cell>
          <cell r="Y130">
            <v>2228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G130">
            <v>2296</v>
          </cell>
          <cell r="AH130">
            <v>0</v>
          </cell>
          <cell r="AI130">
            <v>2296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Q130">
            <v>2296</v>
          </cell>
          <cell r="AR130">
            <v>0</v>
          </cell>
          <cell r="AS130">
            <v>2296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BA130">
            <v>2296</v>
          </cell>
          <cell r="BB130">
            <v>0</v>
          </cell>
          <cell r="BC130">
            <v>2296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K130">
            <v>2403</v>
          </cell>
          <cell r="BL130">
            <v>0</v>
          </cell>
          <cell r="BM130">
            <v>2403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U130">
            <v>2403</v>
          </cell>
          <cell r="BV130">
            <v>0</v>
          </cell>
          <cell r="BW130">
            <v>2403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E130">
            <v>2403</v>
          </cell>
          <cell r="CF130">
            <v>0</v>
          </cell>
          <cell r="CG130">
            <v>2403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O130">
            <v>2403</v>
          </cell>
          <cell r="CP130">
            <v>0</v>
          </cell>
          <cell r="CQ130">
            <v>2403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Y130">
            <v>2403</v>
          </cell>
          <cell r="CZ130">
            <v>0</v>
          </cell>
          <cell r="DA130">
            <v>2403</v>
          </cell>
          <cell r="DB130">
            <v>0</v>
          </cell>
          <cell r="DC130">
            <v>0</v>
          </cell>
          <cell r="DD130">
            <v>0</v>
          </cell>
          <cell r="DE130">
            <v>0</v>
          </cell>
          <cell r="DF130">
            <v>0</v>
          </cell>
          <cell r="DG130">
            <v>0</v>
          </cell>
          <cell r="DI130">
            <v>105644</v>
          </cell>
          <cell r="DJ130">
            <v>23359</v>
          </cell>
          <cell r="DK130">
            <v>0</v>
          </cell>
          <cell r="DL130">
            <v>23359</v>
          </cell>
          <cell r="DM130">
            <v>23359</v>
          </cell>
          <cell r="DN130">
            <v>0</v>
          </cell>
          <cell r="DO130">
            <v>23359</v>
          </cell>
          <cell r="DP130">
            <v>0</v>
          </cell>
          <cell r="DQ130">
            <v>0</v>
          </cell>
          <cell r="DR130">
            <v>0</v>
          </cell>
          <cell r="DS130">
            <v>0</v>
          </cell>
          <cell r="DT130">
            <v>46718</v>
          </cell>
          <cell r="DU130">
            <v>0</v>
          </cell>
          <cell r="DW130">
            <v>0</v>
          </cell>
          <cell r="DX130">
            <v>0</v>
          </cell>
          <cell r="DY130">
            <v>110100</v>
          </cell>
          <cell r="DZ130">
            <v>114556</v>
          </cell>
          <cell r="EA130">
            <v>119148</v>
          </cell>
          <cell r="EB130">
            <v>123740</v>
          </cell>
          <cell r="EC130">
            <v>128332</v>
          </cell>
          <cell r="ED130">
            <v>133138</v>
          </cell>
          <cell r="EE130">
            <v>137944</v>
          </cell>
          <cell r="EF130">
            <v>142750</v>
          </cell>
          <cell r="EG130">
            <v>147556</v>
          </cell>
          <cell r="EH130">
            <v>152362</v>
          </cell>
          <cell r="EI130">
            <v>1309626</v>
          </cell>
          <cell r="EK130">
            <v>0</v>
          </cell>
          <cell r="EL130">
            <v>0</v>
          </cell>
          <cell r="EM130">
            <v>734</v>
          </cell>
          <cell r="EN130">
            <v>763.70666666666659</v>
          </cell>
          <cell r="EO130">
            <v>794.32</v>
          </cell>
          <cell r="EP130">
            <v>824.93333333333339</v>
          </cell>
          <cell r="EQ130">
            <v>855.54666666666662</v>
          </cell>
          <cell r="ER130">
            <v>887.5866666666667</v>
          </cell>
          <cell r="ES130">
            <v>988.59866666666665</v>
          </cell>
          <cell r="ET130">
            <v>1023.0416666666666</v>
          </cell>
          <cell r="EU130">
            <v>1057.4846666666665</v>
          </cell>
          <cell r="EV130">
            <v>1091.9276666666667</v>
          </cell>
          <cell r="EW130">
            <v>9021.1460000000006</v>
          </cell>
          <cell r="EY130">
            <v>729014</v>
          </cell>
          <cell r="EZ130">
            <v>8</v>
          </cell>
          <cell r="FA130">
            <v>4860.0933333333332</v>
          </cell>
          <cell r="FB130">
            <v>580612</v>
          </cell>
          <cell r="FC130">
            <v>8.6</v>
          </cell>
          <cell r="FD130">
            <v>4161.0526666666674</v>
          </cell>
          <cell r="FE130">
            <v>9021.1460000000006</v>
          </cell>
          <cell r="FF130">
            <v>161383</v>
          </cell>
          <cell r="FH130">
            <v>161383</v>
          </cell>
        </row>
        <row r="131">
          <cell r="B131">
            <v>8926</v>
          </cell>
          <cell r="C131" t="str">
            <v>13.03.2007</v>
          </cell>
          <cell r="D131" t="str">
            <v>Jadhav Rina Vijay</v>
          </cell>
          <cell r="F131">
            <v>68543</v>
          </cell>
          <cell r="H131">
            <v>42313</v>
          </cell>
          <cell r="I131">
            <v>42313</v>
          </cell>
          <cell r="J131">
            <v>84626</v>
          </cell>
          <cell r="K131">
            <v>16083</v>
          </cell>
          <cell r="M131">
            <v>2100</v>
          </cell>
          <cell r="N131">
            <v>0</v>
          </cell>
          <cell r="O131">
            <v>2100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W131">
            <v>2100</v>
          </cell>
          <cell r="X131">
            <v>0</v>
          </cell>
          <cell r="Y131">
            <v>2100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G131">
            <v>2100</v>
          </cell>
          <cell r="AH131">
            <v>0</v>
          </cell>
          <cell r="AI131">
            <v>2100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Q131">
            <v>2100</v>
          </cell>
          <cell r="AR131">
            <v>0</v>
          </cell>
          <cell r="AS131">
            <v>2100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BA131">
            <v>2100</v>
          </cell>
          <cell r="BB131">
            <v>0</v>
          </cell>
          <cell r="BC131">
            <v>2100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K131">
            <v>2197</v>
          </cell>
          <cell r="BL131">
            <v>0</v>
          </cell>
          <cell r="BM131">
            <v>2197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U131">
            <v>2197</v>
          </cell>
          <cell r="BV131">
            <v>0</v>
          </cell>
          <cell r="BW131">
            <v>2197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E131">
            <v>2197</v>
          </cell>
          <cell r="CF131">
            <v>0</v>
          </cell>
          <cell r="CG131">
            <v>2197</v>
          </cell>
          <cell r="CH131">
            <v>0</v>
          </cell>
          <cell r="CI131">
            <v>0</v>
          </cell>
          <cell r="CJ131">
            <v>0</v>
          </cell>
          <cell r="CK131">
            <v>0</v>
          </cell>
          <cell r="CL131">
            <v>0</v>
          </cell>
          <cell r="CM131">
            <v>0</v>
          </cell>
          <cell r="CO131">
            <v>2403</v>
          </cell>
          <cell r="CP131">
            <v>0</v>
          </cell>
          <cell r="CQ131">
            <v>2403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Y131">
            <v>2403</v>
          </cell>
          <cell r="CZ131">
            <v>0</v>
          </cell>
          <cell r="DA131">
            <v>2403</v>
          </cell>
          <cell r="DB131">
            <v>0</v>
          </cell>
          <cell r="DC131">
            <v>0</v>
          </cell>
          <cell r="DD131">
            <v>0</v>
          </cell>
          <cell r="DE131">
            <v>0</v>
          </cell>
          <cell r="DF131">
            <v>0</v>
          </cell>
          <cell r="DG131">
            <v>0</v>
          </cell>
          <cell r="DI131">
            <v>84626</v>
          </cell>
          <cell r="DJ131">
            <v>21897</v>
          </cell>
          <cell r="DK131">
            <v>0</v>
          </cell>
          <cell r="DL131">
            <v>21897</v>
          </cell>
          <cell r="DM131">
            <v>21897</v>
          </cell>
          <cell r="DN131">
            <v>0</v>
          </cell>
          <cell r="DO131">
            <v>21897</v>
          </cell>
          <cell r="DP131">
            <v>0</v>
          </cell>
          <cell r="DQ131">
            <v>0</v>
          </cell>
          <cell r="DR131">
            <v>0</v>
          </cell>
          <cell r="DS131">
            <v>0</v>
          </cell>
          <cell r="DT131">
            <v>43794</v>
          </cell>
          <cell r="DU131">
            <v>0</v>
          </cell>
          <cell r="DW131">
            <v>0</v>
          </cell>
          <cell r="DX131">
            <v>0</v>
          </cell>
          <cell r="DY131">
            <v>88826</v>
          </cell>
          <cell r="DZ131">
            <v>93026</v>
          </cell>
          <cell r="EA131">
            <v>97226</v>
          </cell>
          <cell r="EB131">
            <v>101426</v>
          </cell>
          <cell r="EC131">
            <v>105626</v>
          </cell>
          <cell r="ED131">
            <v>110020</v>
          </cell>
          <cell r="EE131">
            <v>114414</v>
          </cell>
          <cell r="EF131">
            <v>118808</v>
          </cell>
          <cell r="EG131">
            <v>123614</v>
          </cell>
          <cell r="EH131">
            <v>128420</v>
          </cell>
          <cell r="EI131">
            <v>1081406</v>
          </cell>
          <cell r="EK131">
            <v>0</v>
          </cell>
          <cell r="EL131">
            <v>0</v>
          </cell>
          <cell r="EM131">
            <v>592.17333333333329</v>
          </cell>
          <cell r="EN131">
            <v>620.17333333333329</v>
          </cell>
          <cell r="EO131">
            <v>648.17333333333329</v>
          </cell>
          <cell r="EP131">
            <v>676.17333333333329</v>
          </cell>
          <cell r="EQ131">
            <v>704.17333333333329</v>
          </cell>
          <cell r="ER131">
            <v>733.4666666666667</v>
          </cell>
          <cell r="ES131">
            <v>819.96699999999998</v>
          </cell>
          <cell r="ET131">
            <v>851.45733333333328</v>
          </cell>
          <cell r="EU131">
            <v>885.90033333333315</v>
          </cell>
          <cell r="EV131">
            <v>920.34333333333336</v>
          </cell>
          <cell r="EW131">
            <v>7452.0013333333327</v>
          </cell>
          <cell r="EY131">
            <v>596150</v>
          </cell>
          <cell r="EZ131">
            <v>8</v>
          </cell>
          <cell r="FA131">
            <v>3974.3333333333335</v>
          </cell>
          <cell r="FB131">
            <v>485256</v>
          </cell>
          <cell r="FC131">
            <v>8.6</v>
          </cell>
          <cell r="FD131">
            <v>3477.6679999999997</v>
          </cell>
          <cell r="FE131">
            <v>7452.0013333333336</v>
          </cell>
          <cell r="FF131">
            <v>135872</v>
          </cell>
          <cell r="FH131">
            <v>135872</v>
          </cell>
        </row>
        <row r="132">
          <cell r="B132">
            <v>8927</v>
          </cell>
          <cell r="C132" t="str">
            <v>13.03.2007</v>
          </cell>
          <cell r="D132" t="str">
            <v>Parwate Archana Ranchandra</v>
          </cell>
          <cell r="F132">
            <v>69904</v>
          </cell>
          <cell r="H132">
            <v>60083</v>
          </cell>
          <cell r="I132">
            <v>60083</v>
          </cell>
          <cell r="J132">
            <v>120166</v>
          </cell>
          <cell r="K132">
            <v>50262</v>
          </cell>
          <cell r="M132">
            <v>2228</v>
          </cell>
          <cell r="N132">
            <v>0</v>
          </cell>
          <cell r="O132">
            <v>2228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W132">
            <v>2228</v>
          </cell>
          <cell r="X132">
            <v>0</v>
          </cell>
          <cell r="Y132">
            <v>2228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G132">
            <v>2296</v>
          </cell>
          <cell r="AH132">
            <v>0</v>
          </cell>
          <cell r="AI132">
            <v>2296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Q132">
            <v>2296</v>
          </cell>
          <cell r="AR132">
            <v>0</v>
          </cell>
          <cell r="AS132">
            <v>2296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BA132">
            <v>2296</v>
          </cell>
          <cell r="BB132">
            <v>0</v>
          </cell>
          <cell r="BC132">
            <v>2296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K132">
            <v>2403</v>
          </cell>
          <cell r="BL132">
            <v>0</v>
          </cell>
          <cell r="BM132">
            <v>2403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U132">
            <v>2403</v>
          </cell>
          <cell r="BV132">
            <v>0</v>
          </cell>
          <cell r="BW132">
            <v>2403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E132">
            <v>2403</v>
          </cell>
          <cell r="CF132">
            <v>0</v>
          </cell>
          <cell r="CG132">
            <v>2403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  <cell r="CL132">
            <v>0</v>
          </cell>
          <cell r="CM132">
            <v>0</v>
          </cell>
          <cell r="CO132">
            <v>2403</v>
          </cell>
          <cell r="CP132">
            <v>0</v>
          </cell>
          <cell r="CQ132">
            <v>2403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Y132">
            <v>2403</v>
          </cell>
          <cell r="CZ132">
            <v>0</v>
          </cell>
          <cell r="DA132">
            <v>2403</v>
          </cell>
          <cell r="DB132">
            <v>0</v>
          </cell>
          <cell r="DC132">
            <v>0</v>
          </cell>
          <cell r="DD132">
            <v>0</v>
          </cell>
          <cell r="DE132">
            <v>0</v>
          </cell>
          <cell r="DF132">
            <v>0</v>
          </cell>
          <cell r="DG132">
            <v>0</v>
          </cell>
          <cell r="DI132">
            <v>120166</v>
          </cell>
          <cell r="DJ132">
            <v>23359</v>
          </cell>
          <cell r="DK132">
            <v>0</v>
          </cell>
          <cell r="DL132">
            <v>23359</v>
          </cell>
          <cell r="DM132">
            <v>23359</v>
          </cell>
          <cell r="DN132">
            <v>0</v>
          </cell>
          <cell r="DO132">
            <v>23359</v>
          </cell>
          <cell r="DP132">
            <v>0</v>
          </cell>
          <cell r="DQ132">
            <v>0</v>
          </cell>
          <cell r="DR132">
            <v>0</v>
          </cell>
          <cell r="DS132">
            <v>0</v>
          </cell>
          <cell r="DT132">
            <v>46718</v>
          </cell>
          <cell r="DU132">
            <v>0</v>
          </cell>
          <cell r="DW132">
            <v>0</v>
          </cell>
          <cell r="DX132">
            <v>0</v>
          </cell>
          <cell r="DY132">
            <v>124622</v>
          </cell>
          <cell r="DZ132">
            <v>129078</v>
          </cell>
          <cell r="EA132">
            <v>133670</v>
          </cell>
          <cell r="EB132">
            <v>138262</v>
          </cell>
          <cell r="EC132">
            <v>142854</v>
          </cell>
          <cell r="ED132">
            <v>147660</v>
          </cell>
          <cell r="EE132">
            <v>152466</v>
          </cell>
          <cell r="EF132">
            <v>157272</v>
          </cell>
          <cell r="EG132">
            <v>162078</v>
          </cell>
          <cell r="EH132">
            <v>166884</v>
          </cell>
          <cell r="EI132">
            <v>1454846</v>
          </cell>
          <cell r="EK132">
            <v>0</v>
          </cell>
          <cell r="EL132">
            <v>0</v>
          </cell>
          <cell r="EM132">
            <v>830.81333333333339</v>
          </cell>
          <cell r="EN132">
            <v>860.52</v>
          </cell>
          <cell r="EO132">
            <v>891.13333333333333</v>
          </cell>
          <cell r="EP132">
            <v>921.74666666666656</v>
          </cell>
          <cell r="EQ132">
            <v>952.36</v>
          </cell>
          <cell r="ER132">
            <v>984.4</v>
          </cell>
          <cell r="ES132">
            <v>1092.673</v>
          </cell>
          <cell r="ET132">
            <v>1127.116</v>
          </cell>
          <cell r="EU132">
            <v>1161.559</v>
          </cell>
          <cell r="EV132">
            <v>1196.002</v>
          </cell>
          <cell r="EW132">
            <v>10018.323333333332</v>
          </cell>
          <cell r="EY132">
            <v>816146</v>
          </cell>
          <cell r="EZ132">
            <v>8</v>
          </cell>
          <cell r="FA132">
            <v>5440.9733333333334</v>
          </cell>
          <cell r="FB132">
            <v>638700</v>
          </cell>
          <cell r="FC132">
            <v>8.6</v>
          </cell>
          <cell r="FD132">
            <v>4577.3499999999995</v>
          </cell>
          <cell r="FE132">
            <v>10018.323333333334</v>
          </cell>
          <cell r="FF132">
            <v>176902</v>
          </cell>
          <cell r="FH132">
            <v>176902</v>
          </cell>
        </row>
        <row r="133">
          <cell r="B133">
            <v>8928</v>
          </cell>
          <cell r="C133" t="str">
            <v>13.03.2007</v>
          </cell>
          <cell r="D133" t="str">
            <v>Bansode Rekha Gangadhar / Gangurde Rekha M</v>
          </cell>
          <cell r="F133">
            <v>69904</v>
          </cell>
          <cell r="H133">
            <v>26875</v>
          </cell>
          <cell r="I133">
            <v>26875</v>
          </cell>
          <cell r="J133">
            <v>53750</v>
          </cell>
          <cell r="K133">
            <v>-16154</v>
          </cell>
          <cell r="M133">
            <v>2228</v>
          </cell>
          <cell r="N133">
            <v>0</v>
          </cell>
          <cell r="O133">
            <v>2228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W133">
            <v>2228</v>
          </cell>
          <cell r="X133">
            <v>0</v>
          </cell>
          <cell r="Y133">
            <v>2228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G133">
            <v>2296</v>
          </cell>
          <cell r="AH133">
            <v>0</v>
          </cell>
          <cell r="AI133">
            <v>2296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Q133">
            <v>2296</v>
          </cell>
          <cell r="AR133">
            <v>0</v>
          </cell>
          <cell r="AS133">
            <v>2296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BA133">
            <v>2296</v>
          </cell>
          <cell r="BB133">
            <v>0</v>
          </cell>
          <cell r="BC133">
            <v>2296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K133">
            <v>2403</v>
          </cell>
          <cell r="BL133">
            <v>0</v>
          </cell>
          <cell r="BM133">
            <v>2403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U133">
            <v>2403</v>
          </cell>
          <cell r="BV133">
            <v>0</v>
          </cell>
          <cell r="BW133">
            <v>2403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E133">
            <v>2403</v>
          </cell>
          <cell r="CF133">
            <v>0</v>
          </cell>
          <cell r="CG133">
            <v>2403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0</v>
          </cell>
          <cell r="CO133">
            <v>2403</v>
          </cell>
          <cell r="CP133">
            <v>0</v>
          </cell>
          <cell r="CQ133">
            <v>2403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Y133">
            <v>2403</v>
          </cell>
          <cell r="CZ133">
            <v>0</v>
          </cell>
          <cell r="DA133">
            <v>2403</v>
          </cell>
          <cell r="DB133">
            <v>0</v>
          </cell>
          <cell r="DC133">
            <v>0</v>
          </cell>
          <cell r="DD133">
            <v>0</v>
          </cell>
          <cell r="DE133">
            <v>0</v>
          </cell>
          <cell r="DF133">
            <v>0</v>
          </cell>
          <cell r="DG133">
            <v>0</v>
          </cell>
          <cell r="DI133">
            <v>53750</v>
          </cell>
          <cell r="DJ133">
            <v>23359</v>
          </cell>
          <cell r="DK133">
            <v>0</v>
          </cell>
          <cell r="DL133">
            <v>23359</v>
          </cell>
          <cell r="DM133">
            <v>23359</v>
          </cell>
          <cell r="DN133">
            <v>0</v>
          </cell>
          <cell r="DO133">
            <v>23359</v>
          </cell>
          <cell r="DP133">
            <v>0</v>
          </cell>
          <cell r="DQ133">
            <v>0</v>
          </cell>
          <cell r="DR133">
            <v>0</v>
          </cell>
          <cell r="DS133">
            <v>0</v>
          </cell>
          <cell r="DT133">
            <v>46718</v>
          </cell>
          <cell r="DU133">
            <v>0</v>
          </cell>
          <cell r="DW133">
            <v>0</v>
          </cell>
          <cell r="DX133">
            <v>0</v>
          </cell>
          <cell r="DY133">
            <v>58206</v>
          </cell>
          <cell r="DZ133">
            <v>62662</v>
          </cell>
          <cell r="EA133">
            <v>67254</v>
          </cell>
          <cell r="EB133">
            <v>71846</v>
          </cell>
          <cell r="EC133">
            <v>76438</v>
          </cell>
          <cell r="ED133">
            <v>81244</v>
          </cell>
          <cell r="EE133">
            <v>86050</v>
          </cell>
          <cell r="EF133">
            <v>90856</v>
          </cell>
          <cell r="EG133">
            <v>95662</v>
          </cell>
          <cell r="EH133">
            <v>100468</v>
          </cell>
          <cell r="EI133">
            <v>790686</v>
          </cell>
          <cell r="EK133">
            <v>0</v>
          </cell>
          <cell r="EL133">
            <v>0</v>
          </cell>
          <cell r="EM133">
            <v>388.03999999999996</v>
          </cell>
          <cell r="EN133">
            <v>417.74666666666667</v>
          </cell>
          <cell r="EO133">
            <v>448.35999999999996</v>
          </cell>
          <cell r="EP133">
            <v>478.97333333333336</v>
          </cell>
          <cell r="EQ133">
            <v>509.58666666666664</v>
          </cell>
          <cell r="ER133">
            <v>541.62666666666667</v>
          </cell>
          <cell r="ES133">
            <v>616.69166666666672</v>
          </cell>
          <cell r="ET133">
            <v>651.1346666666667</v>
          </cell>
          <cell r="EU133">
            <v>685.57766666666657</v>
          </cell>
          <cell r="EV133">
            <v>720.02066666666667</v>
          </cell>
          <cell r="EW133">
            <v>5457.7579999999989</v>
          </cell>
          <cell r="EY133">
            <v>417650</v>
          </cell>
          <cell r="EZ133">
            <v>8</v>
          </cell>
          <cell r="FA133">
            <v>2784.3333333333335</v>
          </cell>
          <cell r="FB133">
            <v>373036</v>
          </cell>
          <cell r="FC133">
            <v>8.6</v>
          </cell>
          <cell r="FD133">
            <v>2673.4246666666668</v>
          </cell>
          <cell r="FE133">
            <v>5457.7579999999998</v>
          </cell>
          <cell r="FF133">
            <v>105926</v>
          </cell>
          <cell r="FH133">
            <v>105926</v>
          </cell>
        </row>
        <row r="134">
          <cell r="B134">
            <v>8929</v>
          </cell>
          <cell r="C134" t="str">
            <v>13.03.2007</v>
          </cell>
          <cell r="D134" t="str">
            <v>Kulkarni Yojana Ramakant / Naik Yojana Y</v>
          </cell>
          <cell r="F134">
            <v>69904</v>
          </cell>
          <cell r="H134">
            <v>54784</v>
          </cell>
          <cell r="I134">
            <v>54784</v>
          </cell>
          <cell r="J134">
            <v>109568</v>
          </cell>
          <cell r="K134">
            <v>39664</v>
          </cell>
          <cell r="M134">
            <v>2228</v>
          </cell>
          <cell r="N134">
            <v>0</v>
          </cell>
          <cell r="O134">
            <v>2228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W134">
            <v>2228</v>
          </cell>
          <cell r="X134">
            <v>0</v>
          </cell>
          <cell r="Y134">
            <v>2228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G134">
            <v>2296</v>
          </cell>
          <cell r="AH134">
            <v>0</v>
          </cell>
          <cell r="AI134">
            <v>2296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Q134">
            <v>2296</v>
          </cell>
          <cell r="AR134">
            <v>0</v>
          </cell>
          <cell r="AS134">
            <v>2296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BA134">
            <v>2296</v>
          </cell>
          <cell r="BB134">
            <v>0</v>
          </cell>
          <cell r="BC134">
            <v>2296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K134">
            <v>2403</v>
          </cell>
          <cell r="BL134">
            <v>0</v>
          </cell>
          <cell r="BM134">
            <v>2403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U134">
            <v>2403</v>
          </cell>
          <cell r="BV134">
            <v>0</v>
          </cell>
          <cell r="BW134">
            <v>2403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E134">
            <v>2403</v>
          </cell>
          <cell r="CF134">
            <v>0</v>
          </cell>
          <cell r="CG134">
            <v>2403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O134">
            <v>2403</v>
          </cell>
          <cell r="CP134">
            <v>0</v>
          </cell>
          <cell r="CQ134">
            <v>2403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Y134">
            <v>2403</v>
          </cell>
          <cell r="CZ134">
            <v>0</v>
          </cell>
          <cell r="DA134">
            <v>2403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I134">
            <v>109568</v>
          </cell>
          <cell r="DJ134">
            <v>23359</v>
          </cell>
          <cell r="DK134">
            <v>0</v>
          </cell>
          <cell r="DL134">
            <v>23359</v>
          </cell>
          <cell r="DM134">
            <v>23359</v>
          </cell>
          <cell r="DN134">
            <v>0</v>
          </cell>
          <cell r="DO134">
            <v>23359</v>
          </cell>
          <cell r="DP134">
            <v>0</v>
          </cell>
          <cell r="DQ134">
            <v>0</v>
          </cell>
          <cell r="DR134">
            <v>0</v>
          </cell>
          <cell r="DS134">
            <v>0</v>
          </cell>
          <cell r="DT134">
            <v>46718</v>
          </cell>
          <cell r="DU134">
            <v>0</v>
          </cell>
          <cell r="DW134">
            <v>0</v>
          </cell>
          <cell r="DX134">
            <v>0</v>
          </cell>
          <cell r="DY134">
            <v>114024</v>
          </cell>
          <cell r="DZ134">
            <v>118480</v>
          </cell>
          <cell r="EA134">
            <v>123072</v>
          </cell>
          <cell r="EB134">
            <v>127664</v>
          </cell>
          <cell r="EC134">
            <v>132256</v>
          </cell>
          <cell r="ED134">
            <v>137062</v>
          </cell>
          <cell r="EE134">
            <v>141868</v>
          </cell>
          <cell r="EF134">
            <v>146674</v>
          </cell>
          <cell r="EG134">
            <v>151480</v>
          </cell>
          <cell r="EH134">
            <v>156286</v>
          </cell>
          <cell r="EI134">
            <v>1348866</v>
          </cell>
          <cell r="EK134">
            <v>0</v>
          </cell>
          <cell r="EL134">
            <v>0</v>
          </cell>
          <cell r="EM134">
            <v>760.16</v>
          </cell>
          <cell r="EN134">
            <v>789.86666666666667</v>
          </cell>
          <cell r="EO134">
            <v>820.48</v>
          </cell>
          <cell r="EP134">
            <v>851.09333333333336</v>
          </cell>
          <cell r="EQ134">
            <v>881.70666666666659</v>
          </cell>
          <cell r="ER134">
            <v>913.74666666666656</v>
          </cell>
          <cell r="ES134">
            <v>1016.7206666666667</v>
          </cell>
          <cell r="ET134">
            <v>1051.1636666666666</v>
          </cell>
          <cell r="EU134">
            <v>1085.6066666666668</v>
          </cell>
          <cell r="EV134">
            <v>1120.0496666666666</v>
          </cell>
          <cell r="EW134">
            <v>9290.5939999999991</v>
          </cell>
          <cell r="EY134">
            <v>752558</v>
          </cell>
          <cell r="EZ134">
            <v>8</v>
          </cell>
          <cell r="FA134">
            <v>5017.0533333333333</v>
          </cell>
          <cell r="FB134">
            <v>596308</v>
          </cell>
          <cell r="FC134">
            <v>8.6</v>
          </cell>
          <cell r="FD134">
            <v>4273.5406666666668</v>
          </cell>
          <cell r="FE134">
            <v>9290.594000000001</v>
          </cell>
          <cell r="FF134">
            <v>165577</v>
          </cell>
          <cell r="FH134">
            <v>165577</v>
          </cell>
        </row>
        <row r="135">
          <cell r="B135">
            <v>8930</v>
          </cell>
          <cell r="C135" t="str">
            <v>13.03.2007</v>
          </cell>
          <cell r="D135" t="str">
            <v>Kulkarni (Rokde) Rupali Mahendra</v>
          </cell>
          <cell r="F135">
            <v>66967</v>
          </cell>
          <cell r="H135">
            <v>67430</v>
          </cell>
          <cell r="I135">
            <v>67430</v>
          </cell>
          <cell r="J135">
            <v>134860</v>
          </cell>
          <cell r="K135">
            <v>67893</v>
          </cell>
          <cell r="M135">
            <v>2228</v>
          </cell>
          <cell r="N135">
            <v>0</v>
          </cell>
          <cell r="O135">
            <v>2228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W135">
            <v>2228</v>
          </cell>
          <cell r="X135">
            <v>0</v>
          </cell>
          <cell r="Y135">
            <v>2228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G135">
            <v>2296</v>
          </cell>
          <cell r="AH135">
            <v>0</v>
          </cell>
          <cell r="AI135">
            <v>2296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Q135">
            <v>2296</v>
          </cell>
          <cell r="AR135">
            <v>0</v>
          </cell>
          <cell r="AS135">
            <v>2296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BA135">
            <v>2296</v>
          </cell>
          <cell r="BB135">
            <v>0</v>
          </cell>
          <cell r="BC135">
            <v>2296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K135">
            <v>2403</v>
          </cell>
          <cell r="BL135">
            <v>0</v>
          </cell>
          <cell r="BM135">
            <v>2403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U135">
            <v>2403</v>
          </cell>
          <cell r="BV135">
            <v>0</v>
          </cell>
          <cell r="BW135">
            <v>2403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E135">
            <v>2403</v>
          </cell>
          <cell r="CF135">
            <v>0</v>
          </cell>
          <cell r="CG135">
            <v>2403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O135">
            <v>2403</v>
          </cell>
          <cell r="CP135">
            <v>0</v>
          </cell>
          <cell r="CQ135">
            <v>2403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Y135">
            <v>2403</v>
          </cell>
          <cell r="CZ135">
            <v>0</v>
          </cell>
          <cell r="DA135">
            <v>2403</v>
          </cell>
          <cell r="DB135">
            <v>0</v>
          </cell>
          <cell r="DC135">
            <v>0</v>
          </cell>
          <cell r="DD135">
            <v>0</v>
          </cell>
          <cell r="DE135">
            <v>0</v>
          </cell>
          <cell r="DF135">
            <v>0</v>
          </cell>
          <cell r="DG135">
            <v>0</v>
          </cell>
          <cell r="DI135">
            <v>134860</v>
          </cell>
          <cell r="DJ135">
            <v>23359</v>
          </cell>
          <cell r="DK135">
            <v>0</v>
          </cell>
          <cell r="DL135">
            <v>23359</v>
          </cell>
          <cell r="DM135">
            <v>23359</v>
          </cell>
          <cell r="DN135">
            <v>0</v>
          </cell>
          <cell r="DO135">
            <v>23359</v>
          </cell>
          <cell r="DP135">
            <v>0</v>
          </cell>
          <cell r="DQ135">
            <v>0</v>
          </cell>
          <cell r="DR135">
            <v>0</v>
          </cell>
          <cell r="DS135">
            <v>0</v>
          </cell>
          <cell r="DT135">
            <v>46718</v>
          </cell>
          <cell r="DU135">
            <v>0</v>
          </cell>
          <cell r="DW135">
            <v>0</v>
          </cell>
          <cell r="DX135">
            <v>0</v>
          </cell>
          <cell r="DY135">
            <v>139316</v>
          </cell>
          <cell r="DZ135">
            <v>143772</v>
          </cell>
          <cell r="EA135">
            <v>148364</v>
          </cell>
          <cell r="EB135">
            <v>152956</v>
          </cell>
          <cell r="EC135">
            <v>157548</v>
          </cell>
          <cell r="ED135">
            <v>162354</v>
          </cell>
          <cell r="EE135">
            <v>167160</v>
          </cell>
          <cell r="EF135">
            <v>171966</v>
          </cell>
          <cell r="EG135">
            <v>176772</v>
          </cell>
          <cell r="EH135">
            <v>181578</v>
          </cell>
          <cell r="EI135">
            <v>1601786</v>
          </cell>
          <cell r="EK135">
            <v>0</v>
          </cell>
          <cell r="EL135">
            <v>0</v>
          </cell>
          <cell r="EM135">
            <v>928.77333333333343</v>
          </cell>
          <cell r="EN135">
            <v>958.48</v>
          </cell>
          <cell r="EO135">
            <v>989.09333333333336</v>
          </cell>
          <cell r="EP135">
            <v>1019.7066666666666</v>
          </cell>
          <cell r="EQ135">
            <v>1050.32</v>
          </cell>
          <cell r="ER135">
            <v>1082.3599999999999</v>
          </cell>
          <cell r="ES135">
            <v>1197.98</v>
          </cell>
          <cell r="ET135">
            <v>1232.423</v>
          </cell>
          <cell r="EU135">
            <v>1266.866</v>
          </cell>
          <cell r="EV135">
            <v>1301.309</v>
          </cell>
          <cell r="EW135">
            <v>11027.311333333333</v>
          </cell>
          <cell r="EY135">
            <v>904310</v>
          </cell>
          <cell r="EZ135">
            <v>8</v>
          </cell>
          <cell r="FA135">
            <v>6028.7333333333336</v>
          </cell>
          <cell r="FB135">
            <v>697476</v>
          </cell>
          <cell r="FC135">
            <v>8.6</v>
          </cell>
          <cell r="FD135">
            <v>4998.5779999999995</v>
          </cell>
          <cell r="FE135">
            <v>11027.311333333333</v>
          </cell>
          <cell r="FF135">
            <v>192605</v>
          </cell>
          <cell r="FH135">
            <v>192605</v>
          </cell>
        </row>
        <row r="136">
          <cell r="B136">
            <v>8932</v>
          </cell>
          <cell r="C136" t="str">
            <v>13.03.2007</v>
          </cell>
          <cell r="D136" t="str">
            <v>Karankal Kalpana Govind / Sonawane Ashwini M</v>
          </cell>
          <cell r="F136">
            <v>57826</v>
          </cell>
          <cell r="H136">
            <v>42545</v>
          </cell>
          <cell r="I136">
            <v>42545</v>
          </cell>
          <cell r="J136">
            <v>85090</v>
          </cell>
          <cell r="K136">
            <v>27264</v>
          </cell>
          <cell r="M136">
            <v>2228</v>
          </cell>
          <cell r="N136">
            <v>0</v>
          </cell>
          <cell r="O136">
            <v>2228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W136">
            <v>2228</v>
          </cell>
          <cell r="X136">
            <v>0</v>
          </cell>
          <cell r="Y136">
            <v>2228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G136">
            <v>2296</v>
          </cell>
          <cell r="AH136">
            <v>0</v>
          </cell>
          <cell r="AI136">
            <v>2296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Q136">
            <v>2296</v>
          </cell>
          <cell r="AR136">
            <v>0</v>
          </cell>
          <cell r="AS136">
            <v>2296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BA136">
            <v>2296</v>
          </cell>
          <cell r="BB136">
            <v>0</v>
          </cell>
          <cell r="BC136">
            <v>2296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K136">
            <v>2403</v>
          </cell>
          <cell r="BL136">
            <v>0</v>
          </cell>
          <cell r="BM136">
            <v>2403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U136">
            <v>2403</v>
          </cell>
          <cell r="BV136">
            <v>0</v>
          </cell>
          <cell r="BW136">
            <v>2403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E136">
            <v>2403</v>
          </cell>
          <cell r="CF136">
            <v>0</v>
          </cell>
          <cell r="CG136">
            <v>2403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  <cell r="CO136">
            <v>2403</v>
          </cell>
          <cell r="CP136">
            <v>0</v>
          </cell>
          <cell r="CQ136">
            <v>2403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Y136">
            <v>2403</v>
          </cell>
          <cell r="CZ136">
            <v>0</v>
          </cell>
          <cell r="DA136">
            <v>2403</v>
          </cell>
          <cell r="DB136">
            <v>0</v>
          </cell>
          <cell r="DC136">
            <v>0</v>
          </cell>
          <cell r="DD136">
            <v>0</v>
          </cell>
          <cell r="DE136">
            <v>0</v>
          </cell>
          <cell r="DF136">
            <v>0</v>
          </cell>
          <cell r="DG136">
            <v>0</v>
          </cell>
          <cell r="DI136">
            <v>85090</v>
          </cell>
          <cell r="DJ136">
            <v>23359</v>
          </cell>
          <cell r="DK136">
            <v>0</v>
          </cell>
          <cell r="DL136">
            <v>23359</v>
          </cell>
          <cell r="DM136">
            <v>23359</v>
          </cell>
          <cell r="DN136">
            <v>0</v>
          </cell>
          <cell r="DO136">
            <v>23359</v>
          </cell>
          <cell r="DP136">
            <v>0</v>
          </cell>
          <cell r="DQ136">
            <v>0</v>
          </cell>
          <cell r="DR136">
            <v>0</v>
          </cell>
          <cell r="DS136">
            <v>0</v>
          </cell>
          <cell r="DT136">
            <v>46718</v>
          </cell>
          <cell r="DU136">
            <v>0</v>
          </cell>
          <cell r="DW136">
            <v>0</v>
          </cell>
          <cell r="DX136">
            <v>0</v>
          </cell>
          <cell r="DY136">
            <v>89546</v>
          </cell>
          <cell r="DZ136">
            <v>94002</v>
          </cell>
          <cell r="EA136">
            <v>98594</v>
          </cell>
          <cell r="EB136">
            <v>103186</v>
          </cell>
          <cell r="EC136">
            <v>107778</v>
          </cell>
          <cell r="ED136">
            <v>112584</v>
          </cell>
          <cell r="EE136">
            <v>117390</v>
          </cell>
          <cell r="EF136">
            <v>122196</v>
          </cell>
          <cell r="EG136">
            <v>127002</v>
          </cell>
          <cell r="EH136">
            <v>131808</v>
          </cell>
          <cell r="EI136">
            <v>1104086</v>
          </cell>
          <cell r="EK136">
            <v>0</v>
          </cell>
          <cell r="EL136">
            <v>0</v>
          </cell>
          <cell r="EM136">
            <v>596.97333333333336</v>
          </cell>
          <cell r="EN136">
            <v>626.67999999999995</v>
          </cell>
          <cell r="EO136">
            <v>657.29333333333341</v>
          </cell>
          <cell r="EP136">
            <v>687.90666666666664</v>
          </cell>
          <cell r="EQ136">
            <v>718.52</v>
          </cell>
          <cell r="ER136">
            <v>750.56</v>
          </cell>
          <cell r="ES136">
            <v>841.29500000000007</v>
          </cell>
          <cell r="ET136">
            <v>875.73799999999983</v>
          </cell>
          <cell r="EU136">
            <v>910.18099999999993</v>
          </cell>
          <cell r="EV136">
            <v>944.62400000000014</v>
          </cell>
          <cell r="EW136">
            <v>7609.7713333333331</v>
          </cell>
          <cell r="EY136">
            <v>605690</v>
          </cell>
          <cell r="EZ136">
            <v>8</v>
          </cell>
          <cell r="FA136">
            <v>4037.9333333333329</v>
          </cell>
          <cell r="FB136">
            <v>498396</v>
          </cell>
          <cell r="FC136">
            <v>8.6</v>
          </cell>
          <cell r="FD136">
            <v>3571.8379999999997</v>
          </cell>
          <cell r="FE136">
            <v>7609.7713333333322</v>
          </cell>
          <cell r="FF136">
            <v>139418</v>
          </cell>
          <cell r="FH136">
            <v>139418</v>
          </cell>
        </row>
        <row r="137">
          <cell r="B137">
            <v>8933</v>
          </cell>
          <cell r="C137" t="str">
            <v>13.03.2007</v>
          </cell>
          <cell r="D137" t="str">
            <v>Ibrhaim (Warghase ) Jaya P</v>
          </cell>
          <cell r="F137">
            <v>69733</v>
          </cell>
          <cell r="H137">
            <v>27935</v>
          </cell>
          <cell r="I137">
            <v>27935</v>
          </cell>
          <cell r="J137">
            <v>55870</v>
          </cell>
          <cell r="K137">
            <v>-13863</v>
          </cell>
          <cell r="M137">
            <v>2228</v>
          </cell>
          <cell r="N137">
            <v>0</v>
          </cell>
          <cell r="O137">
            <v>2228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W137">
            <v>2228</v>
          </cell>
          <cell r="X137">
            <v>0</v>
          </cell>
          <cell r="Y137">
            <v>2228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G137">
            <v>2296</v>
          </cell>
          <cell r="AH137">
            <v>0</v>
          </cell>
          <cell r="AI137">
            <v>2296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Q137">
            <v>2296</v>
          </cell>
          <cell r="AR137">
            <v>0</v>
          </cell>
          <cell r="AS137">
            <v>2296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BA137">
            <v>2296</v>
          </cell>
          <cell r="BB137">
            <v>0</v>
          </cell>
          <cell r="BC137">
            <v>2296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K137">
            <v>2403</v>
          </cell>
          <cell r="BL137">
            <v>0</v>
          </cell>
          <cell r="BM137">
            <v>2403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U137">
            <v>2403</v>
          </cell>
          <cell r="BV137">
            <v>0</v>
          </cell>
          <cell r="BW137">
            <v>2403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E137">
            <v>2403</v>
          </cell>
          <cell r="CF137">
            <v>0</v>
          </cell>
          <cell r="CG137">
            <v>2403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O137">
            <v>2403</v>
          </cell>
          <cell r="CP137">
            <v>0</v>
          </cell>
          <cell r="CQ137">
            <v>2403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Y137">
            <v>2403</v>
          </cell>
          <cell r="CZ137">
            <v>0</v>
          </cell>
          <cell r="DA137">
            <v>2403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I137">
            <v>55870</v>
          </cell>
          <cell r="DJ137">
            <v>23359</v>
          </cell>
          <cell r="DK137">
            <v>0</v>
          </cell>
          <cell r="DL137">
            <v>23359</v>
          </cell>
          <cell r="DM137">
            <v>23359</v>
          </cell>
          <cell r="DN137">
            <v>0</v>
          </cell>
          <cell r="DO137">
            <v>23359</v>
          </cell>
          <cell r="DP137">
            <v>0</v>
          </cell>
          <cell r="DQ137">
            <v>0</v>
          </cell>
          <cell r="DR137">
            <v>0</v>
          </cell>
          <cell r="DS137">
            <v>0</v>
          </cell>
          <cell r="DT137">
            <v>46718</v>
          </cell>
          <cell r="DU137">
            <v>0</v>
          </cell>
          <cell r="DW137">
            <v>0</v>
          </cell>
          <cell r="DX137">
            <v>0</v>
          </cell>
          <cell r="DY137">
            <v>60326</v>
          </cell>
          <cell r="DZ137">
            <v>64782</v>
          </cell>
          <cell r="EA137">
            <v>69374</v>
          </cell>
          <cell r="EB137">
            <v>73966</v>
          </cell>
          <cell r="EC137">
            <v>78558</v>
          </cell>
          <cell r="ED137">
            <v>83364</v>
          </cell>
          <cell r="EE137">
            <v>88170</v>
          </cell>
          <cell r="EF137">
            <v>92976</v>
          </cell>
          <cell r="EG137">
            <v>97782</v>
          </cell>
          <cell r="EH137">
            <v>102588</v>
          </cell>
          <cell r="EI137">
            <v>811886</v>
          </cell>
          <cell r="EK137">
            <v>0</v>
          </cell>
          <cell r="EL137">
            <v>0</v>
          </cell>
          <cell r="EM137">
            <v>402.17333333333335</v>
          </cell>
          <cell r="EN137">
            <v>431.88000000000005</v>
          </cell>
          <cell r="EO137">
            <v>462.49333333333334</v>
          </cell>
          <cell r="EP137">
            <v>493.10666666666663</v>
          </cell>
          <cell r="EQ137">
            <v>523.72</v>
          </cell>
          <cell r="ER137">
            <v>555.76</v>
          </cell>
          <cell r="ES137">
            <v>631.88499999999999</v>
          </cell>
          <cell r="ET137">
            <v>666.32799999999997</v>
          </cell>
          <cell r="EU137">
            <v>700.77100000000007</v>
          </cell>
          <cell r="EV137">
            <v>735.21399999999994</v>
          </cell>
          <cell r="EW137">
            <v>5603.3313333333326</v>
          </cell>
          <cell r="EY137">
            <v>430370</v>
          </cell>
          <cell r="EZ137">
            <v>8</v>
          </cell>
          <cell r="FA137">
            <v>2869.1333333333332</v>
          </cell>
          <cell r="FB137">
            <v>381516</v>
          </cell>
          <cell r="FC137">
            <v>8.6</v>
          </cell>
          <cell r="FD137">
            <v>2734.1980000000003</v>
          </cell>
          <cell r="FE137">
            <v>5603.3313333333335</v>
          </cell>
          <cell r="FF137">
            <v>108191</v>
          </cell>
          <cell r="FH137">
            <v>108191</v>
          </cell>
        </row>
        <row r="138">
          <cell r="B138">
            <v>8936</v>
          </cell>
          <cell r="C138" t="str">
            <v>13.03.2007</v>
          </cell>
          <cell r="D138" t="str">
            <v>Kashid Mangala Baburao</v>
          </cell>
          <cell r="F138">
            <v>69525</v>
          </cell>
          <cell r="H138">
            <v>63967</v>
          </cell>
          <cell r="I138">
            <v>63967</v>
          </cell>
          <cell r="J138">
            <v>127934</v>
          </cell>
          <cell r="K138">
            <v>58409</v>
          </cell>
          <cell r="M138">
            <v>2228</v>
          </cell>
          <cell r="N138">
            <v>0</v>
          </cell>
          <cell r="O138">
            <v>2228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W138">
            <v>2228</v>
          </cell>
          <cell r="X138">
            <v>0</v>
          </cell>
          <cell r="Y138">
            <v>2228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G138">
            <v>2296</v>
          </cell>
          <cell r="AH138">
            <v>0</v>
          </cell>
          <cell r="AI138">
            <v>2296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Q138">
            <v>2296</v>
          </cell>
          <cell r="AR138">
            <v>0</v>
          </cell>
          <cell r="AS138">
            <v>2296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BA138">
            <v>2296</v>
          </cell>
          <cell r="BB138">
            <v>0</v>
          </cell>
          <cell r="BC138">
            <v>2296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K138">
            <v>2403</v>
          </cell>
          <cell r="BL138">
            <v>0</v>
          </cell>
          <cell r="BM138">
            <v>2403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U138">
            <v>2403</v>
          </cell>
          <cell r="BV138">
            <v>0</v>
          </cell>
          <cell r="BW138">
            <v>2403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E138">
            <v>2403</v>
          </cell>
          <cell r="CF138">
            <v>0</v>
          </cell>
          <cell r="CG138">
            <v>2403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O138">
            <v>2403</v>
          </cell>
          <cell r="CP138">
            <v>0</v>
          </cell>
          <cell r="CQ138">
            <v>2403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Y138">
            <v>2403</v>
          </cell>
          <cell r="CZ138">
            <v>0</v>
          </cell>
          <cell r="DA138">
            <v>2403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I138">
            <v>127934</v>
          </cell>
          <cell r="DJ138">
            <v>23359</v>
          </cell>
          <cell r="DK138">
            <v>0</v>
          </cell>
          <cell r="DL138">
            <v>23359</v>
          </cell>
          <cell r="DM138">
            <v>23359</v>
          </cell>
          <cell r="DN138">
            <v>0</v>
          </cell>
          <cell r="DO138">
            <v>23359</v>
          </cell>
          <cell r="DP138">
            <v>0</v>
          </cell>
          <cell r="DQ138">
            <v>0</v>
          </cell>
          <cell r="DR138">
            <v>0</v>
          </cell>
          <cell r="DS138">
            <v>0</v>
          </cell>
          <cell r="DT138">
            <v>46718</v>
          </cell>
          <cell r="DU138">
            <v>0</v>
          </cell>
          <cell r="DW138">
            <v>0</v>
          </cell>
          <cell r="DX138">
            <v>0</v>
          </cell>
          <cell r="DY138">
            <v>132390</v>
          </cell>
          <cell r="DZ138">
            <v>136846</v>
          </cell>
          <cell r="EA138">
            <v>141438</v>
          </cell>
          <cell r="EB138">
            <v>146030</v>
          </cell>
          <cell r="EC138">
            <v>150622</v>
          </cell>
          <cell r="ED138">
            <v>155428</v>
          </cell>
          <cell r="EE138">
            <v>160234</v>
          </cell>
          <cell r="EF138">
            <v>165040</v>
          </cell>
          <cell r="EG138">
            <v>169846</v>
          </cell>
          <cell r="EH138">
            <v>174652</v>
          </cell>
          <cell r="EI138">
            <v>1532526</v>
          </cell>
          <cell r="EK138">
            <v>0</v>
          </cell>
          <cell r="EL138">
            <v>0</v>
          </cell>
          <cell r="EM138">
            <v>882.6</v>
          </cell>
          <cell r="EN138">
            <v>912.30666666666673</v>
          </cell>
          <cell r="EO138">
            <v>942.92000000000007</v>
          </cell>
          <cell r="EP138">
            <v>973.5333333333333</v>
          </cell>
          <cell r="EQ138">
            <v>1004.1466666666666</v>
          </cell>
          <cell r="ER138">
            <v>1036.1866666666667</v>
          </cell>
          <cell r="ES138">
            <v>1148.3436666666666</v>
          </cell>
          <cell r="ET138">
            <v>1182.7866666666666</v>
          </cell>
          <cell r="EU138">
            <v>1217.2296666666666</v>
          </cell>
          <cell r="EV138">
            <v>1251.6726666666666</v>
          </cell>
          <cell r="EW138">
            <v>10551.726000000001</v>
          </cell>
          <cell r="EY138">
            <v>862754</v>
          </cell>
          <cell r="EZ138">
            <v>8</v>
          </cell>
          <cell r="FA138">
            <v>5751.6933333333336</v>
          </cell>
          <cell r="FB138">
            <v>669772</v>
          </cell>
          <cell r="FC138">
            <v>8.6</v>
          </cell>
          <cell r="FD138">
            <v>4800.032666666667</v>
          </cell>
          <cell r="FE138">
            <v>10551.726000000001</v>
          </cell>
          <cell r="FF138">
            <v>185204</v>
          </cell>
          <cell r="FH138">
            <v>185204</v>
          </cell>
        </row>
        <row r="139">
          <cell r="B139">
            <v>8937</v>
          </cell>
          <cell r="C139" t="str">
            <v>13.03.2007</v>
          </cell>
          <cell r="D139" t="str">
            <v>Singh Daiky Tombi</v>
          </cell>
          <cell r="F139">
            <v>52606</v>
          </cell>
          <cell r="H139">
            <v>50357</v>
          </cell>
          <cell r="I139">
            <v>50357</v>
          </cell>
          <cell r="J139">
            <v>100714</v>
          </cell>
          <cell r="K139">
            <v>48108</v>
          </cell>
          <cell r="M139">
            <v>2228</v>
          </cell>
          <cell r="N139">
            <v>0</v>
          </cell>
          <cell r="O139">
            <v>2228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W139">
            <v>2228</v>
          </cell>
          <cell r="X139">
            <v>0</v>
          </cell>
          <cell r="Y139">
            <v>2228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G139">
            <v>2296</v>
          </cell>
          <cell r="AH139">
            <v>0</v>
          </cell>
          <cell r="AI139">
            <v>2296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Q139">
            <v>2296</v>
          </cell>
          <cell r="AR139">
            <v>0</v>
          </cell>
          <cell r="AS139">
            <v>2296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BA139">
            <v>2296</v>
          </cell>
          <cell r="BB139">
            <v>0</v>
          </cell>
          <cell r="BC139">
            <v>2296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K139">
            <v>2403</v>
          </cell>
          <cell r="BL139">
            <v>0</v>
          </cell>
          <cell r="BM139">
            <v>2403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U139">
            <v>2403</v>
          </cell>
          <cell r="BV139">
            <v>0</v>
          </cell>
          <cell r="BW139">
            <v>2403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E139">
            <v>2403</v>
          </cell>
          <cell r="CF139">
            <v>0</v>
          </cell>
          <cell r="CG139">
            <v>2403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O139">
            <v>2403</v>
          </cell>
          <cell r="CP139">
            <v>0</v>
          </cell>
          <cell r="CQ139">
            <v>2403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Y139">
            <v>2403</v>
          </cell>
          <cell r="CZ139">
            <v>0</v>
          </cell>
          <cell r="DA139">
            <v>2403</v>
          </cell>
          <cell r="DB139">
            <v>0</v>
          </cell>
          <cell r="DC139">
            <v>0</v>
          </cell>
          <cell r="DD139">
            <v>0</v>
          </cell>
          <cell r="DE139">
            <v>0</v>
          </cell>
          <cell r="DF139">
            <v>0</v>
          </cell>
          <cell r="DG139">
            <v>0</v>
          </cell>
          <cell r="DI139">
            <v>100714</v>
          </cell>
          <cell r="DJ139">
            <v>23359</v>
          </cell>
          <cell r="DK139">
            <v>0</v>
          </cell>
          <cell r="DL139">
            <v>23359</v>
          </cell>
          <cell r="DM139">
            <v>23359</v>
          </cell>
          <cell r="DN139">
            <v>0</v>
          </cell>
          <cell r="DO139">
            <v>23359</v>
          </cell>
          <cell r="DP139">
            <v>0</v>
          </cell>
          <cell r="DQ139">
            <v>0</v>
          </cell>
          <cell r="DR139">
            <v>0</v>
          </cell>
          <cell r="DS139">
            <v>0</v>
          </cell>
          <cell r="DT139">
            <v>46718</v>
          </cell>
          <cell r="DU139">
            <v>0</v>
          </cell>
          <cell r="DW139">
            <v>0</v>
          </cell>
          <cell r="DX139">
            <v>0</v>
          </cell>
          <cell r="DY139">
            <v>105170</v>
          </cell>
          <cell r="DZ139">
            <v>109626</v>
          </cell>
          <cell r="EA139">
            <v>114218</v>
          </cell>
          <cell r="EB139">
            <v>118810</v>
          </cell>
          <cell r="EC139">
            <v>123402</v>
          </cell>
          <cell r="ED139">
            <v>128208</v>
          </cell>
          <cell r="EE139">
            <v>133014</v>
          </cell>
          <cell r="EF139">
            <v>137820</v>
          </cell>
          <cell r="EG139">
            <v>142626</v>
          </cell>
          <cell r="EH139">
            <v>147432</v>
          </cell>
          <cell r="EI139">
            <v>1260326</v>
          </cell>
          <cell r="EK139">
            <v>0</v>
          </cell>
          <cell r="EL139">
            <v>0</v>
          </cell>
          <cell r="EM139">
            <v>701.13333333333333</v>
          </cell>
          <cell r="EN139">
            <v>730.84</v>
          </cell>
          <cell r="EO139">
            <v>761.45333333333338</v>
          </cell>
          <cell r="EP139">
            <v>792.06666666666661</v>
          </cell>
          <cell r="EQ139">
            <v>822.68</v>
          </cell>
          <cell r="ER139">
            <v>854.71999999999991</v>
          </cell>
          <cell r="ES139">
            <v>953.26699999999994</v>
          </cell>
          <cell r="ET139">
            <v>987.71</v>
          </cell>
          <cell r="EU139">
            <v>1022.1529999999999</v>
          </cell>
          <cell r="EV139">
            <v>1056.596</v>
          </cell>
          <cell r="EW139">
            <v>8682.619333333334</v>
          </cell>
          <cell r="EY139">
            <v>699434</v>
          </cell>
          <cell r="EZ139">
            <v>8</v>
          </cell>
          <cell r="FA139">
            <v>4662.8933333333334</v>
          </cell>
          <cell r="FB139">
            <v>560892</v>
          </cell>
          <cell r="FC139">
            <v>8.6</v>
          </cell>
          <cell r="FD139">
            <v>4019.7260000000001</v>
          </cell>
          <cell r="FE139">
            <v>8682.619333333334</v>
          </cell>
          <cell r="FF139">
            <v>156115</v>
          </cell>
          <cell r="FH139">
            <v>156115</v>
          </cell>
        </row>
        <row r="140">
          <cell r="B140">
            <v>8938</v>
          </cell>
          <cell r="C140" t="str">
            <v>13.03.2007</v>
          </cell>
          <cell r="D140" t="str">
            <v>Jadhav Nila Ganesh</v>
          </cell>
          <cell r="F140">
            <v>64829</v>
          </cell>
          <cell r="H140">
            <v>42645</v>
          </cell>
          <cell r="I140">
            <v>42645</v>
          </cell>
          <cell r="J140">
            <v>85290</v>
          </cell>
          <cell r="K140">
            <v>20461</v>
          </cell>
          <cell r="M140">
            <v>2100</v>
          </cell>
          <cell r="N140">
            <v>0</v>
          </cell>
          <cell r="O140">
            <v>2100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W140">
            <v>2100</v>
          </cell>
          <cell r="X140">
            <v>0</v>
          </cell>
          <cell r="Y140">
            <v>2100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G140">
            <v>2100</v>
          </cell>
          <cell r="AH140">
            <v>0</v>
          </cell>
          <cell r="AI140">
            <v>2100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Q140">
            <v>2100</v>
          </cell>
          <cell r="AR140">
            <v>0</v>
          </cell>
          <cell r="AS140">
            <v>2100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BA140">
            <v>2100</v>
          </cell>
          <cell r="BB140">
            <v>0</v>
          </cell>
          <cell r="BC140">
            <v>2100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K140">
            <v>2197</v>
          </cell>
          <cell r="BL140">
            <v>0</v>
          </cell>
          <cell r="BM140">
            <v>2197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U140">
            <v>2403</v>
          </cell>
          <cell r="BV140">
            <v>0</v>
          </cell>
          <cell r="BW140">
            <v>2403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Y140">
            <v>2403</v>
          </cell>
          <cell r="CZ140">
            <v>0</v>
          </cell>
          <cell r="DA140">
            <v>2403</v>
          </cell>
          <cell r="DB140">
            <v>0</v>
          </cell>
          <cell r="DC140">
            <v>0</v>
          </cell>
          <cell r="DD140">
            <v>0</v>
          </cell>
          <cell r="DE140">
            <v>0</v>
          </cell>
          <cell r="DF140">
            <v>0</v>
          </cell>
          <cell r="DG140">
            <v>0</v>
          </cell>
          <cell r="DI140">
            <v>85290</v>
          </cell>
          <cell r="DJ140">
            <v>17503</v>
          </cell>
          <cell r="DK140">
            <v>0</v>
          </cell>
          <cell r="DL140">
            <v>17503</v>
          </cell>
          <cell r="DM140">
            <v>17503</v>
          </cell>
          <cell r="DN140">
            <v>0</v>
          </cell>
          <cell r="DO140">
            <v>17503</v>
          </cell>
          <cell r="DP140">
            <v>0</v>
          </cell>
          <cell r="DQ140">
            <v>0</v>
          </cell>
          <cell r="DR140">
            <v>0</v>
          </cell>
          <cell r="DS140">
            <v>0</v>
          </cell>
          <cell r="DT140">
            <v>35006</v>
          </cell>
          <cell r="DU140">
            <v>0</v>
          </cell>
          <cell r="DW140">
            <v>0</v>
          </cell>
          <cell r="DX140">
            <v>0</v>
          </cell>
          <cell r="DY140">
            <v>89490</v>
          </cell>
          <cell r="DZ140">
            <v>93690</v>
          </cell>
          <cell r="EA140">
            <v>97890</v>
          </cell>
          <cell r="EB140">
            <v>102090</v>
          </cell>
          <cell r="EC140">
            <v>106290</v>
          </cell>
          <cell r="ED140">
            <v>110684</v>
          </cell>
          <cell r="EE140">
            <v>115490</v>
          </cell>
          <cell r="EF140">
            <v>115490</v>
          </cell>
          <cell r="EG140">
            <v>115490</v>
          </cell>
          <cell r="EH140">
            <v>120296</v>
          </cell>
          <cell r="EI140">
            <v>1066900</v>
          </cell>
          <cell r="EK140">
            <v>0</v>
          </cell>
          <cell r="EL140">
            <v>0</v>
          </cell>
          <cell r="EM140">
            <v>596.6</v>
          </cell>
          <cell r="EN140">
            <v>624.6</v>
          </cell>
          <cell r="EO140">
            <v>652.6</v>
          </cell>
          <cell r="EP140">
            <v>680.6</v>
          </cell>
          <cell r="EQ140">
            <v>708.6</v>
          </cell>
          <cell r="ER140">
            <v>737.89333333333332</v>
          </cell>
          <cell r="ES140">
            <v>827.67833333333328</v>
          </cell>
          <cell r="ET140">
            <v>827.67833333333328</v>
          </cell>
          <cell r="EU140">
            <v>827.67833333333328</v>
          </cell>
          <cell r="EV140">
            <v>862.12133333333338</v>
          </cell>
          <cell r="EW140">
            <v>7346.0496666666668</v>
          </cell>
          <cell r="EY140">
            <v>600134</v>
          </cell>
          <cell r="EZ140">
            <v>8</v>
          </cell>
          <cell r="FA140">
            <v>4000.8933333333334</v>
          </cell>
          <cell r="FB140">
            <v>466766</v>
          </cell>
          <cell r="FC140">
            <v>8.6</v>
          </cell>
          <cell r="FD140">
            <v>3345.1563333333329</v>
          </cell>
          <cell r="FE140">
            <v>7346.0496666666659</v>
          </cell>
          <cell r="FF140">
            <v>127642</v>
          </cell>
          <cell r="FH140">
            <v>127642</v>
          </cell>
        </row>
        <row r="141">
          <cell r="B141">
            <v>8939</v>
          </cell>
          <cell r="C141" t="str">
            <v>13.03.2007</v>
          </cell>
          <cell r="D141" t="str">
            <v>Jadhav (Dambale) Sangita Deepak</v>
          </cell>
          <cell r="F141">
            <v>68543</v>
          </cell>
          <cell r="H141">
            <v>22234</v>
          </cell>
          <cell r="I141">
            <v>22234</v>
          </cell>
          <cell r="J141">
            <v>44468</v>
          </cell>
          <cell r="K141">
            <v>-24075</v>
          </cell>
          <cell r="M141">
            <v>2100</v>
          </cell>
          <cell r="N141">
            <v>0</v>
          </cell>
          <cell r="O141">
            <v>2100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W141">
            <v>2100</v>
          </cell>
          <cell r="X141">
            <v>0</v>
          </cell>
          <cell r="Y141">
            <v>2100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G141">
            <v>2100</v>
          </cell>
          <cell r="AH141">
            <v>0</v>
          </cell>
          <cell r="AI141">
            <v>2100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Q141">
            <v>2100</v>
          </cell>
          <cell r="AR141">
            <v>0</v>
          </cell>
          <cell r="AS141">
            <v>2100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BA141">
            <v>2100</v>
          </cell>
          <cell r="BB141">
            <v>0</v>
          </cell>
          <cell r="BC141">
            <v>2100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K141">
            <v>2197</v>
          </cell>
          <cell r="BL141">
            <v>0</v>
          </cell>
          <cell r="BM141">
            <v>2197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U141">
            <v>2403</v>
          </cell>
          <cell r="BV141">
            <v>0</v>
          </cell>
          <cell r="BW141">
            <v>2403</v>
          </cell>
          <cell r="BX141">
            <v>0</v>
          </cell>
          <cell r="BY141">
            <v>0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E141">
            <v>2403</v>
          </cell>
          <cell r="CF141">
            <v>0</v>
          </cell>
          <cell r="CG141">
            <v>2403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  <cell r="CL141">
            <v>0</v>
          </cell>
          <cell r="CM141">
            <v>0</v>
          </cell>
          <cell r="CO141">
            <v>2403</v>
          </cell>
          <cell r="CP141">
            <v>0</v>
          </cell>
          <cell r="CQ141">
            <v>2403</v>
          </cell>
          <cell r="CR141">
            <v>0</v>
          </cell>
          <cell r="CS141">
            <v>0</v>
          </cell>
          <cell r="CT141">
            <v>0</v>
          </cell>
          <cell r="CU141">
            <v>0</v>
          </cell>
          <cell r="CV141">
            <v>0</v>
          </cell>
          <cell r="CW141">
            <v>0</v>
          </cell>
          <cell r="CY141">
            <v>2403</v>
          </cell>
          <cell r="CZ141">
            <v>0</v>
          </cell>
          <cell r="DA141">
            <v>2403</v>
          </cell>
          <cell r="DB141">
            <v>0</v>
          </cell>
          <cell r="DC141">
            <v>0</v>
          </cell>
          <cell r="DD141">
            <v>0</v>
          </cell>
          <cell r="DE141">
            <v>0</v>
          </cell>
          <cell r="DF141">
            <v>0</v>
          </cell>
          <cell r="DG141">
            <v>0</v>
          </cell>
          <cell r="DI141">
            <v>44468</v>
          </cell>
          <cell r="DJ141">
            <v>22309</v>
          </cell>
          <cell r="DK141">
            <v>0</v>
          </cell>
          <cell r="DL141">
            <v>22309</v>
          </cell>
          <cell r="DM141">
            <v>22309</v>
          </cell>
          <cell r="DN141">
            <v>0</v>
          </cell>
          <cell r="DO141">
            <v>22309</v>
          </cell>
          <cell r="DP141">
            <v>0</v>
          </cell>
          <cell r="DQ141">
            <v>0</v>
          </cell>
          <cell r="DR141">
            <v>0</v>
          </cell>
          <cell r="DS141">
            <v>0</v>
          </cell>
          <cell r="DT141">
            <v>44618</v>
          </cell>
          <cell r="DU141">
            <v>0</v>
          </cell>
          <cell r="DW141">
            <v>0</v>
          </cell>
          <cell r="DX141">
            <v>0</v>
          </cell>
          <cell r="DY141">
            <v>48668</v>
          </cell>
          <cell r="DZ141">
            <v>52868</v>
          </cell>
          <cell r="EA141">
            <v>57068</v>
          </cell>
          <cell r="EB141">
            <v>61268</v>
          </cell>
          <cell r="EC141">
            <v>65468</v>
          </cell>
          <cell r="ED141">
            <v>69862</v>
          </cell>
          <cell r="EE141">
            <v>74668</v>
          </cell>
          <cell r="EF141">
            <v>79474</v>
          </cell>
          <cell r="EG141">
            <v>84280</v>
          </cell>
          <cell r="EH141">
            <v>89086</v>
          </cell>
          <cell r="EI141">
            <v>682710</v>
          </cell>
          <cell r="EK141">
            <v>0</v>
          </cell>
          <cell r="EL141">
            <v>0</v>
          </cell>
          <cell r="EM141">
            <v>324.45333333333332</v>
          </cell>
          <cell r="EN141">
            <v>352.45333333333332</v>
          </cell>
          <cell r="EO141">
            <v>380.45333333333332</v>
          </cell>
          <cell r="EP141">
            <v>408.45333333333332</v>
          </cell>
          <cell r="EQ141">
            <v>436.45333333333332</v>
          </cell>
          <cell r="ER141">
            <v>465.74666666666667</v>
          </cell>
          <cell r="ES141">
            <v>535.12066666666658</v>
          </cell>
          <cell r="ET141">
            <v>569.56366666666668</v>
          </cell>
          <cell r="EU141">
            <v>604.00666666666666</v>
          </cell>
          <cell r="EV141">
            <v>638.44966666666664</v>
          </cell>
          <cell r="EW141">
            <v>4715.1540000000005</v>
          </cell>
          <cell r="EY141">
            <v>355202</v>
          </cell>
          <cell r="EZ141">
            <v>8</v>
          </cell>
          <cell r="FA141">
            <v>2368.0133333333333</v>
          </cell>
          <cell r="FB141">
            <v>327508</v>
          </cell>
          <cell r="FC141">
            <v>8.6</v>
          </cell>
          <cell r="FD141">
            <v>2347.1406666666667</v>
          </cell>
          <cell r="FE141">
            <v>4715.1540000000005</v>
          </cell>
          <cell r="FF141">
            <v>93801</v>
          </cell>
          <cell r="FH141">
            <v>93801</v>
          </cell>
        </row>
        <row r="142">
          <cell r="B142">
            <v>8940</v>
          </cell>
          <cell r="C142" t="str">
            <v>13.03.2007</v>
          </cell>
          <cell r="D142" t="str">
            <v>Gangurde Heera Ramchandra</v>
          </cell>
          <cell r="F142">
            <v>67967</v>
          </cell>
          <cell r="H142">
            <v>87290</v>
          </cell>
          <cell r="I142">
            <v>87290</v>
          </cell>
          <cell r="J142">
            <v>174580</v>
          </cell>
          <cell r="K142">
            <v>106613</v>
          </cell>
          <cell r="M142">
            <v>2100</v>
          </cell>
          <cell r="N142">
            <v>0</v>
          </cell>
          <cell r="O142">
            <v>2100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W142">
            <v>2100</v>
          </cell>
          <cell r="X142">
            <v>0</v>
          </cell>
          <cell r="Y142">
            <v>2100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G142">
            <v>2100</v>
          </cell>
          <cell r="AH142">
            <v>0</v>
          </cell>
          <cell r="AI142">
            <v>2100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Q142">
            <v>2100</v>
          </cell>
          <cell r="AR142">
            <v>0</v>
          </cell>
          <cell r="AS142">
            <v>2100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BA142">
            <v>2100</v>
          </cell>
          <cell r="BB142">
            <v>0</v>
          </cell>
          <cell r="BC142">
            <v>2100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K142">
            <v>2197</v>
          </cell>
          <cell r="BL142">
            <v>0</v>
          </cell>
          <cell r="BM142">
            <v>2197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U142">
            <v>2197</v>
          </cell>
          <cell r="BV142">
            <v>0</v>
          </cell>
          <cell r="BW142">
            <v>2197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E142">
            <v>2197</v>
          </cell>
          <cell r="CF142">
            <v>0</v>
          </cell>
          <cell r="CG142">
            <v>2197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O142">
            <v>2197</v>
          </cell>
          <cell r="CP142">
            <v>0</v>
          </cell>
          <cell r="CQ142">
            <v>2197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Y142">
            <v>2197</v>
          </cell>
          <cell r="CZ142">
            <v>0</v>
          </cell>
          <cell r="DA142">
            <v>2197</v>
          </cell>
          <cell r="DB142">
            <v>0</v>
          </cell>
          <cell r="DC142">
            <v>0</v>
          </cell>
          <cell r="DD142">
            <v>0</v>
          </cell>
          <cell r="DE142">
            <v>0</v>
          </cell>
          <cell r="DF142">
            <v>0</v>
          </cell>
          <cell r="DG142">
            <v>0</v>
          </cell>
          <cell r="DI142">
            <v>174580</v>
          </cell>
          <cell r="DJ142">
            <v>21485</v>
          </cell>
          <cell r="DK142">
            <v>0</v>
          </cell>
          <cell r="DL142">
            <v>21485</v>
          </cell>
          <cell r="DM142">
            <v>21485</v>
          </cell>
          <cell r="DN142">
            <v>0</v>
          </cell>
          <cell r="DO142">
            <v>21485</v>
          </cell>
          <cell r="DP142">
            <v>0</v>
          </cell>
          <cell r="DQ142">
            <v>0</v>
          </cell>
          <cell r="DR142">
            <v>0</v>
          </cell>
          <cell r="DS142">
            <v>0</v>
          </cell>
          <cell r="DT142">
            <v>42970</v>
          </cell>
          <cell r="DU142">
            <v>0</v>
          </cell>
          <cell r="DW142">
            <v>0</v>
          </cell>
          <cell r="DX142">
            <v>0</v>
          </cell>
          <cell r="DY142">
            <v>178780</v>
          </cell>
          <cell r="DZ142">
            <v>182980</v>
          </cell>
          <cell r="EA142">
            <v>187180</v>
          </cell>
          <cell r="EB142">
            <v>191380</v>
          </cell>
          <cell r="EC142">
            <v>195580</v>
          </cell>
          <cell r="ED142">
            <v>199974</v>
          </cell>
          <cell r="EE142">
            <v>204368</v>
          </cell>
          <cell r="EF142">
            <v>208762</v>
          </cell>
          <cell r="EG142">
            <v>213156</v>
          </cell>
          <cell r="EH142">
            <v>217550</v>
          </cell>
          <cell r="EI142">
            <v>1979710</v>
          </cell>
          <cell r="EK142">
            <v>0</v>
          </cell>
          <cell r="EL142">
            <v>0</v>
          </cell>
          <cell r="EM142">
            <v>1191.8666666666666</v>
          </cell>
          <cell r="EN142">
            <v>1219.8666666666666</v>
          </cell>
          <cell r="EO142">
            <v>1247.8666666666666</v>
          </cell>
          <cell r="EP142">
            <v>1275.8666666666666</v>
          </cell>
          <cell r="EQ142">
            <v>1303.8666666666666</v>
          </cell>
          <cell r="ER142">
            <v>1333.16</v>
          </cell>
          <cell r="ES142">
            <v>1464.6373333333331</v>
          </cell>
          <cell r="ET142">
            <v>1496.1276666666665</v>
          </cell>
          <cell r="EU142">
            <v>1527.6179999999997</v>
          </cell>
          <cell r="EV142">
            <v>1559.1083333333333</v>
          </cell>
          <cell r="EW142">
            <v>13619.984666666667</v>
          </cell>
          <cell r="EY142">
            <v>1135874</v>
          </cell>
          <cell r="EZ142">
            <v>8</v>
          </cell>
          <cell r="FA142">
            <v>7572.4933333333329</v>
          </cell>
          <cell r="FB142">
            <v>843836</v>
          </cell>
          <cell r="FC142">
            <v>8.6</v>
          </cell>
          <cell r="FD142">
            <v>6047.4913333333325</v>
          </cell>
          <cell r="FE142">
            <v>13619.984666666665</v>
          </cell>
          <cell r="FF142">
            <v>231170</v>
          </cell>
          <cell r="FH142">
            <v>231170</v>
          </cell>
        </row>
        <row r="143">
          <cell r="B143">
            <v>8941</v>
          </cell>
          <cell r="C143" t="str">
            <v>13.03.2007</v>
          </cell>
          <cell r="D143" t="str">
            <v>Kotwal Madhavi Baban</v>
          </cell>
          <cell r="F143">
            <v>68543</v>
          </cell>
          <cell r="H143">
            <v>30042</v>
          </cell>
          <cell r="I143">
            <v>30042</v>
          </cell>
          <cell r="J143">
            <v>60084</v>
          </cell>
          <cell r="K143">
            <v>-8459</v>
          </cell>
          <cell r="M143">
            <v>2100</v>
          </cell>
          <cell r="N143">
            <v>0</v>
          </cell>
          <cell r="O143">
            <v>2100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W143">
            <v>2100</v>
          </cell>
          <cell r="X143">
            <v>0</v>
          </cell>
          <cell r="Y143">
            <v>2100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G143">
            <v>2100</v>
          </cell>
          <cell r="AH143">
            <v>0</v>
          </cell>
          <cell r="AI143">
            <v>2100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Q143">
            <v>2100</v>
          </cell>
          <cell r="AR143">
            <v>0</v>
          </cell>
          <cell r="AS143">
            <v>2100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BA143">
            <v>2100</v>
          </cell>
          <cell r="BB143">
            <v>0</v>
          </cell>
          <cell r="BC143">
            <v>2100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K143">
            <v>2197</v>
          </cell>
          <cell r="BL143">
            <v>0</v>
          </cell>
          <cell r="BM143">
            <v>2197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U143">
            <v>2403</v>
          </cell>
          <cell r="BV143">
            <v>0</v>
          </cell>
          <cell r="BW143">
            <v>2403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E143">
            <v>2403</v>
          </cell>
          <cell r="CF143">
            <v>0</v>
          </cell>
          <cell r="CG143">
            <v>2403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O143">
            <v>2403</v>
          </cell>
          <cell r="CP143">
            <v>0</v>
          </cell>
          <cell r="CQ143">
            <v>2403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Y143">
            <v>2403</v>
          </cell>
          <cell r="CZ143">
            <v>0</v>
          </cell>
          <cell r="DA143">
            <v>2403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I143">
            <v>60084</v>
          </cell>
          <cell r="DJ143">
            <v>22309</v>
          </cell>
          <cell r="DK143">
            <v>0</v>
          </cell>
          <cell r="DL143">
            <v>22309</v>
          </cell>
          <cell r="DM143">
            <v>22309</v>
          </cell>
          <cell r="DN143">
            <v>0</v>
          </cell>
          <cell r="DO143">
            <v>22309</v>
          </cell>
          <cell r="DP143">
            <v>0</v>
          </cell>
          <cell r="DQ143">
            <v>0</v>
          </cell>
          <cell r="DR143">
            <v>0</v>
          </cell>
          <cell r="DS143">
            <v>0</v>
          </cell>
          <cell r="DT143">
            <v>44618</v>
          </cell>
          <cell r="DU143">
            <v>0</v>
          </cell>
          <cell r="DW143">
            <v>0</v>
          </cell>
          <cell r="DX143">
            <v>0</v>
          </cell>
          <cell r="DY143">
            <v>64284</v>
          </cell>
          <cell r="DZ143">
            <v>68484</v>
          </cell>
          <cell r="EA143">
            <v>72684</v>
          </cell>
          <cell r="EB143">
            <v>76884</v>
          </cell>
          <cell r="EC143">
            <v>81084</v>
          </cell>
          <cell r="ED143">
            <v>85478</v>
          </cell>
          <cell r="EE143">
            <v>90284</v>
          </cell>
          <cell r="EF143">
            <v>95090</v>
          </cell>
          <cell r="EG143">
            <v>99896</v>
          </cell>
          <cell r="EH143">
            <v>104702</v>
          </cell>
          <cell r="EI143">
            <v>838870</v>
          </cell>
          <cell r="EK143">
            <v>0</v>
          </cell>
          <cell r="EL143">
            <v>0</v>
          </cell>
          <cell r="EM143">
            <v>428.56</v>
          </cell>
          <cell r="EN143">
            <v>456.56</v>
          </cell>
          <cell r="EO143">
            <v>484.56</v>
          </cell>
          <cell r="EP143">
            <v>512.56000000000006</v>
          </cell>
          <cell r="EQ143">
            <v>540.56000000000006</v>
          </cell>
          <cell r="ER143">
            <v>569.85333333333335</v>
          </cell>
          <cell r="ES143">
            <v>647.03533333333337</v>
          </cell>
          <cell r="ET143">
            <v>681.47833333333335</v>
          </cell>
          <cell r="EU143">
            <v>715.92133333333334</v>
          </cell>
          <cell r="EV143">
            <v>750.36433333333332</v>
          </cell>
          <cell r="EW143">
            <v>5787.452666666667</v>
          </cell>
          <cell r="EY143">
            <v>448898</v>
          </cell>
          <cell r="EZ143">
            <v>8</v>
          </cell>
          <cell r="FA143">
            <v>2992.6533333333332</v>
          </cell>
          <cell r="FB143">
            <v>389972</v>
          </cell>
          <cell r="FC143">
            <v>8.6</v>
          </cell>
          <cell r="FD143">
            <v>2794.7993333333329</v>
          </cell>
          <cell r="FE143">
            <v>5787.4526666666661</v>
          </cell>
          <cell r="FF143">
            <v>110489</v>
          </cell>
          <cell r="FH143">
            <v>110489</v>
          </cell>
        </row>
        <row r="144">
          <cell r="B144">
            <v>8942</v>
          </cell>
          <cell r="C144" t="str">
            <v>13.03.2007</v>
          </cell>
          <cell r="D144" t="str">
            <v>Lande Seema Maruti</v>
          </cell>
          <cell r="F144">
            <v>69904</v>
          </cell>
          <cell r="H144">
            <v>30818</v>
          </cell>
          <cell r="I144">
            <v>30818</v>
          </cell>
          <cell r="J144">
            <v>61636</v>
          </cell>
          <cell r="K144">
            <v>-8268</v>
          </cell>
          <cell r="M144">
            <v>2228</v>
          </cell>
          <cell r="N144">
            <v>0</v>
          </cell>
          <cell r="O144">
            <v>2228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W144">
            <v>2228</v>
          </cell>
          <cell r="X144">
            <v>0</v>
          </cell>
          <cell r="Y144">
            <v>2228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G144">
            <v>2296</v>
          </cell>
          <cell r="AH144">
            <v>0</v>
          </cell>
          <cell r="AI144">
            <v>2296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Q144">
            <v>2296</v>
          </cell>
          <cell r="AR144">
            <v>0</v>
          </cell>
          <cell r="AS144">
            <v>2296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BA144">
            <v>2296</v>
          </cell>
          <cell r="BB144">
            <v>0</v>
          </cell>
          <cell r="BC144">
            <v>2296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K144">
            <v>2403</v>
          </cell>
          <cell r="BL144">
            <v>0</v>
          </cell>
          <cell r="BM144">
            <v>2403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U144">
            <v>2403</v>
          </cell>
          <cell r="BV144">
            <v>0</v>
          </cell>
          <cell r="BW144">
            <v>2403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E144">
            <v>2403</v>
          </cell>
          <cell r="CF144">
            <v>0</v>
          </cell>
          <cell r="CG144">
            <v>2403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O144">
            <v>2403</v>
          </cell>
          <cell r="CP144">
            <v>0</v>
          </cell>
          <cell r="CQ144">
            <v>2403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Y144">
            <v>2403</v>
          </cell>
          <cell r="CZ144">
            <v>0</v>
          </cell>
          <cell r="DA144">
            <v>2403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I144">
            <v>61636</v>
          </cell>
          <cell r="DJ144">
            <v>23359</v>
          </cell>
          <cell r="DK144">
            <v>0</v>
          </cell>
          <cell r="DL144">
            <v>23359</v>
          </cell>
          <cell r="DM144">
            <v>23359</v>
          </cell>
          <cell r="DN144">
            <v>0</v>
          </cell>
          <cell r="DO144">
            <v>23359</v>
          </cell>
          <cell r="DP144">
            <v>0</v>
          </cell>
          <cell r="DQ144">
            <v>0</v>
          </cell>
          <cell r="DR144">
            <v>0</v>
          </cell>
          <cell r="DS144">
            <v>0</v>
          </cell>
          <cell r="DT144">
            <v>46718</v>
          </cell>
          <cell r="DU144">
            <v>0</v>
          </cell>
          <cell r="DW144">
            <v>0</v>
          </cell>
          <cell r="DX144">
            <v>0</v>
          </cell>
          <cell r="DY144">
            <v>66092</v>
          </cell>
          <cell r="DZ144">
            <v>70548</v>
          </cell>
          <cell r="EA144">
            <v>75140</v>
          </cell>
          <cell r="EB144">
            <v>79732</v>
          </cell>
          <cell r="EC144">
            <v>84324</v>
          </cell>
          <cell r="ED144">
            <v>89130</v>
          </cell>
          <cell r="EE144">
            <v>93936</v>
          </cell>
          <cell r="EF144">
            <v>98742</v>
          </cell>
          <cell r="EG144">
            <v>103548</v>
          </cell>
          <cell r="EH144">
            <v>108354</v>
          </cell>
          <cell r="EI144">
            <v>869546</v>
          </cell>
          <cell r="EK144">
            <v>0</v>
          </cell>
          <cell r="EL144">
            <v>0</v>
          </cell>
          <cell r="EM144">
            <v>440.61333333333329</v>
          </cell>
          <cell r="EN144">
            <v>470.32</v>
          </cell>
          <cell r="EO144">
            <v>500.93333333333334</v>
          </cell>
          <cell r="EP144">
            <v>531.54666666666674</v>
          </cell>
          <cell r="EQ144">
            <v>562.16</v>
          </cell>
          <cell r="ER144">
            <v>594.19999999999993</v>
          </cell>
          <cell r="ES144">
            <v>673.20799999999997</v>
          </cell>
          <cell r="ET144">
            <v>707.65099999999995</v>
          </cell>
          <cell r="EU144">
            <v>742.09399999999994</v>
          </cell>
          <cell r="EV144">
            <v>776.53699999999992</v>
          </cell>
          <cell r="EW144">
            <v>5999.2633333333333</v>
          </cell>
          <cell r="EY144">
            <v>464966</v>
          </cell>
          <cell r="EZ144">
            <v>8</v>
          </cell>
          <cell r="FA144">
            <v>3099.7733333333331</v>
          </cell>
          <cell r="FB144">
            <v>404580</v>
          </cell>
          <cell r="FC144">
            <v>8.6</v>
          </cell>
          <cell r="FD144">
            <v>2899.49</v>
          </cell>
          <cell r="FE144">
            <v>5999.2633333333324</v>
          </cell>
          <cell r="FF144">
            <v>114353</v>
          </cell>
          <cell r="FH144">
            <v>114353</v>
          </cell>
        </row>
        <row r="145">
          <cell r="B145">
            <v>8943</v>
          </cell>
          <cell r="C145" t="str">
            <v>13.03.2007</v>
          </cell>
          <cell r="D145" t="str">
            <v>Dive Kanchan Manohar</v>
          </cell>
          <cell r="F145">
            <v>68356</v>
          </cell>
          <cell r="H145">
            <v>22520</v>
          </cell>
          <cell r="I145">
            <v>22520</v>
          </cell>
          <cell r="J145">
            <v>45040</v>
          </cell>
          <cell r="K145">
            <v>-23316</v>
          </cell>
          <cell r="M145">
            <v>2228</v>
          </cell>
          <cell r="N145">
            <v>0</v>
          </cell>
          <cell r="O145">
            <v>2228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W145">
            <v>2228</v>
          </cell>
          <cell r="X145">
            <v>0</v>
          </cell>
          <cell r="Y145">
            <v>2228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G145">
            <v>2296</v>
          </cell>
          <cell r="AH145">
            <v>0</v>
          </cell>
          <cell r="AI145">
            <v>2296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Q145">
            <v>2296</v>
          </cell>
          <cell r="AR145">
            <v>0</v>
          </cell>
          <cell r="AS145">
            <v>2296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BA145">
            <v>2296</v>
          </cell>
          <cell r="BB145">
            <v>0</v>
          </cell>
          <cell r="BC145">
            <v>2296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K145">
            <v>2403</v>
          </cell>
          <cell r="BL145">
            <v>0</v>
          </cell>
          <cell r="BM145">
            <v>2403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U145">
            <v>2403</v>
          </cell>
          <cell r="BV145">
            <v>0</v>
          </cell>
          <cell r="BW145">
            <v>2403</v>
          </cell>
          <cell r="BX145">
            <v>0</v>
          </cell>
          <cell r="BY145">
            <v>0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E145">
            <v>2403</v>
          </cell>
          <cell r="CF145">
            <v>0</v>
          </cell>
          <cell r="CG145">
            <v>2403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O145">
            <v>2403</v>
          </cell>
          <cell r="CP145">
            <v>0</v>
          </cell>
          <cell r="CQ145">
            <v>2403</v>
          </cell>
          <cell r="CR145">
            <v>0</v>
          </cell>
          <cell r="CS145">
            <v>0</v>
          </cell>
          <cell r="CT145">
            <v>0</v>
          </cell>
          <cell r="CU145">
            <v>0</v>
          </cell>
          <cell r="CV145">
            <v>0</v>
          </cell>
          <cell r="CW145">
            <v>0</v>
          </cell>
          <cell r="CY145">
            <v>2403</v>
          </cell>
          <cell r="CZ145">
            <v>0</v>
          </cell>
          <cell r="DA145">
            <v>2403</v>
          </cell>
          <cell r="DB145">
            <v>0</v>
          </cell>
          <cell r="DC145">
            <v>0</v>
          </cell>
          <cell r="DD145">
            <v>0</v>
          </cell>
          <cell r="DE145">
            <v>0</v>
          </cell>
          <cell r="DF145">
            <v>0</v>
          </cell>
          <cell r="DG145">
            <v>0</v>
          </cell>
          <cell r="DI145">
            <v>45040</v>
          </cell>
          <cell r="DJ145">
            <v>23359</v>
          </cell>
          <cell r="DK145">
            <v>0</v>
          </cell>
          <cell r="DL145">
            <v>23359</v>
          </cell>
          <cell r="DM145">
            <v>23359</v>
          </cell>
          <cell r="DN145">
            <v>0</v>
          </cell>
          <cell r="DO145">
            <v>23359</v>
          </cell>
          <cell r="DP145">
            <v>0</v>
          </cell>
          <cell r="DQ145">
            <v>0</v>
          </cell>
          <cell r="DR145">
            <v>0</v>
          </cell>
          <cell r="DS145">
            <v>0</v>
          </cell>
          <cell r="DT145">
            <v>46718</v>
          </cell>
          <cell r="DU145">
            <v>0</v>
          </cell>
          <cell r="DW145">
            <v>0</v>
          </cell>
          <cell r="DX145">
            <v>0</v>
          </cell>
          <cell r="DY145">
            <v>49496</v>
          </cell>
          <cell r="DZ145">
            <v>53952</v>
          </cell>
          <cell r="EA145">
            <v>58544</v>
          </cell>
          <cell r="EB145">
            <v>63136</v>
          </cell>
          <cell r="EC145">
            <v>67728</v>
          </cell>
          <cell r="ED145">
            <v>72534</v>
          </cell>
          <cell r="EE145">
            <v>77340</v>
          </cell>
          <cell r="EF145">
            <v>82146</v>
          </cell>
          <cell r="EG145">
            <v>86952</v>
          </cell>
          <cell r="EH145">
            <v>91758</v>
          </cell>
          <cell r="EI145">
            <v>703586</v>
          </cell>
          <cell r="EK145">
            <v>0</v>
          </cell>
          <cell r="EL145">
            <v>0</v>
          </cell>
          <cell r="EM145">
            <v>329.9733333333333</v>
          </cell>
          <cell r="EN145">
            <v>359.68</v>
          </cell>
          <cell r="EO145">
            <v>390.29333333333335</v>
          </cell>
          <cell r="EP145">
            <v>420.90666666666669</v>
          </cell>
          <cell r="EQ145">
            <v>451.52</v>
          </cell>
          <cell r="ER145">
            <v>483.56</v>
          </cell>
          <cell r="ES145">
            <v>554.27</v>
          </cell>
          <cell r="ET145">
            <v>588.71299999999997</v>
          </cell>
          <cell r="EU145">
            <v>623.15599999999995</v>
          </cell>
          <cell r="EV145">
            <v>657.59899999999993</v>
          </cell>
          <cell r="EW145">
            <v>4859.6713333333337</v>
          </cell>
          <cell r="EY145">
            <v>365390</v>
          </cell>
          <cell r="EZ145">
            <v>8</v>
          </cell>
          <cell r="FA145">
            <v>2435.9333333333334</v>
          </cell>
          <cell r="FB145">
            <v>338196</v>
          </cell>
          <cell r="FC145">
            <v>8.6</v>
          </cell>
          <cell r="FD145">
            <v>2423.7379999999998</v>
          </cell>
          <cell r="FE145">
            <v>4859.6713333333337</v>
          </cell>
          <cell r="FF145">
            <v>96618</v>
          </cell>
          <cell r="FH145">
            <v>96618</v>
          </cell>
        </row>
        <row r="146">
          <cell r="B146">
            <v>8944</v>
          </cell>
          <cell r="C146" t="str">
            <v>13.03.2007</v>
          </cell>
          <cell r="D146" t="str">
            <v>More Meena Vaman</v>
          </cell>
          <cell r="F146">
            <v>69390</v>
          </cell>
          <cell r="H146">
            <v>46645</v>
          </cell>
          <cell r="I146">
            <v>46645</v>
          </cell>
          <cell r="J146">
            <v>93290</v>
          </cell>
          <cell r="K146">
            <v>23900</v>
          </cell>
          <cell r="M146">
            <v>2228</v>
          </cell>
          <cell r="N146">
            <v>0</v>
          </cell>
          <cell r="O146">
            <v>2228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W146">
            <v>2228</v>
          </cell>
          <cell r="X146">
            <v>0</v>
          </cell>
          <cell r="Y146">
            <v>2228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G146">
            <v>2296</v>
          </cell>
          <cell r="AH146">
            <v>0</v>
          </cell>
          <cell r="AI146">
            <v>2296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Q146">
            <v>2296</v>
          </cell>
          <cell r="AR146">
            <v>0</v>
          </cell>
          <cell r="AS146">
            <v>2296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35700</v>
          </cell>
          <cell r="BA146">
            <v>2296</v>
          </cell>
          <cell r="BB146">
            <v>0</v>
          </cell>
          <cell r="BC146">
            <v>2296</v>
          </cell>
          <cell r="BD146">
            <v>0</v>
          </cell>
          <cell r="BE146">
            <v>1785</v>
          </cell>
          <cell r="BF146">
            <v>0</v>
          </cell>
          <cell r="BG146">
            <v>0</v>
          </cell>
          <cell r="BH146">
            <v>1785</v>
          </cell>
          <cell r="BI146">
            <v>0</v>
          </cell>
          <cell r="BK146">
            <v>2403</v>
          </cell>
          <cell r="BL146">
            <v>0</v>
          </cell>
          <cell r="BM146">
            <v>2403</v>
          </cell>
          <cell r="BN146">
            <v>0</v>
          </cell>
          <cell r="BO146">
            <v>1785</v>
          </cell>
          <cell r="BP146">
            <v>0</v>
          </cell>
          <cell r="BQ146">
            <v>0</v>
          </cell>
          <cell r="BR146">
            <v>1785</v>
          </cell>
          <cell r="BS146">
            <v>0</v>
          </cell>
          <cell r="BU146">
            <v>2403</v>
          </cell>
          <cell r="BV146">
            <v>0</v>
          </cell>
          <cell r="BW146">
            <v>2403</v>
          </cell>
          <cell r="BX146">
            <v>0</v>
          </cell>
          <cell r="BY146">
            <v>1785</v>
          </cell>
          <cell r="BZ146">
            <v>0</v>
          </cell>
          <cell r="CA146">
            <v>0</v>
          </cell>
          <cell r="CB146">
            <v>1785</v>
          </cell>
          <cell r="CC146">
            <v>0</v>
          </cell>
          <cell r="CE146">
            <v>2403</v>
          </cell>
          <cell r="CF146">
            <v>0</v>
          </cell>
          <cell r="CG146">
            <v>2403</v>
          </cell>
          <cell r="CH146">
            <v>0</v>
          </cell>
          <cell r="CI146">
            <v>1785</v>
          </cell>
          <cell r="CJ146">
            <v>0</v>
          </cell>
          <cell r="CK146">
            <v>0</v>
          </cell>
          <cell r="CL146">
            <v>1785</v>
          </cell>
          <cell r="CM146">
            <v>0</v>
          </cell>
          <cell r="CO146">
            <v>2403</v>
          </cell>
          <cell r="CP146">
            <v>0</v>
          </cell>
          <cell r="CQ146">
            <v>2403</v>
          </cell>
          <cell r="CR146">
            <v>0</v>
          </cell>
          <cell r="CS146">
            <v>1785</v>
          </cell>
          <cell r="CT146">
            <v>0</v>
          </cell>
          <cell r="CU146">
            <v>0</v>
          </cell>
          <cell r="CV146">
            <v>1785</v>
          </cell>
          <cell r="CW146">
            <v>0</v>
          </cell>
          <cell r="CY146">
            <v>2403</v>
          </cell>
          <cell r="CZ146">
            <v>0</v>
          </cell>
          <cell r="DA146">
            <v>2403</v>
          </cell>
          <cell r="DB146">
            <v>0</v>
          </cell>
          <cell r="DC146">
            <v>1785</v>
          </cell>
          <cell r="DD146">
            <v>0</v>
          </cell>
          <cell r="DE146">
            <v>0</v>
          </cell>
          <cell r="DF146">
            <v>1785</v>
          </cell>
          <cell r="DG146">
            <v>0</v>
          </cell>
          <cell r="DI146">
            <v>93290</v>
          </cell>
          <cell r="DJ146">
            <v>23359</v>
          </cell>
          <cell r="DK146">
            <v>0</v>
          </cell>
          <cell r="DL146">
            <v>23359</v>
          </cell>
          <cell r="DM146">
            <v>23359</v>
          </cell>
          <cell r="DN146">
            <v>0</v>
          </cell>
          <cell r="DO146">
            <v>23359</v>
          </cell>
          <cell r="DP146">
            <v>10710</v>
          </cell>
          <cell r="DQ146">
            <v>0</v>
          </cell>
          <cell r="DR146">
            <v>0</v>
          </cell>
          <cell r="DS146">
            <v>10710</v>
          </cell>
          <cell r="DT146">
            <v>57428</v>
          </cell>
          <cell r="DU146">
            <v>35700</v>
          </cell>
          <cell r="DW146">
            <v>0</v>
          </cell>
          <cell r="DX146">
            <v>0</v>
          </cell>
          <cell r="DY146">
            <v>97746</v>
          </cell>
          <cell r="DZ146">
            <v>102202</v>
          </cell>
          <cell r="EA146">
            <v>106794</v>
          </cell>
          <cell r="EB146">
            <v>75686</v>
          </cell>
          <cell r="EC146">
            <v>82063</v>
          </cell>
          <cell r="ED146">
            <v>88654</v>
          </cell>
          <cell r="EE146">
            <v>95245</v>
          </cell>
          <cell r="EF146">
            <v>101836</v>
          </cell>
          <cell r="EG146">
            <v>108427</v>
          </cell>
          <cell r="EH146">
            <v>115018</v>
          </cell>
          <cell r="EI146">
            <v>973671</v>
          </cell>
          <cell r="EK146">
            <v>0</v>
          </cell>
          <cell r="EL146">
            <v>0</v>
          </cell>
          <cell r="EM146">
            <v>651.64</v>
          </cell>
          <cell r="EN146">
            <v>681.34666666666669</v>
          </cell>
          <cell r="EO146">
            <v>711.96</v>
          </cell>
          <cell r="EP146">
            <v>504.57333333333332</v>
          </cell>
          <cell r="EQ146">
            <v>547.0866666666667</v>
          </cell>
          <cell r="ER146">
            <v>591.02666666666664</v>
          </cell>
          <cell r="ES146">
            <v>682.58916666666664</v>
          </cell>
          <cell r="ET146">
            <v>729.82466666666676</v>
          </cell>
          <cell r="EU146">
            <v>777.06016666666665</v>
          </cell>
          <cell r="EV146">
            <v>824.29566666666653</v>
          </cell>
          <cell r="EW146">
            <v>6701.4030000000002</v>
          </cell>
          <cell r="EY146">
            <v>553145</v>
          </cell>
          <cell r="EZ146">
            <v>8</v>
          </cell>
          <cell r="FA146">
            <v>3687.6333333333332</v>
          </cell>
          <cell r="FB146">
            <v>420526</v>
          </cell>
          <cell r="FC146">
            <v>8.6</v>
          </cell>
          <cell r="FD146">
            <v>3013.7696666666666</v>
          </cell>
          <cell r="FE146">
            <v>6701.4030000000002</v>
          </cell>
          <cell r="FF146">
            <v>121719</v>
          </cell>
          <cell r="FH146">
            <v>121719</v>
          </cell>
        </row>
        <row r="147">
          <cell r="B147">
            <v>8945</v>
          </cell>
          <cell r="C147" t="str">
            <v>13.03.2007</v>
          </cell>
          <cell r="D147" t="str">
            <v>Bansode Jayshree Anil</v>
          </cell>
          <cell r="F147">
            <v>52768</v>
          </cell>
          <cell r="H147">
            <v>14180</v>
          </cell>
          <cell r="I147">
            <v>14180</v>
          </cell>
          <cell r="J147">
            <v>28360</v>
          </cell>
          <cell r="K147">
            <v>-24408</v>
          </cell>
          <cell r="M147">
            <v>2228</v>
          </cell>
          <cell r="N147">
            <v>0</v>
          </cell>
          <cell r="O147">
            <v>2228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W147">
            <v>2228</v>
          </cell>
          <cell r="X147">
            <v>7500</v>
          </cell>
          <cell r="Y147">
            <v>2228</v>
          </cell>
          <cell r="Z147">
            <v>7500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G147">
            <v>2296</v>
          </cell>
          <cell r="AH147">
            <v>0</v>
          </cell>
          <cell r="AI147">
            <v>2296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Q147">
            <v>2296</v>
          </cell>
          <cell r="AR147">
            <v>0</v>
          </cell>
          <cell r="AS147">
            <v>2296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BA147">
            <v>2296</v>
          </cell>
          <cell r="BB147">
            <v>0</v>
          </cell>
          <cell r="BC147">
            <v>2296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K147">
            <v>2403</v>
          </cell>
          <cell r="BL147">
            <v>0</v>
          </cell>
          <cell r="BM147">
            <v>2403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U147">
            <v>2403</v>
          </cell>
          <cell r="BV147">
            <v>0</v>
          </cell>
          <cell r="BW147">
            <v>2403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E147">
            <v>2403</v>
          </cell>
          <cell r="CF147">
            <v>0</v>
          </cell>
          <cell r="CG147">
            <v>2403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O147">
            <v>2403</v>
          </cell>
          <cell r="CP147">
            <v>0</v>
          </cell>
          <cell r="CQ147">
            <v>2403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Y147">
            <v>2403</v>
          </cell>
          <cell r="CZ147">
            <v>0</v>
          </cell>
          <cell r="DA147">
            <v>2403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I147">
            <v>28360</v>
          </cell>
          <cell r="DJ147">
            <v>23359</v>
          </cell>
          <cell r="DK147">
            <v>7500</v>
          </cell>
          <cell r="DL147">
            <v>30859</v>
          </cell>
          <cell r="DM147">
            <v>23359</v>
          </cell>
          <cell r="DN147">
            <v>7500</v>
          </cell>
          <cell r="DO147">
            <v>30859</v>
          </cell>
          <cell r="DP147">
            <v>0</v>
          </cell>
          <cell r="DQ147">
            <v>0</v>
          </cell>
          <cell r="DR147">
            <v>0</v>
          </cell>
          <cell r="DS147">
            <v>0</v>
          </cell>
          <cell r="DT147">
            <v>61718</v>
          </cell>
          <cell r="DU147">
            <v>0</v>
          </cell>
          <cell r="DW147">
            <v>0</v>
          </cell>
          <cell r="DX147">
            <v>0</v>
          </cell>
          <cell r="DY147">
            <v>32816</v>
          </cell>
          <cell r="DZ147">
            <v>52272</v>
          </cell>
          <cell r="EA147">
            <v>56864</v>
          </cell>
          <cell r="EB147">
            <v>61456</v>
          </cell>
          <cell r="EC147">
            <v>66048</v>
          </cell>
          <cell r="ED147">
            <v>70854</v>
          </cell>
          <cell r="EE147">
            <v>75660</v>
          </cell>
          <cell r="EF147">
            <v>80466</v>
          </cell>
          <cell r="EG147">
            <v>85272</v>
          </cell>
          <cell r="EH147">
            <v>90078</v>
          </cell>
          <cell r="EI147">
            <v>671786</v>
          </cell>
          <cell r="EK147">
            <v>0</v>
          </cell>
          <cell r="EL147">
            <v>0</v>
          </cell>
          <cell r="EM147">
            <v>218.77333333333334</v>
          </cell>
          <cell r="EN147">
            <v>348.48</v>
          </cell>
          <cell r="EO147">
            <v>379.09333333333331</v>
          </cell>
          <cell r="EP147">
            <v>409.70666666666665</v>
          </cell>
          <cell r="EQ147">
            <v>440.32</v>
          </cell>
          <cell r="ER147">
            <v>472.35999999999996</v>
          </cell>
          <cell r="ES147">
            <v>542.23</v>
          </cell>
          <cell r="ET147">
            <v>576.673</v>
          </cell>
          <cell r="EU147">
            <v>611.11599999999999</v>
          </cell>
          <cell r="EV147">
            <v>645.55899999999997</v>
          </cell>
          <cell r="EW147">
            <v>4644.3113333333331</v>
          </cell>
          <cell r="EY147">
            <v>340310</v>
          </cell>
          <cell r="EZ147">
            <v>8</v>
          </cell>
          <cell r="FA147">
            <v>2268.7333333333331</v>
          </cell>
          <cell r="FB147">
            <v>331476</v>
          </cell>
          <cell r="FC147">
            <v>8.6</v>
          </cell>
          <cell r="FD147">
            <v>2375.578</v>
          </cell>
          <cell r="FE147">
            <v>4644.3113333333331</v>
          </cell>
          <cell r="FF147">
            <v>94722</v>
          </cell>
          <cell r="FH147">
            <v>94722</v>
          </cell>
        </row>
        <row r="148">
          <cell r="B148">
            <v>8946</v>
          </cell>
          <cell r="C148" t="str">
            <v>13.03.2007</v>
          </cell>
          <cell r="D148" t="str">
            <v>Kotwal Manisha Baban</v>
          </cell>
          <cell r="F148">
            <v>52990</v>
          </cell>
          <cell r="H148">
            <v>53533</v>
          </cell>
          <cell r="I148">
            <v>53533</v>
          </cell>
          <cell r="J148">
            <v>107066</v>
          </cell>
          <cell r="K148">
            <v>54076</v>
          </cell>
          <cell r="M148">
            <v>2100</v>
          </cell>
          <cell r="N148">
            <v>0</v>
          </cell>
          <cell r="O148">
            <v>2100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W148">
            <v>2100</v>
          </cell>
          <cell r="X148">
            <v>0</v>
          </cell>
          <cell r="Y148">
            <v>2100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Y148">
            <v>0</v>
          </cell>
          <cell r="CZ148">
            <v>0</v>
          </cell>
          <cell r="DA148">
            <v>0</v>
          </cell>
          <cell r="DB148">
            <v>0</v>
          </cell>
          <cell r="DC148">
            <v>0</v>
          </cell>
          <cell r="DD148">
            <v>0</v>
          </cell>
          <cell r="DE148">
            <v>0</v>
          </cell>
          <cell r="DF148">
            <v>0</v>
          </cell>
          <cell r="DG148">
            <v>0</v>
          </cell>
          <cell r="DI148">
            <v>107066</v>
          </cell>
          <cell r="DJ148">
            <v>4200</v>
          </cell>
          <cell r="DK148">
            <v>0</v>
          </cell>
          <cell r="DL148">
            <v>4200</v>
          </cell>
          <cell r="DM148">
            <v>4200</v>
          </cell>
          <cell r="DN148">
            <v>0</v>
          </cell>
          <cell r="DO148">
            <v>4200</v>
          </cell>
          <cell r="DP148">
            <v>0</v>
          </cell>
          <cell r="DQ148">
            <v>0</v>
          </cell>
          <cell r="DR148">
            <v>0</v>
          </cell>
          <cell r="DS148">
            <v>0</v>
          </cell>
          <cell r="DT148">
            <v>8400</v>
          </cell>
          <cell r="DU148">
            <v>0</v>
          </cell>
          <cell r="DW148">
            <v>0</v>
          </cell>
          <cell r="DX148">
            <v>0</v>
          </cell>
          <cell r="DY148">
            <v>111266</v>
          </cell>
          <cell r="DZ148">
            <v>115466</v>
          </cell>
          <cell r="EA148">
            <v>115466</v>
          </cell>
          <cell r="EB148">
            <v>115466</v>
          </cell>
          <cell r="EC148">
            <v>115466</v>
          </cell>
          <cell r="ED148">
            <v>115466</v>
          </cell>
          <cell r="EE148">
            <v>115466</v>
          </cell>
          <cell r="EF148">
            <v>115466</v>
          </cell>
          <cell r="EG148">
            <v>115466</v>
          </cell>
          <cell r="EH148">
            <v>115466</v>
          </cell>
          <cell r="EI148">
            <v>1150460</v>
          </cell>
          <cell r="EK148">
            <v>0</v>
          </cell>
          <cell r="EL148">
            <v>0</v>
          </cell>
          <cell r="EM148">
            <v>741.77333333333343</v>
          </cell>
          <cell r="EN148">
            <v>769.77333333333343</v>
          </cell>
          <cell r="EO148">
            <v>769.77333333333343</v>
          </cell>
          <cell r="EP148">
            <v>769.77333333333343</v>
          </cell>
          <cell r="EQ148">
            <v>769.77333333333343</v>
          </cell>
          <cell r="ER148">
            <v>769.77333333333343</v>
          </cell>
          <cell r="ES148">
            <v>827.50633333333326</v>
          </cell>
          <cell r="ET148">
            <v>827.50633333333326</v>
          </cell>
          <cell r="EU148">
            <v>827.50633333333326</v>
          </cell>
          <cell r="EV148">
            <v>827.50633333333326</v>
          </cell>
          <cell r="EW148">
            <v>7900.6653333333325</v>
          </cell>
          <cell r="EY148">
            <v>688596</v>
          </cell>
          <cell r="EZ148">
            <v>8</v>
          </cell>
          <cell r="FA148">
            <v>4590.6400000000003</v>
          </cell>
          <cell r="FB148">
            <v>461864</v>
          </cell>
          <cell r="FC148">
            <v>8.6</v>
          </cell>
          <cell r="FD148">
            <v>3310.025333333333</v>
          </cell>
          <cell r="FE148">
            <v>7900.6653333333334</v>
          </cell>
          <cell r="FF148">
            <v>123367</v>
          </cell>
          <cell r="FH148">
            <v>123367</v>
          </cell>
        </row>
        <row r="149">
          <cell r="B149">
            <v>8947</v>
          </cell>
          <cell r="C149" t="str">
            <v>13.03.2007</v>
          </cell>
          <cell r="D149" t="str">
            <v>Randive Sangita Madhukar</v>
          </cell>
          <cell r="F149">
            <v>68543</v>
          </cell>
          <cell r="H149">
            <v>48562</v>
          </cell>
          <cell r="I149">
            <v>48562</v>
          </cell>
          <cell r="J149">
            <v>97124</v>
          </cell>
          <cell r="K149">
            <v>28581</v>
          </cell>
          <cell r="M149">
            <v>2100</v>
          </cell>
          <cell r="N149">
            <v>0</v>
          </cell>
          <cell r="O149">
            <v>2100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W149">
            <v>2100</v>
          </cell>
          <cell r="X149">
            <v>0</v>
          </cell>
          <cell r="Y149">
            <v>2100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G149">
            <v>2100</v>
          </cell>
          <cell r="AH149">
            <v>0</v>
          </cell>
          <cell r="AI149">
            <v>2100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Q149">
            <v>2100</v>
          </cell>
          <cell r="AR149">
            <v>0</v>
          </cell>
          <cell r="AS149">
            <v>2100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BA149">
            <v>2100</v>
          </cell>
          <cell r="BB149">
            <v>0</v>
          </cell>
          <cell r="BC149">
            <v>2100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K149">
            <v>2197</v>
          </cell>
          <cell r="BL149">
            <v>0</v>
          </cell>
          <cell r="BM149">
            <v>2197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U149">
            <v>2197</v>
          </cell>
          <cell r="BV149">
            <v>0</v>
          </cell>
          <cell r="BW149">
            <v>2197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E149">
            <v>2197</v>
          </cell>
          <cell r="CF149">
            <v>0</v>
          </cell>
          <cell r="CG149">
            <v>2197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O149">
            <v>2197</v>
          </cell>
          <cell r="CP149">
            <v>0</v>
          </cell>
          <cell r="CQ149">
            <v>2197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Y149">
            <v>2197</v>
          </cell>
          <cell r="CZ149">
            <v>0</v>
          </cell>
          <cell r="DA149">
            <v>2197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I149">
            <v>97124</v>
          </cell>
          <cell r="DJ149">
            <v>21485</v>
          </cell>
          <cell r="DK149">
            <v>0</v>
          </cell>
          <cell r="DL149">
            <v>21485</v>
          </cell>
          <cell r="DM149">
            <v>21485</v>
          </cell>
          <cell r="DN149">
            <v>0</v>
          </cell>
          <cell r="DO149">
            <v>21485</v>
          </cell>
          <cell r="DP149">
            <v>0</v>
          </cell>
          <cell r="DQ149">
            <v>0</v>
          </cell>
          <cell r="DR149">
            <v>0</v>
          </cell>
          <cell r="DS149">
            <v>0</v>
          </cell>
          <cell r="DT149">
            <v>42970</v>
          </cell>
          <cell r="DU149">
            <v>0</v>
          </cell>
          <cell r="DW149">
            <v>0</v>
          </cell>
          <cell r="DX149">
            <v>0</v>
          </cell>
          <cell r="DY149">
            <v>101324</v>
          </cell>
          <cell r="DZ149">
            <v>105524</v>
          </cell>
          <cell r="EA149">
            <v>109724</v>
          </cell>
          <cell r="EB149">
            <v>113924</v>
          </cell>
          <cell r="EC149">
            <v>118124</v>
          </cell>
          <cell r="ED149">
            <v>122518</v>
          </cell>
          <cell r="EE149">
            <v>126912</v>
          </cell>
          <cell r="EF149">
            <v>131306</v>
          </cell>
          <cell r="EG149">
            <v>135700</v>
          </cell>
          <cell r="EH149">
            <v>140094</v>
          </cell>
          <cell r="EI149">
            <v>1205150</v>
          </cell>
          <cell r="EK149">
            <v>0</v>
          </cell>
          <cell r="EL149">
            <v>0</v>
          </cell>
          <cell r="EM149">
            <v>675.49333333333334</v>
          </cell>
          <cell r="EN149">
            <v>703.49333333333334</v>
          </cell>
          <cell r="EO149">
            <v>731.49333333333334</v>
          </cell>
          <cell r="EP149">
            <v>759.49333333333334</v>
          </cell>
          <cell r="EQ149">
            <v>787.49333333333334</v>
          </cell>
          <cell r="ER149">
            <v>816.78666666666675</v>
          </cell>
          <cell r="ES149">
            <v>909.53599999999994</v>
          </cell>
          <cell r="ET149">
            <v>941.02633333333324</v>
          </cell>
          <cell r="EU149">
            <v>972.51666666666677</v>
          </cell>
          <cell r="EV149">
            <v>1004.0069999999999</v>
          </cell>
          <cell r="EW149">
            <v>8301.3393333333333</v>
          </cell>
          <cell r="EY149">
            <v>671138</v>
          </cell>
          <cell r="EZ149">
            <v>8</v>
          </cell>
          <cell r="FA149">
            <v>4474.2533333333331</v>
          </cell>
          <cell r="FB149">
            <v>534012</v>
          </cell>
          <cell r="FC149">
            <v>8.6</v>
          </cell>
          <cell r="FD149">
            <v>3827.0859999999998</v>
          </cell>
          <cell r="FE149">
            <v>8301.3393333333333</v>
          </cell>
          <cell r="FF149">
            <v>148395</v>
          </cell>
          <cell r="FH149">
            <v>148395</v>
          </cell>
        </row>
        <row r="150">
          <cell r="B150">
            <v>8948</v>
          </cell>
          <cell r="C150" t="str">
            <v>13.03.2007</v>
          </cell>
          <cell r="D150" t="str">
            <v>Kulkarni (Pol) Swati Sandip</v>
          </cell>
          <cell r="F150">
            <v>67879</v>
          </cell>
          <cell r="H150">
            <v>14520</v>
          </cell>
          <cell r="I150">
            <v>14520</v>
          </cell>
          <cell r="J150">
            <v>29040</v>
          </cell>
          <cell r="K150">
            <v>-38839</v>
          </cell>
          <cell r="M150">
            <v>2228</v>
          </cell>
          <cell r="N150">
            <v>0</v>
          </cell>
          <cell r="O150">
            <v>2228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W150">
            <v>2228</v>
          </cell>
          <cell r="X150">
            <v>0</v>
          </cell>
          <cell r="Y150">
            <v>2228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G150">
            <v>2296</v>
          </cell>
          <cell r="AH150">
            <v>0</v>
          </cell>
          <cell r="AI150">
            <v>2296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Q150">
            <v>2296</v>
          </cell>
          <cell r="AR150">
            <v>0</v>
          </cell>
          <cell r="AS150">
            <v>2296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BA150">
            <v>2296</v>
          </cell>
          <cell r="BB150">
            <v>1000</v>
          </cell>
          <cell r="BC150">
            <v>2296</v>
          </cell>
          <cell r="BD150">
            <v>1000</v>
          </cell>
          <cell r="BE150">
            <v>0</v>
          </cell>
          <cell r="BF150">
            <v>2930</v>
          </cell>
          <cell r="BG150">
            <v>0</v>
          </cell>
          <cell r="BH150">
            <v>2930</v>
          </cell>
          <cell r="BI150">
            <v>0</v>
          </cell>
          <cell r="BK150">
            <v>2403</v>
          </cell>
          <cell r="BL150">
            <v>0</v>
          </cell>
          <cell r="BM150">
            <v>2403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U150">
            <v>2403</v>
          </cell>
          <cell r="BV150">
            <v>0</v>
          </cell>
          <cell r="BW150">
            <v>2403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E150">
            <v>2403</v>
          </cell>
          <cell r="CF150">
            <v>0</v>
          </cell>
          <cell r="CG150">
            <v>2403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O150">
            <v>2403</v>
          </cell>
          <cell r="CP150">
            <v>0</v>
          </cell>
          <cell r="CQ150">
            <v>2403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Y150">
            <v>2403</v>
          </cell>
          <cell r="CZ150">
            <v>0</v>
          </cell>
          <cell r="DA150">
            <v>2403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I150">
            <v>29040</v>
          </cell>
          <cell r="DJ150">
            <v>23359</v>
          </cell>
          <cell r="DK150">
            <v>1000</v>
          </cell>
          <cell r="DL150">
            <v>24359</v>
          </cell>
          <cell r="DM150">
            <v>23359</v>
          </cell>
          <cell r="DN150">
            <v>1000</v>
          </cell>
          <cell r="DO150">
            <v>24359</v>
          </cell>
          <cell r="DP150">
            <v>0</v>
          </cell>
          <cell r="DQ150">
            <v>2930</v>
          </cell>
          <cell r="DR150">
            <v>0</v>
          </cell>
          <cell r="DS150">
            <v>2930</v>
          </cell>
          <cell r="DT150">
            <v>51648</v>
          </cell>
          <cell r="DU150">
            <v>0</v>
          </cell>
          <cell r="DW150">
            <v>0</v>
          </cell>
          <cell r="DX150">
            <v>0</v>
          </cell>
          <cell r="DY150">
            <v>33496</v>
          </cell>
          <cell r="DZ150">
            <v>37952</v>
          </cell>
          <cell r="EA150">
            <v>42544</v>
          </cell>
          <cell r="EB150">
            <v>47136</v>
          </cell>
          <cell r="EC150">
            <v>56658</v>
          </cell>
          <cell r="ED150">
            <v>61464</v>
          </cell>
          <cell r="EE150">
            <v>66270</v>
          </cell>
          <cell r="EF150">
            <v>71076</v>
          </cell>
          <cell r="EG150">
            <v>75882</v>
          </cell>
          <cell r="EH150">
            <v>80688</v>
          </cell>
          <cell r="EI150">
            <v>573166</v>
          </cell>
          <cell r="EK150">
            <v>0</v>
          </cell>
          <cell r="EL150">
            <v>0</v>
          </cell>
          <cell r="EM150">
            <v>223.30666666666664</v>
          </cell>
          <cell r="EN150">
            <v>253.01333333333332</v>
          </cell>
          <cell r="EO150">
            <v>283.62666666666667</v>
          </cell>
          <cell r="EP150">
            <v>314.24</v>
          </cell>
          <cell r="EQ150">
            <v>377.72</v>
          </cell>
          <cell r="ER150">
            <v>409.76</v>
          </cell>
          <cell r="ES150">
            <v>474.935</v>
          </cell>
          <cell r="ET150">
            <v>509.37799999999999</v>
          </cell>
          <cell r="EU150">
            <v>543.82100000000003</v>
          </cell>
          <cell r="EV150">
            <v>578.26400000000001</v>
          </cell>
          <cell r="EW150">
            <v>3968.0646666666667</v>
          </cell>
          <cell r="EY150">
            <v>279250</v>
          </cell>
          <cell r="EZ150">
            <v>8</v>
          </cell>
          <cell r="FA150">
            <v>1861.6666666666667</v>
          </cell>
          <cell r="FB150">
            <v>293916</v>
          </cell>
          <cell r="FC150">
            <v>8.6</v>
          </cell>
          <cell r="FD150">
            <v>2106.3980000000001</v>
          </cell>
          <cell r="FE150">
            <v>3968.0646666666671</v>
          </cell>
          <cell r="FF150">
            <v>84656</v>
          </cell>
          <cell r="FH150">
            <v>84656</v>
          </cell>
        </row>
        <row r="151">
          <cell r="B151">
            <v>8949</v>
          </cell>
          <cell r="C151" t="str">
            <v>13.03.2007</v>
          </cell>
          <cell r="D151" t="str">
            <v>Jadhav Usha Suresh</v>
          </cell>
          <cell r="F151">
            <v>68385</v>
          </cell>
          <cell r="H151">
            <v>35465</v>
          </cell>
          <cell r="I151">
            <v>35465</v>
          </cell>
          <cell r="J151">
            <v>70930</v>
          </cell>
          <cell r="K151">
            <v>2545</v>
          </cell>
          <cell r="M151">
            <v>2228</v>
          </cell>
          <cell r="N151">
            <v>0</v>
          </cell>
          <cell r="O151">
            <v>2228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W151">
            <v>2228</v>
          </cell>
          <cell r="X151">
            <v>0</v>
          </cell>
          <cell r="Y151">
            <v>2228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G151">
            <v>2296</v>
          </cell>
          <cell r="AH151">
            <v>0</v>
          </cell>
          <cell r="AI151">
            <v>2296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Q151">
            <v>2296</v>
          </cell>
          <cell r="AR151">
            <v>0</v>
          </cell>
          <cell r="AS151">
            <v>2296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BA151">
            <v>2296</v>
          </cell>
          <cell r="BB151">
            <v>1000</v>
          </cell>
          <cell r="BC151">
            <v>2296</v>
          </cell>
          <cell r="BD151">
            <v>1000</v>
          </cell>
          <cell r="BE151">
            <v>0</v>
          </cell>
          <cell r="BF151">
            <v>2480</v>
          </cell>
          <cell r="BG151">
            <v>0</v>
          </cell>
          <cell r="BH151">
            <v>2480</v>
          </cell>
          <cell r="BI151">
            <v>0</v>
          </cell>
          <cell r="BK151">
            <v>2403</v>
          </cell>
          <cell r="BL151">
            <v>0</v>
          </cell>
          <cell r="BM151">
            <v>2403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U151">
            <v>2403</v>
          </cell>
          <cell r="BV151">
            <v>0</v>
          </cell>
          <cell r="BW151">
            <v>2403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E151">
            <v>2403</v>
          </cell>
          <cell r="CF151">
            <v>0</v>
          </cell>
          <cell r="CG151">
            <v>2403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O151">
            <v>2403</v>
          </cell>
          <cell r="CP151">
            <v>0</v>
          </cell>
          <cell r="CQ151">
            <v>2403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Y151">
            <v>2403</v>
          </cell>
          <cell r="CZ151">
            <v>0</v>
          </cell>
          <cell r="DA151">
            <v>2403</v>
          </cell>
          <cell r="DB151">
            <v>0</v>
          </cell>
          <cell r="DC151">
            <v>0</v>
          </cell>
          <cell r="DD151">
            <v>0</v>
          </cell>
          <cell r="DE151">
            <v>0</v>
          </cell>
          <cell r="DF151">
            <v>0</v>
          </cell>
          <cell r="DG151">
            <v>0</v>
          </cell>
          <cell r="DI151">
            <v>70930</v>
          </cell>
          <cell r="DJ151">
            <v>23359</v>
          </cell>
          <cell r="DK151">
            <v>1000</v>
          </cell>
          <cell r="DL151">
            <v>24359</v>
          </cell>
          <cell r="DM151">
            <v>23359</v>
          </cell>
          <cell r="DN151">
            <v>1000</v>
          </cell>
          <cell r="DO151">
            <v>24359</v>
          </cell>
          <cell r="DP151">
            <v>0</v>
          </cell>
          <cell r="DQ151">
            <v>2480</v>
          </cell>
          <cell r="DR151">
            <v>0</v>
          </cell>
          <cell r="DS151">
            <v>2480</v>
          </cell>
          <cell r="DT151">
            <v>51198</v>
          </cell>
          <cell r="DU151">
            <v>0</v>
          </cell>
          <cell r="DW151">
            <v>0</v>
          </cell>
          <cell r="DX151">
            <v>0</v>
          </cell>
          <cell r="DY151">
            <v>75386</v>
          </cell>
          <cell r="DZ151">
            <v>79842</v>
          </cell>
          <cell r="EA151">
            <v>84434</v>
          </cell>
          <cell r="EB151">
            <v>89026</v>
          </cell>
          <cell r="EC151">
            <v>98098</v>
          </cell>
          <cell r="ED151">
            <v>102904</v>
          </cell>
          <cell r="EE151">
            <v>107710</v>
          </cell>
          <cell r="EF151">
            <v>112516</v>
          </cell>
          <cell r="EG151">
            <v>117322</v>
          </cell>
          <cell r="EH151">
            <v>122128</v>
          </cell>
          <cell r="EI151">
            <v>989366</v>
          </cell>
          <cell r="EK151">
            <v>0</v>
          </cell>
          <cell r="EL151">
            <v>0</v>
          </cell>
          <cell r="EM151">
            <v>502.57333333333332</v>
          </cell>
          <cell r="EN151">
            <v>532.28</v>
          </cell>
          <cell r="EO151">
            <v>562.89333333333332</v>
          </cell>
          <cell r="EP151">
            <v>593.50666666666666</v>
          </cell>
          <cell r="EQ151">
            <v>653.98666666666668</v>
          </cell>
          <cell r="ER151">
            <v>686.02666666666664</v>
          </cell>
          <cell r="ES151">
            <v>771.92166666666662</v>
          </cell>
          <cell r="ET151">
            <v>806.36466666666672</v>
          </cell>
          <cell r="EU151">
            <v>840.80766666666659</v>
          </cell>
          <cell r="EV151">
            <v>875.25066666666669</v>
          </cell>
          <cell r="EW151">
            <v>6825.6113333333333</v>
          </cell>
          <cell r="EY151">
            <v>529690</v>
          </cell>
          <cell r="EZ151">
            <v>8</v>
          </cell>
          <cell r="FA151">
            <v>3531.2666666666664</v>
          </cell>
          <cell r="FB151">
            <v>459676</v>
          </cell>
          <cell r="FC151">
            <v>8.6</v>
          </cell>
          <cell r="FD151">
            <v>3294.3446666666664</v>
          </cell>
          <cell r="FE151">
            <v>6825.6113333333324</v>
          </cell>
          <cell r="FF151">
            <v>128954</v>
          </cell>
          <cell r="FH151">
            <v>128954</v>
          </cell>
        </row>
        <row r="152">
          <cell r="B152">
            <v>8966</v>
          </cell>
          <cell r="C152" t="str">
            <v>13.03.2007</v>
          </cell>
          <cell r="D152" t="str">
            <v>Machave Pallavi Chandrakant</v>
          </cell>
          <cell r="F152">
            <v>68357</v>
          </cell>
          <cell r="H152">
            <v>72186</v>
          </cell>
          <cell r="I152">
            <v>72186</v>
          </cell>
          <cell r="J152">
            <v>144372</v>
          </cell>
          <cell r="K152">
            <v>76015</v>
          </cell>
          <cell r="M152">
            <v>2228</v>
          </cell>
          <cell r="N152">
            <v>0</v>
          </cell>
          <cell r="O152">
            <v>2228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W152">
            <v>2228</v>
          </cell>
          <cell r="X152">
            <v>0</v>
          </cell>
          <cell r="Y152">
            <v>2228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G152">
            <v>2296</v>
          </cell>
          <cell r="AH152">
            <v>0</v>
          </cell>
          <cell r="AI152">
            <v>2296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Q152">
            <v>2296</v>
          </cell>
          <cell r="AR152">
            <v>0</v>
          </cell>
          <cell r="AS152">
            <v>2296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BA152">
            <v>2296</v>
          </cell>
          <cell r="BB152">
            <v>0</v>
          </cell>
          <cell r="BC152">
            <v>2296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K152">
            <v>2403</v>
          </cell>
          <cell r="BL152">
            <v>0</v>
          </cell>
          <cell r="BM152">
            <v>2403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U152">
            <v>2403</v>
          </cell>
          <cell r="BV152">
            <v>0</v>
          </cell>
          <cell r="BW152">
            <v>2403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E152">
            <v>2403</v>
          </cell>
          <cell r="CF152">
            <v>0</v>
          </cell>
          <cell r="CG152">
            <v>2403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O152">
            <v>2403</v>
          </cell>
          <cell r="CP152">
            <v>0</v>
          </cell>
          <cell r="CQ152">
            <v>2403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Y152">
            <v>2403</v>
          </cell>
          <cell r="CZ152">
            <v>0</v>
          </cell>
          <cell r="DA152">
            <v>2403</v>
          </cell>
          <cell r="DB152">
            <v>0</v>
          </cell>
          <cell r="DC152">
            <v>0</v>
          </cell>
          <cell r="DD152">
            <v>0</v>
          </cell>
          <cell r="DE152">
            <v>0</v>
          </cell>
          <cell r="DF152">
            <v>0</v>
          </cell>
          <cell r="DG152">
            <v>0</v>
          </cell>
          <cell r="DI152">
            <v>144372</v>
          </cell>
          <cell r="DJ152">
            <v>23359</v>
          </cell>
          <cell r="DK152">
            <v>0</v>
          </cell>
          <cell r="DL152">
            <v>23359</v>
          </cell>
          <cell r="DM152">
            <v>23359</v>
          </cell>
          <cell r="DN152">
            <v>0</v>
          </cell>
          <cell r="DO152">
            <v>23359</v>
          </cell>
          <cell r="DP152">
            <v>0</v>
          </cell>
          <cell r="DQ152">
            <v>0</v>
          </cell>
          <cell r="DR152">
            <v>0</v>
          </cell>
          <cell r="DS152">
            <v>0</v>
          </cell>
          <cell r="DT152">
            <v>46718</v>
          </cell>
          <cell r="DU152">
            <v>0</v>
          </cell>
          <cell r="DW152">
            <v>0</v>
          </cell>
          <cell r="DX152">
            <v>0</v>
          </cell>
          <cell r="DY152">
            <v>148828</v>
          </cell>
          <cell r="DZ152">
            <v>153284</v>
          </cell>
          <cell r="EA152">
            <v>157876</v>
          </cell>
          <cell r="EB152">
            <v>162468</v>
          </cell>
          <cell r="EC152">
            <v>167060</v>
          </cell>
          <cell r="ED152">
            <v>171866</v>
          </cell>
          <cell r="EE152">
            <v>176672</v>
          </cell>
          <cell r="EF152">
            <v>181478</v>
          </cell>
          <cell r="EG152">
            <v>186284</v>
          </cell>
          <cell r="EH152">
            <v>191090</v>
          </cell>
          <cell r="EI152">
            <v>1696906</v>
          </cell>
          <cell r="EK152">
            <v>0</v>
          </cell>
          <cell r="EL152">
            <v>0</v>
          </cell>
          <cell r="EM152">
            <v>992.18666666666661</v>
          </cell>
          <cell r="EN152">
            <v>1021.8933333333333</v>
          </cell>
          <cell r="EO152">
            <v>1052.5066666666667</v>
          </cell>
          <cell r="EP152">
            <v>1083.1200000000001</v>
          </cell>
          <cell r="EQ152">
            <v>1113.7333333333333</v>
          </cell>
          <cell r="ER152">
            <v>1145.7733333333333</v>
          </cell>
          <cell r="ES152">
            <v>1266.1493333333333</v>
          </cell>
          <cell r="ET152">
            <v>1300.5923333333333</v>
          </cell>
          <cell r="EU152">
            <v>1335.0353333333333</v>
          </cell>
          <cell r="EV152">
            <v>1369.4783333333335</v>
          </cell>
          <cell r="EW152">
            <v>11680.468666666668</v>
          </cell>
          <cell r="EY152">
            <v>961382</v>
          </cell>
          <cell r="EZ152">
            <v>8</v>
          </cell>
          <cell r="FA152">
            <v>6409.2133333333331</v>
          </cell>
          <cell r="FB152">
            <v>735524</v>
          </cell>
          <cell r="FC152">
            <v>8.6</v>
          </cell>
          <cell r="FD152">
            <v>5271.2553333333326</v>
          </cell>
          <cell r="FE152">
            <v>11680.468666666666</v>
          </cell>
          <cell r="FF152">
            <v>202770</v>
          </cell>
          <cell r="FH152">
            <v>202770</v>
          </cell>
        </row>
        <row r="153">
          <cell r="B153">
            <v>8967</v>
          </cell>
          <cell r="C153" t="str">
            <v>13.03.2007</v>
          </cell>
          <cell r="D153" t="str">
            <v>Satpute Sangita Dhyneshwar</v>
          </cell>
          <cell r="F153">
            <v>69403</v>
          </cell>
          <cell r="H153">
            <v>38889</v>
          </cell>
          <cell r="I153">
            <v>38889</v>
          </cell>
          <cell r="J153">
            <v>77778</v>
          </cell>
          <cell r="K153">
            <v>8375</v>
          </cell>
          <cell r="M153">
            <v>2228</v>
          </cell>
          <cell r="N153">
            <v>0</v>
          </cell>
          <cell r="O153">
            <v>2228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W153">
            <v>2228</v>
          </cell>
          <cell r="X153">
            <v>0</v>
          </cell>
          <cell r="Y153">
            <v>2228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G153">
            <v>2296</v>
          </cell>
          <cell r="AH153">
            <v>0</v>
          </cell>
          <cell r="AI153">
            <v>2296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Q153">
            <v>2296</v>
          </cell>
          <cell r="AR153">
            <v>0</v>
          </cell>
          <cell r="AS153">
            <v>2296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BA153">
            <v>2296</v>
          </cell>
          <cell r="BB153">
            <v>0</v>
          </cell>
          <cell r="BC153">
            <v>2296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K153">
            <v>2403</v>
          </cell>
          <cell r="BL153">
            <v>0</v>
          </cell>
          <cell r="BM153">
            <v>2403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U153">
            <v>2403</v>
          </cell>
          <cell r="BV153">
            <v>0</v>
          </cell>
          <cell r="BW153">
            <v>2403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E153">
            <v>2403</v>
          </cell>
          <cell r="CF153">
            <v>0</v>
          </cell>
          <cell r="CG153">
            <v>2403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O153">
            <v>2403</v>
          </cell>
          <cell r="CP153">
            <v>0</v>
          </cell>
          <cell r="CQ153">
            <v>2403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Y153">
            <v>2403</v>
          </cell>
          <cell r="CZ153">
            <v>0</v>
          </cell>
          <cell r="DA153">
            <v>2403</v>
          </cell>
          <cell r="DB153">
            <v>0</v>
          </cell>
          <cell r="DC153">
            <v>0</v>
          </cell>
          <cell r="DD153">
            <v>0</v>
          </cell>
          <cell r="DE153">
            <v>0</v>
          </cell>
          <cell r="DF153">
            <v>0</v>
          </cell>
          <cell r="DG153">
            <v>0</v>
          </cell>
          <cell r="DI153">
            <v>77778</v>
          </cell>
          <cell r="DJ153">
            <v>23359</v>
          </cell>
          <cell r="DK153">
            <v>0</v>
          </cell>
          <cell r="DL153">
            <v>23359</v>
          </cell>
          <cell r="DM153">
            <v>23359</v>
          </cell>
          <cell r="DN153">
            <v>0</v>
          </cell>
          <cell r="DO153">
            <v>23359</v>
          </cell>
          <cell r="DP153">
            <v>0</v>
          </cell>
          <cell r="DQ153">
            <v>0</v>
          </cell>
          <cell r="DR153">
            <v>0</v>
          </cell>
          <cell r="DS153">
            <v>0</v>
          </cell>
          <cell r="DT153">
            <v>46718</v>
          </cell>
          <cell r="DU153">
            <v>0</v>
          </cell>
          <cell r="DW153">
            <v>0</v>
          </cell>
          <cell r="DX153">
            <v>0</v>
          </cell>
          <cell r="DY153">
            <v>82234</v>
          </cell>
          <cell r="DZ153">
            <v>86690</v>
          </cell>
          <cell r="EA153">
            <v>91282</v>
          </cell>
          <cell r="EB153">
            <v>95874</v>
          </cell>
          <cell r="EC153">
            <v>100466</v>
          </cell>
          <cell r="ED153">
            <v>105272</v>
          </cell>
          <cell r="EE153">
            <v>110078</v>
          </cell>
          <cell r="EF153">
            <v>114884</v>
          </cell>
          <cell r="EG153">
            <v>119690</v>
          </cell>
          <cell r="EH153">
            <v>124496</v>
          </cell>
          <cell r="EI153">
            <v>1030966</v>
          </cell>
          <cell r="EK153">
            <v>0</v>
          </cell>
          <cell r="EL153">
            <v>0</v>
          </cell>
          <cell r="EM153">
            <v>548.22666666666669</v>
          </cell>
          <cell r="EN153">
            <v>577.93333333333328</v>
          </cell>
          <cell r="EO153">
            <v>608.54666666666674</v>
          </cell>
          <cell r="EP153">
            <v>639.16</v>
          </cell>
          <cell r="EQ153">
            <v>669.77333333333331</v>
          </cell>
          <cell r="ER153">
            <v>701.81333333333339</v>
          </cell>
          <cell r="ES153">
            <v>788.89233333333323</v>
          </cell>
          <cell r="ET153">
            <v>823.33533333333332</v>
          </cell>
          <cell r="EU153">
            <v>857.77833333333331</v>
          </cell>
          <cell r="EV153">
            <v>892.22133333333329</v>
          </cell>
          <cell r="EW153">
            <v>7107.6806666666662</v>
          </cell>
          <cell r="EY153">
            <v>561818</v>
          </cell>
          <cell r="EZ153">
            <v>8</v>
          </cell>
          <cell r="FA153">
            <v>3745.4533333333334</v>
          </cell>
          <cell r="FB153">
            <v>469148</v>
          </cell>
          <cell r="FC153">
            <v>8.6</v>
          </cell>
          <cell r="FD153">
            <v>3362.2273333333328</v>
          </cell>
          <cell r="FE153">
            <v>7107.6806666666662</v>
          </cell>
          <cell r="FF153">
            <v>131604</v>
          </cell>
          <cell r="FH153">
            <v>131604</v>
          </cell>
        </row>
        <row r="154">
          <cell r="B154">
            <v>9390</v>
          </cell>
          <cell r="C154" t="str">
            <v>14.03.2007</v>
          </cell>
          <cell r="D154" t="str">
            <v>Dhengale Surekha Rajendra</v>
          </cell>
          <cell r="F154">
            <v>10815</v>
          </cell>
          <cell r="H154">
            <v>6234</v>
          </cell>
          <cell r="I154">
            <v>6234</v>
          </cell>
          <cell r="J154">
            <v>12468</v>
          </cell>
          <cell r="K154">
            <v>1653</v>
          </cell>
          <cell r="M154">
            <v>1057</v>
          </cell>
          <cell r="N154">
            <v>0</v>
          </cell>
          <cell r="O154">
            <v>1057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W154">
            <v>1057</v>
          </cell>
          <cell r="X154">
            <v>0</v>
          </cell>
          <cell r="Y154">
            <v>1057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G154">
            <v>1088</v>
          </cell>
          <cell r="AH154">
            <v>0</v>
          </cell>
          <cell r="AI154">
            <v>1088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Q154">
            <v>1088</v>
          </cell>
          <cell r="AR154">
            <v>0</v>
          </cell>
          <cell r="AS154">
            <v>1088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BA154">
            <v>1088</v>
          </cell>
          <cell r="BB154">
            <v>0</v>
          </cell>
          <cell r="BC154">
            <v>1088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K154">
            <v>1139</v>
          </cell>
          <cell r="BL154">
            <v>0</v>
          </cell>
          <cell r="BM154">
            <v>1139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U154">
            <v>1139</v>
          </cell>
          <cell r="BV154">
            <v>0</v>
          </cell>
          <cell r="BW154">
            <v>1139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E154">
            <v>1139</v>
          </cell>
          <cell r="CF154">
            <v>0</v>
          </cell>
          <cell r="CG154">
            <v>1139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  <cell r="CL154">
            <v>0</v>
          </cell>
          <cell r="CM154">
            <v>0</v>
          </cell>
          <cell r="CO154">
            <v>1139</v>
          </cell>
          <cell r="CP154">
            <v>0</v>
          </cell>
          <cell r="CQ154">
            <v>1139</v>
          </cell>
          <cell r="CR154">
            <v>0</v>
          </cell>
          <cell r="CS154">
            <v>0</v>
          </cell>
          <cell r="CT154">
            <v>0</v>
          </cell>
          <cell r="CU154">
            <v>0</v>
          </cell>
          <cell r="CV154">
            <v>0</v>
          </cell>
          <cell r="CW154">
            <v>0</v>
          </cell>
          <cell r="CY154">
            <v>1139</v>
          </cell>
          <cell r="CZ154">
            <v>0</v>
          </cell>
          <cell r="DA154">
            <v>1139</v>
          </cell>
          <cell r="DB154">
            <v>0</v>
          </cell>
          <cell r="DC154">
            <v>0</v>
          </cell>
          <cell r="DD154">
            <v>0</v>
          </cell>
          <cell r="DE154">
            <v>0</v>
          </cell>
          <cell r="DF154">
            <v>0</v>
          </cell>
          <cell r="DG154">
            <v>0</v>
          </cell>
          <cell r="DI154">
            <v>12468</v>
          </cell>
          <cell r="DJ154">
            <v>11073</v>
          </cell>
          <cell r="DK154">
            <v>0</v>
          </cell>
          <cell r="DL154">
            <v>11073</v>
          </cell>
          <cell r="DM154">
            <v>11073</v>
          </cell>
          <cell r="DN154">
            <v>0</v>
          </cell>
          <cell r="DO154">
            <v>11073</v>
          </cell>
          <cell r="DP154">
            <v>0</v>
          </cell>
          <cell r="DQ154">
            <v>0</v>
          </cell>
          <cell r="DR154">
            <v>0</v>
          </cell>
          <cell r="DS154">
            <v>0</v>
          </cell>
          <cell r="DT154">
            <v>22146</v>
          </cell>
          <cell r="DU154">
            <v>0</v>
          </cell>
          <cell r="DW154">
            <v>0</v>
          </cell>
          <cell r="DX154">
            <v>0</v>
          </cell>
          <cell r="DY154">
            <v>14582</v>
          </cell>
          <cell r="DZ154">
            <v>16696</v>
          </cell>
          <cell r="EA154">
            <v>18872</v>
          </cell>
          <cell r="EB154">
            <v>21048</v>
          </cell>
          <cell r="EC154">
            <v>23224</v>
          </cell>
          <cell r="ED154">
            <v>25502</v>
          </cell>
          <cell r="EE154">
            <v>27780</v>
          </cell>
          <cell r="EF154">
            <v>30058</v>
          </cell>
          <cell r="EG154">
            <v>32336</v>
          </cell>
          <cell r="EH154">
            <v>34614</v>
          </cell>
          <cell r="EI154">
            <v>244712</v>
          </cell>
          <cell r="EK154">
            <v>0</v>
          </cell>
          <cell r="EL154">
            <v>0</v>
          </cell>
          <cell r="EM154">
            <v>97.213333333333324</v>
          </cell>
          <cell r="EN154">
            <v>111.30666666666667</v>
          </cell>
          <cell r="EO154">
            <v>125.81333333333333</v>
          </cell>
          <cell r="EP154">
            <v>140.32</v>
          </cell>
          <cell r="EQ154">
            <v>154.82666666666668</v>
          </cell>
          <cell r="ER154">
            <v>170.01333333333335</v>
          </cell>
          <cell r="ES154">
            <v>199.09</v>
          </cell>
          <cell r="ET154">
            <v>215.41566666666665</v>
          </cell>
          <cell r="EU154">
            <v>231.7413333333333</v>
          </cell>
          <cell r="EV154">
            <v>248.06699999999998</v>
          </cell>
          <cell r="EW154">
            <v>1693.8073333333334</v>
          </cell>
          <cell r="EY154">
            <v>119924</v>
          </cell>
          <cell r="EZ154">
            <v>8</v>
          </cell>
          <cell r="FA154">
            <v>799.49333333333334</v>
          </cell>
          <cell r="FB154">
            <v>124788</v>
          </cell>
          <cell r="FC154">
            <v>8.6</v>
          </cell>
          <cell r="FD154">
            <v>894.31399999999996</v>
          </cell>
          <cell r="FE154">
            <v>1693.8073333333332</v>
          </cell>
          <cell r="FF154">
            <v>36308</v>
          </cell>
          <cell r="FH154">
            <v>36308</v>
          </cell>
        </row>
        <row r="155">
          <cell r="B155">
            <v>9397</v>
          </cell>
          <cell r="C155" t="str">
            <v>22.03.2007</v>
          </cell>
          <cell r="D155" t="str">
            <v>Ahire Kashabai Dasharath</v>
          </cell>
          <cell r="F155">
            <v>10717</v>
          </cell>
          <cell r="H155">
            <v>7234</v>
          </cell>
          <cell r="I155">
            <v>7234</v>
          </cell>
          <cell r="J155">
            <v>14468</v>
          </cell>
          <cell r="K155">
            <v>3751</v>
          </cell>
          <cell r="M155">
            <v>1057</v>
          </cell>
          <cell r="N155">
            <v>0</v>
          </cell>
          <cell r="O155">
            <v>1057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W155">
            <v>1057</v>
          </cell>
          <cell r="X155">
            <v>0</v>
          </cell>
          <cell r="Y155">
            <v>1057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G155">
            <v>1088</v>
          </cell>
          <cell r="AH155">
            <v>0</v>
          </cell>
          <cell r="AI155">
            <v>1088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Q155">
            <v>1088</v>
          </cell>
          <cell r="AR155">
            <v>0</v>
          </cell>
          <cell r="AS155">
            <v>1088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BA155">
            <v>1088</v>
          </cell>
          <cell r="BB155">
            <v>0</v>
          </cell>
          <cell r="BC155">
            <v>1088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K155">
            <v>1139</v>
          </cell>
          <cell r="BL155">
            <v>0</v>
          </cell>
          <cell r="BM155">
            <v>1139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U155">
            <v>1139</v>
          </cell>
          <cell r="BV155">
            <v>0</v>
          </cell>
          <cell r="BW155">
            <v>1139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E155">
            <v>1139</v>
          </cell>
          <cell r="CF155">
            <v>0</v>
          </cell>
          <cell r="CG155">
            <v>1139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O155">
            <v>1139</v>
          </cell>
          <cell r="CP155">
            <v>0</v>
          </cell>
          <cell r="CQ155">
            <v>1139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Y155">
            <v>1139</v>
          </cell>
          <cell r="CZ155">
            <v>0</v>
          </cell>
          <cell r="DA155">
            <v>1139</v>
          </cell>
          <cell r="DB155">
            <v>0</v>
          </cell>
          <cell r="DC155">
            <v>0</v>
          </cell>
          <cell r="DD155">
            <v>0</v>
          </cell>
          <cell r="DE155">
            <v>0</v>
          </cell>
          <cell r="DF155">
            <v>0</v>
          </cell>
          <cell r="DG155">
            <v>0</v>
          </cell>
          <cell r="DI155">
            <v>14468</v>
          </cell>
          <cell r="DJ155">
            <v>11073</v>
          </cell>
          <cell r="DK155">
            <v>0</v>
          </cell>
          <cell r="DL155">
            <v>11073</v>
          </cell>
          <cell r="DM155">
            <v>11073</v>
          </cell>
          <cell r="DN155">
            <v>0</v>
          </cell>
          <cell r="DO155">
            <v>11073</v>
          </cell>
          <cell r="DP155">
            <v>0</v>
          </cell>
          <cell r="DQ155">
            <v>0</v>
          </cell>
          <cell r="DR155">
            <v>0</v>
          </cell>
          <cell r="DS155">
            <v>0</v>
          </cell>
          <cell r="DT155">
            <v>22146</v>
          </cell>
          <cell r="DU155">
            <v>0</v>
          </cell>
          <cell r="DW155">
            <v>0</v>
          </cell>
          <cell r="DX155">
            <v>0</v>
          </cell>
          <cell r="DY155">
            <v>16582</v>
          </cell>
          <cell r="DZ155">
            <v>18696</v>
          </cell>
          <cell r="EA155">
            <v>20872</v>
          </cell>
          <cell r="EB155">
            <v>23048</v>
          </cell>
          <cell r="EC155">
            <v>25224</v>
          </cell>
          <cell r="ED155">
            <v>27502</v>
          </cell>
          <cell r="EE155">
            <v>29780</v>
          </cell>
          <cell r="EF155">
            <v>32058</v>
          </cell>
          <cell r="EG155">
            <v>34336</v>
          </cell>
          <cell r="EH155">
            <v>36614</v>
          </cell>
          <cell r="EI155">
            <v>264712</v>
          </cell>
          <cell r="EK155">
            <v>0</v>
          </cell>
          <cell r="EL155">
            <v>0</v>
          </cell>
          <cell r="EM155">
            <v>110.54666666666667</v>
          </cell>
          <cell r="EN155">
            <v>124.64</v>
          </cell>
          <cell r="EO155">
            <v>139.14666666666668</v>
          </cell>
          <cell r="EP155">
            <v>153.65333333333334</v>
          </cell>
          <cell r="EQ155">
            <v>168.16</v>
          </cell>
          <cell r="ER155">
            <v>183.34666666666666</v>
          </cell>
          <cell r="ES155">
            <v>213.42333333333332</v>
          </cell>
          <cell r="ET155">
            <v>229.749</v>
          </cell>
          <cell r="EU155">
            <v>246.07466666666664</v>
          </cell>
          <cell r="EV155">
            <v>262.40033333333332</v>
          </cell>
          <cell r="EW155">
            <v>1831.1406666666667</v>
          </cell>
          <cell r="EY155">
            <v>131924</v>
          </cell>
          <cell r="EZ155">
            <v>8</v>
          </cell>
          <cell r="FA155">
            <v>879.49333333333334</v>
          </cell>
          <cell r="FB155">
            <v>132788</v>
          </cell>
          <cell r="FC155">
            <v>8.6</v>
          </cell>
          <cell r="FD155">
            <v>951.64733333333334</v>
          </cell>
          <cell r="FE155">
            <v>1831.1406666666667</v>
          </cell>
          <cell r="FF155">
            <v>38445</v>
          </cell>
          <cell r="FH155">
            <v>38445</v>
          </cell>
        </row>
        <row r="156">
          <cell r="B156">
            <v>9418</v>
          </cell>
          <cell r="C156" t="str">
            <v>22.03.2007</v>
          </cell>
          <cell r="D156" t="str">
            <v>Shejwal Usha Ramakant</v>
          </cell>
          <cell r="F156">
            <v>7980</v>
          </cell>
          <cell r="H156">
            <v>4763</v>
          </cell>
          <cell r="I156">
            <v>4763</v>
          </cell>
          <cell r="J156">
            <v>9526</v>
          </cell>
          <cell r="K156">
            <v>1546</v>
          </cell>
          <cell r="M156">
            <v>1057</v>
          </cell>
          <cell r="N156">
            <v>0</v>
          </cell>
          <cell r="O156">
            <v>1057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W156">
            <v>1057</v>
          </cell>
          <cell r="X156">
            <v>0</v>
          </cell>
          <cell r="Y156">
            <v>1057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G156">
            <v>1088</v>
          </cell>
          <cell r="AH156">
            <v>0</v>
          </cell>
          <cell r="AI156">
            <v>1088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Q156">
            <v>1088</v>
          </cell>
          <cell r="AR156">
            <v>0</v>
          </cell>
          <cell r="AS156">
            <v>1088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BA156">
            <v>1088</v>
          </cell>
          <cell r="BB156">
            <v>0</v>
          </cell>
          <cell r="BC156">
            <v>1088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K156">
            <v>1139</v>
          </cell>
          <cell r="BL156">
            <v>0</v>
          </cell>
          <cell r="BM156">
            <v>1139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U156">
            <v>1139</v>
          </cell>
          <cell r="BV156">
            <v>0</v>
          </cell>
          <cell r="BW156">
            <v>1139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E156">
            <v>1139</v>
          </cell>
          <cell r="CF156">
            <v>0</v>
          </cell>
          <cell r="CG156">
            <v>1139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O156">
            <v>1139</v>
          </cell>
          <cell r="CP156">
            <v>0</v>
          </cell>
          <cell r="CQ156">
            <v>1139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  <cell r="CV156">
            <v>0</v>
          </cell>
          <cell r="CW156">
            <v>0</v>
          </cell>
          <cell r="CY156">
            <v>1139</v>
          </cell>
          <cell r="CZ156">
            <v>0</v>
          </cell>
          <cell r="DA156">
            <v>1139</v>
          </cell>
          <cell r="DB156">
            <v>0</v>
          </cell>
          <cell r="DC156">
            <v>0</v>
          </cell>
          <cell r="DD156">
            <v>0</v>
          </cell>
          <cell r="DE156">
            <v>0</v>
          </cell>
          <cell r="DF156">
            <v>0</v>
          </cell>
          <cell r="DG156">
            <v>0</v>
          </cell>
          <cell r="DI156">
            <v>9526</v>
          </cell>
          <cell r="DJ156">
            <v>11073</v>
          </cell>
          <cell r="DK156">
            <v>0</v>
          </cell>
          <cell r="DL156">
            <v>11073</v>
          </cell>
          <cell r="DM156">
            <v>11073</v>
          </cell>
          <cell r="DN156">
            <v>0</v>
          </cell>
          <cell r="DO156">
            <v>11073</v>
          </cell>
          <cell r="DP156">
            <v>0</v>
          </cell>
          <cell r="DQ156">
            <v>0</v>
          </cell>
          <cell r="DR156">
            <v>0</v>
          </cell>
          <cell r="DS156">
            <v>0</v>
          </cell>
          <cell r="DT156">
            <v>22146</v>
          </cell>
          <cell r="DU156">
            <v>0</v>
          </cell>
          <cell r="DW156">
            <v>0</v>
          </cell>
          <cell r="DX156">
            <v>0</v>
          </cell>
          <cell r="DY156">
            <v>11640</v>
          </cell>
          <cell r="DZ156">
            <v>13754</v>
          </cell>
          <cell r="EA156">
            <v>15930</v>
          </cell>
          <cell r="EB156">
            <v>18106</v>
          </cell>
          <cell r="EC156">
            <v>20282</v>
          </cell>
          <cell r="ED156">
            <v>22560</v>
          </cell>
          <cell r="EE156">
            <v>24838</v>
          </cell>
          <cell r="EF156">
            <v>27116</v>
          </cell>
          <cell r="EG156">
            <v>29394</v>
          </cell>
          <cell r="EH156">
            <v>31672</v>
          </cell>
          <cell r="EI156">
            <v>215292</v>
          </cell>
          <cell r="EK156">
            <v>0</v>
          </cell>
          <cell r="EL156">
            <v>0</v>
          </cell>
          <cell r="EM156">
            <v>77.600000000000009</v>
          </cell>
          <cell r="EN156">
            <v>91.693333333333328</v>
          </cell>
          <cell r="EO156">
            <v>106.2</v>
          </cell>
          <cell r="EP156">
            <v>120.70666666666666</v>
          </cell>
          <cell r="EQ156">
            <v>135.21333333333334</v>
          </cell>
          <cell r="ER156">
            <v>150.4</v>
          </cell>
          <cell r="ES156">
            <v>178.00566666666666</v>
          </cell>
          <cell r="ET156">
            <v>194.3313333333333</v>
          </cell>
          <cell r="EU156">
            <v>210.65700000000001</v>
          </cell>
          <cell r="EV156">
            <v>226.98266666666666</v>
          </cell>
          <cell r="EW156">
            <v>1491.79</v>
          </cell>
          <cell r="EY156">
            <v>102272</v>
          </cell>
          <cell r="EZ156">
            <v>8</v>
          </cell>
          <cell r="FA156">
            <v>681.81333333333339</v>
          </cell>
          <cell r="FB156">
            <v>113020</v>
          </cell>
          <cell r="FC156">
            <v>8.6</v>
          </cell>
          <cell r="FD156">
            <v>809.97666666666657</v>
          </cell>
          <cell r="FE156">
            <v>1491.79</v>
          </cell>
          <cell r="FF156">
            <v>33164</v>
          </cell>
          <cell r="FH156">
            <v>33164</v>
          </cell>
        </row>
        <row r="157">
          <cell r="B157">
            <v>9393</v>
          </cell>
          <cell r="C157" t="str">
            <v>23.03.2007</v>
          </cell>
          <cell r="D157" t="str">
            <v>Lot Gita Bhimsingh</v>
          </cell>
          <cell r="F157">
            <v>13685</v>
          </cell>
          <cell r="G157">
            <v>30795</v>
          </cell>
          <cell r="H157">
            <v>4593</v>
          </cell>
          <cell r="I157">
            <v>4593</v>
          </cell>
          <cell r="J157">
            <v>9186</v>
          </cell>
          <cell r="K157">
            <v>-4499</v>
          </cell>
          <cell r="M157">
            <v>1496</v>
          </cell>
          <cell r="N157">
            <v>0</v>
          </cell>
          <cell r="O157">
            <v>1496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W157">
            <v>1496</v>
          </cell>
          <cell r="X157">
            <v>0</v>
          </cell>
          <cell r="Y157">
            <v>1496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G157">
            <v>1541</v>
          </cell>
          <cell r="AH157">
            <v>0</v>
          </cell>
          <cell r="AI157">
            <v>1541</v>
          </cell>
          <cell r="AJ157">
            <v>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Q157">
            <v>1541</v>
          </cell>
          <cell r="AR157">
            <v>0</v>
          </cell>
          <cell r="AS157">
            <v>1541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BA157">
            <v>1541</v>
          </cell>
          <cell r="BB157">
            <v>0</v>
          </cell>
          <cell r="BC157">
            <v>1541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K157">
            <v>1613</v>
          </cell>
          <cell r="BL157">
            <v>0</v>
          </cell>
          <cell r="BM157">
            <v>1613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U157">
            <v>1613</v>
          </cell>
          <cell r="BV157">
            <v>0</v>
          </cell>
          <cell r="BW157">
            <v>1613</v>
          </cell>
          <cell r="BX157">
            <v>0</v>
          </cell>
          <cell r="BY157">
            <v>0</v>
          </cell>
          <cell r="BZ157">
            <v>0</v>
          </cell>
          <cell r="CA157">
            <v>0</v>
          </cell>
          <cell r="CB157">
            <v>0</v>
          </cell>
          <cell r="CC157">
            <v>0</v>
          </cell>
          <cell r="CE157">
            <v>1613</v>
          </cell>
          <cell r="CF157">
            <v>0</v>
          </cell>
          <cell r="CG157">
            <v>1613</v>
          </cell>
          <cell r="CH157">
            <v>0</v>
          </cell>
          <cell r="CI157">
            <v>0</v>
          </cell>
          <cell r="CJ157">
            <v>0</v>
          </cell>
          <cell r="CK157">
            <v>0</v>
          </cell>
          <cell r="CL157">
            <v>0</v>
          </cell>
          <cell r="CM157">
            <v>0</v>
          </cell>
          <cell r="CO157">
            <v>1613</v>
          </cell>
          <cell r="CP157">
            <v>0</v>
          </cell>
          <cell r="CQ157">
            <v>1613</v>
          </cell>
          <cell r="CR157">
            <v>0</v>
          </cell>
          <cell r="CS157">
            <v>0</v>
          </cell>
          <cell r="CT157">
            <v>0</v>
          </cell>
          <cell r="CU157">
            <v>0</v>
          </cell>
          <cell r="CV157">
            <v>0</v>
          </cell>
          <cell r="CW157">
            <v>0</v>
          </cell>
          <cell r="CY157">
            <v>1613</v>
          </cell>
          <cell r="CZ157">
            <v>0</v>
          </cell>
          <cell r="DA157">
            <v>1613</v>
          </cell>
          <cell r="DB157">
            <v>0</v>
          </cell>
          <cell r="DC157">
            <v>0</v>
          </cell>
          <cell r="DD157">
            <v>0</v>
          </cell>
          <cell r="DE157">
            <v>0</v>
          </cell>
          <cell r="DF157">
            <v>0</v>
          </cell>
          <cell r="DG157">
            <v>0</v>
          </cell>
          <cell r="DI157">
            <v>9186</v>
          </cell>
          <cell r="DJ157">
            <v>15680</v>
          </cell>
          <cell r="DK157">
            <v>0</v>
          </cell>
          <cell r="DL157">
            <v>15680</v>
          </cell>
          <cell r="DM157">
            <v>15680</v>
          </cell>
          <cell r="DN157">
            <v>0</v>
          </cell>
          <cell r="DO157">
            <v>15680</v>
          </cell>
          <cell r="DP157">
            <v>0</v>
          </cell>
          <cell r="DQ157">
            <v>0</v>
          </cell>
          <cell r="DR157">
            <v>0</v>
          </cell>
          <cell r="DS157">
            <v>0</v>
          </cell>
          <cell r="DT157">
            <v>31360</v>
          </cell>
          <cell r="DU157">
            <v>0</v>
          </cell>
          <cell r="DW157">
            <v>0</v>
          </cell>
          <cell r="DX157">
            <v>0</v>
          </cell>
          <cell r="DY157">
            <v>12178</v>
          </cell>
          <cell r="DZ157">
            <v>15170</v>
          </cell>
          <cell r="EA157">
            <v>18252</v>
          </cell>
          <cell r="EB157">
            <v>21334</v>
          </cell>
          <cell r="EC157">
            <v>24416</v>
          </cell>
          <cell r="ED157">
            <v>27642</v>
          </cell>
          <cell r="EE157">
            <v>30868</v>
          </cell>
          <cell r="EF157">
            <v>34094</v>
          </cell>
          <cell r="EG157">
            <v>37320</v>
          </cell>
          <cell r="EH157">
            <v>40546</v>
          </cell>
          <cell r="EI157">
            <v>261820</v>
          </cell>
          <cell r="EK157">
            <v>0</v>
          </cell>
          <cell r="EL157">
            <v>0</v>
          </cell>
          <cell r="EM157">
            <v>81.186666666666667</v>
          </cell>
          <cell r="EN157">
            <v>101.13333333333333</v>
          </cell>
          <cell r="EO157">
            <v>121.68</v>
          </cell>
          <cell r="EP157">
            <v>142.22666666666666</v>
          </cell>
          <cell r="EQ157">
            <v>162.77333333333334</v>
          </cell>
          <cell r="ER157">
            <v>184.28</v>
          </cell>
          <cell r="ES157">
            <v>221.22066666666663</v>
          </cell>
          <cell r="ET157">
            <v>244.34033333333332</v>
          </cell>
          <cell r="EU157">
            <v>267.45999999999998</v>
          </cell>
          <cell r="EV157">
            <v>290.57966666666664</v>
          </cell>
          <cell r="EW157">
            <v>1816.8806666666665</v>
          </cell>
          <cell r="EY157">
            <v>118992</v>
          </cell>
          <cell r="EZ157">
            <v>8</v>
          </cell>
          <cell r="FA157">
            <v>793.28000000000009</v>
          </cell>
          <cell r="FB157">
            <v>142828</v>
          </cell>
          <cell r="FC157">
            <v>8.6</v>
          </cell>
          <cell r="FD157">
            <v>1023.6006666666667</v>
          </cell>
          <cell r="FE157">
            <v>1816.8806666666669</v>
          </cell>
          <cell r="FF157">
            <v>42363</v>
          </cell>
          <cell r="FH157">
            <v>42363</v>
          </cell>
        </row>
        <row r="158">
          <cell r="B158">
            <v>9395</v>
          </cell>
          <cell r="C158" t="str">
            <v>26.03.2007</v>
          </cell>
          <cell r="D158" t="str">
            <v>Tak Sunil Karansingh</v>
          </cell>
          <cell r="F158">
            <v>11080</v>
          </cell>
          <cell r="H158">
            <v>7234</v>
          </cell>
          <cell r="I158">
            <v>7234</v>
          </cell>
          <cell r="J158">
            <v>14468</v>
          </cell>
          <cell r="K158">
            <v>3388</v>
          </cell>
          <cell r="M158">
            <v>1088</v>
          </cell>
          <cell r="N158">
            <v>0</v>
          </cell>
          <cell r="O158">
            <v>1088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W158">
            <v>1088</v>
          </cell>
          <cell r="X158">
            <v>0</v>
          </cell>
          <cell r="Y158">
            <v>1088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G158">
            <v>1121</v>
          </cell>
          <cell r="AH158">
            <v>0</v>
          </cell>
          <cell r="AI158">
            <v>1121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7300</v>
          </cell>
          <cell r="AQ158">
            <v>1121</v>
          </cell>
          <cell r="AR158">
            <v>0</v>
          </cell>
          <cell r="AS158">
            <v>1121</v>
          </cell>
          <cell r="AT158">
            <v>0</v>
          </cell>
          <cell r="AU158">
            <v>365</v>
          </cell>
          <cell r="AV158">
            <v>0</v>
          </cell>
          <cell r="AW158">
            <v>0</v>
          </cell>
          <cell r="AX158">
            <v>365</v>
          </cell>
          <cell r="AY158">
            <v>0</v>
          </cell>
          <cell r="BA158">
            <v>1121</v>
          </cell>
          <cell r="BB158">
            <v>0</v>
          </cell>
          <cell r="BC158">
            <v>1121</v>
          </cell>
          <cell r="BD158">
            <v>0</v>
          </cell>
          <cell r="BE158">
            <v>365</v>
          </cell>
          <cell r="BF158">
            <v>0</v>
          </cell>
          <cell r="BG158">
            <v>0</v>
          </cell>
          <cell r="BH158">
            <v>365</v>
          </cell>
          <cell r="BI158">
            <v>0</v>
          </cell>
          <cell r="BK158">
            <v>1173</v>
          </cell>
          <cell r="BL158">
            <v>0</v>
          </cell>
          <cell r="BM158">
            <v>1173</v>
          </cell>
          <cell r="BN158">
            <v>0</v>
          </cell>
          <cell r="BO158">
            <v>365</v>
          </cell>
          <cell r="BP158">
            <v>0</v>
          </cell>
          <cell r="BQ158">
            <v>0</v>
          </cell>
          <cell r="BR158">
            <v>365</v>
          </cell>
          <cell r="BS158">
            <v>0</v>
          </cell>
          <cell r="BU158">
            <v>1173</v>
          </cell>
          <cell r="BV158">
            <v>0</v>
          </cell>
          <cell r="BW158">
            <v>1173</v>
          </cell>
          <cell r="BX158">
            <v>0</v>
          </cell>
          <cell r="BY158">
            <v>365</v>
          </cell>
          <cell r="BZ158">
            <v>0</v>
          </cell>
          <cell r="CA158">
            <v>0</v>
          </cell>
          <cell r="CB158">
            <v>365</v>
          </cell>
          <cell r="CC158">
            <v>0</v>
          </cell>
          <cell r="CE158">
            <v>1173</v>
          </cell>
          <cell r="CF158">
            <v>0</v>
          </cell>
          <cell r="CG158">
            <v>1173</v>
          </cell>
          <cell r="CH158">
            <v>0</v>
          </cell>
          <cell r="CI158">
            <v>365</v>
          </cell>
          <cell r="CJ158">
            <v>0</v>
          </cell>
          <cell r="CK158">
            <v>0</v>
          </cell>
          <cell r="CL158">
            <v>365</v>
          </cell>
          <cell r="CM158">
            <v>0</v>
          </cell>
          <cell r="CO158">
            <v>1173</v>
          </cell>
          <cell r="CP158">
            <v>0</v>
          </cell>
          <cell r="CQ158">
            <v>1173</v>
          </cell>
          <cell r="CR158">
            <v>0</v>
          </cell>
          <cell r="CS158">
            <v>365</v>
          </cell>
          <cell r="CT158">
            <v>0</v>
          </cell>
          <cell r="CU158">
            <v>0</v>
          </cell>
          <cell r="CV158">
            <v>365</v>
          </cell>
          <cell r="CW158">
            <v>0</v>
          </cell>
          <cell r="CY158">
            <v>1173</v>
          </cell>
          <cell r="CZ158">
            <v>0</v>
          </cell>
          <cell r="DA158">
            <v>1173</v>
          </cell>
          <cell r="DB158">
            <v>0</v>
          </cell>
          <cell r="DC158">
            <v>365</v>
          </cell>
          <cell r="DD158">
            <v>0</v>
          </cell>
          <cell r="DE158">
            <v>0</v>
          </cell>
          <cell r="DF158">
            <v>365</v>
          </cell>
          <cell r="DG158">
            <v>0</v>
          </cell>
          <cell r="DI158">
            <v>14468</v>
          </cell>
          <cell r="DJ158">
            <v>11404</v>
          </cell>
          <cell r="DK158">
            <v>0</v>
          </cell>
          <cell r="DL158">
            <v>11404</v>
          </cell>
          <cell r="DM158">
            <v>11404</v>
          </cell>
          <cell r="DN158">
            <v>0</v>
          </cell>
          <cell r="DO158">
            <v>11404</v>
          </cell>
          <cell r="DP158">
            <v>2555</v>
          </cell>
          <cell r="DQ158">
            <v>0</v>
          </cell>
          <cell r="DR158">
            <v>0</v>
          </cell>
          <cell r="DS158">
            <v>2555</v>
          </cell>
          <cell r="DT158">
            <v>25363</v>
          </cell>
          <cell r="DU158">
            <v>7300</v>
          </cell>
          <cell r="DW158">
            <v>0</v>
          </cell>
          <cell r="DX158">
            <v>0</v>
          </cell>
          <cell r="DY158">
            <v>16644</v>
          </cell>
          <cell r="DZ158">
            <v>18820</v>
          </cell>
          <cell r="EA158">
            <v>13762</v>
          </cell>
          <cell r="EB158">
            <v>16369</v>
          </cell>
          <cell r="EC158">
            <v>18976</v>
          </cell>
          <cell r="ED158">
            <v>21687</v>
          </cell>
          <cell r="EE158">
            <v>24398</v>
          </cell>
          <cell r="EF158">
            <v>27109</v>
          </cell>
          <cell r="EG158">
            <v>29820</v>
          </cell>
          <cell r="EH158">
            <v>32531</v>
          </cell>
          <cell r="EI158">
            <v>220116</v>
          </cell>
          <cell r="EK158">
            <v>0</v>
          </cell>
          <cell r="EL158">
            <v>0</v>
          </cell>
          <cell r="EM158">
            <v>110.96</v>
          </cell>
          <cell r="EN158">
            <v>125.46666666666665</v>
          </cell>
          <cell r="EO158">
            <v>91.74666666666667</v>
          </cell>
          <cell r="EP158">
            <v>109.12666666666667</v>
          </cell>
          <cell r="EQ158">
            <v>126.50666666666666</v>
          </cell>
          <cell r="ER158">
            <v>144.58000000000001</v>
          </cell>
          <cell r="ES158">
            <v>174.85233333333335</v>
          </cell>
          <cell r="ET158">
            <v>194.28116666666665</v>
          </cell>
          <cell r="EU158">
            <v>213.71</v>
          </cell>
          <cell r="EV158">
            <v>233.13883333333331</v>
          </cell>
          <cell r="EW158">
            <v>1524.3690000000001</v>
          </cell>
          <cell r="EY158">
            <v>106258</v>
          </cell>
          <cell r="EZ158">
            <v>8</v>
          </cell>
          <cell r="FA158">
            <v>708.38666666666666</v>
          </cell>
          <cell r="FB158">
            <v>113858</v>
          </cell>
          <cell r="FC158">
            <v>8.6</v>
          </cell>
          <cell r="FD158">
            <v>815.98233333333326</v>
          </cell>
          <cell r="FE158">
            <v>1524.3689999999999</v>
          </cell>
          <cell r="FF158">
            <v>34055</v>
          </cell>
          <cell r="FH158">
            <v>34055</v>
          </cell>
        </row>
        <row r="159">
          <cell r="B159">
            <v>9067</v>
          </cell>
          <cell r="C159" t="str">
            <v>13.04.2007</v>
          </cell>
          <cell r="D159" t="str">
            <v>Borse Sanjay Ramchandra</v>
          </cell>
          <cell r="F159">
            <v>66823</v>
          </cell>
          <cell r="G159">
            <v>74559</v>
          </cell>
          <cell r="H159">
            <v>87553</v>
          </cell>
          <cell r="I159">
            <v>87553</v>
          </cell>
          <cell r="J159">
            <v>175106</v>
          </cell>
          <cell r="K159">
            <v>108283</v>
          </cell>
          <cell r="M159">
            <v>2490</v>
          </cell>
          <cell r="N159">
            <v>0</v>
          </cell>
          <cell r="O159">
            <v>2490</v>
          </cell>
          <cell r="P159">
            <v>0</v>
          </cell>
          <cell r="Q159">
            <v>3590</v>
          </cell>
          <cell r="R159">
            <v>0</v>
          </cell>
          <cell r="S159">
            <v>0</v>
          </cell>
          <cell r="T159">
            <v>3590</v>
          </cell>
          <cell r="U159">
            <v>0</v>
          </cell>
          <cell r="W159">
            <v>2490</v>
          </cell>
          <cell r="X159">
            <v>0</v>
          </cell>
          <cell r="Y159">
            <v>2490</v>
          </cell>
          <cell r="Z159">
            <v>0</v>
          </cell>
          <cell r="AA159">
            <v>3590</v>
          </cell>
          <cell r="AB159">
            <v>0</v>
          </cell>
          <cell r="AC159">
            <v>0</v>
          </cell>
          <cell r="AD159">
            <v>3590</v>
          </cell>
          <cell r="AE159">
            <v>0</v>
          </cell>
          <cell r="AG159">
            <v>2565</v>
          </cell>
          <cell r="AH159">
            <v>0</v>
          </cell>
          <cell r="AI159">
            <v>2565</v>
          </cell>
          <cell r="AJ159">
            <v>0</v>
          </cell>
          <cell r="AK159">
            <v>3590</v>
          </cell>
          <cell r="AL159">
            <v>0</v>
          </cell>
          <cell r="AM159">
            <v>0</v>
          </cell>
          <cell r="AN159">
            <v>3590</v>
          </cell>
          <cell r="AO159">
            <v>0</v>
          </cell>
          <cell r="AQ159">
            <v>2565</v>
          </cell>
          <cell r="AR159">
            <v>0</v>
          </cell>
          <cell r="AS159">
            <v>2565</v>
          </cell>
          <cell r="AT159">
            <v>0</v>
          </cell>
          <cell r="AU159">
            <v>3590</v>
          </cell>
          <cell r="AV159">
            <v>0</v>
          </cell>
          <cell r="AW159">
            <v>0</v>
          </cell>
          <cell r="AX159">
            <v>3590</v>
          </cell>
          <cell r="AY159">
            <v>0</v>
          </cell>
          <cell r="BA159">
            <v>2565</v>
          </cell>
          <cell r="BB159">
            <v>0</v>
          </cell>
          <cell r="BC159">
            <v>2565</v>
          </cell>
          <cell r="BD159">
            <v>0</v>
          </cell>
          <cell r="BE159">
            <v>3590</v>
          </cell>
          <cell r="BF159">
            <v>0</v>
          </cell>
          <cell r="BG159">
            <v>0</v>
          </cell>
          <cell r="BH159">
            <v>3590</v>
          </cell>
          <cell r="BI159">
            <v>0</v>
          </cell>
          <cell r="BK159">
            <v>2684</v>
          </cell>
          <cell r="BL159">
            <v>0</v>
          </cell>
          <cell r="BM159">
            <v>2684</v>
          </cell>
          <cell r="BN159">
            <v>0</v>
          </cell>
          <cell r="BO159">
            <v>3590</v>
          </cell>
          <cell r="BP159">
            <v>0</v>
          </cell>
          <cell r="BQ159">
            <v>0</v>
          </cell>
          <cell r="BR159">
            <v>3590</v>
          </cell>
          <cell r="BS159">
            <v>0</v>
          </cell>
          <cell r="BU159">
            <v>2684</v>
          </cell>
          <cell r="BV159">
            <v>0</v>
          </cell>
          <cell r="BW159">
            <v>2684</v>
          </cell>
          <cell r="BX159">
            <v>0</v>
          </cell>
          <cell r="BY159">
            <v>3590</v>
          </cell>
          <cell r="BZ159">
            <v>0</v>
          </cell>
          <cell r="CA159">
            <v>0</v>
          </cell>
          <cell r="CB159">
            <v>3590</v>
          </cell>
          <cell r="CC159">
            <v>0</v>
          </cell>
          <cell r="CE159">
            <v>2684</v>
          </cell>
          <cell r="CF159">
            <v>0</v>
          </cell>
          <cell r="CG159">
            <v>2684</v>
          </cell>
          <cell r="CH159">
            <v>0</v>
          </cell>
          <cell r="CI159">
            <v>3590</v>
          </cell>
          <cell r="CJ159">
            <v>0</v>
          </cell>
          <cell r="CK159">
            <v>0</v>
          </cell>
          <cell r="CL159">
            <v>3590</v>
          </cell>
          <cell r="CM159">
            <v>0</v>
          </cell>
          <cell r="CO159">
            <v>2684</v>
          </cell>
          <cell r="CP159">
            <v>0</v>
          </cell>
          <cell r="CQ159">
            <v>2684</v>
          </cell>
          <cell r="CR159">
            <v>0</v>
          </cell>
          <cell r="CS159">
            <v>3590</v>
          </cell>
          <cell r="CT159">
            <v>0</v>
          </cell>
          <cell r="CU159">
            <v>0</v>
          </cell>
          <cell r="CV159">
            <v>3590</v>
          </cell>
          <cell r="CW159">
            <v>0</v>
          </cell>
          <cell r="CY159">
            <v>2684</v>
          </cell>
          <cell r="CZ159">
            <v>0</v>
          </cell>
          <cell r="DA159">
            <v>2684</v>
          </cell>
          <cell r="DB159">
            <v>0</v>
          </cell>
          <cell r="DC159">
            <v>3590</v>
          </cell>
          <cell r="DD159">
            <v>0</v>
          </cell>
          <cell r="DE159">
            <v>0</v>
          </cell>
          <cell r="DF159">
            <v>3590</v>
          </cell>
          <cell r="DG159">
            <v>0</v>
          </cell>
          <cell r="DI159">
            <v>175106</v>
          </cell>
          <cell r="DJ159">
            <v>26095</v>
          </cell>
          <cell r="DK159">
            <v>0</v>
          </cell>
          <cell r="DL159">
            <v>26095</v>
          </cell>
          <cell r="DM159">
            <v>26095</v>
          </cell>
          <cell r="DN159">
            <v>0</v>
          </cell>
          <cell r="DO159">
            <v>26095</v>
          </cell>
          <cell r="DP159">
            <v>35900</v>
          </cell>
          <cell r="DQ159">
            <v>0</v>
          </cell>
          <cell r="DR159">
            <v>0</v>
          </cell>
          <cell r="DS159">
            <v>35900</v>
          </cell>
          <cell r="DT159">
            <v>88090</v>
          </cell>
          <cell r="DU159">
            <v>0</v>
          </cell>
          <cell r="DW159">
            <v>0</v>
          </cell>
          <cell r="DX159">
            <v>0</v>
          </cell>
          <cell r="DY159">
            <v>183676</v>
          </cell>
          <cell r="DZ159">
            <v>192246</v>
          </cell>
          <cell r="EA159">
            <v>200966</v>
          </cell>
          <cell r="EB159">
            <v>209686</v>
          </cell>
          <cell r="EC159">
            <v>218406</v>
          </cell>
          <cell r="ED159">
            <v>227364</v>
          </cell>
          <cell r="EE159">
            <v>236322</v>
          </cell>
          <cell r="EF159">
            <v>245280</v>
          </cell>
          <cell r="EG159">
            <v>254238</v>
          </cell>
          <cell r="EH159">
            <v>263196</v>
          </cell>
          <cell r="EI159">
            <v>2231380</v>
          </cell>
          <cell r="EK159">
            <v>0</v>
          </cell>
          <cell r="EL159">
            <v>0</v>
          </cell>
          <cell r="EM159">
            <v>1224.5066666666667</v>
          </cell>
          <cell r="EN159">
            <v>1281.6400000000001</v>
          </cell>
          <cell r="EO159">
            <v>1339.7733333333333</v>
          </cell>
          <cell r="EP159">
            <v>1397.9066666666668</v>
          </cell>
          <cell r="EQ159">
            <v>1456.04</v>
          </cell>
          <cell r="ER159">
            <v>1515.76</v>
          </cell>
          <cell r="ES159">
            <v>1693.6409999999998</v>
          </cell>
          <cell r="ET159">
            <v>1757.8400000000001</v>
          </cell>
          <cell r="EU159">
            <v>1822.0389999999998</v>
          </cell>
          <cell r="EV159">
            <v>1886.2380000000001</v>
          </cell>
          <cell r="EW159">
            <v>15375.384666666667</v>
          </cell>
          <cell r="EY159">
            <v>1232344</v>
          </cell>
          <cell r="EZ159">
            <v>8</v>
          </cell>
          <cell r="FA159">
            <v>8215.626666666667</v>
          </cell>
          <cell r="FB159">
            <v>999036</v>
          </cell>
          <cell r="FC159">
            <v>8.6</v>
          </cell>
          <cell r="FD159">
            <v>7159.7579999999989</v>
          </cell>
          <cell r="FE159">
            <v>15375.384666666665</v>
          </cell>
          <cell r="FF159">
            <v>278571</v>
          </cell>
          <cell r="FH159">
            <v>278571</v>
          </cell>
        </row>
        <row r="160">
          <cell r="B160">
            <v>9068</v>
          </cell>
          <cell r="C160" t="str">
            <v>13.04.2007</v>
          </cell>
          <cell r="D160" t="str">
            <v>Khairnar Sunil Supadu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  <cell r="CV160">
            <v>0</v>
          </cell>
          <cell r="CW160">
            <v>0</v>
          </cell>
          <cell r="CY160">
            <v>0</v>
          </cell>
          <cell r="CZ160">
            <v>0</v>
          </cell>
          <cell r="DA160">
            <v>0</v>
          </cell>
          <cell r="DB160">
            <v>0</v>
          </cell>
          <cell r="DC160">
            <v>0</v>
          </cell>
          <cell r="DD160">
            <v>0</v>
          </cell>
          <cell r="DE160">
            <v>0</v>
          </cell>
          <cell r="DF160">
            <v>0</v>
          </cell>
          <cell r="DG160">
            <v>0</v>
          </cell>
          <cell r="DI160">
            <v>0</v>
          </cell>
          <cell r="DJ160">
            <v>0</v>
          </cell>
          <cell r="DK160">
            <v>0</v>
          </cell>
          <cell r="DL160">
            <v>0</v>
          </cell>
          <cell r="DM160">
            <v>0</v>
          </cell>
          <cell r="DN160">
            <v>0</v>
          </cell>
          <cell r="DO160">
            <v>0</v>
          </cell>
          <cell r="DP160">
            <v>0</v>
          </cell>
          <cell r="DQ160">
            <v>0</v>
          </cell>
          <cell r="DR160">
            <v>0</v>
          </cell>
          <cell r="DS160">
            <v>0</v>
          </cell>
          <cell r="DT160">
            <v>0</v>
          </cell>
          <cell r="DU160">
            <v>0</v>
          </cell>
          <cell r="DW160">
            <v>0</v>
          </cell>
          <cell r="DX160">
            <v>0</v>
          </cell>
          <cell r="DY160">
            <v>0</v>
          </cell>
          <cell r="DZ160">
            <v>0</v>
          </cell>
          <cell r="EA160">
            <v>0</v>
          </cell>
          <cell r="EB160">
            <v>0</v>
          </cell>
          <cell r="EC160">
            <v>0</v>
          </cell>
          <cell r="ED160">
            <v>0</v>
          </cell>
          <cell r="EE160">
            <v>0</v>
          </cell>
          <cell r="EF160">
            <v>0</v>
          </cell>
          <cell r="EG160">
            <v>0</v>
          </cell>
          <cell r="EH160">
            <v>0</v>
          </cell>
          <cell r="EI160">
            <v>0</v>
          </cell>
          <cell r="EK160">
            <v>0</v>
          </cell>
          <cell r="EL160">
            <v>0</v>
          </cell>
          <cell r="EM160">
            <v>0</v>
          </cell>
          <cell r="EN160">
            <v>0</v>
          </cell>
          <cell r="EO160">
            <v>0</v>
          </cell>
          <cell r="EP160">
            <v>0</v>
          </cell>
          <cell r="EQ160">
            <v>0</v>
          </cell>
          <cell r="ER160">
            <v>0</v>
          </cell>
          <cell r="ES160">
            <v>0</v>
          </cell>
          <cell r="ET160">
            <v>0</v>
          </cell>
          <cell r="EU160">
            <v>0</v>
          </cell>
          <cell r="EV160">
            <v>0</v>
          </cell>
          <cell r="EW160">
            <v>0</v>
          </cell>
          <cell r="EY160">
            <v>0</v>
          </cell>
          <cell r="EZ160">
            <v>8</v>
          </cell>
          <cell r="FA160">
            <v>0</v>
          </cell>
          <cell r="FB160">
            <v>0</v>
          </cell>
          <cell r="FC160">
            <v>8.6</v>
          </cell>
          <cell r="FD160">
            <v>0</v>
          </cell>
          <cell r="FE160">
            <v>0</v>
          </cell>
          <cell r="FF160">
            <v>0</v>
          </cell>
          <cell r="FH160">
            <v>0</v>
          </cell>
        </row>
        <row r="161">
          <cell r="B161">
            <v>9069</v>
          </cell>
          <cell r="C161" t="str">
            <v>13.04.2007</v>
          </cell>
          <cell r="D161" t="str">
            <v>Chaudhari Shivaratan Ganesh</v>
          </cell>
          <cell r="F161">
            <v>45614</v>
          </cell>
          <cell r="G161">
            <v>53175</v>
          </cell>
          <cell r="H161">
            <v>28122</v>
          </cell>
          <cell r="I161">
            <v>28122</v>
          </cell>
          <cell r="J161">
            <v>56244</v>
          </cell>
          <cell r="K161">
            <v>10630</v>
          </cell>
          <cell r="M161">
            <v>1686</v>
          </cell>
          <cell r="N161">
            <v>0</v>
          </cell>
          <cell r="O161">
            <v>1686</v>
          </cell>
          <cell r="P161">
            <v>0</v>
          </cell>
          <cell r="Q161">
            <v>1520</v>
          </cell>
          <cell r="R161">
            <v>0</v>
          </cell>
          <cell r="S161">
            <v>0</v>
          </cell>
          <cell r="T161">
            <v>1520</v>
          </cell>
          <cell r="U161">
            <v>0</v>
          </cell>
          <cell r="W161">
            <v>1686</v>
          </cell>
          <cell r="X161">
            <v>0</v>
          </cell>
          <cell r="Y161">
            <v>1686</v>
          </cell>
          <cell r="Z161">
            <v>0</v>
          </cell>
          <cell r="AA161">
            <v>1520</v>
          </cell>
          <cell r="AB161">
            <v>0</v>
          </cell>
          <cell r="AC161">
            <v>0</v>
          </cell>
          <cell r="AD161">
            <v>1520</v>
          </cell>
          <cell r="AE161">
            <v>0</v>
          </cell>
          <cell r="AG161">
            <v>1686</v>
          </cell>
          <cell r="AH161">
            <v>0</v>
          </cell>
          <cell r="AI161">
            <v>1686</v>
          </cell>
          <cell r="AJ161">
            <v>0</v>
          </cell>
          <cell r="AK161">
            <v>1520</v>
          </cell>
          <cell r="AL161">
            <v>0</v>
          </cell>
          <cell r="AM161">
            <v>0</v>
          </cell>
          <cell r="AN161">
            <v>1520</v>
          </cell>
          <cell r="AO161">
            <v>0</v>
          </cell>
          <cell r="AQ161">
            <v>1686</v>
          </cell>
          <cell r="AR161">
            <v>0</v>
          </cell>
          <cell r="AS161">
            <v>1686</v>
          </cell>
          <cell r="AT161">
            <v>0</v>
          </cell>
          <cell r="AU161">
            <v>1520</v>
          </cell>
          <cell r="AV161">
            <v>0</v>
          </cell>
          <cell r="AW161">
            <v>0</v>
          </cell>
          <cell r="AX161">
            <v>1520</v>
          </cell>
          <cell r="AY161">
            <v>0</v>
          </cell>
          <cell r="BA161">
            <v>1686</v>
          </cell>
          <cell r="BB161">
            <v>0</v>
          </cell>
          <cell r="BC161">
            <v>1686</v>
          </cell>
          <cell r="BD161">
            <v>0</v>
          </cell>
          <cell r="BE161">
            <v>1520</v>
          </cell>
          <cell r="BF161">
            <v>0</v>
          </cell>
          <cell r="BG161">
            <v>0</v>
          </cell>
          <cell r="BH161">
            <v>1520</v>
          </cell>
          <cell r="BI161">
            <v>0</v>
          </cell>
          <cell r="BK161">
            <v>1764</v>
          </cell>
          <cell r="BL161">
            <v>0</v>
          </cell>
          <cell r="BM161">
            <v>1764</v>
          </cell>
          <cell r="BN161">
            <v>0</v>
          </cell>
          <cell r="BO161">
            <v>1520</v>
          </cell>
          <cell r="BP161">
            <v>0</v>
          </cell>
          <cell r="BQ161">
            <v>0</v>
          </cell>
          <cell r="BR161">
            <v>1520</v>
          </cell>
          <cell r="BS161">
            <v>0</v>
          </cell>
          <cell r="BU161">
            <v>1764</v>
          </cell>
          <cell r="BV161">
            <v>0</v>
          </cell>
          <cell r="BW161">
            <v>1764</v>
          </cell>
          <cell r="BX161">
            <v>0</v>
          </cell>
          <cell r="BY161">
            <v>1520</v>
          </cell>
          <cell r="BZ161">
            <v>0</v>
          </cell>
          <cell r="CA161">
            <v>0</v>
          </cell>
          <cell r="CB161">
            <v>1520</v>
          </cell>
          <cell r="CC161">
            <v>0</v>
          </cell>
          <cell r="CE161">
            <v>1764</v>
          </cell>
          <cell r="CF161">
            <v>0</v>
          </cell>
          <cell r="CG161">
            <v>1764</v>
          </cell>
          <cell r="CH161">
            <v>0</v>
          </cell>
          <cell r="CI161">
            <v>1520</v>
          </cell>
          <cell r="CJ161">
            <v>0</v>
          </cell>
          <cell r="CK161">
            <v>0</v>
          </cell>
          <cell r="CL161">
            <v>1520</v>
          </cell>
          <cell r="CM161">
            <v>0</v>
          </cell>
          <cell r="CO161">
            <v>1764</v>
          </cell>
          <cell r="CP161">
            <v>0</v>
          </cell>
          <cell r="CQ161">
            <v>1764</v>
          </cell>
          <cell r="CR161">
            <v>0</v>
          </cell>
          <cell r="CS161">
            <v>1520</v>
          </cell>
          <cell r="CT161">
            <v>0</v>
          </cell>
          <cell r="CU161">
            <v>0</v>
          </cell>
          <cell r="CV161">
            <v>1520</v>
          </cell>
          <cell r="CW161">
            <v>0</v>
          </cell>
          <cell r="CY161">
            <v>1764</v>
          </cell>
          <cell r="CZ161">
            <v>0</v>
          </cell>
          <cell r="DA161">
            <v>1764</v>
          </cell>
          <cell r="DB161">
            <v>0</v>
          </cell>
          <cell r="DC161">
            <v>1520</v>
          </cell>
          <cell r="DD161">
            <v>0</v>
          </cell>
          <cell r="DE161">
            <v>0</v>
          </cell>
          <cell r="DF161">
            <v>1520</v>
          </cell>
          <cell r="DG161">
            <v>0</v>
          </cell>
          <cell r="DI161">
            <v>56244</v>
          </cell>
          <cell r="DJ161">
            <v>17250</v>
          </cell>
          <cell r="DK161">
            <v>0</v>
          </cell>
          <cell r="DL161">
            <v>17250</v>
          </cell>
          <cell r="DM161">
            <v>17250</v>
          </cell>
          <cell r="DN161">
            <v>0</v>
          </cell>
          <cell r="DO161">
            <v>17250</v>
          </cell>
          <cell r="DP161">
            <v>15200</v>
          </cell>
          <cell r="DQ161">
            <v>0</v>
          </cell>
          <cell r="DR161">
            <v>0</v>
          </cell>
          <cell r="DS161">
            <v>15200</v>
          </cell>
          <cell r="DT161">
            <v>49700</v>
          </cell>
          <cell r="DU161">
            <v>0</v>
          </cell>
          <cell r="DW161">
            <v>0</v>
          </cell>
          <cell r="DX161">
            <v>0</v>
          </cell>
          <cell r="DY161">
            <v>61136</v>
          </cell>
          <cell r="DZ161">
            <v>66028</v>
          </cell>
          <cell r="EA161">
            <v>70920</v>
          </cell>
          <cell r="EB161">
            <v>75812</v>
          </cell>
          <cell r="EC161">
            <v>80704</v>
          </cell>
          <cell r="ED161">
            <v>85752</v>
          </cell>
          <cell r="EE161">
            <v>90800</v>
          </cell>
          <cell r="EF161">
            <v>95848</v>
          </cell>
          <cell r="EG161">
            <v>100896</v>
          </cell>
          <cell r="EH161">
            <v>105944</v>
          </cell>
          <cell r="EI161">
            <v>833840</v>
          </cell>
          <cell r="EK161">
            <v>0</v>
          </cell>
          <cell r="EL161">
            <v>0</v>
          </cell>
          <cell r="EM161">
            <v>407.57333333333332</v>
          </cell>
          <cell r="EN161">
            <v>440.18666666666667</v>
          </cell>
          <cell r="EO161">
            <v>472.8</v>
          </cell>
          <cell r="EP161">
            <v>505.41333333333336</v>
          </cell>
          <cell r="EQ161">
            <v>538.02666666666664</v>
          </cell>
          <cell r="ER161">
            <v>571.67999999999995</v>
          </cell>
          <cell r="ES161">
            <v>650.73333333333335</v>
          </cell>
          <cell r="ET161">
            <v>686.91066666666666</v>
          </cell>
          <cell r="EU161">
            <v>723.08800000000008</v>
          </cell>
          <cell r="EV161">
            <v>759.26533333333327</v>
          </cell>
          <cell r="EW161">
            <v>5755.6773333333331</v>
          </cell>
          <cell r="EY161">
            <v>440352</v>
          </cell>
          <cell r="EZ161">
            <v>8</v>
          </cell>
          <cell r="FA161">
            <v>2935.6800000000003</v>
          </cell>
          <cell r="FB161">
            <v>393488</v>
          </cell>
          <cell r="FC161">
            <v>8.6</v>
          </cell>
          <cell r="FD161">
            <v>2819.9973333333332</v>
          </cell>
          <cell r="FE161">
            <v>5755.6773333333331</v>
          </cell>
          <cell r="FF161">
            <v>111700</v>
          </cell>
          <cell r="FH161">
            <v>111700</v>
          </cell>
        </row>
        <row r="162">
          <cell r="B162">
            <v>9070</v>
          </cell>
          <cell r="C162" t="str">
            <v>13.04.2007</v>
          </cell>
          <cell r="D162" t="str">
            <v>Vavhale Vijay Nagorao</v>
          </cell>
          <cell r="F162">
            <v>45663</v>
          </cell>
          <cell r="G162">
            <v>55194</v>
          </cell>
          <cell r="H162">
            <v>16274</v>
          </cell>
          <cell r="I162">
            <v>16274</v>
          </cell>
          <cell r="J162">
            <v>32548</v>
          </cell>
          <cell r="K162">
            <v>-13115</v>
          </cell>
          <cell r="M162">
            <v>1686</v>
          </cell>
          <cell r="N162">
            <v>0</v>
          </cell>
          <cell r="O162">
            <v>1686</v>
          </cell>
          <cell r="P162">
            <v>0</v>
          </cell>
          <cell r="Q162">
            <v>1205</v>
          </cell>
          <cell r="R162">
            <v>0</v>
          </cell>
          <cell r="S162">
            <v>0</v>
          </cell>
          <cell r="T162">
            <v>1205</v>
          </cell>
          <cell r="U162">
            <v>0</v>
          </cell>
          <cell r="W162">
            <v>1686</v>
          </cell>
          <cell r="X162">
            <v>0</v>
          </cell>
          <cell r="Y162">
            <v>1686</v>
          </cell>
          <cell r="Z162">
            <v>0</v>
          </cell>
          <cell r="AA162">
            <v>1205</v>
          </cell>
          <cell r="AB162">
            <v>0</v>
          </cell>
          <cell r="AC162">
            <v>0</v>
          </cell>
          <cell r="AD162">
            <v>1205</v>
          </cell>
          <cell r="AE162">
            <v>0</v>
          </cell>
          <cell r="AG162">
            <v>1738</v>
          </cell>
          <cell r="AH162">
            <v>0</v>
          </cell>
          <cell r="AI162">
            <v>1738</v>
          </cell>
          <cell r="AJ162">
            <v>0</v>
          </cell>
          <cell r="AK162">
            <v>1205</v>
          </cell>
          <cell r="AL162">
            <v>0</v>
          </cell>
          <cell r="AM162">
            <v>0</v>
          </cell>
          <cell r="AN162">
            <v>1205</v>
          </cell>
          <cell r="AO162">
            <v>0</v>
          </cell>
          <cell r="AQ162">
            <v>1738</v>
          </cell>
          <cell r="AR162">
            <v>0</v>
          </cell>
          <cell r="AS162">
            <v>1738</v>
          </cell>
          <cell r="AT162">
            <v>0</v>
          </cell>
          <cell r="AU162">
            <v>1205</v>
          </cell>
          <cell r="AV162">
            <v>0</v>
          </cell>
          <cell r="AW162">
            <v>0</v>
          </cell>
          <cell r="AX162">
            <v>1205</v>
          </cell>
          <cell r="AY162">
            <v>0</v>
          </cell>
          <cell r="BA162">
            <v>1738</v>
          </cell>
          <cell r="BB162">
            <v>0</v>
          </cell>
          <cell r="BC162">
            <v>1738</v>
          </cell>
          <cell r="BD162">
            <v>0</v>
          </cell>
          <cell r="BE162">
            <v>1205</v>
          </cell>
          <cell r="BF162">
            <v>0</v>
          </cell>
          <cell r="BG162">
            <v>0</v>
          </cell>
          <cell r="BH162">
            <v>1205</v>
          </cell>
          <cell r="BI162">
            <v>0</v>
          </cell>
          <cell r="BK162">
            <v>1818</v>
          </cell>
          <cell r="BL162">
            <v>0</v>
          </cell>
          <cell r="BM162">
            <v>1818</v>
          </cell>
          <cell r="BN162">
            <v>0</v>
          </cell>
          <cell r="BO162">
            <v>1205</v>
          </cell>
          <cell r="BP162">
            <v>0</v>
          </cell>
          <cell r="BQ162">
            <v>0</v>
          </cell>
          <cell r="BR162">
            <v>1205</v>
          </cell>
          <cell r="BS162">
            <v>0</v>
          </cell>
          <cell r="BU162">
            <v>1818</v>
          </cell>
          <cell r="BV162">
            <v>0</v>
          </cell>
          <cell r="BW162">
            <v>1818</v>
          </cell>
          <cell r="BX162">
            <v>0</v>
          </cell>
          <cell r="BY162">
            <v>1205</v>
          </cell>
          <cell r="BZ162">
            <v>0</v>
          </cell>
          <cell r="CA162">
            <v>0</v>
          </cell>
          <cell r="CB162">
            <v>1205</v>
          </cell>
          <cell r="CC162">
            <v>0</v>
          </cell>
          <cell r="CE162">
            <v>1818</v>
          </cell>
          <cell r="CF162">
            <v>0</v>
          </cell>
          <cell r="CG162">
            <v>1818</v>
          </cell>
          <cell r="CH162">
            <v>0</v>
          </cell>
          <cell r="CI162">
            <v>1205</v>
          </cell>
          <cell r="CJ162">
            <v>0</v>
          </cell>
          <cell r="CK162">
            <v>0</v>
          </cell>
          <cell r="CL162">
            <v>1205</v>
          </cell>
          <cell r="CM162">
            <v>0</v>
          </cell>
          <cell r="CO162">
            <v>1818</v>
          </cell>
          <cell r="CP162">
            <v>0</v>
          </cell>
          <cell r="CQ162">
            <v>1818</v>
          </cell>
          <cell r="CR162">
            <v>0</v>
          </cell>
          <cell r="CS162">
            <v>1205</v>
          </cell>
          <cell r="CT162">
            <v>0</v>
          </cell>
          <cell r="CU162">
            <v>0</v>
          </cell>
          <cell r="CV162">
            <v>1205</v>
          </cell>
          <cell r="CW162">
            <v>0</v>
          </cell>
          <cell r="CY162">
            <v>1818</v>
          </cell>
          <cell r="CZ162">
            <v>0</v>
          </cell>
          <cell r="DA162">
            <v>1818</v>
          </cell>
          <cell r="DB162">
            <v>0</v>
          </cell>
          <cell r="DC162">
            <v>1205</v>
          </cell>
          <cell r="DD162">
            <v>0</v>
          </cell>
          <cell r="DE162">
            <v>0</v>
          </cell>
          <cell r="DF162">
            <v>1205</v>
          </cell>
          <cell r="DG162">
            <v>0</v>
          </cell>
          <cell r="DI162">
            <v>32548</v>
          </cell>
          <cell r="DJ162">
            <v>17676</v>
          </cell>
          <cell r="DK162">
            <v>0</v>
          </cell>
          <cell r="DL162">
            <v>17676</v>
          </cell>
          <cell r="DM162">
            <v>17676</v>
          </cell>
          <cell r="DN162">
            <v>0</v>
          </cell>
          <cell r="DO162">
            <v>17676</v>
          </cell>
          <cell r="DP162">
            <v>12050</v>
          </cell>
          <cell r="DQ162">
            <v>0</v>
          </cell>
          <cell r="DR162">
            <v>0</v>
          </cell>
          <cell r="DS162">
            <v>12050</v>
          </cell>
          <cell r="DT162">
            <v>47402</v>
          </cell>
          <cell r="DU162">
            <v>0</v>
          </cell>
          <cell r="DW162">
            <v>0</v>
          </cell>
          <cell r="DX162">
            <v>0</v>
          </cell>
          <cell r="DY162">
            <v>37125</v>
          </cell>
          <cell r="DZ162">
            <v>41702</v>
          </cell>
          <cell r="EA162">
            <v>46383</v>
          </cell>
          <cell r="EB162">
            <v>51064</v>
          </cell>
          <cell r="EC162">
            <v>55745</v>
          </cell>
          <cell r="ED162">
            <v>60586</v>
          </cell>
          <cell r="EE162">
            <v>65427</v>
          </cell>
          <cell r="EF162">
            <v>70268</v>
          </cell>
          <cell r="EG162">
            <v>75109</v>
          </cell>
          <cell r="EH162">
            <v>79950</v>
          </cell>
          <cell r="EI162">
            <v>583359</v>
          </cell>
          <cell r="EK162">
            <v>0</v>
          </cell>
          <cell r="EL162">
            <v>0</v>
          </cell>
          <cell r="EM162">
            <v>247.5</v>
          </cell>
          <cell r="EN162">
            <v>278.01333333333332</v>
          </cell>
          <cell r="EO162">
            <v>309.21999999999997</v>
          </cell>
          <cell r="EP162">
            <v>340.42666666666668</v>
          </cell>
          <cell r="EQ162">
            <v>371.63333333333338</v>
          </cell>
          <cell r="ER162">
            <v>403.90666666666669</v>
          </cell>
          <cell r="ES162">
            <v>468.89349999999996</v>
          </cell>
          <cell r="ET162">
            <v>503.58733333333322</v>
          </cell>
          <cell r="EU162">
            <v>538.28116666666665</v>
          </cell>
          <cell r="EV162">
            <v>572.97500000000002</v>
          </cell>
          <cell r="EW162">
            <v>4034.4370000000004</v>
          </cell>
          <cell r="EY162">
            <v>292605</v>
          </cell>
          <cell r="EZ162">
            <v>8</v>
          </cell>
          <cell r="FA162">
            <v>1950.7</v>
          </cell>
          <cell r="FB162">
            <v>290754</v>
          </cell>
          <cell r="FC162">
            <v>8.6</v>
          </cell>
          <cell r="FD162">
            <v>2083.7369999999996</v>
          </cell>
          <cell r="FE162">
            <v>4034.4369999999999</v>
          </cell>
          <cell r="FF162">
            <v>83984</v>
          </cell>
          <cell r="FH162">
            <v>83984</v>
          </cell>
        </row>
        <row r="163">
          <cell r="B163">
            <v>9071</v>
          </cell>
          <cell r="C163" t="str">
            <v>13.04.2007</v>
          </cell>
          <cell r="D163" t="str">
            <v>Borade Sharad Govind</v>
          </cell>
          <cell r="F163">
            <v>45630</v>
          </cell>
          <cell r="G163">
            <v>55194</v>
          </cell>
          <cell r="H163">
            <v>27733</v>
          </cell>
          <cell r="I163">
            <v>27733</v>
          </cell>
          <cell r="J163">
            <v>55466</v>
          </cell>
          <cell r="K163">
            <v>9836</v>
          </cell>
          <cell r="M163">
            <v>1686</v>
          </cell>
          <cell r="N163">
            <v>0</v>
          </cell>
          <cell r="O163">
            <v>1686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W163">
            <v>1686</v>
          </cell>
          <cell r="X163">
            <v>0</v>
          </cell>
          <cell r="Y163">
            <v>1686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G163">
            <v>1738</v>
          </cell>
          <cell r="AH163">
            <v>0</v>
          </cell>
          <cell r="AI163">
            <v>1738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Q163">
            <v>1738</v>
          </cell>
          <cell r="AR163">
            <v>0</v>
          </cell>
          <cell r="AS163">
            <v>1738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BA163">
            <v>1738</v>
          </cell>
          <cell r="BB163">
            <v>0</v>
          </cell>
          <cell r="BC163">
            <v>1738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K163">
            <v>1818</v>
          </cell>
          <cell r="BL163">
            <v>0</v>
          </cell>
          <cell r="BM163">
            <v>1818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U163">
            <v>1818</v>
          </cell>
          <cell r="BV163">
            <v>0</v>
          </cell>
          <cell r="BW163">
            <v>1818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E163">
            <v>1818</v>
          </cell>
          <cell r="CF163">
            <v>0</v>
          </cell>
          <cell r="CG163">
            <v>1818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O163">
            <v>1818</v>
          </cell>
          <cell r="CP163">
            <v>0</v>
          </cell>
          <cell r="CQ163">
            <v>1818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Y163">
            <v>1818</v>
          </cell>
          <cell r="CZ163">
            <v>0</v>
          </cell>
          <cell r="DA163">
            <v>1818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I163">
            <v>55466</v>
          </cell>
          <cell r="DJ163">
            <v>17676</v>
          </cell>
          <cell r="DK163">
            <v>0</v>
          </cell>
          <cell r="DL163">
            <v>17676</v>
          </cell>
          <cell r="DM163">
            <v>17676</v>
          </cell>
          <cell r="DN163">
            <v>0</v>
          </cell>
          <cell r="DO163">
            <v>17676</v>
          </cell>
          <cell r="DP163">
            <v>0</v>
          </cell>
          <cell r="DQ163">
            <v>0</v>
          </cell>
          <cell r="DR163">
            <v>0</v>
          </cell>
          <cell r="DS163">
            <v>0</v>
          </cell>
          <cell r="DT163">
            <v>35352</v>
          </cell>
          <cell r="DU163">
            <v>0</v>
          </cell>
          <cell r="DW163">
            <v>0</v>
          </cell>
          <cell r="DX163">
            <v>0</v>
          </cell>
          <cell r="DY163">
            <v>58838</v>
          </cell>
          <cell r="DZ163">
            <v>62210</v>
          </cell>
          <cell r="EA163">
            <v>65686</v>
          </cell>
          <cell r="EB163">
            <v>69162</v>
          </cell>
          <cell r="EC163">
            <v>72638</v>
          </cell>
          <cell r="ED163">
            <v>76274</v>
          </cell>
          <cell r="EE163">
            <v>79910</v>
          </cell>
          <cell r="EF163">
            <v>83546</v>
          </cell>
          <cell r="EG163">
            <v>87182</v>
          </cell>
          <cell r="EH163">
            <v>90818</v>
          </cell>
          <cell r="EI163">
            <v>746264</v>
          </cell>
          <cell r="EK163">
            <v>0</v>
          </cell>
          <cell r="EL163">
            <v>0</v>
          </cell>
          <cell r="EM163">
            <v>392.25333333333333</v>
          </cell>
          <cell r="EN163">
            <v>414.73333333333335</v>
          </cell>
          <cell r="EO163">
            <v>437.90666666666669</v>
          </cell>
          <cell r="EP163">
            <v>461.08</v>
          </cell>
          <cell r="EQ163">
            <v>484.25333333333333</v>
          </cell>
          <cell r="ER163">
            <v>508.49333333333334</v>
          </cell>
          <cell r="ES163">
            <v>572.68833333333339</v>
          </cell>
          <cell r="ET163">
            <v>598.74633333333338</v>
          </cell>
          <cell r="EU163">
            <v>624.80433333333326</v>
          </cell>
          <cell r="EV163">
            <v>650.86233333333325</v>
          </cell>
          <cell r="EW163">
            <v>5145.8213333333333</v>
          </cell>
          <cell r="EY163">
            <v>404808</v>
          </cell>
          <cell r="EZ163">
            <v>8</v>
          </cell>
          <cell r="FA163">
            <v>2698.72</v>
          </cell>
          <cell r="FB163">
            <v>341456</v>
          </cell>
          <cell r="FC163">
            <v>8.6</v>
          </cell>
          <cell r="FD163">
            <v>2447.1013333333335</v>
          </cell>
          <cell r="FE163">
            <v>5145.8213333333333</v>
          </cell>
          <cell r="FF163">
            <v>95964</v>
          </cell>
          <cell r="FH163">
            <v>95964</v>
          </cell>
        </row>
        <row r="164">
          <cell r="B164">
            <v>9072</v>
          </cell>
          <cell r="C164" t="str">
            <v>13.04.2007</v>
          </cell>
          <cell r="D164" t="str">
            <v>Dhavale Vilas Madhukar</v>
          </cell>
          <cell r="F164">
            <v>45663</v>
          </cell>
          <cell r="G164">
            <v>55194</v>
          </cell>
          <cell r="H164">
            <v>31590</v>
          </cell>
          <cell r="I164">
            <v>31590</v>
          </cell>
          <cell r="J164">
            <v>63180</v>
          </cell>
          <cell r="K164">
            <v>17517</v>
          </cell>
          <cell r="M164">
            <v>1686</v>
          </cell>
          <cell r="N164">
            <v>0</v>
          </cell>
          <cell r="O164">
            <v>1686</v>
          </cell>
          <cell r="P164">
            <v>0</v>
          </cell>
          <cell r="Q164">
            <v>4105</v>
          </cell>
          <cell r="R164">
            <v>0</v>
          </cell>
          <cell r="S164">
            <v>0</v>
          </cell>
          <cell r="T164">
            <v>4105</v>
          </cell>
          <cell r="U164">
            <v>0</v>
          </cell>
          <cell r="W164">
            <v>1686</v>
          </cell>
          <cell r="X164">
            <v>0</v>
          </cell>
          <cell r="Y164">
            <v>1686</v>
          </cell>
          <cell r="Z164">
            <v>0</v>
          </cell>
          <cell r="AA164">
            <v>4105</v>
          </cell>
          <cell r="AB164">
            <v>0</v>
          </cell>
          <cell r="AC164">
            <v>0</v>
          </cell>
          <cell r="AD164">
            <v>4105</v>
          </cell>
          <cell r="AE164">
            <v>0</v>
          </cell>
          <cell r="AG164">
            <v>1738</v>
          </cell>
          <cell r="AH164">
            <v>0</v>
          </cell>
          <cell r="AI164">
            <v>1738</v>
          </cell>
          <cell r="AJ164">
            <v>0</v>
          </cell>
          <cell r="AK164">
            <v>4105</v>
          </cell>
          <cell r="AL164">
            <v>0</v>
          </cell>
          <cell r="AM164">
            <v>0</v>
          </cell>
          <cell r="AN164">
            <v>4105</v>
          </cell>
          <cell r="AO164">
            <v>0</v>
          </cell>
          <cell r="AQ164">
            <v>1738</v>
          </cell>
          <cell r="AR164">
            <v>0</v>
          </cell>
          <cell r="AS164">
            <v>1738</v>
          </cell>
          <cell r="AT164">
            <v>0</v>
          </cell>
          <cell r="AU164">
            <v>4105</v>
          </cell>
          <cell r="AV164">
            <v>0</v>
          </cell>
          <cell r="AW164">
            <v>0</v>
          </cell>
          <cell r="AX164">
            <v>4105</v>
          </cell>
          <cell r="AY164">
            <v>24920</v>
          </cell>
          <cell r="BA164">
            <v>1738</v>
          </cell>
          <cell r="BB164">
            <v>0</v>
          </cell>
          <cell r="BC164">
            <v>1738</v>
          </cell>
          <cell r="BD164">
            <v>0</v>
          </cell>
          <cell r="BE164">
            <v>4530</v>
          </cell>
          <cell r="BF164">
            <v>0</v>
          </cell>
          <cell r="BG164">
            <v>0</v>
          </cell>
          <cell r="BH164">
            <v>4530</v>
          </cell>
          <cell r="BI164">
            <v>0</v>
          </cell>
          <cell r="BK164">
            <v>1818</v>
          </cell>
          <cell r="BL164">
            <v>0</v>
          </cell>
          <cell r="BM164">
            <v>1818</v>
          </cell>
          <cell r="BN164">
            <v>0</v>
          </cell>
          <cell r="BO164">
            <v>4530</v>
          </cell>
          <cell r="BP164">
            <v>0</v>
          </cell>
          <cell r="BQ164">
            <v>0</v>
          </cell>
          <cell r="BR164">
            <v>4530</v>
          </cell>
          <cell r="BS164">
            <v>0</v>
          </cell>
          <cell r="BU164">
            <v>1818</v>
          </cell>
          <cell r="BV164">
            <v>0</v>
          </cell>
          <cell r="BW164">
            <v>1818</v>
          </cell>
          <cell r="BX164">
            <v>0</v>
          </cell>
          <cell r="BY164">
            <v>4530</v>
          </cell>
          <cell r="BZ164">
            <v>0</v>
          </cell>
          <cell r="CA164">
            <v>0</v>
          </cell>
          <cell r="CB164">
            <v>4530</v>
          </cell>
          <cell r="CC164">
            <v>0</v>
          </cell>
          <cell r="CE164">
            <v>1818</v>
          </cell>
          <cell r="CF164">
            <v>0</v>
          </cell>
          <cell r="CG164">
            <v>1818</v>
          </cell>
          <cell r="CH164">
            <v>0</v>
          </cell>
          <cell r="CI164">
            <v>4530</v>
          </cell>
          <cell r="CJ164">
            <v>0</v>
          </cell>
          <cell r="CK164">
            <v>0</v>
          </cell>
          <cell r="CL164">
            <v>4530</v>
          </cell>
          <cell r="CM164">
            <v>0</v>
          </cell>
          <cell r="CO164">
            <v>1818</v>
          </cell>
          <cell r="CP164">
            <v>0</v>
          </cell>
          <cell r="CQ164">
            <v>1818</v>
          </cell>
          <cell r="CR164">
            <v>0</v>
          </cell>
          <cell r="CS164">
            <v>4530</v>
          </cell>
          <cell r="CT164">
            <v>0</v>
          </cell>
          <cell r="CU164">
            <v>0</v>
          </cell>
          <cell r="CV164">
            <v>4530</v>
          </cell>
          <cell r="CW164">
            <v>0</v>
          </cell>
          <cell r="CY164">
            <v>1818</v>
          </cell>
          <cell r="CZ164">
            <v>0</v>
          </cell>
          <cell r="DA164">
            <v>1818</v>
          </cell>
          <cell r="DB164">
            <v>0</v>
          </cell>
          <cell r="DC164">
            <v>4530</v>
          </cell>
          <cell r="DD164">
            <v>0</v>
          </cell>
          <cell r="DE164">
            <v>0</v>
          </cell>
          <cell r="DF164">
            <v>4530</v>
          </cell>
          <cell r="DG164">
            <v>0</v>
          </cell>
          <cell r="DI164">
            <v>63180</v>
          </cell>
          <cell r="DJ164">
            <v>17676</v>
          </cell>
          <cell r="DK164">
            <v>0</v>
          </cell>
          <cell r="DL164">
            <v>17676</v>
          </cell>
          <cell r="DM164">
            <v>17676</v>
          </cell>
          <cell r="DN164">
            <v>0</v>
          </cell>
          <cell r="DO164">
            <v>17676</v>
          </cell>
          <cell r="DP164">
            <v>43600</v>
          </cell>
          <cell r="DQ164">
            <v>0</v>
          </cell>
          <cell r="DR164">
            <v>0</v>
          </cell>
          <cell r="DS164">
            <v>43600</v>
          </cell>
          <cell r="DT164">
            <v>78952</v>
          </cell>
          <cell r="DU164">
            <v>24920</v>
          </cell>
          <cell r="DW164">
            <v>0</v>
          </cell>
          <cell r="DX164">
            <v>0</v>
          </cell>
          <cell r="DY164">
            <v>70657</v>
          </cell>
          <cell r="DZ164">
            <v>78134</v>
          </cell>
          <cell r="EA164">
            <v>85715</v>
          </cell>
          <cell r="EB164">
            <v>68376</v>
          </cell>
          <cell r="EC164">
            <v>76382</v>
          </cell>
          <cell r="ED164">
            <v>84548</v>
          </cell>
          <cell r="EE164">
            <v>92714</v>
          </cell>
          <cell r="EF164">
            <v>100880</v>
          </cell>
          <cell r="EG164">
            <v>109046</v>
          </cell>
          <cell r="EH164">
            <v>117212</v>
          </cell>
          <cell r="EI164">
            <v>883664</v>
          </cell>
          <cell r="EK164">
            <v>0</v>
          </cell>
          <cell r="EL164">
            <v>0</v>
          </cell>
          <cell r="EM164">
            <v>471.04666666666668</v>
          </cell>
          <cell r="EN164">
            <v>520.89333333333332</v>
          </cell>
          <cell r="EO164">
            <v>571.43333333333328</v>
          </cell>
          <cell r="EP164">
            <v>455.84</v>
          </cell>
          <cell r="EQ164">
            <v>509.21333333333337</v>
          </cell>
          <cell r="ER164">
            <v>563.65333333333331</v>
          </cell>
          <cell r="ES164">
            <v>664.45033333333333</v>
          </cell>
          <cell r="ET164">
            <v>722.97333333333336</v>
          </cell>
          <cell r="EU164">
            <v>781.49633333333338</v>
          </cell>
          <cell r="EV164">
            <v>840.01933333333329</v>
          </cell>
          <cell r="EW164">
            <v>6101.0193333333336</v>
          </cell>
          <cell r="EY164">
            <v>463812</v>
          </cell>
          <cell r="EZ164">
            <v>8</v>
          </cell>
          <cell r="FA164">
            <v>3092.08</v>
          </cell>
          <cell r="FB164">
            <v>419852</v>
          </cell>
          <cell r="FC164">
            <v>8.6</v>
          </cell>
          <cell r="FD164">
            <v>3008.9393333333333</v>
          </cell>
          <cell r="FE164">
            <v>6101.0193333333336</v>
          </cell>
          <cell r="FF164">
            <v>123313</v>
          </cell>
          <cell r="FH164">
            <v>123313</v>
          </cell>
        </row>
        <row r="165">
          <cell r="B165">
            <v>9073</v>
          </cell>
          <cell r="C165" t="str">
            <v>13.04.2007</v>
          </cell>
          <cell r="D165" t="str">
            <v>Gundda Mallesh Bugappa</v>
          </cell>
          <cell r="F165">
            <v>45512</v>
          </cell>
          <cell r="H165">
            <v>30253</v>
          </cell>
          <cell r="I165">
            <v>30253</v>
          </cell>
          <cell r="J165">
            <v>60506</v>
          </cell>
          <cell r="K165">
            <v>14994</v>
          </cell>
          <cell r="M165">
            <v>1686</v>
          </cell>
          <cell r="N165">
            <v>0</v>
          </cell>
          <cell r="O165">
            <v>1686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W165">
            <v>1686</v>
          </cell>
          <cell r="X165">
            <v>0</v>
          </cell>
          <cell r="Y165">
            <v>1686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G165">
            <v>1686</v>
          </cell>
          <cell r="AH165">
            <v>0</v>
          </cell>
          <cell r="AI165">
            <v>1686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Q165">
            <v>1686</v>
          </cell>
          <cell r="AR165">
            <v>0</v>
          </cell>
          <cell r="AS165">
            <v>1686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BA165">
            <v>1686</v>
          </cell>
          <cell r="BB165">
            <v>0</v>
          </cell>
          <cell r="BC165">
            <v>1686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K165">
            <v>1764</v>
          </cell>
          <cell r="BL165">
            <v>0</v>
          </cell>
          <cell r="BM165">
            <v>1764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U165">
            <v>1764</v>
          </cell>
          <cell r="BV165">
            <v>0</v>
          </cell>
          <cell r="BW165">
            <v>1764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E165">
            <v>1764</v>
          </cell>
          <cell r="CF165">
            <v>0</v>
          </cell>
          <cell r="CG165">
            <v>1764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O165">
            <v>1764</v>
          </cell>
          <cell r="CP165">
            <v>0</v>
          </cell>
          <cell r="CQ165">
            <v>1764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Y165">
            <v>1764</v>
          </cell>
          <cell r="CZ165">
            <v>0</v>
          </cell>
          <cell r="DA165">
            <v>1764</v>
          </cell>
          <cell r="DB165">
            <v>0</v>
          </cell>
          <cell r="DC165">
            <v>0</v>
          </cell>
          <cell r="DD165">
            <v>0</v>
          </cell>
          <cell r="DE165">
            <v>0</v>
          </cell>
          <cell r="DF165">
            <v>0</v>
          </cell>
          <cell r="DG165">
            <v>0</v>
          </cell>
          <cell r="DI165">
            <v>60506</v>
          </cell>
          <cell r="DJ165">
            <v>17250</v>
          </cell>
          <cell r="DK165">
            <v>0</v>
          </cell>
          <cell r="DL165">
            <v>17250</v>
          </cell>
          <cell r="DM165">
            <v>17250</v>
          </cell>
          <cell r="DN165">
            <v>0</v>
          </cell>
          <cell r="DO165">
            <v>17250</v>
          </cell>
          <cell r="DP165">
            <v>0</v>
          </cell>
          <cell r="DQ165">
            <v>0</v>
          </cell>
          <cell r="DR165">
            <v>0</v>
          </cell>
          <cell r="DS165">
            <v>0</v>
          </cell>
          <cell r="DT165">
            <v>34500</v>
          </cell>
          <cell r="DU165">
            <v>0</v>
          </cell>
          <cell r="DW165">
            <v>0</v>
          </cell>
          <cell r="DX165">
            <v>0</v>
          </cell>
          <cell r="DY165">
            <v>63878</v>
          </cell>
          <cell r="DZ165">
            <v>67250</v>
          </cell>
          <cell r="EA165">
            <v>70622</v>
          </cell>
          <cell r="EB165">
            <v>73994</v>
          </cell>
          <cell r="EC165">
            <v>77366</v>
          </cell>
          <cell r="ED165">
            <v>80894</v>
          </cell>
          <cell r="EE165">
            <v>84422</v>
          </cell>
          <cell r="EF165">
            <v>87950</v>
          </cell>
          <cell r="EG165">
            <v>91478</v>
          </cell>
          <cell r="EH165">
            <v>95006</v>
          </cell>
          <cell r="EI165">
            <v>792860</v>
          </cell>
          <cell r="EK165">
            <v>0</v>
          </cell>
          <cell r="EL165">
            <v>0</v>
          </cell>
          <cell r="EM165">
            <v>425.8533333333333</v>
          </cell>
          <cell r="EN165">
            <v>448.33333333333331</v>
          </cell>
          <cell r="EO165">
            <v>470.81333333333333</v>
          </cell>
          <cell r="EP165">
            <v>493.29333333333335</v>
          </cell>
          <cell r="EQ165">
            <v>515.77333333333331</v>
          </cell>
          <cell r="ER165">
            <v>539.29333333333341</v>
          </cell>
          <cell r="ES165">
            <v>605.02433333333329</v>
          </cell>
          <cell r="ET165">
            <v>630.30833333333328</v>
          </cell>
          <cell r="EU165">
            <v>655.59233333333327</v>
          </cell>
          <cell r="EV165">
            <v>680.87633333333326</v>
          </cell>
          <cell r="EW165">
            <v>5465.1613333333335</v>
          </cell>
          <cell r="EY165">
            <v>434004</v>
          </cell>
          <cell r="EZ165">
            <v>8</v>
          </cell>
          <cell r="FA165">
            <v>2893.36</v>
          </cell>
          <cell r="FB165">
            <v>358856</v>
          </cell>
          <cell r="FC165">
            <v>8.6</v>
          </cell>
          <cell r="FD165">
            <v>2571.8013333333333</v>
          </cell>
          <cell r="FE165">
            <v>5465.1613333333335</v>
          </cell>
          <cell r="FF165">
            <v>100471</v>
          </cell>
          <cell r="FH165">
            <v>100471</v>
          </cell>
        </row>
        <row r="166">
          <cell r="B166">
            <v>9074</v>
          </cell>
          <cell r="C166" t="str">
            <v>13.04.2007</v>
          </cell>
          <cell r="D166" t="str">
            <v>Khade Rahul Ratnakar</v>
          </cell>
          <cell r="F166">
            <v>45663</v>
          </cell>
          <cell r="G166">
            <v>55194</v>
          </cell>
          <cell r="H166">
            <v>64668</v>
          </cell>
          <cell r="I166">
            <v>64668</v>
          </cell>
          <cell r="J166">
            <v>129336</v>
          </cell>
          <cell r="K166">
            <v>83673</v>
          </cell>
          <cell r="M166">
            <v>1686</v>
          </cell>
          <cell r="N166">
            <v>0</v>
          </cell>
          <cell r="O166">
            <v>1686</v>
          </cell>
          <cell r="P166">
            <v>0</v>
          </cell>
          <cell r="Q166">
            <v>1460</v>
          </cell>
          <cell r="R166">
            <v>0</v>
          </cell>
          <cell r="S166">
            <v>0</v>
          </cell>
          <cell r="T166">
            <v>1460</v>
          </cell>
          <cell r="U166">
            <v>0</v>
          </cell>
          <cell r="W166">
            <v>1686</v>
          </cell>
          <cell r="X166">
            <v>0</v>
          </cell>
          <cell r="Y166">
            <v>1686</v>
          </cell>
          <cell r="Z166">
            <v>0</v>
          </cell>
          <cell r="AA166">
            <v>1460</v>
          </cell>
          <cell r="AB166">
            <v>0</v>
          </cell>
          <cell r="AC166">
            <v>0</v>
          </cell>
          <cell r="AD166">
            <v>1460</v>
          </cell>
          <cell r="AE166">
            <v>0</v>
          </cell>
          <cell r="AG166">
            <v>1738</v>
          </cell>
          <cell r="AH166">
            <v>0</v>
          </cell>
          <cell r="AI166">
            <v>1738</v>
          </cell>
          <cell r="AJ166">
            <v>0</v>
          </cell>
          <cell r="AK166">
            <v>1460</v>
          </cell>
          <cell r="AL166">
            <v>0</v>
          </cell>
          <cell r="AM166">
            <v>0</v>
          </cell>
          <cell r="AN166">
            <v>1460</v>
          </cell>
          <cell r="AO166">
            <v>0</v>
          </cell>
          <cell r="AQ166">
            <v>1738</v>
          </cell>
          <cell r="AR166">
            <v>0</v>
          </cell>
          <cell r="AS166">
            <v>1738</v>
          </cell>
          <cell r="AT166">
            <v>0</v>
          </cell>
          <cell r="AU166">
            <v>1460</v>
          </cell>
          <cell r="AV166">
            <v>0</v>
          </cell>
          <cell r="AW166">
            <v>0</v>
          </cell>
          <cell r="AX166">
            <v>1460</v>
          </cell>
          <cell r="AY166">
            <v>0</v>
          </cell>
          <cell r="BA166">
            <v>1738</v>
          </cell>
          <cell r="BB166">
            <v>0</v>
          </cell>
          <cell r="BC166">
            <v>1738</v>
          </cell>
          <cell r="BD166">
            <v>0</v>
          </cell>
          <cell r="BE166">
            <v>1460</v>
          </cell>
          <cell r="BF166">
            <v>0</v>
          </cell>
          <cell r="BG166">
            <v>0</v>
          </cell>
          <cell r="BH166">
            <v>1460</v>
          </cell>
          <cell r="BI166">
            <v>0</v>
          </cell>
          <cell r="BK166">
            <v>1818</v>
          </cell>
          <cell r="BL166">
            <v>0</v>
          </cell>
          <cell r="BM166">
            <v>1818</v>
          </cell>
          <cell r="BN166">
            <v>0</v>
          </cell>
          <cell r="BO166">
            <v>1460</v>
          </cell>
          <cell r="BP166">
            <v>0</v>
          </cell>
          <cell r="BQ166">
            <v>0</v>
          </cell>
          <cell r="BR166">
            <v>1460</v>
          </cell>
          <cell r="BS166">
            <v>0</v>
          </cell>
          <cell r="BU166">
            <v>1818</v>
          </cell>
          <cell r="BV166">
            <v>0</v>
          </cell>
          <cell r="BW166">
            <v>1818</v>
          </cell>
          <cell r="BX166">
            <v>0</v>
          </cell>
          <cell r="BY166">
            <v>1460</v>
          </cell>
          <cell r="BZ166">
            <v>0</v>
          </cell>
          <cell r="CA166">
            <v>0</v>
          </cell>
          <cell r="CB166">
            <v>1460</v>
          </cell>
          <cell r="CC166">
            <v>0</v>
          </cell>
          <cell r="CE166">
            <v>1818</v>
          </cell>
          <cell r="CF166">
            <v>0</v>
          </cell>
          <cell r="CG166">
            <v>1818</v>
          </cell>
          <cell r="CH166">
            <v>0</v>
          </cell>
          <cell r="CI166">
            <v>1460</v>
          </cell>
          <cell r="CJ166">
            <v>0</v>
          </cell>
          <cell r="CK166">
            <v>0</v>
          </cell>
          <cell r="CL166">
            <v>1460</v>
          </cell>
          <cell r="CM166">
            <v>0</v>
          </cell>
          <cell r="CO166">
            <v>1818</v>
          </cell>
          <cell r="CP166">
            <v>0</v>
          </cell>
          <cell r="CQ166">
            <v>1818</v>
          </cell>
          <cell r="CR166">
            <v>0</v>
          </cell>
          <cell r="CS166">
            <v>1460</v>
          </cell>
          <cell r="CT166">
            <v>0</v>
          </cell>
          <cell r="CU166">
            <v>0</v>
          </cell>
          <cell r="CV166">
            <v>1460</v>
          </cell>
          <cell r="CW166">
            <v>0</v>
          </cell>
          <cell r="CY166">
            <v>1818</v>
          </cell>
          <cell r="CZ166">
            <v>0</v>
          </cell>
          <cell r="DA166">
            <v>1818</v>
          </cell>
          <cell r="DB166">
            <v>0</v>
          </cell>
          <cell r="DC166">
            <v>1460</v>
          </cell>
          <cell r="DD166">
            <v>0</v>
          </cell>
          <cell r="DE166">
            <v>0</v>
          </cell>
          <cell r="DF166">
            <v>1460</v>
          </cell>
          <cell r="DG166">
            <v>0</v>
          </cell>
          <cell r="DI166">
            <v>129336</v>
          </cell>
          <cell r="DJ166">
            <v>17676</v>
          </cell>
          <cell r="DK166">
            <v>0</v>
          </cell>
          <cell r="DL166">
            <v>17676</v>
          </cell>
          <cell r="DM166">
            <v>17676</v>
          </cell>
          <cell r="DN166">
            <v>0</v>
          </cell>
          <cell r="DO166">
            <v>17676</v>
          </cell>
          <cell r="DP166">
            <v>14600</v>
          </cell>
          <cell r="DQ166">
            <v>0</v>
          </cell>
          <cell r="DR166">
            <v>0</v>
          </cell>
          <cell r="DS166">
            <v>14600</v>
          </cell>
          <cell r="DT166">
            <v>49952</v>
          </cell>
          <cell r="DU166">
            <v>0</v>
          </cell>
          <cell r="DW166">
            <v>0</v>
          </cell>
          <cell r="DX166">
            <v>0</v>
          </cell>
          <cell r="DY166">
            <v>134168</v>
          </cell>
          <cell r="DZ166">
            <v>139000</v>
          </cell>
          <cell r="EA166">
            <v>143936</v>
          </cell>
          <cell r="EB166">
            <v>148872</v>
          </cell>
          <cell r="EC166">
            <v>153808</v>
          </cell>
          <cell r="ED166">
            <v>158904</v>
          </cell>
          <cell r="EE166">
            <v>164000</v>
          </cell>
          <cell r="EF166">
            <v>169096</v>
          </cell>
          <cell r="EG166">
            <v>174192</v>
          </cell>
          <cell r="EH166">
            <v>179288</v>
          </cell>
          <cell r="EI166">
            <v>1565264</v>
          </cell>
          <cell r="EK166">
            <v>0</v>
          </cell>
          <cell r="EL166">
            <v>0</v>
          </cell>
          <cell r="EM166">
            <v>894.45333333333338</v>
          </cell>
          <cell r="EN166">
            <v>926.66666666666663</v>
          </cell>
          <cell r="EO166">
            <v>959.57333333333327</v>
          </cell>
          <cell r="EP166">
            <v>992.48</v>
          </cell>
          <cell r="EQ166">
            <v>1025.3866666666665</v>
          </cell>
          <cell r="ER166">
            <v>1059.3599999999999</v>
          </cell>
          <cell r="ES166">
            <v>1175.3333333333333</v>
          </cell>
          <cell r="ET166">
            <v>1211.8546666666666</v>
          </cell>
          <cell r="EU166">
            <v>1248.376</v>
          </cell>
          <cell r="EV166">
            <v>1284.8973333333333</v>
          </cell>
          <cell r="EW166">
            <v>10778.381333333331</v>
          </cell>
          <cell r="EY166">
            <v>878688</v>
          </cell>
          <cell r="EZ166">
            <v>8</v>
          </cell>
          <cell r="FA166">
            <v>5857.9199999999992</v>
          </cell>
          <cell r="FB166">
            <v>686576</v>
          </cell>
          <cell r="FC166">
            <v>8.6</v>
          </cell>
          <cell r="FD166">
            <v>4920.4613333333327</v>
          </cell>
          <cell r="FE166">
            <v>10778.381333333331</v>
          </cell>
          <cell r="FF166">
            <v>190066</v>
          </cell>
          <cell r="FH166">
            <v>190066</v>
          </cell>
        </row>
        <row r="167">
          <cell r="B167">
            <v>9075</v>
          </cell>
          <cell r="C167" t="str">
            <v>13.04.2007</v>
          </cell>
          <cell r="D167" t="str">
            <v>Bhabad Sahebrao Rajaram</v>
          </cell>
          <cell r="F167">
            <v>45663</v>
          </cell>
          <cell r="G167">
            <v>55194</v>
          </cell>
          <cell r="H167">
            <v>21961</v>
          </cell>
          <cell r="I167">
            <v>21961</v>
          </cell>
          <cell r="J167">
            <v>43922</v>
          </cell>
          <cell r="K167">
            <v>-1741</v>
          </cell>
          <cell r="M167">
            <v>1686</v>
          </cell>
          <cell r="N167">
            <v>0</v>
          </cell>
          <cell r="O167">
            <v>1686</v>
          </cell>
          <cell r="P167">
            <v>0</v>
          </cell>
          <cell r="Q167">
            <v>480</v>
          </cell>
          <cell r="R167">
            <v>0</v>
          </cell>
          <cell r="S167">
            <v>0</v>
          </cell>
          <cell r="T167">
            <v>480</v>
          </cell>
          <cell r="U167">
            <v>0</v>
          </cell>
          <cell r="W167">
            <v>1686</v>
          </cell>
          <cell r="X167">
            <v>0</v>
          </cell>
          <cell r="Y167">
            <v>1686</v>
          </cell>
          <cell r="Z167">
            <v>0</v>
          </cell>
          <cell r="AA167">
            <v>480</v>
          </cell>
          <cell r="AB167">
            <v>0</v>
          </cell>
          <cell r="AC167">
            <v>0</v>
          </cell>
          <cell r="AD167">
            <v>480</v>
          </cell>
          <cell r="AE167">
            <v>0</v>
          </cell>
          <cell r="AG167">
            <v>1738</v>
          </cell>
          <cell r="AH167">
            <v>0</v>
          </cell>
          <cell r="AI167">
            <v>1738</v>
          </cell>
          <cell r="AJ167">
            <v>0</v>
          </cell>
          <cell r="AK167">
            <v>480</v>
          </cell>
          <cell r="AL167">
            <v>0</v>
          </cell>
          <cell r="AM167">
            <v>0</v>
          </cell>
          <cell r="AN167">
            <v>480</v>
          </cell>
          <cell r="AO167">
            <v>0</v>
          </cell>
          <cell r="AQ167">
            <v>1738</v>
          </cell>
          <cell r="AR167">
            <v>0</v>
          </cell>
          <cell r="AS167">
            <v>1738</v>
          </cell>
          <cell r="AT167">
            <v>0</v>
          </cell>
          <cell r="AU167">
            <v>480</v>
          </cell>
          <cell r="AV167">
            <v>0</v>
          </cell>
          <cell r="AW167">
            <v>0</v>
          </cell>
          <cell r="AX167">
            <v>480</v>
          </cell>
          <cell r="AY167">
            <v>0</v>
          </cell>
          <cell r="BA167">
            <v>1738</v>
          </cell>
          <cell r="BB167">
            <v>0</v>
          </cell>
          <cell r="BC167">
            <v>1738</v>
          </cell>
          <cell r="BD167">
            <v>0</v>
          </cell>
          <cell r="BE167">
            <v>480</v>
          </cell>
          <cell r="BF167">
            <v>0</v>
          </cell>
          <cell r="BG167">
            <v>0</v>
          </cell>
          <cell r="BH167">
            <v>480</v>
          </cell>
          <cell r="BI167">
            <v>0</v>
          </cell>
          <cell r="BK167">
            <v>1818</v>
          </cell>
          <cell r="BL167">
            <v>0</v>
          </cell>
          <cell r="BM167">
            <v>1818</v>
          </cell>
          <cell r="BN167">
            <v>0</v>
          </cell>
          <cell r="BO167">
            <v>480</v>
          </cell>
          <cell r="BP167">
            <v>0</v>
          </cell>
          <cell r="BQ167">
            <v>0</v>
          </cell>
          <cell r="BR167">
            <v>480</v>
          </cell>
          <cell r="BS167">
            <v>0</v>
          </cell>
          <cell r="BU167">
            <v>1818</v>
          </cell>
          <cell r="BV167">
            <v>0</v>
          </cell>
          <cell r="BW167">
            <v>1818</v>
          </cell>
          <cell r="BX167">
            <v>0</v>
          </cell>
          <cell r="BY167">
            <v>480</v>
          </cell>
          <cell r="BZ167">
            <v>0</v>
          </cell>
          <cell r="CA167">
            <v>0</v>
          </cell>
          <cell r="CB167">
            <v>480</v>
          </cell>
          <cell r="CC167">
            <v>0</v>
          </cell>
          <cell r="CE167">
            <v>1818</v>
          </cell>
          <cell r="CF167">
            <v>0</v>
          </cell>
          <cell r="CG167">
            <v>1818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  <cell r="CM167">
            <v>0</v>
          </cell>
          <cell r="CO167">
            <v>1818</v>
          </cell>
          <cell r="CP167">
            <v>0</v>
          </cell>
          <cell r="CQ167">
            <v>1818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Y167">
            <v>1818</v>
          </cell>
          <cell r="CZ167">
            <v>0</v>
          </cell>
          <cell r="DA167">
            <v>1818</v>
          </cell>
          <cell r="DB167">
            <v>0</v>
          </cell>
          <cell r="DC167">
            <v>0</v>
          </cell>
          <cell r="DD167">
            <v>0</v>
          </cell>
          <cell r="DE167">
            <v>0</v>
          </cell>
          <cell r="DF167">
            <v>0</v>
          </cell>
          <cell r="DG167">
            <v>0</v>
          </cell>
          <cell r="DI167">
            <v>43922</v>
          </cell>
          <cell r="DJ167">
            <v>17676</v>
          </cell>
          <cell r="DK167">
            <v>0</v>
          </cell>
          <cell r="DL167">
            <v>17676</v>
          </cell>
          <cell r="DM167">
            <v>17676</v>
          </cell>
          <cell r="DN167">
            <v>0</v>
          </cell>
          <cell r="DO167">
            <v>17676</v>
          </cell>
          <cell r="DP167">
            <v>3360</v>
          </cell>
          <cell r="DQ167">
            <v>0</v>
          </cell>
          <cell r="DR167">
            <v>0</v>
          </cell>
          <cell r="DS167">
            <v>3360</v>
          </cell>
          <cell r="DT167">
            <v>38712</v>
          </cell>
          <cell r="DU167">
            <v>0</v>
          </cell>
          <cell r="DW167">
            <v>0</v>
          </cell>
          <cell r="DX167">
            <v>0</v>
          </cell>
          <cell r="DY167">
            <v>47774</v>
          </cell>
          <cell r="DZ167">
            <v>51626</v>
          </cell>
          <cell r="EA167">
            <v>55582</v>
          </cell>
          <cell r="EB167">
            <v>59538</v>
          </cell>
          <cell r="EC167">
            <v>63494</v>
          </cell>
          <cell r="ED167">
            <v>67610</v>
          </cell>
          <cell r="EE167">
            <v>71726</v>
          </cell>
          <cell r="EF167">
            <v>75362</v>
          </cell>
          <cell r="EG167">
            <v>78998</v>
          </cell>
          <cell r="EH167">
            <v>82634</v>
          </cell>
          <cell r="EI167">
            <v>654344</v>
          </cell>
          <cell r="EK167">
            <v>0</v>
          </cell>
          <cell r="EL167">
            <v>0</v>
          </cell>
          <cell r="EM167">
            <v>318.49333333333334</v>
          </cell>
          <cell r="EN167">
            <v>344.17333333333335</v>
          </cell>
          <cell r="EO167">
            <v>370.54666666666668</v>
          </cell>
          <cell r="EP167">
            <v>396.92</v>
          </cell>
          <cell r="EQ167">
            <v>423.29333333333335</v>
          </cell>
          <cell r="ER167">
            <v>450.73333333333335</v>
          </cell>
          <cell r="ES167">
            <v>514.03633333333335</v>
          </cell>
          <cell r="ET167">
            <v>540.09433333333334</v>
          </cell>
          <cell r="EU167">
            <v>566.15233333333333</v>
          </cell>
          <cell r="EV167">
            <v>592.21033333333332</v>
          </cell>
          <cell r="EW167">
            <v>4516.6533333333336</v>
          </cell>
          <cell r="EY167">
            <v>345624</v>
          </cell>
          <cell r="EZ167">
            <v>8</v>
          </cell>
          <cell r="FA167">
            <v>2304.16</v>
          </cell>
          <cell r="FB167">
            <v>308720</v>
          </cell>
          <cell r="FC167">
            <v>8.6</v>
          </cell>
          <cell r="FD167">
            <v>2212.4933333333333</v>
          </cell>
          <cell r="FE167">
            <v>4516.6533333333336</v>
          </cell>
          <cell r="FF167">
            <v>87151</v>
          </cell>
          <cell r="FH167">
            <v>87151</v>
          </cell>
        </row>
        <row r="168">
          <cell r="B168">
            <v>9076</v>
          </cell>
          <cell r="C168" t="str">
            <v>13.04.2007</v>
          </cell>
          <cell r="D168" t="str">
            <v>Jadhav Hilalsingh Rajdhar</v>
          </cell>
          <cell r="F168">
            <v>45663</v>
          </cell>
          <cell r="G168">
            <v>55194</v>
          </cell>
          <cell r="H168">
            <v>17720</v>
          </cell>
          <cell r="I168">
            <v>17720</v>
          </cell>
          <cell r="J168">
            <v>35440</v>
          </cell>
          <cell r="K168">
            <v>-10223</v>
          </cell>
          <cell r="M168">
            <v>1686</v>
          </cell>
          <cell r="N168">
            <v>0</v>
          </cell>
          <cell r="O168">
            <v>1686</v>
          </cell>
          <cell r="P168">
            <v>0</v>
          </cell>
          <cell r="Q168">
            <v>1160</v>
          </cell>
          <cell r="R168">
            <v>0</v>
          </cell>
          <cell r="S168">
            <v>0</v>
          </cell>
          <cell r="T168">
            <v>1160</v>
          </cell>
          <cell r="U168">
            <v>0</v>
          </cell>
          <cell r="W168">
            <v>1686</v>
          </cell>
          <cell r="X168">
            <v>0</v>
          </cell>
          <cell r="Y168">
            <v>1686</v>
          </cell>
          <cell r="Z168">
            <v>0</v>
          </cell>
          <cell r="AA168">
            <v>1160</v>
          </cell>
          <cell r="AB168">
            <v>0</v>
          </cell>
          <cell r="AC168">
            <v>0</v>
          </cell>
          <cell r="AD168">
            <v>1160</v>
          </cell>
          <cell r="AE168">
            <v>0</v>
          </cell>
          <cell r="AG168">
            <v>1738</v>
          </cell>
          <cell r="AH168">
            <v>0</v>
          </cell>
          <cell r="AI168">
            <v>1738</v>
          </cell>
          <cell r="AJ168">
            <v>0</v>
          </cell>
          <cell r="AK168">
            <v>1160</v>
          </cell>
          <cell r="AL168">
            <v>0</v>
          </cell>
          <cell r="AM168">
            <v>0</v>
          </cell>
          <cell r="AN168">
            <v>1160</v>
          </cell>
          <cell r="AO168">
            <v>0</v>
          </cell>
          <cell r="AQ168">
            <v>1738</v>
          </cell>
          <cell r="AR168">
            <v>0</v>
          </cell>
          <cell r="AS168">
            <v>1738</v>
          </cell>
          <cell r="AT168">
            <v>0</v>
          </cell>
          <cell r="AU168">
            <v>1160</v>
          </cell>
          <cell r="AV168">
            <v>0</v>
          </cell>
          <cell r="AW168">
            <v>0</v>
          </cell>
          <cell r="AX168">
            <v>1160</v>
          </cell>
          <cell r="AY168">
            <v>0</v>
          </cell>
          <cell r="BA168">
            <v>1738</v>
          </cell>
          <cell r="BB168">
            <v>0</v>
          </cell>
          <cell r="BC168">
            <v>1738</v>
          </cell>
          <cell r="BD168">
            <v>0</v>
          </cell>
          <cell r="BE168">
            <v>1160</v>
          </cell>
          <cell r="BF168">
            <v>0</v>
          </cell>
          <cell r="BG168">
            <v>0</v>
          </cell>
          <cell r="BH168">
            <v>1160</v>
          </cell>
          <cell r="BI168">
            <v>20380</v>
          </cell>
          <cell r="BK168">
            <v>1818</v>
          </cell>
          <cell r="BL168">
            <v>0</v>
          </cell>
          <cell r="BM168">
            <v>1818</v>
          </cell>
          <cell r="BN168">
            <v>0</v>
          </cell>
          <cell r="BO168">
            <v>1715</v>
          </cell>
          <cell r="BP168">
            <v>0</v>
          </cell>
          <cell r="BQ168">
            <v>0</v>
          </cell>
          <cell r="BR168">
            <v>1715</v>
          </cell>
          <cell r="BS168">
            <v>0</v>
          </cell>
          <cell r="BU168">
            <v>1818</v>
          </cell>
          <cell r="BV168">
            <v>0</v>
          </cell>
          <cell r="BW168">
            <v>1818</v>
          </cell>
          <cell r="BX168">
            <v>0</v>
          </cell>
          <cell r="BY168">
            <v>1715</v>
          </cell>
          <cell r="BZ168">
            <v>0</v>
          </cell>
          <cell r="CA168">
            <v>0</v>
          </cell>
          <cell r="CB168">
            <v>1715</v>
          </cell>
          <cell r="CC168">
            <v>0</v>
          </cell>
          <cell r="CE168">
            <v>1818</v>
          </cell>
          <cell r="CF168">
            <v>0</v>
          </cell>
          <cell r="CG168">
            <v>1818</v>
          </cell>
          <cell r="CH168">
            <v>0</v>
          </cell>
          <cell r="CI168">
            <v>1715</v>
          </cell>
          <cell r="CJ168">
            <v>0</v>
          </cell>
          <cell r="CK168">
            <v>0</v>
          </cell>
          <cell r="CL168">
            <v>1715</v>
          </cell>
          <cell r="CM168">
            <v>0</v>
          </cell>
          <cell r="CO168">
            <v>1818</v>
          </cell>
          <cell r="CP168">
            <v>0</v>
          </cell>
          <cell r="CQ168">
            <v>1818</v>
          </cell>
          <cell r="CR168">
            <v>0</v>
          </cell>
          <cell r="CS168">
            <v>1715</v>
          </cell>
          <cell r="CT168">
            <v>0</v>
          </cell>
          <cell r="CU168">
            <v>0</v>
          </cell>
          <cell r="CV168">
            <v>1715</v>
          </cell>
          <cell r="CW168">
            <v>0</v>
          </cell>
          <cell r="CY168">
            <v>1818</v>
          </cell>
          <cell r="CZ168">
            <v>0</v>
          </cell>
          <cell r="DA168">
            <v>1818</v>
          </cell>
          <cell r="DB168">
            <v>0</v>
          </cell>
          <cell r="DC168">
            <v>1715</v>
          </cell>
          <cell r="DD168">
            <v>0</v>
          </cell>
          <cell r="DE168">
            <v>0</v>
          </cell>
          <cell r="DF168">
            <v>1715</v>
          </cell>
          <cell r="DG168">
            <v>0</v>
          </cell>
          <cell r="DI168">
            <v>35440</v>
          </cell>
          <cell r="DJ168">
            <v>17676</v>
          </cell>
          <cell r="DK168">
            <v>0</v>
          </cell>
          <cell r="DL168">
            <v>17676</v>
          </cell>
          <cell r="DM168">
            <v>17676</v>
          </cell>
          <cell r="DN168">
            <v>0</v>
          </cell>
          <cell r="DO168">
            <v>17676</v>
          </cell>
          <cell r="DP168">
            <v>14375</v>
          </cell>
          <cell r="DQ168">
            <v>0</v>
          </cell>
          <cell r="DR168">
            <v>0</v>
          </cell>
          <cell r="DS168">
            <v>14375</v>
          </cell>
          <cell r="DT168">
            <v>49727</v>
          </cell>
          <cell r="DU168">
            <v>20380</v>
          </cell>
          <cell r="DW168">
            <v>0</v>
          </cell>
          <cell r="DX168">
            <v>0</v>
          </cell>
          <cell r="DY168">
            <v>39972</v>
          </cell>
          <cell r="DZ168">
            <v>44504</v>
          </cell>
          <cell r="EA168">
            <v>49140</v>
          </cell>
          <cell r="EB168">
            <v>53776</v>
          </cell>
          <cell r="EC168">
            <v>38032</v>
          </cell>
          <cell r="ED168">
            <v>43383</v>
          </cell>
          <cell r="EE168">
            <v>48734</v>
          </cell>
          <cell r="EF168">
            <v>54085</v>
          </cell>
          <cell r="EG168">
            <v>59436</v>
          </cell>
          <cell r="EH168">
            <v>64787</v>
          </cell>
          <cell r="EI168">
            <v>495849</v>
          </cell>
          <cell r="EK168">
            <v>0</v>
          </cell>
          <cell r="EL168">
            <v>0</v>
          </cell>
          <cell r="EM168">
            <v>266.48</v>
          </cell>
          <cell r="EN168">
            <v>296.69333333333333</v>
          </cell>
          <cell r="EO168">
            <v>327.59999999999997</v>
          </cell>
          <cell r="EP168">
            <v>358.50666666666666</v>
          </cell>
          <cell r="EQ168">
            <v>253.54666666666665</v>
          </cell>
          <cell r="ER168">
            <v>289.21999999999997</v>
          </cell>
          <cell r="ES168">
            <v>349.26033333333334</v>
          </cell>
          <cell r="ET168">
            <v>387.60916666666668</v>
          </cell>
          <cell r="EU168">
            <v>425.95800000000003</v>
          </cell>
          <cell r="EV168">
            <v>464.30683333333332</v>
          </cell>
          <cell r="EW168">
            <v>3419.1809999999996</v>
          </cell>
          <cell r="EY168">
            <v>268807</v>
          </cell>
          <cell r="EZ168">
            <v>8</v>
          </cell>
          <cell r="FA168">
            <v>1792.0466666666669</v>
          </cell>
          <cell r="FB168">
            <v>227042</v>
          </cell>
          <cell r="FC168">
            <v>8.6</v>
          </cell>
          <cell r="FD168">
            <v>1627.1343333333334</v>
          </cell>
          <cell r="FE168">
            <v>3419.1810000000005</v>
          </cell>
          <cell r="FF168">
            <v>68206</v>
          </cell>
          <cell r="FH168">
            <v>68206</v>
          </cell>
        </row>
        <row r="169">
          <cell r="B169">
            <v>9077</v>
          </cell>
          <cell r="C169" t="str">
            <v>13.04.2007</v>
          </cell>
          <cell r="D169" t="str">
            <v>Ahire Malhari Punjaji</v>
          </cell>
          <cell r="F169">
            <v>45663</v>
          </cell>
          <cell r="G169">
            <v>55194</v>
          </cell>
          <cell r="H169">
            <v>22518</v>
          </cell>
          <cell r="I169">
            <v>22518</v>
          </cell>
          <cell r="J169">
            <v>45036</v>
          </cell>
          <cell r="K169">
            <v>-627</v>
          </cell>
          <cell r="M169">
            <v>1686</v>
          </cell>
          <cell r="N169">
            <v>0</v>
          </cell>
          <cell r="O169">
            <v>1686</v>
          </cell>
          <cell r="P169">
            <v>0</v>
          </cell>
          <cell r="Q169">
            <v>845</v>
          </cell>
          <cell r="R169">
            <v>0</v>
          </cell>
          <cell r="S169">
            <v>0</v>
          </cell>
          <cell r="T169">
            <v>845</v>
          </cell>
          <cell r="U169">
            <v>0</v>
          </cell>
          <cell r="W169">
            <v>1686</v>
          </cell>
          <cell r="X169">
            <v>0</v>
          </cell>
          <cell r="Y169">
            <v>1686</v>
          </cell>
          <cell r="Z169">
            <v>0</v>
          </cell>
          <cell r="AA169">
            <v>845</v>
          </cell>
          <cell r="AB169">
            <v>0</v>
          </cell>
          <cell r="AC169">
            <v>0</v>
          </cell>
          <cell r="AD169">
            <v>845</v>
          </cell>
          <cell r="AE169">
            <v>0</v>
          </cell>
          <cell r="AG169">
            <v>1738</v>
          </cell>
          <cell r="AH169">
            <v>0</v>
          </cell>
          <cell r="AI169">
            <v>1738</v>
          </cell>
          <cell r="AJ169">
            <v>0</v>
          </cell>
          <cell r="AK169">
            <v>845</v>
          </cell>
          <cell r="AL169">
            <v>0</v>
          </cell>
          <cell r="AM169">
            <v>0</v>
          </cell>
          <cell r="AN169">
            <v>845</v>
          </cell>
          <cell r="AO169">
            <v>0</v>
          </cell>
          <cell r="AQ169">
            <v>1738</v>
          </cell>
          <cell r="AR169">
            <v>0</v>
          </cell>
          <cell r="AS169">
            <v>1738</v>
          </cell>
          <cell r="AT169">
            <v>0</v>
          </cell>
          <cell r="AU169">
            <v>845</v>
          </cell>
          <cell r="AV169">
            <v>0</v>
          </cell>
          <cell r="AW169">
            <v>0</v>
          </cell>
          <cell r="AX169">
            <v>845</v>
          </cell>
          <cell r="AY169">
            <v>0</v>
          </cell>
          <cell r="BA169">
            <v>1738</v>
          </cell>
          <cell r="BB169">
            <v>0</v>
          </cell>
          <cell r="BC169">
            <v>1738</v>
          </cell>
          <cell r="BD169">
            <v>0</v>
          </cell>
          <cell r="BE169">
            <v>845</v>
          </cell>
          <cell r="BF169">
            <v>0</v>
          </cell>
          <cell r="BG169">
            <v>0</v>
          </cell>
          <cell r="BH169">
            <v>845</v>
          </cell>
          <cell r="BI169">
            <v>0</v>
          </cell>
          <cell r="BK169">
            <v>1818</v>
          </cell>
          <cell r="BL169">
            <v>0</v>
          </cell>
          <cell r="BM169">
            <v>1818</v>
          </cell>
          <cell r="BN169">
            <v>0</v>
          </cell>
          <cell r="BO169">
            <v>845</v>
          </cell>
          <cell r="BP169">
            <v>0</v>
          </cell>
          <cell r="BQ169">
            <v>0</v>
          </cell>
          <cell r="BR169">
            <v>845</v>
          </cell>
          <cell r="BS169">
            <v>0</v>
          </cell>
          <cell r="BU169">
            <v>1818</v>
          </cell>
          <cell r="BV169">
            <v>0</v>
          </cell>
          <cell r="BW169">
            <v>1818</v>
          </cell>
          <cell r="BX169">
            <v>0</v>
          </cell>
          <cell r="BY169">
            <v>845</v>
          </cell>
          <cell r="BZ169">
            <v>0</v>
          </cell>
          <cell r="CA169">
            <v>0</v>
          </cell>
          <cell r="CB169">
            <v>845</v>
          </cell>
          <cell r="CC169">
            <v>0</v>
          </cell>
          <cell r="CE169">
            <v>1818</v>
          </cell>
          <cell r="CF169">
            <v>0</v>
          </cell>
          <cell r="CG169">
            <v>1818</v>
          </cell>
          <cell r="CH169">
            <v>0</v>
          </cell>
          <cell r="CI169">
            <v>845</v>
          </cell>
          <cell r="CJ169">
            <v>0</v>
          </cell>
          <cell r="CK169">
            <v>0</v>
          </cell>
          <cell r="CL169">
            <v>845</v>
          </cell>
          <cell r="CM169">
            <v>0</v>
          </cell>
          <cell r="CO169">
            <v>1818</v>
          </cell>
          <cell r="CP169">
            <v>0</v>
          </cell>
          <cell r="CQ169">
            <v>1818</v>
          </cell>
          <cell r="CR169">
            <v>0</v>
          </cell>
          <cell r="CS169">
            <v>845</v>
          </cell>
          <cell r="CT169">
            <v>0</v>
          </cell>
          <cell r="CU169">
            <v>0</v>
          </cell>
          <cell r="CV169">
            <v>845</v>
          </cell>
          <cell r="CW169">
            <v>0</v>
          </cell>
          <cell r="CY169">
            <v>1818</v>
          </cell>
          <cell r="CZ169">
            <v>0</v>
          </cell>
          <cell r="DA169">
            <v>1818</v>
          </cell>
          <cell r="DB169">
            <v>0</v>
          </cell>
          <cell r="DC169">
            <v>845</v>
          </cell>
          <cell r="DD169">
            <v>0</v>
          </cell>
          <cell r="DE169">
            <v>0</v>
          </cell>
          <cell r="DF169">
            <v>845</v>
          </cell>
          <cell r="DG169">
            <v>0</v>
          </cell>
          <cell r="DI169">
            <v>45036</v>
          </cell>
          <cell r="DJ169">
            <v>17676</v>
          </cell>
          <cell r="DK169">
            <v>0</v>
          </cell>
          <cell r="DL169">
            <v>17676</v>
          </cell>
          <cell r="DM169">
            <v>17676</v>
          </cell>
          <cell r="DN169">
            <v>0</v>
          </cell>
          <cell r="DO169">
            <v>17676</v>
          </cell>
          <cell r="DP169">
            <v>8450</v>
          </cell>
          <cell r="DQ169">
            <v>0</v>
          </cell>
          <cell r="DR169">
            <v>0</v>
          </cell>
          <cell r="DS169">
            <v>8450</v>
          </cell>
          <cell r="DT169">
            <v>43802</v>
          </cell>
          <cell r="DU169">
            <v>0</v>
          </cell>
          <cell r="DW169">
            <v>0</v>
          </cell>
          <cell r="DX169">
            <v>0</v>
          </cell>
          <cell r="DY169">
            <v>49253</v>
          </cell>
          <cell r="DZ169">
            <v>53470</v>
          </cell>
          <cell r="EA169">
            <v>57791</v>
          </cell>
          <cell r="EB169">
            <v>62112</v>
          </cell>
          <cell r="EC169">
            <v>66433</v>
          </cell>
          <cell r="ED169">
            <v>70914</v>
          </cell>
          <cell r="EE169">
            <v>75395</v>
          </cell>
          <cell r="EF169">
            <v>79876</v>
          </cell>
          <cell r="EG169">
            <v>84357</v>
          </cell>
          <cell r="EH169">
            <v>88838</v>
          </cell>
          <cell r="EI169">
            <v>688439</v>
          </cell>
          <cell r="EK169">
            <v>0</v>
          </cell>
          <cell r="EL169">
            <v>0</v>
          </cell>
          <cell r="EM169">
            <v>328.3533333333333</v>
          </cell>
          <cell r="EN169">
            <v>356.4666666666667</v>
          </cell>
          <cell r="EO169">
            <v>385.27333333333331</v>
          </cell>
          <cell r="EP169">
            <v>414.08</v>
          </cell>
          <cell r="EQ169">
            <v>442.88666666666671</v>
          </cell>
          <cell r="ER169">
            <v>472.76</v>
          </cell>
          <cell r="ES169">
            <v>540.33083333333332</v>
          </cell>
          <cell r="ET169">
            <v>572.44466666666665</v>
          </cell>
          <cell r="EU169">
            <v>604.55849999999998</v>
          </cell>
          <cell r="EV169">
            <v>636.67233333333331</v>
          </cell>
          <cell r="EW169">
            <v>4753.8263333333325</v>
          </cell>
          <cell r="EY169">
            <v>359973</v>
          </cell>
          <cell r="EZ169">
            <v>8</v>
          </cell>
          <cell r="FA169">
            <v>2399.8200000000002</v>
          </cell>
          <cell r="FB169">
            <v>328466</v>
          </cell>
          <cell r="FC169">
            <v>8.6</v>
          </cell>
          <cell r="FD169">
            <v>2354.0063333333333</v>
          </cell>
          <cell r="FE169">
            <v>4753.8263333333334</v>
          </cell>
          <cell r="FF169">
            <v>93592</v>
          </cell>
          <cell r="FH169">
            <v>93592</v>
          </cell>
        </row>
        <row r="170">
          <cell r="B170">
            <v>9078</v>
          </cell>
          <cell r="C170" t="str">
            <v>13.04.2007</v>
          </cell>
          <cell r="D170" t="str">
            <v>Gaidhani Ganesh Devendra</v>
          </cell>
          <cell r="F170">
            <v>45663</v>
          </cell>
          <cell r="G170">
            <v>55194</v>
          </cell>
          <cell r="H170">
            <v>44191</v>
          </cell>
          <cell r="I170">
            <v>44191</v>
          </cell>
          <cell r="J170">
            <v>88382</v>
          </cell>
          <cell r="K170">
            <v>42719</v>
          </cell>
          <cell r="M170">
            <v>1686</v>
          </cell>
          <cell r="N170">
            <v>0</v>
          </cell>
          <cell r="O170">
            <v>1686</v>
          </cell>
          <cell r="P170">
            <v>0</v>
          </cell>
          <cell r="Q170">
            <v>2305</v>
          </cell>
          <cell r="R170">
            <v>0</v>
          </cell>
          <cell r="S170">
            <v>0</v>
          </cell>
          <cell r="T170">
            <v>2305</v>
          </cell>
          <cell r="U170">
            <v>0</v>
          </cell>
          <cell r="W170">
            <v>1686</v>
          </cell>
          <cell r="X170">
            <v>0</v>
          </cell>
          <cell r="Y170">
            <v>1686</v>
          </cell>
          <cell r="Z170">
            <v>0</v>
          </cell>
          <cell r="AA170">
            <v>2305</v>
          </cell>
          <cell r="AB170">
            <v>0</v>
          </cell>
          <cell r="AC170">
            <v>0</v>
          </cell>
          <cell r="AD170">
            <v>2305</v>
          </cell>
          <cell r="AE170">
            <v>0</v>
          </cell>
          <cell r="AG170">
            <v>1738</v>
          </cell>
          <cell r="AH170">
            <v>0</v>
          </cell>
          <cell r="AI170">
            <v>1738</v>
          </cell>
          <cell r="AJ170">
            <v>0</v>
          </cell>
          <cell r="AK170">
            <v>2305</v>
          </cell>
          <cell r="AL170">
            <v>0</v>
          </cell>
          <cell r="AM170">
            <v>0</v>
          </cell>
          <cell r="AN170">
            <v>2305</v>
          </cell>
          <cell r="AO170">
            <v>0</v>
          </cell>
          <cell r="AQ170">
            <v>1738</v>
          </cell>
          <cell r="AR170">
            <v>0</v>
          </cell>
          <cell r="AS170">
            <v>1738</v>
          </cell>
          <cell r="AT170">
            <v>0</v>
          </cell>
          <cell r="AU170">
            <v>2305</v>
          </cell>
          <cell r="AV170">
            <v>0</v>
          </cell>
          <cell r="AW170">
            <v>0</v>
          </cell>
          <cell r="AX170">
            <v>2305</v>
          </cell>
          <cell r="AY170">
            <v>0</v>
          </cell>
          <cell r="BA170">
            <v>1738</v>
          </cell>
          <cell r="BB170">
            <v>0</v>
          </cell>
          <cell r="BC170">
            <v>1738</v>
          </cell>
          <cell r="BD170">
            <v>0</v>
          </cell>
          <cell r="BE170">
            <v>2305</v>
          </cell>
          <cell r="BF170">
            <v>0</v>
          </cell>
          <cell r="BG170">
            <v>0</v>
          </cell>
          <cell r="BH170">
            <v>2305</v>
          </cell>
          <cell r="BI170">
            <v>0</v>
          </cell>
          <cell r="BK170">
            <v>1818</v>
          </cell>
          <cell r="BL170">
            <v>0</v>
          </cell>
          <cell r="BM170">
            <v>1818</v>
          </cell>
          <cell r="BN170">
            <v>0</v>
          </cell>
          <cell r="BO170">
            <v>2305</v>
          </cell>
          <cell r="BP170">
            <v>0</v>
          </cell>
          <cell r="BQ170">
            <v>0</v>
          </cell>
          <cell r="BR170">
            <v>2305</v>
          </cell>
          <cell r="BS170">
            <v>0</v>
          </cell>
          <cell r="BU170">
            <v>1818</v>
          </cell>
          <cell r="BV170">
            <v>0</v>
          </cell>
          <cell r="BW170">
            <v>1818</v>
          </cell>
          <cell r="BX170">
            <v>0</v>
          </cell>
          <cell r="BY170">
            <v>2305</v>
          </cell>
          <cell r="BZ170">
            <v>0</v>
          </cell>
          <cell r="CA170">
            <v>0</v>
          </cell>
          <cell r="CB170">
            <v>2305</v>
          </cell>
          <cell r="CC170">
            <v>0</v>
          </cell>
          <cell r="CE170">
            <v>1818</v>
          </cell>
          <cell r="CF170">
            <v>0</v>
          </cell>
          <cell r="CG170">
            <v>1818</v>
          </cell>
          <cell r="CH170">
            <v>0</v>
          </cell>
          <cell r="CI170">
            <v>2305</v>
          </cell>
          <cell r="CJ170">
            <v>0</v>
          </cell>
          <cell r="CK170">
            <v>0</v>
          </cell>
          <cell r="CL170">
            <v>2305</v>
          </cell>
          <cell r="CM170">
            <v>0</v>
          </cell>
          <cell r="CO170">
            <v>1818</v>
          </cell>
          <cell r="CP170">
            <v>0</v>
          </cell>
          <cell r="CQ170">
            <v>1818</v>
          </cell>
          <cell r="CR170">
            <v>0</v>
          </cell>
          <cell r="CS170">
            <v>2305</v>
          </cell>
          <cell r="CT170">
            <v>0</v>
          </cell>
          <cell r="CU170">
            <v>0</v>
          </cell>
          <cell r="CV170">
            <v>2305</v>
          </cell>
          <cell r="CW170">
            <v>0</v>
          </cell>
          <cell r="CY170">
            <v>1818</v>
          </cell>
          <cell r="CZ170">
            <v>0</v>
          </cell>
          <cell r="DA170">
            <v>1818</v>
          </cell>
          <cell r="DB170">
            <v>0</v>
          </cell>
          <cell r="DC170">
            <v>2305</v>
          </cell>
          <cell r="DD170">
            <v>0</v>
          </cell>
          <cell r="DE170">
            <v>0</v>
          </cell>
          <cell r="DF170">
            <v>2305</v>
          </cell>
          <cell r="DG170">
            <v>0</v>
          </cell>
          <cell r="DI170">
            <v>88382</v>
          </cell>
          <cell r="DJ170">
            <v>17676</v>
          </cell>
          <cell r="DK170">
            <v>0</v>
          </cell>
          <cell r="DL170">
            <v>17676</v>
          </cell>
          <cell r="DM170">
            <v>17676</v>
          </cell>
          <cell r="DN170">
            <v>0</v>
          </cell>
          <cell r="DO170">
            <v>17676</v>
          </cell>
          <cell r="DP170">
            <v>23050</v>
          </cell>
          <cell r="DQ170">
            <v>0</v>
          </cell>
          <cell r="DR170">
            <v>0</v>
          </cell>
          <cell r="DS170">
            <v>23050</v>
          </cell>
          <cell r="DT170">
            <v>58402</v>
          </cell>
          <cell r="DU170">
            <v>0</v>
          </cell>
          <cell r="DW170">
            <v>0</v>
          </cell>
          <cell r="DX170">
            <v>0</v>
          </cell>
          <cell r="DY170">
            <v>94059</v>
          </cell>
          <cell r="DZ170">
            <v>99736</v>
          </cell>
          <cell r="EA170">
            <v>105517</v>
          </cell>
          <cell r="EB170">
            <v>111298</v>
          </cell>
          <cell r="EC170">
            <v>117079</v>
          </cell>
          <cell r="ED170">
            <v>123020</v>
          </cell>
          <cell r="EE170">
            <v>128961</v>
          </cell>
          <cell r="EF170">
            <v>134902</v>
          </cell>
          <cell r="EG170">
            <v>140843</v>
          </cell>
          <cell r="EH170">
            <v>146784</v>
          </cell>
          <cell r="EI170">
            <v>1202199</v>
          </cell>
          <cell r="EK170">
            <v>0</v>
          </cell>
          <cell r="EL170">
            <v>0</v>
          </cell>
          <cell r="EM170">
            <v>627.06000000000006</v>
          </cell>
          <cell r="EN170">
            <v>664.90666666666664</v>
          </cell>
          <cell r="EO170">
            <v>703.44666666666672</v>
          </cell>
          <cell r="EP170">
            <v>741.98666666666668</v>
          </cell>
          <cell r="EQ170">
            <v>780.52666666666664</v>
          </cell>
          <cell r="ER170">
            <v>820.13333333333333</v>
          </cell>
          <cell r="ES170">
            <v>924.2204999999999</v>
          </cell>
          <cell r="ET170">
            <v>966.79766666666671</v>
          </cell>
          <cell r="EU170">
            <v>1009.3748333333333</v>
          </cell>
          <cell r="EV170">
            <v>1051.952</v>
          </cell>
          <cell r="EW170">
            <v>8290.4050000000007</v>
          </cell>
          <cell r="EY170">
            <v>650709</v>
          </cell>
          <cell r="EZ170">
            <v>8</v>
          </cell>
          <cell r="FA170">
            <v>4338.0600000000004</v>
          </cell>
          <cell r="FB170">
            <v>551490</v>
          </cell>
          <cell r="FC170">
            <v>8.6</v>
          </cell>
          <cell r="FD170">
            <v>3952.3449999999998</v>
          </cell>
          <cell r="FE170">
            <v>8290.4050000000007</v>
          </cell>
          <cell r="FF170">
            <v>155074</v>
          </cell>
          <cell r="FH170">
            <v>155074</v>
          </cell>
        </row>
        <row r="171">
          <cell r="B171">
            <v>9079</v>
          </cell>
          <cell r="C171" t="str">
            <v>13.04.2007</v>
          </cell>
          <cell r="D171" t="str">
            <v>Kazi Ismile Ibrahim</v>
          </cell>
          <cell r="F171">
            <v>45663</v>
          </cell>
          <cell r="G171">
            <v>55194</v>
          </cell>
          <cell r="H171">
            <v>52349</v>
          </cell>
          <cell r="I171">
            <v>52349</v>
          </cell>
          <cell r="J171">
            <v>104698</v>
          </cell>
          <cell r="K171">
            <v>59035</v>
          </cell>
          <cell r="M171">
            <v>1686</v>
          </cell>
          <cell r="N171">
            <v>0</v>
          </cell>
          <cell r="O171">
            <v>1686</v>
          </cell>
          <cell r="P171">
            <v>0</v>
          </cell>
          <cell r="Q171">
            <v>2285</v>
          </cell>
          <cell r="R171">
            <v>0</v>
          </cell>
          <cell r="S171">
            <v>0</v>
          </cell>
          <cell r="T171">
            <v>2285</v>
          </cell>
          <cell r="U171">
            <v>0</v>
          </cell>
          <cell r="W171">
            <v>1686</v>
          </cell>
          <cell r="X171">
            <v>0</v>
          </cell>
          <cell r="Y171">
            <v>1686</v>
          </cell>
          <cell r="Z171">
            <v>0</v>
          </cell>
          <cell r="AA171">
            <v>2285</v>
          </cell>
          <cell r="AB171">
            <v>0</v>
          </cell>
          <cell r="AC171">
            <v>0</v>
          </cell>
          <cell r="AD171">
            <v>2285</v>
          </cell>
          <cell r="AE171">
            <v>0</v>
          </cell>
          <cell r="AG171">
            <v>1738</v>
          </cell>
          <cell r="AH171">
            <v>0</v>
          </cell>
          <cell r="AI171">
            <v>1738</v>
          </cell>
          <cell r="AJ171">
            <v>0</v>
          </cell>
          <cell r="AK171">
            <v>2285</v>
          </cell>
          <cell r="AL171">
            <v>0</v>
          </cell>
          <cell r="AM171">
            <v>0</v>
          </cell>
          <cell r="AN171">
            <v>2285</v>
          </cell>
          <cell r="AO171">
            <v>0</v>
          </cell>
          <cell r="AQ171">
            <v>1738</v>
          </cell>
          <cell r="AR171">
            <v>0</v>
          </cell>
          <cell r="AS171">
            <v>1738</v>
          </cell>
          <cell r="AT171">
            <v>0</v>
          </cell>
          <cell r="AU171">
            <v>2285</v>
          </cell>
          <cell r="AV171">
            <v>0</v>
          </cell>
          <cell r="AW171">
            <v>0</v>
          </cell>
          <cell r="AX171">
            <v>2285</v>
          </cell>
          <cell r="AY171">
            <v>0</v>
          </cell>
          <cell r="BA171">
            <v>1738</v>
          </cell>
          <cell r="BB171">
            <v>0</v>
          </cell>
          <cell r="BC171">
            <v>1738</v>
          </cell>
          <cell r="BD171">
            <v>0</v>
          </cell>
          <cell r="BE171">
            <v>2285</v>
          </cell>
          <cell r="BF171">
            <v>0</v>
          </cell>
          <cell r="BG171">
            <v>0</v>
          </cell>
          <cell r="BH171">
            <v>2285</v>
          </cell>
          <cell r="BI171">
            <v>0</v>
          </cell>
          <cell r="BK171">
            <v>1818</v>
          </cell>
          <cell r="BL171">
            <v>0</v>
          </cell>
          <cell r="BM171">
            <v>1818</v>
          </cell>
          <cell r="BN171">
            <v>0</v>
          </cell>
          <cell r="BO171">
            <v>2285</v>
          </cell>
          <cell r="BP171">
            <v>0</v>
          </cell>
          <cell r="BQ171">
            <v>0</v>
          </cell>
          <cell r="BR171">
            <v>2285</v>
          </cell>
          <cell r="BS171">
            <v>0</v>
          </cell>
          <cell r="BU171">
            <v>1818</v>
          </cell>
          <cell r="BV171">
            <v>0</v>
          </cell>
          <cell r="BW171">
            <v>1818</v>
          </cell>
          <cell r="BX171">
            <v>0</v>
          </cell>
          <cell r="BY171">
            <v>2285</v>
          </cell>
          <cell r="BZ171">
            <v>0</v>
          </cell>
          <cell r="CA171">
            <v>0</v>
          </cell>
          <cell r="CB171">
            <v>2285</v>
          </cell>
          <cell r="CC171">
            <v>0</v>
          </cell>
          <cell r="CE171">
            <v>1818</v>
          </cell>
          <cell r="CF171">
            <v>0</v>
          </cell>
          <cell r="CG171">
            <v>1818</v>
          </cell>
          <cell r="CH171">
            <v>0</v>
          </cell>
          <cell r="CI171">
            <v>2285</v>
          </cell>
          <cell r="CJ171">
            <v>0</v>
          </cell>
          <cell r="CK171">
            <v>0</v>
          </cell>
          <cell r="CL171">
            <v>2285</v>
          </cell>
          <cell r="CM171">
            <v>0</v>
          </cell>
          <cell r="CO171">
            <v>1818</v>
          </cell>
          <cell r="CP171">
            <v>0</v>
          </cell>
          <cell r="CQ171">
            <v>1818</v>
          </cell>
          <cell r="CR171">
            <v>0</v>
          </cell>
          <cell r="CS171">
            <v>2285</v>
          </cell>
          <cell r="CT171">
            <v>0</v>
          </cell>
          <cell r="CU171">
            <v>0</v>
          </cell>
          <cell r="CV171">
            <v>2285</v>
          </cell>
          <cell r="CW171">
            <v>0</v>
          </cell>
          <cell r="CY171">
            <v>1818</v>
          </cell>
          <cell r="CZ171">
            <v>0</v>
          </cell>
          <cell r="DA171">
            <v>1818</v>
          </cell>
          <cell r="DB171">
            <v>0</v>
          </cell>
          <cell r="DC171">
            <v>2285</v>
          </cell>
          <cell r="DD171">
            <v>0</v>
          </cell>
          <cell r="DE171">
            <v>0</v>
          </cell>
          <cell r="DF171">
            <v>2285</v>
          </cell>
          <cell r="DG171">
            <v>0</v>
          </cell>
          <cell r="DI171">
            <v>104698</v>
          </cell>
          <cell r="DJ171">
            <v>17676</v>
          </cell>
          <cell r="DK171">
            <v>0</v>
          </cell>
          <cell r="DL171">
            <v>17676</v>
          </cell>
          <cell r="DM171">
            <v>17676</v>
          </cell>
          <cell r="DN171">
            <v>0</v>
          </cell>
          <cell r="DO171">
            <v>17676</v>
          </cell>
          <cell r="DP171">
            <v>22850</v>
          </cell>
          <cell r="DQ171">
            <v>0</v>
          </cell>
          <cell r="DR171">
            <v>0</v>
          </cell>
          <cell r="DS171">
            <v>22850</v>
          </cell>
          <cell r="DT171">
            <v>58202</v>
          </cell>
          <cell r="DU171">
            <v>0</v>
          </cell>
          <cell r="DW171">
            <v>0</v>
          </cell>
          <cell r="DX171">
            <v>0</v>
          </cell>
          <cell r="DY171">
            <v>110355</v>
          </cell>
          <cell r="DZ171">
            <v>116012</v>
          </cell>
          <cell r="EA171">
            <v>121773</v>
          </cell>
          <cell r="EB171">
            <v>127534</v>
          </cell>
          <cell r="EC171">
            <v>133295</v>
          </cell>
          <cell r="ED171">
            <v>139216</v>
          </cell>
          <cell r="EE171">
            <v>145137</v>
          </cell>
          <cell r="EF171">
            <v>151058</v>
          </cell>
          <cell r="EG171">
            <v>156979</v>
          </cell>
          <cell r="EH171">
            <v>162900</v>
          </cell>
          <cell r="EI171">
            <v>1364259</v>
          </cell>
          <cell r="EK171">
            <v>0</v>
          </cell>
          <cell r="EL171">
            <v>0</v>
          </cell>
          <cell r="EM171">
            <v>735.69999999999993</v>
          </cell>
          <cell r="EN171">
            <v>773.4133333333333</v>
          </cell>
          <cell r="EO171">
            <v>811.82</v>
          </cell>
          <cell r="EP171">
            <v>850.22666666666657</v>
          </cell>
          <cell r="EQ171">
            <v>888.63333333333333</v>
          </cell>
          <cell r="ER171">
            <v>928.10666666666668</v>
          </cell>
          <cell r="ES171">
            <v>1040.1485</v>
          </cell>
          <cell r="ET171">
            <v>1082.5823333333335</v>
          </cell>
          <cell r="EU171">
            <v>1125.0161666666665</v>
          </cell>
          <cell r="EV171">
            <v>1167.45</v>
          </cell>
          <cell r="EW171">
            <v>9403.0970000000016</v>
          </cell>
          <cell r="EY171">
            <v>748185</v>
          </cell>
          <cell r="EZ171">
            <v>8</v>
          </cell>
          <cell r="FA171">
            <v>4987.9000000000005</v>
          </cell>
          <cell r="FB171">
            <v>616074</v>
          </cell>
          <cell r="FC171">
            <v>8.6</v>
          </cell>
          <cell r="FD171">
            <v>4415.1969999999992</v>
          </cell>
          <cell r="FE171">
            <v>9403.0969999999998</v>
          </cell>
          <cell r="FF171">
            <v>172303</v>
          </cell>
          <cell r="FH171">
            <v>172303</v>
          </cell>
        </row>
        <row r="172">
          <cell r="B172">
            <v>9080</v>
          </cell>
          <cell r="C172" t="str">
            <v>13.04.2007</v>
          </cell>
          <cell r="D172" t="str">
            <v>Jadhav Kiran Arvind</v>
          </cell>
          <cell r="F172">
            <v>45663</v>
          </cell>
          <cell r="G172">
            <v>55194</v>
          </cell>
          <cell r="H172">
            <v>29210</v>
          </cell>
          <cell r="I172">
            <v>29210</v>
          </cell>
          <cell r="J172">
            <v>58420</v>
          </cell>
          <cell r="K172">
            <v>12757</v>
          </cell>
          <cell r="M172">
            <v>1686</v>
          </cell>
          <cell r="N172">
            <v>0</v>
          </cell>
          <cell r="O172">
            <v>1686</v>
          </cell>
          <cell r="P172">
            <v>0</v>
          </cell>
          <cell r="Q172">
            <v>795</v>
          </cell>
          <cell r="R172">
            <v>0</v>
          </cell>
          <cell r="S172">
            <v>0</v>
          </cell>
          <cell r="T172">
            <v>795</v>
          </cell>
          <cell r="U172">
            <v>0</v>
          </cell>
          <cell r="W172">
            <v>1686</v>
          </cell>
          <cell r="X172">
            <v>0</v>
          </cell>
          <cell r="Y172">
            <v>1686</v>
          </cell>
          <cell r="Z172">
            <v>0</v>
          </cell>
          <cell r="AA172">
            <v>795</v>
          </cell>
          <cell r="AB172">
            <v>0</v>
          </cell>
          <cell r="AC172">
            <v>0</v>
          </cell>
          <cell r="AD172">
            <v>795</v>
          </cell>
          <cell r="AE172">
            <v>0</v>
          </cell>
          <cell r="AG172">
            <v>1738</v>
          </cell>
          <cell r="AH172">
            <v>0</v>
          </cell>
          <cell r="AI172">
            <v>1738</v>
          </cell>
          <cell r="AJ172">
            <v>0</v>
          </cell>
          <cell r="AK172">
            <v>795</v>
          </cell>
          <cell r="AL172">
            <v>0</v>
          </cell>
          <cell r="AM172">
            <v>0</v>
          </cell>
          <cell r="AN172">
            <v>795</v>
          </cell>
          <cell r="AO172">
            <v>0</v>
          </cell>
          <cell r="AQ172">
            <v>1738</v>
          </cell>
          <cell r="AR172">
            <v>0</v>
          </cell>
          <cell r="AS172">
            <v>1738</v>
          </cell>
          <cell r="AT172">
            <v>0</v>
          </cell>
          <cell r="AU172">
            <v>795</v>
          </cell>
          <cell r="AV172">
            <v>0</v>
          </cell>
          <cell r="AW172">
            <v>0</v>
          </cell>
          <cell r="AX172">
            <v>795</v>
          </cell>
          <cell r="AY172">
            <v>0</v>
          </cell>
          <cell r="BA172">
            <v>1738</v>
          </cell>
          <cell r="BB172">
            <v>0</v>
          </cell>
          <cell r="BC172">
            <v>1738</v>
          </cell>
          <cell r="BD172">
            <v>0</v>
          </cell>
          <cell r="BE172">
            <v>795</v>
          </cell>
          <cell r="BF172">
            <v>0</v>
          </cell>
          <cell r="BG172">
            <v>0</v>
          </cell>
          <cell r="BH172">
            <v>795</v>
          </cell>
          <cell r="BI172">
            <v>0</v>
          </cell>
          <cell r="BK172">
            <v>1818</v>
          </cell>
          <cell r="BL172">
            <v>0</v>
          </cell>
          <cell r="BM172">
            <v>1818</v>
          </cell>
          <cell r="BN172">
            <v>0</v>
          </cell>
          <cell r="BO172">
            <v>795</v>
          </cell>
          <cell r="BP172">
            <v>0</v>
          </cell>
          <cell r="BQ172">
            <v>0</v>
          </cell>
          <cell r="BR172">
            <v>795</v>
          </cell>
          <cell r="BS172">
            <v>0</v>
          </cell>
          <cell r="BU172">
            <v>1818</v>
          </cell>
          <cell r="BV172">
            <v>0</v>
          </cell>
          <cell r="BW172">
            <v>1818</v>
          </cell>
          <cell r="BX172">
            <v>0</v>
          </cell>
          <cell r="BY172">
            <v>795</v>
          </cell>
          <cell r="BZ172">
            <v>0</v>
          </cell>
          <cell r="CA172">
            <v>0</v>
          </cell>
          <cell r="CB172">
            <v>795</v>
          </cell>
          <cell r="CC172">
            <v>0</v>
          </cell>
          <cell r="CE172">
            <v>1818</v>
          </cell>
          <cell r="CF172">
            <v>0</v>
          </cell>
          <cell r="CG172">
            <v>1818</v>
          </cell>
          <cell r="CH172">
            <v>0</v>
          </cell>
          <cell r="CI172">
            <v>795</v>
          </cell>
          <cell r="CJ172">
            <v>0</v>
          </cell>
          <cell r="CK172">
            <v>0</v>
          </cell>
          <cell r="CL172">
            <v>795</v>
          </cell>
          <cell r="CM172">
            <v>0</v>
          </cell>
          <cell r="CO172">
            <v>1818</v>
          </cell>
          <cell r="CP172">
            <v>0</v>
          </cell>
          <cell r="CQ172">
            <v>1818</v>
          </cell>
          <cell r="CR172">
            <v>0</v>
          </cell>
          <cell r="CS172">
            <v>795</v>
          </cell>
          <cell r="CT172">
            <v>0</v>
          </cell>
          <cell r="CU172">
            <v>0</v>
          </cell>
          <cell r="CV172">
            <v>795</v>
          </cell>
          <cell r="CW172">
            <v>0</v>
          </cell>
          <cell r="CY172">
            <v>1818</v>
          </cell>
          <cell r="CZ172">
            <v>0</v>
          </cell>
          <cell r="DA172">
            <v>1818</v>
          </cell>
          <cell r="DB172">
            <v>0</v>
          </cell>
          <cell r="DC172">
            <v>795</v>
          </cell>
          <cell r="DD172">
            <v>0</v>
          </cell>
          <cell r="DE172">
            <v>0</v>
          </cell>
          <cell r="DF172">
            <v>795</v>
          </cell>
          <cell r="DG172">
            <v>0</v>
          </cell>
          <cell r="DI172">
            <v>58420</v>
          </cell>
          <cell r="DJ172">
            <v>17676</v>
          </cell>
          <cell r="DK172">
            <v>0</v>
          </cell>
          <cell r="DL172">
            <v>17676</v>
          </cell>
          <cell r="DM172">
            <v>17676</v>
          </cell>
          <cell r="DN172">
            <v>0</v>
          </cell>
          <cell r="DO172">
            <v>17676</v>
          </cell>
          <cell r="DP172">
            <v>7950</v>
          </cell>
          <cell r="DQ172">
            <v>0</v>
          </cell>
          <cell r="DR172">
            <v>0</v>
          </cell>
          <cell r="DS172">
            <v>7950</v>
          </cell>
          <cell r="DT172">
            <v>43302</v>
          </cell>
          <cell r="DU172">
            <v>0</v>
          </cell>
          <cell r="DW172">
            <v>0</v>
          </cell>
          <cell r="DX172">
            <v>0</v>
          </cell>
          <cell r="DY172">
            <v>62587</v>
          </cell>
          <cell r="DZ172">
            <v>66754</v>
          </cell>
          <cell r="EA172">
            <v>71025</v>
          </cell>
          <cell r="EB172">
            <v>75296</v>
          </cell>
          <cell r="EC172">
            <v>79567</v>
          </cell>
          <cell r="ED172">
            <v>83998</v>
          </cell>
          <cell r="EE172">
            <v>88429</v>
          </cell>
          <cell r="EF172">
            <v>92860</v>
          </cell>
          <cell r="EG172">
            <v>97291</v>
          </cell>
          <cell r="EH172">
            <v>101722</v>
          </cell>
          <cell r="EI172">
            <v>819529</v>
          </cell>
          <cell r="EK172">
            <v>0</v>
          </cell>
          <cell r="EL172">
            <v>0</v>
          </cell>
          <cell r="EM172">
            <v>417.24666666666667</v>
          </cell>
          <cell r="EN172">
            <v>445.02666666666664</v>
          </cell>
          <cell r="EO172">
            <v>473.5</v>
          </cell>
          <cell r="EP172">
            <v>501.97333333333336</v>
          </cell>
          <cell r="EQ172">
            <v>530.4466666666666</v>
          </cell>
          <cell r="ER172">
            <v>559.98666666666668</v>
          </cell>
          <cell r="ES172">
            <v>633.74116666666669</v>
          </cell>
          <cell r="ET172">
            <v>665.49666666666667</v>
          </cell>
          <cell r="EU172">
            <v>697.25216666666665</v>
          </cell>
          <cell r="EV172">
            <v>729.00766666666652</v>
          </cell>
          <cell r="EW172">
            <v>5653.6776666666665</v>
          </cell>
          <cell r="EY172">
            <v>439227</v>
          </cell>
          <cell r="EZ172">
            <v>8</v>
          </cell>
          <cell r="FA172">
            <v>2928.1800000000003</v>
          </cell>
          <cell r="FB172">
            <v>380302</v>
          </cell>
          <cell r="FC172">
            <v>8.6</v>
          </cell>
          <cell r="FD172">
            <v>2725.4976666666666</v>
          </cell>
          <cell r="FE172">
            <v>5653.6776666666665</v>
          </cell>
          <cell r="FF172">
            <v>107376</v>
          </cell>
          <cell r="FH172">
            <v>107376</v>
          </cell>
        </row>
        <row r="173">
          <cell r="B173">
            <v>9081</v>
          </cell>
          <cell r="C173" t="str">
            <v>13.04.2007</v>
          </cell>
          <cell r="D173" t="str">
            <v>Borade Santosh Trambak</v>
          </cell>
          <cell r="F173">
            <v>45663</v>
          </cell>
          <cell r="G173">
            <v>55194</v>
          </cell>
          <cell r="H173">
            <v>45670</v>
          </cell>
          <cell r="I173">
            <v>45670</v>
          </cell>
          <cell r="J173">
            <v>91340</v>
          </cell>
          <cell r="K173">
            <v>45677</v>
          </cell>
          <cell r="M173">
            <v>1686</v>
          </cell>
          <cell r="N173">
            <v>0</v>
          </cell>
          <cell r="O173">
            <v>1686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W173">
            <v>1686</v>
          </cell>
          <cell r="X173">
            <v>0</v>
          </cell>
          <cell r="Y173">
            <v>1686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G173">
            <v>1738</v>
          </cell>
          <cell r="AH173">
            <v>0</v>
          </cell>
          <cell r="AI173">
            <v>1738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Q173">
            <v>1738</v>
          </cell>
          <cell r="AR173">
            <v>0</v>
          </cell>
          <cell r="AS173">
            <v>1738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BA173">
            <v>1738</v>
          </cell>
          <cell r="BB173">
            <v>0</v>
          </cell>
          <cell r="BC173">
            <v>1738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K173">
            <v>1818</v>
          </cell>
          <cell r="BL173">
            <v>0</v>
          </cell>
          <cell r="BM173">
            <v>1818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U173">
            <v>1818</v>
          </cell>
          <cell r="BV173">
            <v>0</v>
          </cell>
          <cell r="BW173">
            <v>1818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E173">
            <v>1818</v>
          </cell>
          <cell r="CF173">
            <v>0</v>
          </cell>
          <cell r="CG173">
            <v>1818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0</v>
          </cell>
          <cell r="CO173">
            <v>1818</v>
          </cell>
          <cell r="CP173">
            <v>0</v>
          </cell>
          <cell r="CQ173">
            <v>1818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Y173">
            <v>1818</v>
          </cell>
          <cell r="CZ173">
            <v>0</v>
          </cell>
          <cell r="DA173">
            <v>1818</v>
          </cell>
          <cell r="DB173">
            <v>0</v>
          </cell>
          <cell r="DC173">
            <v>0</v>
          </cell>
          <cell r="DD173">
            <v>0</v>
          </cell>
          <cell r="DE173">
            <v>0</v>
          </cell>
          <cell r="DF173">
            <v>0</v>
          </cell>
          <cell r="DG173">
            <v>0</v>
          </cell>
          <cell r="DI173">
            <v>91340</v>
          </cell>
          <cell r="DJ173">
            <v>17676</v>
          </cell>
          <cell r="DK173">
            <v>0</v>
          </cell>
          <cell r="DL173">
            <v>17676</v>
          </cell>
          <cell r="DM173">
            <v>17676</v>
          </cell>
          <cell r="DN173">
            <v>0</v>
          </cell>
          <cell r="DO173">
            <v>17676</v>
          </cell>
          <cell r="DP173">
            <v>0</v>
          </cell>
          <cell r="DQ173">
            <v>0</v>
          </cell>
          <cell r="DR173">
            <v>0</v>
          </cell>
          <cell r="DS173">
            <v>0</v>
          </cell>
          <cell r="DT173">
            <v>35352</v>
          </cell>
          <cell r="DU173">
            <v>0</v>
          </cell>
          <cell r="DW173">
            <v>0</v>
          </cell>
          <cell r="DX173">
            <v>0</v>
          </cell>
          <cell r="DY173">
            <v>94712</v>
          </cell>
          <cell r="DZ173">
            <v>98084</v>
          </cell>
          <cell r="EA173">
            <v>101560</v>
          </cell>
          <cell r="EB173">
            <v>105036</v>
          </cell>
          <cell r="EC173">
            <v>108512</v>
          </cell>
          <cell r="ED173">
            <v>112148</v>
          </cell>
          <cell r="EE173">
            <v>115784</v>
          </cell>
          <cell r="EF173">
            <v>119420</v>
          </cell>
          <cell r="EG173">
            <v>123056</v>
          </cell>
          <cell r="EH173">
            <v>126692</v>
          </cell>
          <cell r="EI173">
            <v>1105004</v>
          </cell>
          <cell r="EK173">
            <v>0</v>
          </cell>
          <cell r="EL173">
            <v>0</v>
          </cell>
          <cell r="EM173">
            <v>631.4133333333333</v>
          </cell>
          <cell r="EN173">
            <v>653.89333333333332</v>
          </cell>
          <cell r="EO173">
            <v>677.06666666666672</v>
          </cell>
          <cell r="EP173">
            <v>700.2399999999999</v>
          </cell>
          <cell r="EQ173">
            <v>723.4133333333333</v>
          </cell>
          <cell r="ER173">
            <v>747.65333333333331</v>
          </cell>
          <cell r="ES173">
            <v>829.78533333333326</v>
          </cell>
          <cell r="ET173">
            <v>855.84333333333336</v>
          </cell>
          <cell r="EU173">
            <v>881.90133333333324</v>
          </cell>
          <cell r="EV173">
            <v>907.95933333333323</v>
          </cell>
          <cell r="EW173">
            <v>7609.1693333333333</v>
          </cell>
          <cell r="EY173">
            <v>620052</v>
          </cell>
          <cell r="EZ173">
            <v>8</v>
          </cell>
          <cell r="FA173">
            <v>4133.68</v>
          </cell>
          <cell r="FB173">
            <v>484952</v>
          </cell>
          <cell r="FC173">
            <v>8.6</v>
          </cell>
          <cell r="FD173">
            <v>3475.489333333333</v>
          </cell>
          <cell r="FE173">
            <v>7609.1693333333333</v>
          </cell>
          <cell r="FF173">
            <v>134301</v>
          </cell>
          <cell r="FH173">
            <v>134301</v>
          </cell>
        </row>
        <row r="174">
          <cell r="B174">
            <v>9082</v>
          </cell>
          <cell r="C174" t="str">
            <v>13.04.2007</v>
          </cell>
          <cell r="D174" t="str">
            <v>Jadhav Nilesh Haridas</v>
          </cell>
          <cell r="F174">
            <v>45663</v>
          </cell>
          <cell r="G174">
            <v>55194</v>
          </cell>
          <cell r="H174">
            <v>30466</v>
          </cell>
          <cell r="I174">
            <v>30466</v>
          </cell>
          <cell r="J174">
            <v>60932</v>
          </cell>
          <cell r="K174">
            <v>15269</v>
          </cell>
          <cell r="M174">
            <v>1686</v>
          </cell>
          <cell r="N174">
            <v>0</v>
          </cell>
          <cell r="O174">
            <v>1686</v>
          </cell>
          <cell r="P174">
            <v>0</v>
          </cell>
          <cell r="Q174">
            <v>1415</v>
          </cell>
          <cell r="R174">
            <v>0</v>
          </cell>
          <cell r="S174">
            <v>0</v>
          </cell>
          <cell r="T174">
            <v>1415</v>
          </cell>
          <cell r="U174">
            <v>0</v>
          </cell>
          <cell r="W174">
            <v>1686</v>
          </cell>
          <cell r="X174">
            <v>0</v>
          </cell>
          <cell r="Y174">
            <v>1686</v>
          </cell>
          <cell r="Z174">
            <v>0</v>
          </cell>
          <cell r="AA174">
            <v>1415</v>
          </cell>
          <cell r="AB174">
            <v>0</v>
          </cell>
          <cell r="AC174">
            <v>0</v>
          </cell>
          <cell r="AD174">
            <v>1415</v>
          </cell>
          <cell r="AE174">
            <v>0</v>
          </cell>
          <cell r="AG174">
            <v>1738</v>
          </cell>
          <cell r="AH174">
            <v>0</v>
          </cell>
          <cell r="AI174">
            <v>1738</v>
          </cell>
          <cell r="AJ174">
            <v>0</v>
          </cell>
          <cell r="AK174">
            <v>1415</v>
          </cell>
          <cell r="AL174">
            <v>0</v>
          </cell>
          <cell r="AM174">
            <v>0</v>
          </cell>
          <cell r="AN174">
            <v>1415</v>
          </cell>
          <cell r="AO174">
            <v>0</v>
          </cell>
          <cell r="AQ174">
            <v>1738</v>
          </cell>
          <cell r="AR174">
            <v>0</v>
          </cell>
          <cell r="AS174">
            <v>1738</v>
          </cell>
          <cell r="AT174">
            <v>0</v>
          </cell>
          <cell r="AU174">
            <v>1415</v>
          </cell>
          <cell r="AV174">
            <v>0</v>
          </cell>
          <cell r="AW174">
            <v>0</v>
          </cell>
          <cell r="AX174">
            <v>1415</v>
          </cell>
          <cell r="AY174">
            <v>0</v>
          </cell>
          <cell r="BA174">
            <v>1738</v>
          </cell>
          <cell r="BB174">
            <v>0</v>
          </cell>
          <cell r="BC174">
            <v>1738</v>
          </cell>
          <cell r="BD174">
            <v>0</v>
          </cell>
          <cell r="BE174">
            <v>1415</v>
          </cell>
          <cell r="BF174">
            <v>0</v>
          </cell>
          <cell r="BG174">
            <v>0</v>
          </cell>
          <cell r="BH174">
            <v>1415</v>
          </cell>
          <cell r="BI174">
            <v>0</v>
          </cell>
          <cell r="BK174">
            <v>1818</v>
          </cell>
          <cell r="BL174">
            <v>0</v>
          </cell>
          <cell r="BM174">
            <v>1818</v>
          </cell>
          <cell r="BN174">
            <v>0</v>
          </cell>
          <cell r="BO174">
            <v>1415</v>
          </cell>
          <cell r="BP174">
            <v>0</v>
          </cell>
          <cell r="BQ174">
            <v>0</v>
          </cell>
          <cell r="BR174">
            <v>1415</v>
          </cell>
          <cell r="BS174">
            <v>0</v>
          </cell>
          <cell r="BU174">
            <v>1818</v>
          </cell>
          <cell r="BV174">
            <v>0</v>
          </cell>
          <cell r="BW174">
            <v>1818</v>
          </cell>
          <cell r="BX174">
            <v>0</v>
          </cell>
          <cell r="BY174">
            <v>1415</v>
          </cell>
          <cell r="BZ174">
            <v>0</v>
          </cell>
          <cell r="CA174">
            <v>0</v>
          </cell>
          <cell r="CB174">
            <v>1415</v>
          </cell>
          <cell r="CC174">
            <v>0</v>
          </cell>
          <cell r="CE174">
            <v>1818</v>
          </cell>
          <cell r="CF174">
            <v>0</v>
          </cell>
          <cell r="CG174">
            <v>1818</v>
          </cell>
          <cell r="CH174">
            <v>0</v>
          </cell>
          <cell r="CI174">
            <v>1415</v>
          </cell>
          <cell r="CJ174">
            <v>0</v>
          </cell>
          <cell r="CK174">
            <v>0</v>
          </cell>
          <cell r="CL174">
            <v>1415</v>
          </cell>
          <cell r="CM174">
            <v>0</v>
          </cell>
          <cell r="CO174">
            <v>1818</v>
          </cell>
          <cell r="CP174">
            <v>0</v>
          </cell>
          <cell r="CQ174">
            <v>1818</v>
          </cell>
          <cell r="CR174">
            <v>0</v>
          </cell>
          <cell r="CS174">
            <v>1415</v>
          </cell>
          <cell r="CT174">
            <v>0</v>
          </cell>
          <cell r="CU174">
            <v>0</v>
          </cell>
          <cell r="CV174">
            <v>1415</v>
          </cell>
          <cell r="CW174">
            <v>0</v>
          </cell>
          <cell r="CY174">
            <v>1818</v>
          </cell>
          <cell r="CZ174">
            <v>0</v>
          </cell>
          <cell r="DA174">
            <v>1818</v>
          </cell>
          <cell r="DB174">
            <v>0</v>
          </cell>
          <cell r="DC174">
            <v>1415</v>
          </cell>
          <cell r="DD174">
            <v>0</v>
          </cell>
          <cell r="DE174">
            <v>0</v>
          </cell>
          <cell r="DF174">
            <v>1415</v>
          </cell>
          <cell r="DG174">
            <v>0</v>
          </cell>
          <cell r="DI174">
            <v>60932</v>
          </cell>
          <cell r="DJ174">
            <v>17676</v>
          </cell>
          <cell r="DK174">
            <v>0</v>
          </cell>
          <cell r="DL174">
            <v>17676</v>
          </cell>
          <cell r="DM174">
            <v>17676</v>
          </cell>
          <cell r="DN174">
            <v>0</v>
          </cell>
          <cell r="DO174">
            <v>17676</v>
          </cell>
          <cell r="DP174">
            <v>14150</v>
          </cell>
          <cell r="DQ174">
            <v>0</v>
          </cell>
          <cell r="DR174">
            <v>0</v>
          </cell>
          <cell r="DS174">
            <v>14150</v>
          </cell>
          <cell r="DT174">
            <v>49502</v>
          </cell>
          <cell r="DU174">
            <v>0</v>
          </cell>
          <cell r="DW174">
            <v>0</v>
          </cell>
          <cell r="DX174">
            <v>0</v>
          </cell>
          <cell r="DY174">
            <v>65719</v>
          </cell>
          <cell r="DZ174">
            <v>70506</v>
          </cell>
          <cell r="EA174">
            <v>75397</v>
          </cell>
          <cell r="EB174">
            <v>80288</v>
          </cell>
          <cell r="EC174">
            <v>85179</v>
          </cell>
          <cell r="ED174">
            <v>90230</v>
          </cell>
          <cell r="EE174">
            <v>95281</v>
          </cell>
          <cell r="EF174">
            <v>100332</v>
          </cell>
          <cell r="EG174">
            <v>105383</v>
          </cell>
          <cell r="EH174">
            <v>110434</v>
          </cell>
          <cell r="EI174">
            <v>878749</v>
          </cell>
          <cell r="EK174">
            <v>0</v>
          </cell>
          <cell r="EL174">
            <v>0</v>
          </cell>
          <cell r="EM174">
            <v>438.12666666666672</v>
          </cell>
          <cell r="EN174">
            <v>470.03999999999996</v>
          </cell>
          <cell r="EO174">
            <v>502.6466666666667</v>
          </cell>
          <cell r="EP174">
            <v>535.25333333333333</v>
          </cell>
          <cell r="EQ174">
            <v>567.86</v>
          </cell>
          <cell r="ER174">
            <v>601.5333333333333</v>
          </cell>
          <cell r="ES174">
            <v>682.84716666666657</v>
          </cell>
          <cell r="ET174">
            <v>719.04599999999994</v>
          </cell>
          <cell r="EU174">
            <v>755.2448333333333</v>
          </cell>
          <cell r="EV174">
            <v>791.44366666666656</v>
          </cell>
          <cell r="EW174">
            <v>6064.0416666666661</v>
          </cell>
          <cell r="EY174">
            <v>467319</v>
          </cell>
          <cell r="EZ174">
            <v>8</v>
          </cell>
          <cell r="FA174">
            <v>3115.4599999999996</v>
          </cell>
          <cell r="FB174">
            <v>411430</v>
          </cell>
          <cell r="FC174">
            <v>8.6</v>
          </cell>
          <cell r="FD174">
            <v>2948.5816666666669</v>
          </cell>
          <cell r="FE174">
            <v>6064.0416666666661</v>
          </cell>
          <cell r="FF174">
            <v>116498</v>
          </cell>
          <cell r="FH174">
            <v>116498</v>
          </cell>
        </row>
        <row r="175">
          <cell r="B175">
            <v>9083</v>
          </cell>
          <cell r="C175" t="str">
            <v>13.04.2007</v>
          </cell>
          <cell r="D175" t="str">
            <v>Korde Bhagwan Rangnath</v>
          </cell>
          <cell r="F175">
            <v>45663</v>
          </cell>
          <cell r="G175">
            <v>55194</v>
          </cell>
          <cell r="H175">
            <v>44177</v>
          </cell>
          <cell r="I175">
            <v>44177</v>
          </cell>
          <cell r="J175">
            <v>88354</v>
          </cell>
          <cell r="K175">
            <v>42691</v>
          </cell>
          <cell r="M175">
            <v>1686</v>
          </cell>
          <cell r="N175">
            <v>0</v>
          </cell>
          <cell r="O175">
            <v>1686</v>
          </cell>
          <cell r="P175">
            <v>0</v>
          </cell>
          <cell r="Q175">
            <v>2325</v>
          </cell>
          <cell r="R175">
            <v>0</v>
          </cell>
          <cell r="S175">
            <v>0</v>
          </cell>
          <cell r="T175">
            <v>2325</v>
          </cell>
          <cell r="U175">
            <v>0</v>
          </cell>
          <cell r="W175">
            <v>1686</v>
          </cell>
          <cell r="X175">
            <v>0</v>
          </cell>
          <cell r="Y175">
            <v>1686</v>
          </cell>
          <cell r="Z175">
            <v>0</v>
          </cell>
          <cell r="AA175">
            <v>2325</v>
          </cell>
          <cell r="AB175">
            <v>0</v>
          </cell>
          <cell r="AC175">
            <v>0</v>
          </cell>
          <cell r="AD175">
            <v>2325</v>
          </cell>
          <cell r="AE175">
            <v>0</v>
          </cell>
          <cell r="AG175">
            <v>1738</v>
          </cell>
          <cell r="AH175">
            <v>0</v>
          </cell>
          <cell r="AI175">
            <v>1738</v>
          </cell>
          <cell r="AJ175">
            <v>0</v>
          </cell>
          <cell r="AK175">
            <v>2325</v>
          </cell>
          <cell r="AL175">
            <v>0</v>
          </cell>
          <cell r="AM175">
            <v>0</v>
          </cell>
          <cell r="AN175">
            <v>2325</v>
          </cell>
          <cell r="AO175">
            <v>0</v>
          </cell>
          <cell r="AQ175">
            <v>1738</v>
          </cell>
          <cell r="AR175">
            <v>0</v>
          </cell>
          <cell r="AS175">
            <v>1738</v>
          </cell>
          <cell r="AT175">
            <v>0</v>
          </cell>
          <cell r="AU175">
            <v>2325</v>
          </cell>
          <cell r="AV175">
            <v>0</v>
          </cell>
          <cell r="AW175">
            <v>27900</v>
          </cell>
          <cell r="AX175">
            <v>30225</v>
          </cell>
          <cell r="AY175">
            <v>0</v>
          </cell>
          <cell r="BA175">
            <v>1738</v>
          </cell>
          <cell r="BB175">
            <v>0</v>
          </cell>
          <cell r="BC175">
            <v>1738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K175">
            <v>1818</v>
          </cell>
          <cell r="BL175">
            <v>0</v>
          </cell>
          <cell r="BM175">
            <v>1818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U175">
            <v>1818</v>
          </cell>
          <cell r="BV175">
            <v>0</v>
          </cell>
          <cell r="BW175">
            <v>1818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E175">
            <v>1818</v>
          </cell>
          <cell r="CF175">
            <v>0</v>
          </cell>
          <cell r="CG175">
            <v>1818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O175">
            <v>1818</v>
          </cell>
          <cell r="CP175">
            <v>0</v>
          </cell>
          <cell r="CQ175">
            <v>1818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Y175">
            <v>1818</v>
          </cell>
          <cell r="CZ175">
            <v>0</v>
          </cell>
          <cell r="DA175">
            <v>1818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I175">
            <v>88354</v>
          </cell>
          <cell r="DJ175">
            <v>17676</v>
          </cell>
          <cell r="DK175">
            <v>0</v>
          </cell>
          <cell r="DL175">
            <v>17676</v>
          </cell>
          <cell r="DM175">
            <v>17676</v>
          </cell>
          <cell r="DN175">
            <v>0</v>
          </cell>
          <cell r="DO175">
            <v>17676</v>
          </cell>
          <cell r="DP175">
            <v>9300</v>
          </cell>
          <cell r="DQ175">
            <v>0</v>
          </cell>
          <cell r="DR175">
            <v>27900</v>
          </cell>
          <cell r="DS175">
            <v>37200</v>
          </cell>
          <cell r="DT175">
            <v>72552</v>
          </cell>
          <cell r="DU175">
            <v>0</v>
          </cell>
          <cell r="DW175">
            <v>0</v>
          </cell>
          <cell r="DX175">
            <v>0</v>
          </cell>
          <cell r="DY175">
            <v>94051</v>
          </cell>
          <cell r="DZ175">
            <v>99748</v>
          </cell>
          <cell r="EA175">
            <v>105549</v>
          </cell>
          <cell r="EB175">
            <v>139250</v>
          </cell>
          <cell r="EC175">
            <v>142726</v>
          </cell>
          <cell r="ED175">
            <v>146362</v>
          </cell>
          <cell r="EE175">
            <v>149998</v>
          </cell>
          <cell r="EF175">
            <v>153634</v>
          </cell>
          <cell r="EG175">
            <v>157270</v>
          </cell>
          <cell r="EH175">
            <v>160906</v>
          </cell>
          <cell r="EI175">
            <v>1349494</v>
          </cell>
          <cell r="EK175">
            <v>0</v>
          </cell>
          <cell r="EL175">
            <v>0</v>
          </cell>
          <cell r="EM175">
            <v>627.00666666666666</v>
          </cell>
          <cell r="EN175">
            <v>664.98666666666668</v>
          </cell>
          <cell r="EO175">
            <v>703.66</v>
          </cell>
          <cell r="EP175">
            <v>928.33333333333337</v>
          </cell>
          <cell r="EQ175">
            <v>951.50666666666666</v>
          </cell>
          <cell r="ER175">
            <v>975.74666666666656</v>
          </cell>
          <cell r="ES175">
            <v>1074.9856666666667</v>
          </cell>
          <cell r="ET175">
            <v>1101.0436666666667</v>
          </cell>
          <cell r="EU175">
            <v>1127.1016666666667</v>
          </cell>
          <cell r="EV175">
            <v>1153.1596666666667</v>
          </cell>
          <cell r="EW175">
            <v>9307.5306666666656</v>
          </cell>
          <cell r="EY175">
            <v>727686</v>
          </cell>
          <cell r="EZ175">
            <v>8</v>
          </cell>
          <cell r="FA175">
            <v>4851.24</v>
          </cell>
          <cell r="FB175">
            <v>621808</v>
          </cell>
          <cell r="FC175">
            <v>8.6</v>
          </cell>
          <cell r="FD175">
            <v>4456.2906666666668</v>
          </cell>
          <cell r="FE175">
            <v>9307.5306666666656</v>
          </cell>
          <cell r="FF175">
            <v>170214</v>
          </cell>
          <cell r="FH175">
            <v>170214</v>
          </cell>
        </row>
        <row r="176">
          <cell r="B176">
            <v>9084</v>
          </cell>
          <cell r="C176" t="str">
            <v>13.04.2007</v>
          </cell>
          <cell r="D176" t="str">
            <v>Gaikwad Vitthal Narhari</v>
          </cell>
          <cell r="F176">
            <v>45663</v>
          </cell>
          <cell r="H176">
            <v>49986</v>
          </cell>
          <cell r="I176">
            <v>49986</v>
          </cell>
          <cell r="J176">
            <v>99972</v>
          </cell>
          <cell r="K176">
            <v>54309</v>
          </cell>
          <cell r="M176">
            <v>1686</v>
          </cell>
          <cell r="N176">
            <v>0</v>
          </cell>
          <cell r="O176">
            <v>1686</v>
          </cell>
          <cell r="P176">
            <v>0</v>
          </cell>
          <cell r="Q176">
            <v>2500</v>
          </cell>
          <cell r="R176">
            <v>0</v>
          </cell>
          <cell r="S176">
            <v>0</v>
          </cell>
          <cell r="T176">
            <v>2500</v>
          </cell>
          <cell r="U176">
            <v>0</v>
          </cell>
          <cell r="W176">
            <v>1686</v>
          </cell>
          <cell r="X176">
            <v>0</v>
          </cell>
          <cell r="Y176">
            <v>1686</v>
          </cell>
          <cell r="Z176">
            <v>0</v>
          </cell>
          <cell r="AA176">
            <v>2500</v>
          </cell>
          <cell r="AB176">
            <v>0</v>
          </cell>
          <cell r="AC176">
            <v>0</v>
          </cell>
          <cell r="AD176">
            <v>2500</v>
          </cell>
          <cell r="AE176">
            <v>0</v>
          </cell>
          <cell r="AG176">
            <v>1738</v>
          </cell>
          <cell r="AH176">
            <v>0</v>
          </cell>
          <cell r="AI176">
            <v>1738</v>
          </cell>
          <cell r="AJ176">
            <v>0</v>
          </cell>
          <cell r="AK176">
            <v>2500</v>
          </cell>
          <cell r="AL176">
            <v>0</v>
          </cell>
          <cell r="AM176">
            <v>0</v>
          </cell>
          <cell r="AN176">
            <v>2500</v>
          </cell>
          <cell r="AO176">
            <v>0</v>
          </cell>
          <cell r="AQ176">
            <v>1738</v>
          </cell>
          <cell r="AR176">
            <v>0</v>
          </cell>
          <cell r="AS176">
            <v>1738</v>
          </cell>
          <cell r="AT176">
            <v>0</v>
          </cell>
          <cell r="AU176">
            <v>2500</v>
          </cell>
          <cell r="AV176">
            <v>0</v>
          </cell>
          <cell r="AW176">
            <v>0</v>
          </cell>
          <cell r="AX176">
            <v>2500</v>
          </cell>
          <cell r="AY176">
            <v>0</v>
          </cell>
          <cell r="BA176">
            <v>1738</v>
          </cell>
          <cell r="BB176">
            <v>0</v>
          </cell>
          <cell r="BC176">
            <v>1738</v>
          </cell>
          <cell r="BD176">
            <v>0</v>
          </cell>
          <cell r="BE176">
            <v>2500</v>
          </cell>
          <cell r="BF176">
            <v>0</v>
          </cell>
          <cell r="BG176">
            <v>0</v>
          </cell>
          <cell r="BH176">
            <v>2500</v>
          </cell>
          <cell r="BI176">
            <v>0</v>
          </cell>
          <cell r="BK176">
            <v>1818</v>
          </cell>
          <cell r="BL176">
            <v>0</v>
          </cell>
          <cell r="BM176">
            <v>1818</v>
          </cell>
          <cell r="BN176">
            <v>0</v>
          </cell>
          <cell r="BO176">
            <v>2500</v>
          </cell>
          <cell r="BP176">
            <v>0</v>
          </cell>
          <cell r="BQ176">
            <v>0</v>
          </cell>
          <cell r="BR176">
            <v>2500</v>
          </cell>
          <cell r="BS176">
            <v>0</v>
          </cell>
          <cell r="BU176">
            <v>1818</v>
          </cell>
          <cell r="BV176">
            <v>0</v>
          </cell>
          <cell r="BW176">
            <v>1818</v>
          </cell>
          <cell r="BX176">
            <v>0</v>
          </cell>
          <cell r="BY176">
            <v>2500</v>
          </cell>
          <cell r="BZ176">
            <v>0</v>
          </cell>
          <cell r="CA176">
            <v>0</v>
          </cell>
          <cell r="CB176">
            <v>2500</v>
          </cell>
          <cell r="CC176">
            <v>0</v>
          </cell>
          <cell r="CE176">
            <v>1818</v>
          </cell>
          <cell r="CF176">
            <v>0</v>
          </cell>
          <cell r="CG176">
            <v>1818</v>
          </cell>
          <cell r="CH176">
            <v>0</v>
          </cell>
          <cell r="CI176">
            <v>2500</v>
          </cell>
          <cell r="CJ176">
            <v>0</v>
          </cell>
          <cell r="CK176">
            <v>0</v>
          </cell>
          <cell r="CL176">
            <v>2500</v>
          </cell>
          <cell r="CM176">
            <v>0</v>
          </cell>
          <cell r="CO176">
            <v>1818</v>
          </cell>
          <cell r="CP176">
            <v>0</v>
          </cell>
          <cell r="CQ176">
            <v>1818</v>
          </cell>
          <cell r="CR176">
            <v>0</v>
          </cell>
          <cell r="CS176">
            <v>2500</v>
          </cell>
          <cell r="CT176">
            <v>0</v>
          </cell>
          <cell r="CU176">
            <v>0</v>
          </cell>
          <cell r="CV176">
            <v>2500</v>
          </cell>
          <cell r="CW176">
            <v>0</v>
          </cell>
          <cell r="CY176">
            <v>1818</v>
          </cell>
          <cell r="CZ176">
            <v>0</v>
          </cell>
          <cell r="DA176">
            <v>1818</v>
          </cell>
          <cell r="DB176">
            <v>0</v>
          </cell>
          <cell r="DC176">
            <v>2500</v>
          </cell>
          <cell r="DD176">
            <v>0</v>
          </cell>
          <cell r="DE176">
            <v>0</v>
          </cell>
          <cell r="DF176">
            <v>2500</v>
          </cell>
          <cell r="DG176">
            <v>0</v>
          </cell>
          <cell r="DI176">
            <v>99972</v>
          </cell>
          <cell r="DJ176">
            <v>17676</v>
          </cell>
          <cell r="DK176">
            <v>0</v>
          </cell>
          <cell r="DL176">
            <v>17676</v>
          </cell>
          <cell r="DM176">
            <v>17676</v>
          </cell>
          <cell r="DN176">
            <v>0</v>
          </cell>
          <cell r="DO176">
            <v>17676</v>
          </cell>
          <cell r="DP176">
            <v>25000</v>
          </cell>
          <cell r="DQ176">
            <v>0</v>
          </cell>
          <cell r="DR176">
            <v>0</v>
          </cell>
          <cell r="DS176">
            <v>25000</v>
          </cell>
          <cell r="DT176">
            <v>60352</v>
          </cell>
          <cell r="DU176">
            <v>0</v>
          </cell>
          <cell r="DW176">
            <v>0</v>
          </cell>
          <cell r="DX176">
            <v>0</v>
          </cell>
          <cell r="DY176">
            <v>105844</v>
          </cell>
          <cell r="DZ176">
            <v>111716</v>
          </cell>
          <cell r="EA176">
            <v>117692</v>
          </cell>
          <cell r="EB176">
            <v>123668</v>
          </cell>
          <cell r="EC176">
            <v>129644</v>
          </cell>
          <cell r="ED176">
            <v>135780</v>
          </cell>
          <cell r="EE176">
            <v>141916</v>
          </cell>
          <cell r="EF176">
            <v>148052</v>
          </cell>
          <cell r="EG176">
            <v>154188</v>
          </cell>
          <cell r="EH176">
            <v>160324</v>
          </cell>
          <cell r="EI176">
            <v>1328824</v>
          </cell>
          <cell r="EK176">
            <v>0</v>
          </cell>
          <cell r="EL176">
            <v>0</v>
          </cell>
          <cell r="EM176">
            <v>705.62666666666667</v>
          </cell>
          <cell r="EN176">
            <v>744.77333333333343</v>
          </cell>
          <cell r="EO176">
            <v>784.61333333333334</v>
          </cell>
          <cell r="EP176">
            <v>824.45333333333338</v>
          </cell>
          <cell r="EQ176">
            <v>864.29333333333341</v>
          </cell>
          <cell r="ER176">
            <v>905.19999999999993</v>
          </cell>
          <cell r="ES176">
            <v>1017.0646666666665</v>
          </cell>
          <cell r="ET176">
            <v>1061.0393333333334</v>
          </cell>
          <cell r="EU176">
            <v>1105.0139999999999</v>
          </cell>
          <cell r="EV176">
            <v>1148.9886666666666</v>
          </cell>
          <cell r="EW176">
            <v>9161.0666666666657</v>
          </cell>
          <cell r="EY176">
            <v>724344</v>
          </cell>
          <cell r="EZ176">
            <v>8</v>
          </cell>
          <cell r="FA176">
            <v>4828.96</v>
          </cell>
          <cell r="FB176">
            <v>604480</v>
          </cell>
          <cell r="FC176">
            <v>8.6</v>
          </cell>
          <cell r="FD176">
            <v>4332.1066666666666</v>
          </cell>
          <cell r="FE176">
            <v>9161.0666666666657</v>
          </cell>
          <cell r="FF176">
            <v>169485</v>
          </cell>
          <cell r="FH176">
            <v>169485</v>
          </cell>
        </row>
        <row r="177">
          <cell r="B177">
            <v>9087</v>
          </cell>
          <cell r="C177" t="str">
            <v>13.04.2007</v>
          </cell>
          <cell r="D177" t="str">
            <v>Taskar Satish Dashrath</v>
          </cell>
          <cell r="F177">
            <v>45663</v>
          </cell>
          <cell r="G177">
            <v>53175</v>
          </cell>
          <cell r="H177">
            <v>19461</v>
          </cell>
          <cell r="I177">
            <v>19461</v>
          </cell>
          <cell r="J177">
            <v>38922</v>
          </cell>
          <cell r="K177">
            <v>-6741</v>
          </cell>
          <cell r="M177">
            <v>1686</v>
          </cell>
          <cell r="N177">
            <v>0</v>
          </cell>
          <cell r="O177">
            <v>1686</v>
          </cell>
          <cell r="P177">
            <v>0</v>
          </cell>
          <cell r="Q177">
            <v>1710</v>
          </cell>
          <cell r="R177">
            <v>0</v>
          </cell>
          <cell r="S177">
            <v>0</v>
          </cell>
          <cell r="T177">
            <v>1710</v>
          </cell>
          <cell r="U177">
            <v>0</v>
          </cell>
          <cell r="W177">
            <v>1686</v>
          </cell>
          <cell r="X177">
            <v>0</v>
          </cell>
          <cell r="Y177">
            <v>1686</v>
          </cell>
          <cell r="Z177">
            <v>0</v>
          </cell>
          <cell r="AA177">
            <v>1710</v>
          </cell>
          <cell r="AB177">
            <v>0</v>
          </cell>
          <cell r="AC177">
            <v>0</v>
          </cell>
          <cell r="AD177">
            <v>1710</v>
          </cell>
          <cell r="AE177">
            <v>0</v>
          </cell>
          <cell r="AG177">
            <v>1686</v>
          </cell>
          <cell r="AH177">
            <v>0</v>
          </cell>
          <cell r="AI177">
            <v>1686</v>
          </cell>
          <cell r="AJ177">
            <v>0</v>
          </cell>
          <cell r="AK177">
            <v>1710</v>
          </cell>
          <cell r="AL177">
            <v>0</v>
          </cell>
          <cell r="AM177">
            <v>0</v>
          </cell>
          <cell r="AN177">
            <v>1710</v>
          </cell>
          <cell r="AO177">
            <v>0</v>
          </cell>
          <cell r="AQ177">
            <v>1686</v>
          </cell>
          <cell r="AR177">
            <v>0</v>
          </cell>
          <cell r="AS177">
            <v>1686</v>
          </cell>
          <cell r="AT177">
            <v>0</v>
          </cell>
          <cell r="AU177">
            <v>1710</v>
          </cell>
          <cell r="AV177">
            <v>0</v>
          </cell>
          <cell r="AW177">
            <v>0</v>
          </cell>
          <cell r="AX177">
            <v>1710</v>
          </cell>
          <cell r="AY177">
            <v>0</v>
          </cell>
          <cell r="BA177">
            <v>1686</v>
          </cell>
          <cell r="BB177">
            <v>0</v>
          </cell>
          <cell r="BC177">
            <v>1686</v>
          </cell>
          <cell r="BD177">
            <v>0</v>
          </cell>
          <cell r="BE177">
            <v>1710</v>
          </cell>
          <cell r="BF177">
            <v>0</v>
          </cell>
          <cell r="BG177">
            <v>0</v>
          </cell>
          <cell r="BH177">
            <v>1710</v>
          </cell>
          <cell r="BI177">
            <v>0</v>
          </cell>
          <cell r="BK177">
            <v>1764</v>
          </cell>
          <cell r="BL177">
            <v>0</v>
          </cell>
          <cell r="BM177">
            <v>1764</v>
          </cell>
          <cell r="BN177">
            <v>0</v>
          </cell>
          <cell r="BO177">
            <v>1710</v>
          </cell>
          <cell r="BP177">
            <v>0</v>
          </cell>
          <cell r="BQ177">
            <v>0</v>
          </cell>
          <cell r="BR177">
            <v>1710</v>
          </cell>
          <cell r="BS177">
            <v>0</v>
          </cell>
          <cell r="BU177">
            <v>1764</v>
          </cell>
          <cell r="BV177">
            <v>0</v>
          </cell>
          <cell r="BW177">
            <v>1764</v>
          </cell>
          <cell r="BX177">
            <v>0</v>
          </cell>
          <cell r="BY177">
            <v>1710</v>
          </cell>
          <cell r="BZ177">
            <v>0</v>
          </cell>
          <cell r="CA177">
            <v>0</v>
          </cell>
          <cell r="CB177">
            <v>1710</v>
          </cell>
          <cell r="CC177">
            <v>0</v>
          </cell>
          <cell r="CE177">
            <v>1764</v>
          </cell>
          <cell r="CF177">
            <v>0</v>
          </cell>
          <cell r="CG177">
            <v>1764</v>
          </cell>
          <cell r="CH177">
            <v>0</v>
          </cell>
          <cell r="CI177">
            <v>1710</v>
          </cell>
          <cell r="CJ177">
            <v>0</v>
          </cell>
          <cell r="CK177">
            <v>0</v>
          </cell>
          <cell r="CL177">
            <v>1710</v>
          </cell>
          <cell r="CM177">
            <v>0</v>
          </cell>
          <cell r="CO177">
            <v>1764</v>
          </cell>
          <cell r="CP177">
            <v>0</v>
          </cell>
          <cell r="CQ177">
            <v>1764</v>
          </cell>
          <cell r="CR177">
            <v>0</v>
          </cell>
          <cell r="CS177">
            <v>1710</v>
          </cell>
          <cell r="CT177">
            <v>0</v>
          </cell>
          <cell r="CU177">
            <v>0</v>
          </cell>
          <cell r="CV177">
            <v>1710</v>
          </cell>
          <cell r="CW177">
            <v>0</v>
          </cell>
          <cell r="CY177">
            <v>1764</v>
          </cell>
          <cell r="CZ177">
            <v>0</v>
          </cell>
          <cell r="DA177">
            <v>1764</v>
          </cell>
          <cell r="DB177">
            <v>0</v>
          </cell>
          <cell r="DC177">
            <v>1710</v>
          </cell>
          <cell r="DD177">
            <v>0</v>
          </cell>
          <cell r="DE177">
            <v>0</v>
          </cell>
          <cell r="DF177">
            <v>1710</v>
          </cell>
          <cell r="DG177">
            <v>0</v>
          </cell>
          <cell r="DI177">
            <v>38922</v>
          </cell>
          <cell r="DJ177">
            <v>17250</v>
          </cell>
          <cell r="DK177">
            <v>0</v>
          </cell>
          <cell r="DL177">
            <v>17250</v>
          </cell>
          <cell r="DM177">
            <v>17250</v>
          </cell>
          <cell r="DN177">
            <v>0</v>
          </cell>
          <cell r="DO177">
            <v>17250</v>
          </cell>
          <cell r="DP177">
            <v>17100</v>
          </cell>
          <cell r="DQ177">
            <v>0</v>
          </cell>
          <cell r="DR177">
            <v>0</v>
          </cell>
          <cell r="DS177">
            <v>17100</v>
          </cell>
          <cell r="DT177">
            <v>51600</v>
          </cell>
          <cell r="DU177">
            <v>0</v>
          </cell>
          <cell r="DW177">
            <v>0</v>
          </cell>
          <cell r="DX177">
            <v>0</v>
          </cell>
          <cell r="DY177">
            <v>44004</v>
          </cell>
          <cell r="DZ177">
            <v>49086</v>
          </cell>
          <cell r="EA177">
            <v>54168</v>
          </cell>
          <cell r="EB177">
            <v>59250</v>
          </cell>
          <cell r="EC177">
            <v>64332</v>
          </cell>
          <cell r="ED177">
            <v>69570</v>
          </cell>
          <cell r="EE177">
            <v>74808</v>
          </cell>
          <cell r="EF177">
            <v>80046</v>
          </cell>
          <cell r="EG177">
            <v>85284</v>
          </cell>
          <cell r="EH177">
            <v>90522</v>
          </cell>
          <cell r="EI177">
            <v>671070</v>
          </cell>
          <cell r="EK177">
            <v>0</v>
          </cell>
          <cell r="EL177">
            <v>0</v>
          </cell>
          <cell r="EM177">
            <v>293.36</v>
          </cell>
          <cell r="EN177">
            <v>327.24</v>
          </cell>
          <cell r="EO177">
            <v>361.11999999999995</v>
          </cell>
          <cell r="EP177">
            <v>395</v>
          </cell>
          <cell r="EQ177">
            <v>428.88000000000005</v>
          </cell>
          <cell r="ER177">
            <v>463.8</v>
          </cell>
          <cell r="ES177">
            <v>536.12399999999991</v>
          </cell>
          <cell r="ET177">
            <v>573.66300000000001</v>
          </cell>
          <cell r="EU177">
            <v>611.202</v>
          </cell>
          <cell r="EV177">
            <v>648.74099999999999</v>
          </cell>
          <cell r="EW177">
            <v>4639.13</v>
          </cell>
          <cell r="EY177">
            <v>340410</v>
          </cell>
          <cell r="EZ177">
            <v>8</v>
          </cell>
          <cell r="FA177">
            <v>2269.4</v>
          </cell>
          <cell r="FB177">
            <v>330660</v>
          </cell>
          <cell r="FC177">
            <v>8.6</v>
          </cell>
          <cell r="FD177">
            <v>2369.73</v>
          </cell>
          <cell r="FE177">
            <v>4639.13</v>
          </cell>
          <cell r="FF177">
            <v>95161</v>
          </cell>
          <cell r="FH177">
            <v>95161</v>
          </cell>
        </row>
        <row r="178">
          <cell r="B178">
            <v>9088</v>
          </cell>
          <cell r="C178" t="str">
            <v>13.04.2007</v>
          </cell>
          <cell r="D178" t="str">
            <v>Patil Sunil Ramdas</v>
          </cell>
          <cell r="F178">
            <v>44831</v>
          </cell>
          <cell r="G178">
            <v>55194</v>
          </cell>
          <cell r="H178">
            <v>35317</v>
          </cell>
          <cell r="I178">
            <v>35317</v>
          </cell>
          <cell r="J178">
            <v>70634</v>
          </cell>
          <cell r="K178">
            <v>25803</v>
          </cell>
          <cell r="M178">
            <v>1686</v>
          </cell>
          <cell r="N178">
            <v>0</v>
          </cell>
          <cell r="O178">
            <v>1686</v>
          </cell>
          <cell r="P178">
            <v>0</v>
          </cell>
          <cell r="Q178">
            <v>245</v>
          </cell>
          <cell r="R178">
            <v>0</v>
          </cell>
          <cell r="S178">
            <v>0</v>
          </cell>
          <cell r="T178">
            <v>245</v>
          </cell>
          <cell r="U178">
            <v>0</v>
          </cell>
          <cell r="W178">
            <v>1686</v>
          </cell>
          <cell r="X178">
            <v>0</v>
          </cell>
          <cell r="Y178">
            <v>1686</v>
          </cell>
          <cell r="Z178">
            <v>0</v>
          </cell>
          <cell r="AA178">
            <v>245</v>
          </cell>
          <cell r="AB178">
            <v>0</v>
          </cell>
          <cell r="AC178">
            <v>0</v>
          </cell>
          <cell r="AD178">
            <v>245</v>
          </cell>
          <cell r="AE178">
            <v>0</v>
          </cell>
          <cell r="AG178">
            <v>1738</v>
          </cell>
          <cell r="AH178">
            <v>0</v>
          </cell>
          <cell r="AI178">
            <v>1738</v>
          </cell>
          <cell r="AJ178">
            <v>0</v>
          </cell>
          <cell r="AK178">
            <v>245</v>
          </cell>
          <cell r="AL178">
            <v>0</v>
          </cell>
          <cell r="AM178">
            <v>0</v>
          </cell>
          <cell r="AN178">
            <v>245</v>
          </cell>
          <cell r="AO178">
            <v>0</v>
          </cell>
          <cell r="AQ178">
            <v>1738</v>
          </cell>
          <cell r="AR178">
            <v>0</v>
          </cell>
          <cell r="AS178">
            <v>1738</v>
          </cell>
          <cell r="AT178">
            <v>0</v>
          </cell>
          <cell r="AU178">
            <v>245</v>
          </cell>
          <cell r="AV178">
            <v>0</v>
          </cell>
          <cell r="AW178">
            <v>0</v>
          </cell>
          <cell r="AX178">
            <v>245</v>
          </cell>
          <cell r="AY178">
            <v>0</v>
          </cell>
          <cell r="BA178">
            <v>1738</v>
          </cell>
          <cell r="BB178">
            <v>0</v>
          </cell>
          <cell r="BC178">
            <v>1738</v>
          </cell>
          <cell r="BD178">
            <v>0</v>
          </cell>
          <cell r="BE178">
            <v>245</v>
          </cell>
          <cell r="BF178">
            <v>0</v>
          </cell>
          <cell r="BG178">
            <v>0</v>
          </cell>
          <cell r="BH178">
            <v>245</v>
          </cell>
          <cell r="BI178">
            <v>0</v>
          </cell>
          <cell r="BK178">
            <v>1818</v>
          </cell>
          <cell r="BL178">
            <v>0</v>
          </cell>
          <cell r="BM178">
            <v>1818</v>
          </cell>
          <cell r="BN178">
            <v>0</v>
          </cell>
          <cell r="BO178">
            <v>245</v>
          </cell>
          <cell r="BP178">
            <v>0</v>
          </cell>
          <cell r="BQ178">
            <v>0</v>
          </cell>
          <cell r="BR178">
            <v>245</v>
          </cell>
          <cell r="BS178">
            <v>0</v>
          </cell>
          <cell r="BU178">
            <v>1818</v>
          </cell>
          <cell r="BV178">
            <v>0</v>
          </cell>
          <cell r="BW178">
            <v>1818</v>
          </cell>
          <cell r="BX178">
            <v>0</v>
          </cell>
          <cell r="BY178">
            <v>245</v>
          </cell>
          <cell r="BZ178">
            <v>0</v>
          </cell>
          <cell r="CA178">
            <v>0</v>
          </cell>
          <cell r="CB178">
            <v>245</v>
          </cell>
          <cell r="CC178">
            <v>0</v>
          </cell>
          <cell r="CE178">
            <v>1818</v>
          </cell>
          <cell r="CF178">
            <v>0</v>
          </cell>
          <cell r="CG178">
            <v>1818</v>
          </cell>
          <cell r="CH178">
            <v>0</v>
          </cell>
          <cell r="CI178">
            <v>245</v>
          </cell>
          <cell r="CJ178">
            <v>0</v>
          </cell>
          <cell r="CK178">
            <v>0</v>
          </cell>
          <cell r="CL178">
            <v>245</v>
          </cell>
          <cell r="CM178">
            <v>0</v>
          </cell>
          <cell r="CO178">
            <v>1818</v>
          </cell>
          <cell r="CP178">
            <v>0</v>
          </cell>
          <cell r="CQ178">
            <v>1818</v>
          </cell>
          <cell r="CR178">
            <v>0</v>
          </cell>
          <cell r="CS178">
            <v>245</v>
          </cell>
          <cell r="CT178">
            <v>0</v>
          </cell>
          <cell r="CU178">
            <v>0</v>
          </cell>
          <cell r="CV178">
            <v>245</v>
          </cell>
          <cell r="CW178">
            <v>0</v>
          </cell>
          <cell r="CY178">
            <v>1818</v>
          </cell>
          <cell r="CZ178">
            <v>0</v>
          </cell>
          <cell r="DA178">
            <v>1818</v>
          </cell>
          <cell r="DB178">
            <v>0</v>
          </cell>
          <cell r="DC178">
            <v>0</v>
          </cell>
          <cell r="DD178">
            <v>0</v>
          </cell>
          <cell r="DE178">
            <v>0</v>
          </cell>
          <cell r="DF178">
            <v>0</v>
          </cell>
          <cell r="DG178">
            <v>0</v>
          </cell>
          <cell r="DI178">
            <v>70634</v>
          </cell>
          <cell r="DJ178">
            <v>17676</v>
          </cell>
          <cell r="DK178">
            <v>0</v>
          </cell>
          <cell r="DL178">
            <v>17676</v>
          </cell>
          <cell r="DM178">
            <v>17676</v>
          </cell>
          <cell r="DN178">
            <v>0</v>
          </cell>
          <cell r="DO178">
            <v>17676</v>
          </cell>
          <cell r="DP178">
            <v>2205</v>
          </cell>
          <cell r="DQ178">
            <v>0</v>
          </cell>
          <cell r="DR178">
            <v>0</v>
          </cell>
          <cell r="DS178">
            <v>2205</v>
          </cell>
          <cell r="DT178">
            <v>37557</v>
          </cell>
          <cell r="DU178">
            <v>0</v>
          </cell>
          <cell r="DW178">
            <v>0</v>
          </cell>
          <cell r="DX178">
            <v>0</v>
          </cell>
          <cell r="DY178">
            <v>74251</v>
          </cell>
          <cell r="DZ178">
            <v>77868</v>
          </cell>
          <cell r="EA178">
            <v>81589</v>
          </cell>
          <cell r="EB178">
            <v>85310</v>
          </cell>
          <cell r="EC178">
            <v>89031</v>
          </cell>
          <cell r="ED178">
            <v>92912</v>
          </cell>
          <cell r="EE178">
            <v>96793</v>
          </cell>
          <cell r="EF178">
            <v>100674</v>
          </cell>
          <cell r="EG178">
            <v>104555</v>
          </cell>
          <cell r="EH178">
            <v>108191</v>
          </cell>
          <cell r="EI178">
            <v>911174</v>
          </cell>
          <cell r="EK178">
            <v>0</v>
          </cell>
          <cell r="EL178">
            <v>0</v>
          </cell>
          <cell r="EM178">
            <v>495.00666666666666</v>
          </cell>
          <cell r="EN178">
            <v>519.12</v>
          </cell>
          <cell r="EO178">
            <v>543.92666666666662</v>
          </cell>
          <cell r="EP178">
            <v>568.73333333333335</v>
          </cell>
          <cell r="EQ178">
            <v>593.54</v>
          </cell>
          <cell r="ER178">
            <v>619.4133333333333</v>
          </cell>
          <cell r="ES178">
            <v>693.68316666666658</v>
          </cell>
          <cell r="ET178">
            <v>721.49699999999996</v>
          </cell>
          <cell r="EU178">
            <v>749.31083333333333</v>
          </cell>
          <cell r="EV178">
            <v>775.36883333333333</v>
          </cell>
          <cell r="EW178">
            <v>6279.5998333333328</v>
          </cell>
          <cell r="EY178">
            <v>500961</v>
          </cell>
          <cell r="EZ178">
            <v>8</v>
          </cell>
          <cell r="FA178">
            <v>3339.74</v>
          </cell>
          <cell r="FB178">
            <v>410213</v>
          </cell>
          <cell r="FC178">
            <v>8.6</v>
          </cell>
          <cell r="FD178">
            <v>2939.8598333333334</v>
          </cell>
          <cell r="FE178">
            <v>6279.5998333333337</v>
          </cell>
          <cell r="FF178">
            <v>114471</v>
          </cell>
          <cell r="FH178">
            <v>114471</v>
          </cell>
        </row>
        <row r="179">
          <cell r="B179">
            <v>9089</v>
          </cell>
          <cell r="C179" t="str">
            <v>13.04.2007</v>
          </cell>
          <cell r="D179" t="str">
            <v>Ashtekar Dnyaneshwar Gangaram</v>
          </cell>
          <cell r="F179">
            <v>45663</v>
          </cell>
          <cell r="G179">
            <v>55194</v>
          </cell>
          <cell r="H179">
            <v>45100</v>
          </cell>
          <cell r="I179">
            <v>45100</v>
          </cell>
          <cell r="J179">
            <v>90200</v>
          </cell>
          <cell r="K179">
            <v>44537</v>
          </cell>
          <cell r="M179">
            <v>1686</v>
          </cell>
          <cell r="N179">
            <v>0</v>
          </cell>
          <cell r="O179">
            <v>1686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W179">
            <v>1686</v>
          </cell>
          <cell r="X179">
            <v>0</v>
          </cell>
          <cell r="Y179">
            <v>1686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G179">
            <v>1738</v>
          </cell>
          <cell r="AH179">
            <v>0</v>
          </cell>
          <cell r="AI179">
            <v>1738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Q179">
            <v>1738</v>
          </cell>
          <cell r="AR179">
            <v>0</v>
          </cell>
          <cell r="AS179">
            <v>1738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BA179">
            <v>1738</v>
          </cell>
          <cell r="BB179">
            <v>0</v>
          </cell>
          <cell r="BC179">
            <v>1738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K179">
            <v>1818</v>
          </cell>
          <cell r="BL179">
            <v>0</v>
          </cell>
          <cell r="BM179">
            <v>1818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U179">
            <v>1818</v>
          </cell>
          <cell r="BV179">
            <v>0</v>
          </cell>
          <cell r="BW179">
            <v>1818</v>
          </cell>
          <cell r="BX179">
            <v>0</v>
          </cell>
          <cell r="BY179">
            <v>0</v>
          </cell>
          <cell r="BZ179">
            <v>0</v>
          </cell>
          <cell r="CA179">
            <v>0</v>
          </cell>
          <cell r="CB179">
            <v>0</v>
          </cell>
          <cell r="CC179">
            <v>0</v>
          </cell>
          <cell r="CE179">
            <v>1818</v>
          </cell>
          <cell r="CF179">
            <v>0</v>
          </cell>
          <cell r="CG179">
            <v>1818</v>
          </cell>
          <cell r="CH179">
            <v>0</v>
          </cell>
          <cell r="CI179">
            <v>0</v>
          </cell>
          <cell r="CJ179">
            <v>0</v>
          </cell>
          <cell r="CK179">
            <v>0</v>
          </cell>
          <cell r="CL179">
            <v>0</v>
          </cell>
          <cell r="CM179">
            <v>0</v>
          </cell>
          <cell r="CO179">
            <v>1818</v>
          </cell>
          <cell r="CP179">
            <v>0</v>
          </cell>
          <cell r="CQ179">
            <v>1818</v>
          </cell>
          <cell r="CR179">
            <v>0</v>
          </cell>
          <cell r="CS179">
            <v>0</v>
          </cell>
          <cell r="CT179">
            <v>0</v>
          </cell>
          <cell r="CU179">
            <v>0</v>
          </cell>
          <cell r="CV179">
            <v>0</v>
          </cell>
          <cell r="CW179">
            <v>0</v>
          </cell>
          <cell r="CY179">
            <v>1818</v>
          </cell>
          <cell r="CZ179">
            <v>0</v>
          </cell>
          <cell r="DA179">
            <v>1818</v>
          </cell>
          <cell r="DB179">
            <v>0</v>
          </cell>
          <cell r="DC179">
            <v>0</v>
          </cell>
          <cell r="DD179">
            <v>0</v>
          </cell>
          <cell r="DE179">
            <v>0</v>
          </cell>
          <cell r="DF179">
            <v>0</v>
          </cell>
          <cell r="DG179">
            <v>0</v>
          </cell>
          <cell r="DI179">
            <v>90200</v>
          </cell>
          <cell r="DJ179">
            <v>17676</v>
          </cell>
          <cell r="DK179">
            <v>0</v>
          </cell>
          <cell r="DL179">
            <v>17676</v>
          </cell>
          <cell r="DM179">
            <v>17676</v>
          </cell>
          <cell r="DN179">
            <v>0</v>
          </cell>
          <cell r="DO179">
            <v>17676</v>
          </cell>
          <cell r="DP179">
            <v>0</v>
          </cell>
          <cell r="DQ179">
            <v>0</v>
          </cell>
          <cell r="DR179">
            <v>0</v>
          </cell>
          <cell r="DS179">
            <v>0</v>
          </cell>
          <cell r="DT179">
            <v>35352</v>
          </cell>
          <cell r="DU179">
            <v>0</v>
          </cell>
          <cell r="DW179">
            <v>0</v>
          </cell>
          <cell r="DX179">
            <v>0</v>
          </cell>
          <cell r="DY179">
            <v>93572</v>
          </cell>
          <cell r="DZ179">
            <v>96944</v>
          </cell>
          <cell r="EA179">
            <v>100420</v>
          </cell>
          <cell r="EB179">
            <v>103896</v>
          </cell>
          <cell r="EC179">
            <v>107372</v>
          </cell>
          <cell r="ED179">
            <v>111008</v>
          </cell>
          <cell r="EE179">
            <v>114644</v>
          </cell>
          <cell r="EF179">
            <v>118280</v>
          </cell>
          <cell r="EG179">
            <v>121916</v>
          </cell>
          <cell r="EH179">
            <v>125552</v>
          </cell>
          <cell r="EI179">
            <v>1093604</v>
          </cell>
          <cell r="EK179">
            <v>0</v>
          </cell>
          <cell r="EL179">
            <v>0</v>
          </cell>
          <cell r="EM179">
            <v>623.81333333333339</v>
          </cell>
          <cell r="EN179">
            <v>646.29333333333341</v>
          </cell>
          <cell r="EO179">
            <v>669.4666666666667</v>
          </cell>
          <cell r="EP179">
            <v>692.64</v>
          </cell>
          <cell r="EQ179">
            <v>715.81333333333339</v>
          </cell>
          <cell r="ER179">
            <v>740.05333333333328</v>
          </cell>
          <cell r="ES179">
            <v>821.61533333333318</v>
          </cell>
          <cell r="ET179">
            <v>847.67333333333329</v>
          </cell>
          <cell r="EU179">
            <v>873.73133333333328</v>
          </cell>
          <cell r="EV179">
            <v>899.78933333333327</v>
          </cell>
          <cell r="EW179">
            <v>7530.8893333333326</v>
          </cell>
          <cell r="EY179">
            <v>613212</v>
          </cell>
          <cell r="EZ179">
            <v>8</v>
          </cell>
          <cell r="FA179">
            <v>4088.08</v>
          </cell>
          <cell r="FB179">
            <v>480392</v>
          </cell>
          <cell r="FC179">
            <v>8.6</v>
          </cell>
          <cell r="FD179">
            <v>3442.8093333333331</v>
          </cell>
          <cell r="FE179">
            <v>7530.8893333333326</v>
          </cell>
          <cell r="FF179">
            <v>133083</v>
          </cell>
          <cell r="FH179">
            <v>133083</v>
          </cell>
        </row>
        <row r="180">
          <cell r="B180">
            <v>9090</v>
          </cell>
          <cell r="C180" t="str">
            <v>13.04.2007</v>
          </cell>
          <cell r="D180" t="str">
            <v>Shinde Chandu Sadashiv</v>
          </cell>
          <cell r="F180">
            <v>40313</v>
          </cell>
          <cell r="G180">
            <v>46805</v>
          </cell>
          <cell r="H180">
            <v>23135</v>
          </cell>
          <cell r="I180">
            <v>23135</v>
          </cell>
          <cell r="J180">
            <v>46270</v>
          </cell>
          <cell r="K180">
            <v>5957</v>
          </cell>
          <cell r="M180">
            <v>1485</v>
          </cell>
          <cell r="N180">
            <v>0</v>
          </cell>
          <cell r="O180">
            <v>1485</v>
          </cell>
          <cell r="P180">
            <v>0</v>
          </cell>
          <cell r="Q180">
            <v>340</v>
          </cell>
          <cell r="R180">
            <v>0</v>
          </cell>
          <cell r="S180">
            <v>0</v>
          </cell>
          <cell r="T180">
            <v>340</v>
          </cell>
          <cell r="U180">
            <v>0</v>
          </cell>
          <cell r="W180">
            <v>1485</v>
          </cell>
          <cell r="X180">
            <v>0</v>
          </cell>
          <cell r="Y180">
            <v>1485</v>
          </cell>
          <cell r="Z180">
            <v>0</v>
          </cell>
          <cell r="AA180">
            <v>340</v>
          </cell>
          <cell r="AB180">
            <v>0</v>
          </cell>
          <cell r="AC180">
            <v>0</v>
          </cell>
          <cell r="AD180">
            <v>340</v>
          </cell>
          <cell r="AE180">
            <v>0</v>
          </cell>
          <cell r="AG180">
            <v>1485</v>
          </cell>
          <cell r="AH180">
            <v>0</v>
          </cell>
          <cell r="AI180">
            <v>1485</v>
          </cell>
          <cell r="AJ180">
            <v>0</v>
          </cell>
          <cell r="AK180">
            <v>340</v>
          </cell>
          <cell r="AL180">
            <v>0</v>
          </cell>
          <cell r="AM180">
            <v>0</v>
          </cell>
          <cell r="AN180">
            <v>340</v>
          </cell>
          <cell r="AO180">
            <v>0</v>
          </cell>
          <cell r="AQ180">
            <v>1485</v>
          </cell>
          <cell r="AR180">
            <v>0</v>
          </cell>
          <cell r="AS180">
            <v>1485</v>
          </cell>
          <cell r="AT180">
            <v>0</v>
          </cell>
          <cell r="AU180">
            <v>340</v>
          </cell>
          <cell r="AV180">
            <v>0</v>
          </cell>
          <cell r="AW180">
            <v>0</v>
          </cell>
          <cell r="AX180">
            <v>340</v>
          </cell>
          <cell r="AY180">
            <v>0</v>
          </cell>
          <cell r="BA180">
            <v>1485</v>
          </cell>
          <cell r="BB180">
            <v>0</v>
          </cell>
          <cell r="BC180">
            <v>1485</v>
          </cell>
          <cell r="BD180">
            <v>0</v>
          </cell>
          <cell r="BE180">
            <v>340</v>
          </cell>
          <cell r="BF180">
            <v>0</v>
          </cell>
          <cell r="BG180">
            <v>0</v>
          </cell>
          <cell r="BH180">
            <v>340</v>
          </cell>
          <cell r="BI180">
            <v>0</v>
          </cell>
          <cell r="BK180">
            <v>1554</v>
          </cell>
          <cell r="BL180">
            <v>0</v>
          </cell>
          <cell r="BM180">
            <v>1554</v>
          </cell>
          <cell r="BN180">
            <v>0</v>
          </cell>
          <cell r="BO180">
            <v>340</v>
          </cell>
          <cell r="BP180">
            <v>0</v>
          </cell>
          <cell r="BQ180">
            <v>0</v>
          </cell>
          <cell r="BR180">
            <v>340</v>
          </cell>
          <cell r="BS180">
            <v>0</v>
          </cell>
          <cell r="BU180">
            <v>1554</v>
          </cell>
          <cell r="BV180">
            <v>0</v>
          </cell>
          <cell r="BW180">
            <v>1554</v>
          </cell>
          <cell r="BX180">
            <v>0</v>
          </cell>
          <cell r="BY180">
            <v>340</v>
          </cell>
          <cell r="BZ180">
            <v>0</v>
          </cell>
          <cell r="CA180">
            <v>0</v>
          </cell>
          <cell r="CB180">
            <v>340</v>
          </cell>
          <cell r="CC180">
            <v>0</v>
          </cell>
          <cell r="CE180">
            <v>1554</v>
          </cell>
          <cell r="CF180">
            <v>0</v>
          </cell>
          <cell r="CG180">
            <v>1554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O180">
            <v>1554</v>
          </cell>
          <cell r="CP180">
            <v>0</v>
          </cell>
          <cell r="CQ180">
            <v>1554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Y180">
            <v>1554</v>
          </cell>
          <cell r="CZ180">
            <v>0</v>
          </cell>
          <cell r="DA180">
            <v>1554</v>
          </cell>
          <cell r="DB180">
            <v>0</v>
          </cell>
          <cell r="DC180">
            <v>0</v>
          </cell>
          <cell r="DD180">
            <v>0</v>
          </cell>
          <cell r="DE180">
            <v>0</v>
          </cell>
          <cell r="DF180">
            <v>0</v>
          </cell>
          <cell r="DG180">
            <v>0</v>
          </cell>
          <cell r="DI180">
            <v>46270</v>
          </cell>
          <cell r="DJ180">
            <v>15195</v>
          </cell>
          <cell r="DK180">
            <v>0</v>
          </cell>
          <cell r="DL180">
            <v>15195</v>
          </cell>
          <cell r="DM180">
            <v>15195</v>
          </cell>
          <cell r="DN180">
            <v>0</v>
          </cell>
          <cell r="DO180">
            <v>15195</v>
          </cell>
          <cell r="DP180">
            <v>2380</v>
          </cell>
          <cell r="DQ180">
            <v>0</v>
          </cell>
          <cell r="DR180">
            <v>0</v>
          </cell>
          <cell r="DS180">
            <v>2380</v>
          </cell>
          <cell r="DT180">
            <v>32770</v>
          </cell>
          <cell r="DU180">
            <v>0</v>
          </cell>
          <cell r="DW180">
            <v>0</v>
          </cell>
          <cell r="DX180">
            <v>0</v>
          </cell>
          <cell r="DY180">
            <v>49580</v>
          </cell>
          <cell r="DZ180">
            <v>52890</v>
          </cell>
          <cell r="EA180">
            <v>56200</v>
          </cell>
          <cell r="EB180">
            <v>59510</v>
          </cell>
          <cell r="EC180">
            <v>62820</v>
          </cell>
          <cell r="ED180">
            <v>66268</v>
          </cell>
          <cell r="EE180">
            <v>69716</v>
          </cell>
          <cell r="EF180">
            <v>72824</v>
          </cell>
          <cell r="EG180">
            <v>75932</v>
          </cell>
          <cell r="EH180">
            <v>79040</v>
          </cell>
          <cell r="EI180">
            <v>644780</v>
          </cell>
          <cell r="EK180">
            <v>0</v>
          </cell>
          <cell r="EL180">
            <v>0</v>
          </cell>
          <cell r="EM180">
            <v>330.53333333333336</v>
          </cell>
          <cell r="EN180">
            <v>352.59999999999997</v>
          </cell>
          <cell r="EO180">
            <v>374.66666666666669</v>
          </cell>
          <cell r="EP180">
            <v>396.73333333333335</v>
          </cell>
          <cell r="EQ180">
            <v>418.8</v>
          </cell>
          <cell r="ER180">
            <v>441.78666666666663</v>
          </cell>
          <cell r="ES180">
            <v>499.63133333333332</v>
          </cell>
          <cell r="ET180">
            <v>521.90533333333337</v>
          </cell>
          <cell r="EU180">
            <v>544.17933333333326</v>
          </cell>
          <cell r="EV180">
            <v>566.45333333333326</v>
          </cell>
          <cell r="EW180">
            <v>4447.2893333333332</v>
          </cell>
          <cell r="EY180">
            <v>347268</v>
          </cell>
          <cell r="EZ180">
            <v>8</v>
          </cell>
          <cell r="FA180">
            <v>2315.12</v>
          </cell>
          <cell r="FB180">
            <v>297512</v>
          </cell>
          <cell r="FC180">
            <v>8.6</v>
          </cell>
          <cell r="FD180">
            <v>2132.1693333333328</v>
          </cell>
          <cell r="FE180">
            <v>4447.2893333333323</v>
          </cell>
          <cell r="FF180">
            <v>83487</v>
          </cell>
          <cell r="FH180">
            <v>83487</v>
          </cell>
        </row>
        <row r="181">
          <cell r="B181">
            <v>9091</v>
          </cell>
          <cell r="C181" t="str">
            <v>13.04.2007</v>
          </cell>
          <cell r="D181" t="str">
            <v>Gangurde Ashok Lalu</v>
          </cell>
          <cell r="F181">
            <v>39279</v>
          </cell>
          <cell r="G181">
            <v>46805</v>
          </cell>
          <cell r="H181">
            <v>29521</v>
          </cell>
          <cell r="I181">
            <v>29521</v>
          </cell>
          <cell r="J181">
            <v>59042</v>
          </cell>
          <cell r="K181">
            <v>19763</v>
          </cell>
          <cell r="M181">
            <v>1485</v>
          </cell>
          <cell r="N181">
            <v>0</v>
          </cell>
          <cell r="O181">
            <v>1485</v>
          </cell>
          <cell r="P181">
            <v>0</v>
          </cell>
          <cell r="Q181">
            <v>1555</v>
          </cell>
          <cell r="R181">
            <v>0</v>
          </cell>
          <cell r="S181">
            <v>0</v>
          </cell>
          <cell r="T181">
            <v>1555</v>
          </cell>
          <cell r="U181">
            <v>0</v>
          </cell>
          <cell r="W181">
            <v>1485</v>
          </cell>
          <cell r="X181">
            <v>0</v>
          </cell>
          <cell r="Y181">
            <v>1485</v>
          </cell>
          <cell r="Z181">
            <v>0</v>
          </cell>
          <cell r="AA181">
            <v>1555</v>
          </cell>
          <cell r="AB181">
            <v>0</v>
          </cell>
          <cell r="AC181">
            <v>0</v>
          </cell>
          <cell r="AD181">
            <v>1555</v>
          </cell>
          <cell r="AE181">
            <v>0</v>
          </cell>
          <cell r="AG181">
            <v>1485</v>
          </cell>
          <cell r="AH181">
            <v>0</v>
          </cell>
          <cell r="AI181">
            <v>1485</v>
          </cell>
          <cell r="AJ181">
            <v>0</v>
          </cell>
          <cell r="AK181">
            <v>1555</v>
          </cell>
          <cell r="AL181">
            <v>0</v>
          </cell>
          <cell r="AM181">
            <v>0</v>
          </cell>
          <cell r="AN181">
            <v>1555</v>
          </cell>
          <cell r="AO181">
            <v>0</v>
          </cell>
          <cell r="AQ181">
            <v>1485</v>
          </cell>
          <cell r="AR181">
            <v>0</v>
          </cell>
          <cell r="AS181">
            <v>1485</v>
          </cell>
          <cell r="AT181">
            <v>0</v>
          </cell>
          <cell r="AU181">
            <v>1555</v>
          </cell>
          <cell r="AV181">
            <v>0</v>
          </cell>
          <cell r="AW181">
            <v>0</v>
          </cell>
          <cell r="AX181">
            <v>1555</v>
          </cell>
          <cell r="AY181">
            <v>24995</v>
          </cell>
          <cell r="BA181">
            <v>1485</v>
          </cell>
          <cell r="BB181">
            <v>0</v>
          </cell>
          <cell r="BC181">
            <v>1485</v>
          </cell>
          <cell r="BD181">
            <v>0</v>
          </cell>
          <cell r="BE181">
            <v>2105</v>
          </cell>
          <cell r="BF181">
            <v>0</v>
          </cell>
          <cell r="BG181">
            <v>0</v>
          </cell>
          <cell r="BH181">
            <v>2105</v>
          </cell>
          <cell r="BI181">
            <v>0</v>
          </cell>
          <cell r="BK181">
            <v>1554</v>
          </cell>
          <cell r="BL181">
            <v>0</v>
          </cell>
          <cell r="BM181">
            <v>1554</v>
          </cell>
          <cell r="BN181">
            <v>0</v>
          </cell>
          <cell r="BO181">
            <v>2105</v>
          </cell>
          <cell r="BP181">
            <v>0</v>
          </cell>
          <cell r="BQ181">
            <v>0</v>
          </cell>
          <cell r="BR181">
            <v>2105</v>
          </cell>
          <cell r="BS181">
            <v>0</v>
          </cell>
          <cell r="BU181">
            <v>1554</v>
          </cell>
          <cell r="BV181">
            <v>0</v>
          </cell>
          <cell r="BW181">
            <v>1554</v>
          </cell>
          <cell r="BX181">
            <v>0</v>
          </cell>
          <cell r="BY181">
            <v>2105</v>
          </cell>
          <cell r="BZ181">
            <v>0</v>
          </cell>
          <cell r="CA181">
            <v>0</v>
          </cell>
          <cell r="CB181">
            <v>2105</v>
          </cell>
          <cell r="CC181">
            <v>0</v>
          </cell>
          <cell r="CE181">
            <v>1554</v>
          </cell>
          <cell r="CF181">
            <v>0</v>
          </cell>
          <cell r="CG181">
            <v>1554</v>
          </cell>
          <cell r="CH181">
            <v>0</v>
          </cell>
          <cell r="CI181">
            <v>2105</v>
          </cell>
          <cell r="CJ181">
            <v>0</v>
          </cell>
          <cell r="CK181">
            <v>0</v>
          </cell>
          <cell r="CL181">
            <v>2105</v>
          </cell>
          <cell r="CM181">
            <v>0</v>
          </cell>
          <cell r="CO181">
            <v>1554</v>
          </cell>
          <cell r="CP181">
            <v>0</v>
          </cell>
          <cell r="CQ181">
            <v>1554</v>
          </cell>
          <cell r="CR181">
            <v>0</v>
          </cell>
          <cell r="CS181">
            <v>2105</v>
          </cell>
          <cell r="CT181">
            <v>0</v>
          </cell>
          <cell r="CU181">
            <v>0</v>
          </cell>
          <cell r="CV181">
            <v>2105</v>
          </cell>
          <cell r="CW181">
            <v>0</v>
          </cell>
          <cell r="CY181">
            <v>1554</v>
          </cell>
          <cell r="CZ181">
            <v>0</v>
          </cell>
          <cell r="DA181">
            <v>1554</v>
          </cell>
          <cell r="DB181">
            <v>0</v>
          </cell>
          <cell r="DC181">
            <v>2105</v>
          </cell>
          <cell r="DD181">
            <v>0</v>
          </cell>
          <cell r="DE181">
            <v>0</v>
          </cell>
          <cell r="DF181">
            <v>2105</v>
          </cell>
          <cell r="DG181">
            <v>0</v>
          </cell>
          <cell r="DI181">
            <v>59042</v>
          </cell>
          <cell r="DJ181">
            <v>15195</v>
          </cell>
          <cell r="DK181">
            <v>0</v>
          </cell>
          <cell r="DL181">
            <v>15195</v>
          </cell>
          <cell r="DM181">
            <v>15195</v>
          </cell>
          <cell r="DN181">
            <v>0</v>
          </cell>
          <cell r="DO181">
            <v>15195</v>
          </cell>
          <cell r="DP181">
            <v>18850</v>
          </cell>
          <cell r="DQ181">
            <v>0</v>
          </cell>
          <cell r="DR181">
            <v>0</v>
          </cell>
          <cell r="DS181">
            <v>18850</v>
          </cell>
          <cell r="DT181">
            <v>49240</v>
          </cell>
          <cell r="DU181">
            <v>24995</v>
          </cell>
          <cell r="DW181">
            <v>0</v>
          </cell>
          <cell r="DX181">
            <v>0</v>
          </cell>
          <cell r="DY181">
            <v>63567</v>
          </cell>
          <cell r="DZ181">
            <v>68092</v>
          </cell>
          <cell r="EA181">
            <v>72617</v>
          </cell>
          <cell r="EB181">
            <v>52147</v>
          </cell>
          <cell r="EC181">
            <v>57222</v>
          </cell>
          <cell r="ED181">
            <v>62435</v>
          </cell>
          <cell r="EE181">
            <v>67648</v>
          </cell>
          <cell r="EF181">
            <v>72861</v>
          </cell>
          <cell r="EG181">
            <v>78074</v>
          </cell>
          <cell r="EH181">
            <v>83287</v>
          </cell>
          <cell r="EI181">
            <v>677950</v>
          </cell>
          <cell r="EK181">
            <v>0</v>
          </cell>
          <cell r="EL181">
            <v>0</v>
          </cell>
          <cell r="EM181">
            <v>423.78</v>
          </cell>
          <cell r="EN181">
            <v>453.94666666666666</v>
          </cell>
          <cell r="EO181">
            <v>484.11333333333329</v>
          </cell>
          <cell r="EP181">
            <v>347.6466666666667</v>
          </cell>
          <cell r="EQ181">
            <v>381.48</v>
          </cell>
          <cell r="ER181">
            <v>416.23333333333335</v>
          </cell>
          <cell r="ES181">
            <v>484.81066666666658</v>
          </cell>
          <cell r="ET181">
            <v>522.17049999999995</v>
          </cell>
          <cell r="EU181">
            <v>559.53033333333337</v>
          </cell>
          <cell r="EV181">
            <v>596.89016666666669</v>
          </cell>
          <cell r="EW181">
            <v>4670.6016666666665</v>
          </cell>
          <cell r="EY181">
            <v>376080</v>
          </cell>
          <cell r="EZ181">
            <v>8</v>
          </cell>
          <cell r="FA181">
            <v>2507.2000000000003</v>
          </cell>
          <cell r="FB181">
            <v>301870</v>
          </cell>
          <cell r="FC181">
            <v>8.6</v>
          </cell>
          <cell r="FD181">
            <v>2163.4016666666666</v>
          </cell>
          <cell r="FE181">
            <v>4670.6016666666674</v>
          </cell>
          <cell r="FF181">
            <v>87958</v>
          </cell>
          <cell r="FH181">
            <v>87958</v>
          </cell>
        </row>
        <row r="182">
          <cell r="B182">
            <v>9092</v>
          </cell>
          <cell r="C182" t="str">
            <v>13.04.2007</v>
          </cell>
          <cell r="D182" t="str">
            <v>Nade Santosh Bhaurao</v>
          </cell>
          <cell r="F182">
            <v>40252</v>
          </cell>
          <cell r="G182">
            <v>48349</v>
          </cell>
          <cell r="H182">
            <v>59064</v>
          </cell>
          <cell r="I182">
            <v>59064</v>
          </cell>
          <cell r="J182">
            <v>118128</v>
          </cell>
          <cell r="K182">
            <v>77876</v>
          </cell>
          <cell r="M182">
            <v>1485</v>
          </cell>
          <cell r="N182">
            <v>0</v>
          </cell>
          <cell r="O182">
            <v>1485</v>
          </cell>
          <cell r="P182">
            <v>0</v>
          </cell>
          <cell r="Q182">
            <v>1665</v>
          </cell>
          <cell r="R182">
            <v>0</v>
          </cell>
          <cell r="S182">
            <v>0</v>
          </cell>
          <cell r="T182">
            <v>1665</v>
          </cell>
          <cell r="U182">
            <v>0</v>
          </cell>
          <cell r="W182">
            <v>1485</v>
          </cell>
          <cell r="X182">
            <v>0</v>
          </cell>
          <cell r="Y182">
            <v>1485</v>
          </cell>
          <cell r="Z182">
            <v>0</v>
          </cell>
          <cell r="AA182">
            <v>1665</v>
          </cell>
          <cell r="AB182">
            <v>0</v>
          </cell>
          <cell r="AC182">
            <v>0</v>
          </cell>
          <cell r="AD182">
            <v>1665</v>
          </cell>
          <cell r="AE182">
            <v>0</v>
          </cell>
          <cell r="AG182">
            <v>1531</v>
          </cell>
          <cell r="AH182">
            <v>0</v>
          </cell>
          <cell r="AI182">
            <v>1531</v>
          </cell>
          <cell r="AJ182">
            <v>0</v>
          </cell>
          <cell r="AK182">
            <v>1665</v>
          </cell>
          <cell r="AL182">
            <v>0</v>
          </cell>
          <cell r="AM182">
            <v>0</v>
          </cell>
          <cell r="AN182">
            <v>1665</v>
          </cell>
          <cell r="AO182">
            <v>0</v>
          </cell>
          <cell r="AQ182">
            <v>1531</v>
          </cell>
          <cell r="AR182">
            <v>0</v>
          </cell>
          <cell r="AS182">
            <v>1531</v>
          </cell>
          <cell r="AT182">
            <v>0</v>
          </cell>
          <cell r="AU182">
            <v>1665</v>
          </cell>
          <cell r="AV182">
            <v>0</v>
          </cell>
          <cell r="AW182">
            <v>0</v>
          </cell>
          <cell r="AX182">
            <v>1665</v>
          </cell>
          <cell r="AY182">
            <v>29975</v>
          </cell>
          <cell r="BA182">
            <v>1531</v>
          </cell>
          <cell r="BB182">
            <v>0</v>
          </cell>
          <cell r="BC182">
            <v>1531</v>
          </cell>
          <cell r="BD182">
            <v>0</v>
          </cell>
          <cell r="BE182">
            <v>1915</v>
          </cell>
          <cell r="BF182">
            <v>0</v>
          </cell>
          <cell r="BG182">
            <v>0</v>
          </cell>
          <cell r="BH182">
            <v>1915</v>
          </cell>
          <cell r="BI182">
            <v>0</v>
          </cell>
          <cell r="BK182">
            <v>1602</v>
          </cell>
          <cell r="BL182">
            <v>0</v>
          </cell>
          <cell r="BM182">
            <v>1602</v>
          </cell>
          <cell r="BN182">
            <v>0</v>
          </cell>
          <cell r="BO182">
            <v>1915</v>
          </cell>
          <cell r="BP182">
            <v>0</v>
          </cell>
          <cell r="BQ182">
            <v>0</v>
          </cell>
          <cell r="BR182">
            <v>1915</v>
          </cell>
          <cell r="BS182">
            <v>0</v>
          </cell>
          <cell r="BU182">
            <v>1602</v>
          </cell>
          <cell r="BV182">
            <v>0</v>
          </cell>
          <cell r="BW182">
            <v>1602</v>
          </cell>
          <cell r="BX182">
            <v>0</v>
          </cell>
          <cell r="BY182">
            <v>1915</v>
          </cell>
          <cell r="BZ182">
            <v>0</v>
          </cell>
          <cell r="CA182">
            <v>0</v>
          </cell>
          <cell r="CB182">
            <v>1915</v>
          </cell>
          <cell r="CC182">
            <v>0</v>
          </cell>
          <cell r="CE182">
            <v>1602</v>
          </cell>
          <cell r="CF182">
            <v>0</v>
          </cell>
          <cell r="CG182">
            <v>1602</v>
          </cell>
          <cell r="CH182">
            <v>0</v>
          </cell>
          <cell r="CI182">
            <v>1915</v>
          </cell>
          <cell r="CJ182">
            <v>0</v>
          </cell>
          <cell r="CK182">
            <v>0</v>
          </cell>
          <cell r="CL182">
            <v>1915</v>
          </cell>
          <cell r="CM182">
            <v>0</v>
          </cell>
          <cell r="CO182">
            <v>1602</v>
          </cell>
          <cell r="CP182">
            <v>0</v>
          </cell>
          <cell r="CQ182">
            <v>1602</v>
          </cell>
          <cell r="CR182">
            <v>0</v>
          </cell>
          <cell r="CS182">
            <v>1915</v>
          </cell>
          <cell r="CT182">
            <v>0</v>
          </cell>
          <cell r="CU182">
            <v>0</v>
          </cell>
          <cell r="CV182">
            <v>1915</v>
          </cell>
          <cell r="CW182">
            <v>0</v>
          </cell>
          <cell r="CY182">
            <v>1602</v>
          </cell>
          <cell r="CZ182">
            <v>0</v>
          </cell>
          <cell r="DA182">
            <v>1602</v>
          </cell>
          <cell r="DB182">
            <v>0</v>
          </cell>
          <cell r="DC182">
            <v>1915</v>
          </cell>
          <cell r="DD182">
            <v>0</v>
          </cell>
          <cell r="DE182">
            <v>0</v>
          </cell>
          <cell r="DF182">
            <v>1915</v>
          </cell>
          <cell r="DG182">
            <v>0</v>
          </cell>
          <cell r="DI182">
            <v>118128</v>
          </cell>
          <cell r="DJ182">
            <v>15573</v>
          </cell>
          <cell r="DK182">
            <v>0</v>
          </cell>
          <cell r="DL182">
            <v>15573</v>
          </cell>
          <cell r="DM182">
            <v>15573</v>
          </cell>
          <cell r="DN182">
            <v>0</v>
          </cell>
          <cell r="DO182">
            <v>15573</v>
          </cell>
          <cell r="DP182">
            <v>18150</v>
          </cell>
          <cell r="DQ182">
            <v>0</v>
          </cell>
          <cell r="DR182">
            <v>0</v>
          </cell>
          <cell r="DS182">
            <v>18150</v>
          </cell>
          <cell r="DT182">
            <v>49296</v>
          </cell>
          <cell r="DU182">
            <v>29975</v>
          </cell>
          <cell r="DW182">
            <v>0</v>
          </cell>
          <cell r="DX182">
            <v>0</v>
          </cell>
          <cell r="DY182">
            <v>122763</v>
          </cell>
          <cell r="DZ182">
            <v>127398</v>
          </cell>
          <cell r="EA182">
            <v>132125</v>
          </cell>
          <cell r="EB182">
            <v>106877</v>
          </cell>
          <cell r="EC182">
            <v>111854</v>
          </cell>
          <cell r="ED182">
            <v>116973</v>
          </cell>
          <cell r="EE182">
            <v>122092</v>
          </cell>
          <cell r="EF182">
            <v>127211</v>
          </cell>
          <cell r="EG182">
            <v>132330</v>
          </cell>
          <cell r="EH182">
            <v>137449</v>
          </cell>
          <cell r="EI182">
            <v>1237072</v>
          </cell>
          <cell r="EK182">
            <v>0</v>
          </cell>
          <cell r="EL182">
            <v>0</v>
          </cell>
          <cell r="EM182">
            <v>818.42000000000007</v>
          </cell>
          <cell r="EN182">
            <v>849.32</v>
          </cell>
          <cell r="EO182">
            <v>880.83333333333337</v>
          </cell>
          <cell r="EP182">
            <v>712.51333333333332</v>
          </cell>
          <cell r="EQ182">
            <v>745.69333333333327</v>
          </cell>
          <cell r="ER182">
            <v>779.82</v>
          </cell>
          <cell r="ES182">
            <v>874.99266666666665</v>
          </cell>
          <cell r="ET182">
            <v>911.67883333333327</v>
          </cell>
          <cell r="EU182">
            <v>948.3649999999999</v>
          </cell>
          <cell r="EV182">
            <v>985.05116666666663</v>
          </cell>
          <cell r="EW182">
            <v>8506.6876666666667</v>
          </cell>
          <cell r="EY182">
            <v>717990</v>
          </cell>
          <cell r="EZ182">
            <v>8</v>
          </cell>
          <cell r="FA182">
            <v>4786.5999999999995</v>
          </cell>
          <cell r="FB182">
            <v>519082</v>
          </cell>
          <cell r="FC182">
            <v>8.6</v>
          </cell>
          <cell r="FD182">
            <v>3720.0876666666668</v>
          </cell>
          <cell r="FE182">
            <v>8506.6876666666667</v>
          </cell>
          <cell r="FF182">
            <v>145956</v>
          </cell>
          <cell r="FH182">
            <v>145956</v>
          </cell>
        </row>
        <row r="183">
          <cell r="B183">
            <v>9093</v>
          </cell>
          <cell r="C183" t="str">
            <v>13.04.2007</v>
          </cell>
          <cell r="D183" t="str">
            <v>Shaikh Abdul Rahim Chaman</v>
          </cell>
          <cell r="F183">
            <v>40373</v>
          </cell>
          <cell r="G183">
            <v>48349</v>
          </cell>
          <cell r="H183">
            <v>64256</v>
          </cell>
          <cell r="I183">
            <v>64256</v>
          </cell>
          <cell r="J183">
            <v>128512</v>
          </cell>
          <cell r="K183">
            <v>88139</v>
          </cell>
          <cell r="M183">
            <v>1485</v>
          </cell>
          <cell r="N183">
            <v>0</v>
          </cell>
          <cell r="O183">
            <v>1485</v>
          </cell>
          <cell r="P183">
            <v>0</v>
          </cell>
          <cell r="Q183">
            <v>1300</v>
          </cell>
          <cell r="R183">
            <v>0</v>
          </cell>
          <cell r="S183">
            <v>0</v>
          </cell>
          <cell r="T183">
            <v>1300</v>
          </cell>
          <cell r="U183">
            <v>0</v>
          </cell>
          <cell r="W183">
            <v>1485</v>
          </cell>
          <cell r="X183">
            <v>0</v>
          </cell>
          <cell r="Y183">
            <v>1485</v>
          </cell>
          <cell r="Z183">
            <v>0</v>
          </cell>
          <cell r="AA183">
            <v>1300</v>
          </cell>
          <cell r="AB183">
            <v>0</v>
          </cell>
          <cell r="AC183">
            <v>0</v>
          </cell>
          <cell r="AD183">
            <v>1300</v>
          </cell>
          <cell r="AE183">
            <v>0</v>
          </cell>
          <cell r="AG183">
            <v>1531</v>
          </cell>
          <cell r="AH183">
            <v>0</v>
          </cell>
          <cell r="AI183">
            <v>1531</v>
          </cell>
          <cell r="AJ183">
            <v>0</v>
          </cell>
          <cell r="AK183">
            <v>1300</v>
          </cell>
          <cell r="AL183">
            <v>0</v>
          </cell>
          <cell r="AM183">
            <v>0</v>
          </cell>
          <cell r="AN183">
            <v>1300</v>
          </cell>
          <cell r="AO183">
            <v>0</v>
          </cell>
          <cell r="AQ183">
            <v>1531</v>
          </cell>
          <cell r="AR183">
            <v>0</v>
          </cell>
          <cell r="AS183">
            <v>1531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BA183">
            <v>1531</v>
          </cell>
          <cell r="BB183">
            <v>0</v>
          </cell>
          <cell r="BC183">
            <v>1531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K183">
            <v>1602</v>
          </cell>
          <cell r="BL183">
            <v>0</v>
          </cell>
          <cell r="BM183">
            <v>1602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U183">
            <v>1602</v>
          </cell>
          <cell r="BV183">
            <v>0</v>
          </cell>
          <cell r="BW183">
            <v>1602</v>
          </cell>
          <cell r="BX183">
            <v>0</v>
          </cell>
          <cell r="BY183">
            <v>0</v>
          </cell>
          <cell r="BZ183">
            <v>0</v>
          </cell>
          <cell r="CA183">
            <v>0</v>
          </cell>
          <cell r="CB183">
            <v>0</v>
          </cell>
          <cell r="CC183">
            <v>0</v>
          </cell>
          <cell r="CE183">
            <v>1602</v>
          </cell>
          <cell r="CF183">
            <v>0</v>
          </cell>
          <cell r="CG183">
            <v>1602</v>
          </cell>
          <cell r="CH183">
            <v>0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M183">
            <v>0</v>
          </cell>
          <cell r="CO183">
            <v>1602</v>
          </cell>
          <cell r="CP183">
            <v>0</v>
          </cell>
          <cell r="CQ183">
            <v>1602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Y183">
            <v>1602</v>
          </cell>
          <cell r="CZ183">
            <v>0</v>
          </cell>
          <cell r="DA183">
            <v>1602</v>
          </cell>
          <cell r="DB183">
            <v>0</v>
          </cell>
          <cell r="DC183">
            <v>0</v>
          </cell>
          <cell r="DD183">
            <v>0</v>
          </cell>
          <cell r="DE183">
            <v>0</v>
          </cell>
          <cell r="DF183">
            <v>0</v>
          </cell>
          <cell r="DG183">
            <v>0</v>
          </cell>
          <cell r="DI183">
            <v>128512</v>
          </cell>
          <cell r="DJ183">
            <v>15573</v>
          </cell>
          <cell r="DK183">
            <v>0</v>
          </cell>
          <cell r="DL183">
            <v>15573</v>
          </cell>
          <cell r="DM183">
            <v>15573</v>
          </cell>
          <cell r="DN183">
            <v>0</v>
          </cell>
          <cell r="DO183">
            <v>15573</v>
          </cell>
          <cell r="DP183">
            <v>3900</v>
          </cell>
          <cell r="DQ183">
            <v>0</v>
          </cell>
          <cell r="DR183">
            <v>0</v>
          </cell>
          <cell r="DS183">
            <v>3900</v>
          </cell>
          <cell r="DT183">
            <v>35046</v>
          </cell>
          <cell r="DU183">
            <v>0</v>
          </cell>
          <cell r="DW183">
            <v>0</v>
          </cell>
          <cell r="DX183">
            <v>0</v>
          </cell>
          <cell r="DY183">
            <v>132782</v>
          </cell>
          <cell r="DZ183">
            <v>137052</v>
          </cell>
          <cell r="EA183">
            <v>141414</v>
          </cell>
          <cell r="EB183">
            <v>144476</v>
          </cell>
          <cell r="EC183">
            <v>147538</v>
          </cell>
          <cell r="ED183">
            <v>150742</v>
          </cell>
          <cell r="EE183">
            <v>153946</v>
          </cell>
          <cell r="EF183">
            <v>157150</v>
          </cell>
          <cell r="EG183">
            <v>160354</v>
          </cell>
          <cell r="EH183">
            <v>163558</v>
          </cell>
          <cell r="EI183">
            <v>1489012</v>
          </cell>
          <cell r="EK183">
            <v>0</v>
          </cell>
          <cell r="EL183">
            <v>0</v>
          </cell>
          <cell r="EM183">
            <v>885.21333333333325</v>
          </cell>
          <cell r="EN183">
            <v>913.68</v>
          </cell>
          <cell r="EO183">
            <v>942.7600000000001</v>
          </cell>
          <cell r="EP183">
            <v>963.17333333333329</v>
          </cell>
          <cell r="EQ183">
            <v>983.5866666666667</v>
          </cell>
          <cell r="ER183">
            <v>1004.9466666666667</v>
          </cell>
          <cell r="ES183">
            <v>1103.2796666666666</v>
          </cell>
          <cell r="ET183">
            <v>1126.2416666666666</v>
          </cell>
          <cell r="EU183">
            <v>1149.2036666666665</v>
          </cell>
          <cell r="EV183">
            <v>1172.1656666666668</v>
          </cell>
          <cell r="EW183">
            <v>10244.250666666667</v>
          </cell>
          <cell r="EY183">
            <v>854004</v>
          </cell>
          <cell r="EZ183">
            <v>8</v>
          </cell>
          <cell r="FA183">
            <v>5693.3600000000006</v>
          </cell>
          <cell r="FB183">
            <v>635008</v>
          </cell>
          <cell r="FC183">
            <v>8.6</v>
          </cell>
          <cell r="FD183">
            <v>4550.8906666666662</v>
          </cell>
          <cell r="FE183">
            <v>10244.250666666667</v>
          </cell>
          <cell r="FF183">
            <v>173802</v>
          </cell>
          <cell r="FH183">
            <v>173802</v>
          </cell>
        </row>
        <row r="184">
          <cell r="B184">
            <v>9094</v>
          </cell>
          <cell r="C184" t="str">
            <v>13.04.2007</v>
          </cell>
          <cell r="D184" t="str">
            <v>Beldar Mahesh Punjaram</v>
          </cell>
          <cell r="F184">
            <v>40373</v>
          </cell>
          <cell r="G184">
            <v>48349</v>
          </cell>
          <cell r="H184">
            <v>26492</v>
          </cell>
          <cell r="I184">
            <v>26492</v>
          </cell>
          <cell r="J184">
            <v>52984</v>
          </cell>
          <cell r="K184">
            <v>12611</v>
          </cell>
          <cell r="M184">
            <v>1485</v>
          </cell>
          <cell r="N184">
            <v>0</v>
          </cell>
          <cell r="O184">
            <v>1485</v>
          </cell>
          <cell r="P184">
            <v>0</v>
          </cell>
          <cell r="Q184">
            <v>725</v>
          </cell>
          <cell r="R184">
            <v>0</v>
          </cell>
          <cell r="S184">
            <v>0</v>
          </cell>
          <cell r="T184">
            <v>725</v>
          </cell>
          <cell r="U184">
            <v>0</v>
          </cell>
          <cell r="W184">
            <v>1485</v>
          </cell>
          <cell r="X184">
            <v>0</v>
          </cell>
          <cell r="Y184">
            <v>1485</v>
          </cell>
          <cell r="Z184">
            <v>0</v>
          </cell>
          <cell r="AA184">
            <v>725</v>
          </cell>
          <cell r="AB184">
            <v>0</v>
          </cell>
          <cell r="AC184">
            <v>0</v>
          </cell>
          <cell r="AD184">
            <v>725</v>
          </cell>
          <cell r="AE184">
            <v>0</v>
          </cell>
          <cell r="AG184">
            <v>1531</v>
          </cell>
          <cell r="AH184">
            <v>0</v>
          </cell>
          <cell r="AI184">
            <v>1531</v>
          </cell>
          <cell r="AJ184">
            <v>0</v>
          </cell>
          <cell r="AK184">
            <v>725</v>
          </cell>
          <cell r="AL184">
            <v>0</v>
          </cell>
          <cell r="AM184">
            <v>0</v>
          </cell>
          <cell r="AN184">
            <v>725</v>
          </cell>
          <cell r="AO184">
            <v>0</v>
          </cell>
          <cell r="AQ184">
            <v>1531</v>
          </cell>
          <cell r="AR184">
            <v>0</v>
          </cell>
          <cell r="AS184">
            <v>1531</v>
          </cell>
          <cell r="AT184">
            <v>0</v>
          </cell>
          <cell r="AU184">
            <v>725</v>
          </cell>
          <cell r="AV184">
            <v>0</v>
          </cell>
          <cell r="AW184">
            <v>0</v>
          </cell>
          <cell r="AX184">
            <v>725</v>
          </cell>
          <cell r="AY184">
            <v>0</v>
          </cell>
          <cell r="BA184">
            <v>1531</v>
          </cell>
          <cell r="BB184">
            <v>0</v>
          </cell>
          <cell r="BC184">
            <v>1531</v>
          </cell>
          <cell r="BD184">
            <v>0</v>
          </cell>
          <cell r="BE184">
            <v>725</v>
          </cell>
          <cell r="BF184">
            <v>0</v>
          </cell>
          <cell r="BG184">
            <v>0</v>
          </cell>
          <cell r="BH184">
            <v>725</v>
          </cell>
          <cell r="BI184">
            <v>0</v>
          </cell>
          <cell r="BK184">
            <v>1602</v>
          </cell>
          <cell r="BL184">
            <v>0</v>
          </cell>
          <cell r="BM184">
            <v>1602</v>
          </cell>
          <cell r="BN184">
            <v>0</v>
          </cell>
          <cell r="BO184">
            <v>725</v>
          </cell>
          <cell r="BP184">
            <v>0</v>
          </cell>
          <cell r="BQ184">
            <v>0</v>
          </cell>
          <cell r="BR184">
            <v>725</v>
          </cell>
          <cell r="BS184">
            <v>0</v>
          </cell>
          <cell r="BU184">
            <v>1602</v>
          </cell>
          <cell r="BV184">
            <v>0</v>
          </cell>
          <cell r="BW184">
            <v>1602</v>
          </cell>
          <cell r="BX184">
            <v>0</v>
          </cell>
          <cell r="BY184">
            <v>725</v>
          </cell>
          <cell r="BZ184">
            <v>0</v>
          </cell>
          <cell r="CA184">
            <v>0</v>
          </cell>
          <cell r="CB184">
            <v>725</v>
          </cell>
          <cell r="CC184">
            <v>0</v>
          </cell>
          <cell r="CE184">
            <v>1602</v>
          </cell>
          <cell r="CF184">
            <v>0</v>
          </cell>
          <cell r="CG184">
            <v>1602</v>
          </cell>
          <cell r="CH184">
            <v>0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  <cell r="CM184">
            <v>0</v>
          </cell>
          <cell r="CO184">
            <v>1602</v>
          </cell>
          <cell r="CP184">
            <v>0</v>
          </cell>
          <cell r="CQ184">
            <v>1602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Y184">
            <v>1602</v>
          </cell>
          <cell r="CZ184">
            <v>0</v>
          </cell>
          <cell r="DA184">
            <v>1602</v>
          </cell>
          <cell r="DB184">
            <v>0</v>
          </cell>
          <cell r="DC184">
            <v>0</v>
          </cell>
          <cell r="DD184">
            <v>0</v>
          </cell>
          <cell r="DE184">
            <v>0</v>
          </cell>
          <cell r="DF184">
            <v>0</v>
          </cell>
          <cell r="DG184">
            <v>0</v>
          </cell>
          <cell r="DI184">
            <v>52984</v>
          </cell>
          <cell r="DJ184">
            <v>15573</v>
          </cell>
          <cell r="DK184">
            <v>0</v>
          </cell>
          <cell r="DL184">
            <v>15573</v>
          </cell>
          <cell r="DM184">
            <v>15573</v>
          </cell>
          <cell r="DN184">
            <v>0</v>
          </cell>
          <cell r="DO184">
            <v>15573</v>
          </cell>
          <cell r="DP184">
            <v>5075</v>
          </cell>
          <cell r="DQ184">
            <v>0</v>
          </cell>
          <cell r="DR184">
            <v>0</v>
          </cell>
          <cell r="DS184">
            <v>5075</v>
          </cell>
          <cell r="DT184">
            <v>36221</v>
          </cell>
          <cell r="DU184">
            <v>0</v>
          </cell>
          <cell r="DW184">
            <v>0</v>
          </cell>
          <cell r="DX184">
            <v>0</v>
          </cell>
          <cell r="DY184">
            <v>56679</v>
          </cell>
          <cell r="DZ184">
            <v>60374</v>
          </cell>
          <cell r="EA184">
            <v>64161</v>
          </cell>
          <cell r="EB184">
            <v>67948</v>
          </cell>
          <cell r="EC184">
            <v>71735</v>
          </cell>
          <cell r="ED184">
            <v>75664</v>
          </cell>
          <cell r="EE184">
            <v>79593</v>
          </cell>
          <cell r="EF184">
            <v>82797</v>
          </cell>
          <cell r="EG184">
            <v>86001</v>
          </cell>
          <cell r="EH184">
            <v>89205</v>
          </cell>
          <cell r="EI184">
            <v>734157</v>
          </cell>
          <cell r="EK184">
            <v>0</v>
          </cell>
          <cell r="EL184">
            <v>0</v>
          </cell>
          <cell r="EM184">
            <v>377.85999999999996</v>
          </cell>
          <cell r="EN184">
            <v>402.49333333333334</v>
          </cell>
          <cell r="EO184">
            <v>427.74</v>
          </cell>
          <cell r="EP184">
            <v>452.98666666666668</v>
          </cell>
          <cell r="EQ184">
            <v>478.23333333333335</v>
          </cell>
          <cell r="ER184">
            <v>504.42666666666668</v>
          </cell>
          <cell r="ES184">
            <v>570.41649999999993</v>
          </cell>
          <cell r="ET184">
            <v>593.37849999999992</v>
          </cell>
          <cell r="EU184">
            <v>616.34049999999991</v>
          </cell>
          <cell r="EV184">
            <v>639.30250000000001</v>
          </cell>
          <cell r="EW184">
            <v>5063.1779999999999</v>
          </cell>
          <cell r="EY184">
            <v>396561</v>
          </cell>
          <cell r="EZ184">
            <v>8</v>
          </cell>
          <cell r="FA184">
            <v>2643.7400000000002</v>
          </cell>
          <cell r="FB184">
            <v>337596</v>
          </cell>
          <cell r="FC184">
            <v>8.6</v>
          </cell>
          <cell r="FD184">
            <v>2419.4380000000001</v>
          </cell>
          <cell r="FE184">
            <v>5063.1779999999999</v>
          </cell>
          <cell r="FF184">
            <v>94268</v>
          </cell>
          <cell r="FH184">
            <v>94268</v>
          </cell>
        </row>
        <row r="185">
          <cell r="B185">
            <v>9095</v>
          </cell>
          <cell r="C185" t="str">
            <v>13.04.2007</v>
          </cell>
          <cell r="D185" t="str">
            <v>Chauhan Surendra Ramkhelwan</v>
          </cell>
          <cell r="F185">
            <v>40373</v>
          </cell>
          <cell r="G185">
            <v>47557</v>
          </cell>
          <cell r="H185">
            <v>80389</v>
          </cell>
          <cell r="I185">
            <v>80389</v>
          </cell>
          <cell r="J185">
            <v>160778</v>
          </cell>
          <cell r="K185">
            <v>120405</v>
          </cell>
          <cell r="M185">
            <v>1485</v>
          </cell>
          <cell r="N185">
            <v>0</v>
          </cell>
          <cell r="O185">
            <v>1485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W185">
            <v>1485</v>
          </cell>
          <cell r="X185">
            <v>0</v>
          </cell>
          <cell r="Y185">
            <v>1485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G185">
            <v>1485</v>
          </cell>
          <cell r="AH185">
            <v>0</v>
          </cell>
          <cell r="AI185">
            <v>1485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Q185">
            <v>1485</v>
          </cell>
          <cell r="AR185">
            <v>0</v>
          </cell>
          <cell r="AS185">
            <v>1485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BA185">
            <v>1485</v>
          </cell>
          <cell r="BB185">
            <v>0</v>
          </cell>
          <cell r="BC185">
            <v>1485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K185">
            <v>1554</v>
          </cell>
          <cell r="BL185">
            <v>0</v>
          </cell>
          <cell r="BM185">
            <v>1554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U185">
            <v>1554</v>
          </cell>
          <cell r="BV185">
            <v>0</v>
          </cell>
          <cell r="BW185">
            <v>1554</v>
          </cell>
          <cell r="BX185">
            <v>0</v>
          </cell>
          <cell r="BY185">
            <v>0</v>
          </cell>
          <cell r="BZ185">
            <v>0</v>
          </cell>
          <cell r="CA185">
            <v>0</v>
          </cell>
          <cell r="CB185">
            <v>0</v>
          </cell>
          <cell r="CC185">
            <v>0</v>
          </cell>
          <cell r="CE185">
            <v>1554</v>
          </cell>
          <cell r="CF185">
            <v>0</v>
          </cell>
          <cell r="CG185">
            <v>1554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  <cell r="CL185">
            <v>0</v>
          </cell>
          <cell r="CM185">
            <v>0</v>
          </cell>
          <cell r="CO185">
            <v>1554</v>
          </cell>
          <cell r="CP185">
            <v>0</v>
          </cell>
          <cell r="CQ185">
            <v>1554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Y185">
            <v>1554</v>
          </cell>
          <cell r="CZ185">
            <v>0</v>
          </cell>
          <cell r="DA185">
            <v>1554</v>
          </cell>
          <cell r="DB185">
            <v>0</v>
          </cell>
          <cell r="DC185">
            <v>0</v>
          </cell>
          <cell r="DD185">
            <v>0</v>
          </cell>
          <cell r="DE185">
            <v>0</v>
          </cell>
          <cell r="DF185">
            <v>0</v>
          </cell>
          <cell r="DG185">
            <v>0</v>
          </cell>
          <cell r="DI185">
            <v>160778</v>
          </cell>
          <cell r="DJ185">
            <v>15195</v>
          </cell>
          <cell r="DK185">
            <v>0</v>
          </cell>
          <cell r="DL185">
            <v>15195</v>
          </cell>
          <cell r="DM185">
            <v>15195</v>
          </cell>
          <cell r="DN185">
            <v>0</v>
          </cell>
          <cell r="DO185">
            <v>15195</v>
          </cell>
          <cell r="DP185">
            <v>0</v>
          </cell>
          <cell r="DQ185">
            <v>0</v>
          </cell>
          <cell r="DR185">
            <v>0</v>
          </cell>
          <cell r="DS185">
            <v>0</v>
          </cell>
          <cell r="DT185">
            <v>30390</v>
          </cell>
          <cell r="DU185">
            <v>0</v>
          </cell>
          <cell r="DW185">
            <v>0</v>
          </cell>
          <cell r="DX185">
            <v>0</v>
          </cell>
          <cell r="DY185">
            <v>163748</v>
          </cell>
          <cell r="DZ185">
            <v>166718</v>
          </cell>
          <cell r="EA185">
            <v>169688</v>
          </cell>
          <cell r="EB185">
            <v>172658</v>
          </cell>
          <cell r="EC185">
            <v>175628</v>
          </cell>
          <cell r="ED185">
            <v>178736</v>
          </cell>
          <cell r="EE185">
            <v>181844</v>
          </cell>
          <cell r="EF185">
            <v>184952</v>
          </cell>
          <cell r="EG185">
            <v>188060</v>
          </cell>
          <cell r="EH185">
            <v>191168</v>
          </cell>
          <cell r="EI185">
            <v>1773200</v>
          </cell>
          <cell r="EK185">
            <v>0</v>
          </cell>
          <cell r="EL185">
            <v>0</v>
          </cell>
          <cell r="EM185">
            <v>1091.6533333333334</v>
          </cell>
          <cell r="EN185">
            <v>1111.4533333333334</v>
          </cell>
          <cell r="EO185">
            <v>1131.2533333333333</v>
          </cell>
          <cell r="EP185">
            <v>1151.0533333333333</v>
          </cell>
          <cell r="EQ185">
            <v>1170.8533333333332</v>
          </cell>
          <cell r="ER185">
            <v>1191.5733333333333</v>
          </cell>
          <cell r="ES185">
            <v>1303.2153333333333</v>
          </cell>
          <cell r="ET185">
            <v>1325.4893333333332</v>
          </cell>
          <cell r="EU185">
            <v>1347.7633333333333</v>
          </cell>
          <cell r="EV185">
            <v>1370.0373333333334</v>
          </cell>
          <cell r="EW185">
            <v>12194.345333333335</v>
          </cell>
          <cell r="EY185">
            <v>1027176</v>
          </cell>
          <cell r="EZ185">
            <v>8</v>
          </cell>
          <cell r="FA185">
            <v>6847.84</v>
          </cell>
          <cell r="FB185">
            <v>746024</v>
          </cell>
          <cell r="FC185">
            <v>8.6</v>
          </cell>
          <cell r="FD185">
            <v>5346.5053333333326</v>
          </cell>
          <cell r="FE185">
            <v>12194.345333333333</v>
          </cell>
          <cell r="FF185">
            <v>203362</v>
          </cell>
          <cell r="FH185">
            <v>203362</v>
          </cell>
        </row>
        <row r="186">
          <cell r="B186">
            <v>9096</v>
          </cell>
          <cell r="C186" t="str">
            <v>13.04.2007</v>
          </cell>
          <cell r="D186" t="str">
            <v>Adidravid Virmani Krushna</v>
          </cell>
          <cell r="F186">
            <v>40157</v>
          </cell>
          <cell r="G186">
            <v>47557</v>
          </cell>
          <cell r="H186">
            <v>29365</v>
          </cell>
          <cell r="I186">
            <v>29365</v>
          </cell>
          <cell r="J186">
            <v>58730</v>
          </cell>
          <cell r="K186">
            <v>18573</v>
          </cell>
          <cell r="M186">
            <v>1485</v>
          </cell>
          <cell r="N186">
            <v>0</v>
          </cell>
          <cell r="O186">
            <v>1485</v>
          </cell>
          <cell r="P186">
            <v>0</v>
          </cell>
          <cell r="Q186">
            <v>1475</v>
          </cell>
          <cell r="R186">
            <v>0</v>
          </cell>
          <cell r="S186">
            <v>0</v>
          </cell>
          <cell r="T186">
            <v>1475</v>
          </cell>
          <cell r="U186">
            <v>19950</v>
          </cell>
          <cell r="W186">
            <v>1485</v>
          </cell>
          <cell r="X186">
            <v>0</v>
          </cell>
          <cell r="Y186">
            <v>1485</v>
          </cell>
          <cell r="Z186">
            <v>0</v>
          </cell>
          <cell r="AA186">
            <v>1440</v>
          </cell>
          <cell r="AB186">
            <v>0</v>
          </cell>
          <cell r="AC186">
            <v>0</v>
          </cell>
          <cell r="AD186">
            <v>1440</v>
          </cell>
          <cell r="AE186">
            <v>0</v>
          </cell>
          <cell r="AG186">
            <v>1485</v>
          </cell>
          <cell r="AH186">
            <v>0</v>
          </cell>
          <cell r="AI186">
            <v>1485</v>
          </cell>
          <cell r="AJ186">
            <v>0</v>
          </cell>
          <cell r="AK186">
            <v>1440</v>
          </cell>
          <cell r="AL186">
            <v>0</v>
          </cell>
          <cell r="AM186">
            <v>0</v>
          </cell>
          <cell r="AN186">
            <v>1440</v>
          </cell>
          <cell r="AO186">
            <v>0</v>
          </cell>
          <cell r="AQ186">
            <v>1485</v>
          </cell>
          <cell r="AR186">
            <v>0</v>
          </cell>
          <cell r="AS186">
            <v>1485</v>
          </cell>
          <cell r="AT186">
            <v>0</v>
          </cell>
          <cell r="AU186">
            <v>1440</v>
          </cell>
          <cell r="AV186">
            <v>0</v>
          </cell>
          <cell r="AW186">
            <v>0</v>
          </cell>
          <cell r="AX186">
            <v>1440</v>
          </cell>
          <cell r="AY186">
            <v>0</v>
          </cell>
          <cell r="BA186">
            <v>1485</v>
          </cell>
          <cell r="BB186">
            <v>0</v>
          </cell>
          <cell r="BC186">
            <v>1485</v>
          </cell>
          <cell r="BD186">
            <v>0</v>
          </cell>
          <cell r="BE186">
            <v>1440</v>
          </cell>
          <cell r="BF186">
            <v>0</v>
          </cell>
          <cell r="BG186">
            <v>0</v>
          </cell>
          <cell r="BH186">
            <v>1440</v>
          </cell>
          <cell r="BI186">
            <v>0</v>
          </cell>
          <cell r="BK186">
            <v>1554</v>
          </cell>
          <cell r="BL186">
            <v>0</v>
          </cell>
          <cell r="BM186">
            <v>1554</v>
          </cell>
          <cell r="BN186">
            <v>0</v>
          </cell>
          <cell r="BO186">
            <v>1440</v>
          </cell>
          <cell r="BP186">
            <v>0</v>
          </cell>
          <cell r="BQ186">
            <v>0</v>
          </cell>
          <cell r="BR186">
            <v>1440</v>
          </cell>
          <cell r="BS186">
            <v>0</v>
          </cell>
          <cell r="BU186">
            <v>1554</v>
          </cell>
          <cell r="BV186">
            <v>0</v>
          </cell>
          <cell r="BW186">
            <v>1554</v>
          </cell>
          <cell r="BX186">
            <v>0</v>
          </cell>
          <cell r="BY186">
            <v>1440</v>
          </cell>
          <cell r="BZ186">
            <v>0</v>
          </cell>
          <cell r="CA186">
            <v>0</v>
          </cell>
          <cell r="CB186">
            <v>1440</v>
          </cell>
          <cell r="CC186">
            <v>0</v>
          </cell>
          <cell r="CE186">
            <v>1554</v>
          </cell>
          <cell r="CF186">
            <v>0</v>
          </cell>
          <cell r="CG186">
            <v>1554</v>
          </cell>
          <cell r="CH186">
            <v>0</v>
          </cell>
          <cell r="CI186">
            <v>1440</v>
          </cell>
          <cell r="CJ186">
            <v>0</v>
          </cell>
          <cell r="CK186">
            <v>0</v>
          </cell>
          <cell r="CL186">
            <v>1440</v>
          </cell>
          <cell r="CM186">
            <v>0</v>
          </cell>
          <cell r="CO186">
            <v>1554</v>
          </cell>
          <cell r="CP186">
            <v>0</v>
          </cell>
          <cell r="CQ186">
            <v>1554</v>
          </cell>
          <cell r="CR186">
            <v>0</v>
          </cell>
          <cell r="CS186">
            <v>1440</v>
          </cell>
          <cell r="CT186">
            <v>0</v>
          </cell>
          <cell r="CU186">
            <v>0</v>
          </cell>
          <cell r="CV186">
            <v>1440</v>
          </cell>
          <cell r="CW186">
            <v>0</v>
          </cell>
          <cell r="CY186">
            <v>1554</v>
          </cell>
          <cell r="CZ186">
            <v>0</v>
          </cell>
          <cell r="DA186">
            <v>1554</v>
          </cell>
          <cell r="DB186">
            <v>0</v>
          </cell>
          <cell r="DC186">
            <v>1440</v>
          </cell>
          <cell r="DD186">
            <v>0</v>
          </cell>
          <cell r="DE186">
            <v>0</v>
          </cell>
          <cell r="DF186">
            <v>1440</v>
          </cell>
          <cell r="DG186">
            <v>0</v>
          </cell>
          <cell r="DI186">
            <v>58730</v>
          </cell>
          <cell r="DJ186">
            <v>15195</v>
          </cell>
          <cell r="DK186">
            <v>0</v>
          </cell>
          <cell r="DL186">
            <v>15195</v>
          </cell>
          <cell r="DM186">
            <v>15195</v>
          </cell>
          <cell r="DN186">
            <v>0</v>
          </cell>
          <cell r="DO186">
            <v>15195</v>
          </cell>
          <cell r="DP186">
            <v>14435</v>
          </cell>
          <cell r="DQ186">
            <v>0</v>
          </cell>
          <cell r="DR186">
            <v>0</v>
          </cell>
          <cell r="DS186">
            <v>14435</v>
          </cell>
          <cell r="DT186">
            <v>44825</v>
          </cell>
          <cell r="DU186">
            <v>19950</v>
          </cell>
          <cell r="DW186">
            <v>0</v>
          </cell>
          <cell r="DX186">
            <v>0</v>
          </cell>
          <cell r="DY186">
            <v>43225</v>
          </cell>
          <cell r="DZ186">
            <v>47635</v>
          </cell>
          <cell r="EA186">
            <v>52045</v>
          </cell>
          <cell r="EB186">
            <v>56455</v>
          </cell>
          <cell r="EC186">
            <v>60865</v>
          </cell>
          <cell r="ED186">
            <v>65413</v>
          </cell>
          <cell r="EE186">
            <v>69961</v>
          </cell>
          <cell r="EF186">
            <v>74509</v>
          </cell>
          <cell r="EG186">
            <v>79057</v>
          </cell>
          <cell r="EH186">
            <v>83605</v>
          </cell>
          <cell r="EI186">
            <v>632770</v>
          </cell>
          <cell r="EK186">
            <v>0</v>
          </cell>
          <cell r="EL186">
            <v>0</v>
          </cell>
          <cell r="EM186">
            <v>288.16666666666669</v>
          </cell>
          <cell r="EN186">
            <v>317.56666666666666</v>
          </cell>
          <cell r="EO186">
            <v>346.9666666666667</v>
          </cell>
          <cell r="EP186">
            <v>376.36666666666662</v>
          </cell>
          <cell r="EQ186">
            <v>405.76666666666665</v>
          </cell>
          <cell r="ER186">
            <v>436.08666666666664</v>
          </cell>
          <cell r="ES186">
            <v>501.38716666666664</v>
          </cell>
          <cell r="ET186">
            <v>533.9811666666667</v>
          </cell>
          <cell r="EU186">
            <v>566.57516666666663</v>
          </cell>
          <cell r="EV186">
            <v>599.16916666666668</v>
          </cell>
          <cell r="EW186">
            <v>4372.032666666666</v>
          </cell>
          <cell r="EY186">
            <v>325638</v>
          </cell>
          <cell r="EZ186">
            <v>8</v>
          </cell>
          <cell r="FA186">
            <v>2170.92</v>
          </cell>
          <cell r="FB186">
            <v>307132</v>
          </cell>
          <cell r="FC186">
            <v>8.6</v>
          </cell>
          <cell r="FD186">
            <v>2201.1126666666664</v>
          </cell>
          <cell r="FE186">
            <v>4372.032666666666</v>
          </cell>
          <cell r="FF186">
            <v>87977</v>
          </cell>
          <cell r="FH186">
            <v>87977</v>
          </cell>
        </row>
        <row r="187">
          <cell r="B187">
            <v>9097</v>
          </cell>
          <cell r="C187" t="str">
            <v>13.04.2007</v>
          </cell>
          <cell r="D187" t="str">
            <v>Vincent Roy</v>
          </cell>
          <cell r="F187">
            <v>40373</v>
          </cell>
          <cell r="G187">
            <v>47557</v>
          </cell>
          <cell r="H187">
            <v>16990</v>
          </cell>
          <cell r="I187">
            <v>16990</v>
          </cell>
          <cell r="J187">
            <v>33980</v>
          </cell>
          <cell r="K187">
            <v>-6393</v>
          </cell>
          <cell r="M187">
            <v>1485</v>
          </cell>
          <cell r="N187">
            <v>0</v>
          </cell>
          <cell r="O187">
            <v>1485</v>
          </cell>
          <cell r="P187">
            <v>0</v>
          </cell>
          <cell r="Q187">
            <v>1230</v>
          </cell>
          <cell r="R187">
            <v>0</v>
          </cell>
          <cell r="S187">
            <v>0</v>
          </cell>
          <cell r="T187">
            <v>1230</v>
          </cell>
          <cell r="U187">
            <v>11820</v>
          </cell>
          <cell r="W187">
            <v>1485</v>
          </cell>
          <cell r="X187">
            <v>0</v>
          </cell>
          <cell r="Y187">
            <v>1485</v>
          </cell>
          <cell r="Z187">
            <v>0</v>
          </cell>
          <cell r="AA187">
            <v>1575</v>
          </cell>
          <cell r="AB187">
            <v>0</v>
          </cell>
          <cell r="AC187">
            <v>0</v>
          </cell>
          <cell r="AD187">
            <v>1575</v>
          </cell>
          <cell r="AE187">
            <v>0</v>
          </cell>
          <cell r="AG187">
            <v>1485</v>
          </cell>
          <cell r="AH187">
            <v>0</v>
          </cell>
          <cell r="AI187">
            <v>1485</v>
          </cell>
          <cell r="AJ187">
            <v>0</v>
          </cell>
          <cell r="AK187">
            <v>1575</v>
          </cell>
          <cell r="AL187">
            <v>0</v>
          </cell>
          <cell r="AM187">
            <v>0</v>
          </cell>
          <cell r="AN187">
            <v>1575</v>
          </cell>
          <cell r="AO187">
            <v>0</v>
          </cell>
          <cell r="AQ187">
            <v>1485</v>
          </cell>
          <cell r="AR187">
            <v>0</v>
          </cell>
          <cell r="AS187">
            <v>1485</v>
          </cell>
          <cell r="AT187">
            <v>0</v>
          </cell>
          <cell r="AU187">
            <v>1575</v>
          </cell>
          <cell r="AV187">
            <v>0</v>
          </cell>
          <cell r="AW187">
            <v>0</v>
          </cell>
          <cell r="AX187">
            <v>1575</v>
          </cell>
          <cell r="AY187">
            <v>0</v>
          </cell>
          <cell r="BA187">
            <v>1485</v>
          </cell>
          <cell r="BB187">
            <v>0</v>
          </cell>
          <cell r="BC187">
            <v>1485</v>
          </cell>
          <cell r="BD187">
            <v>0</v>
          </cell>
          <cell r="BE187">
            <v>1575</v>
          </cell>
          <cell r="BF187">
            <v>0</v>
          </cell>
          <cell r="BG187">
            <v>0</v>
          </cell>
          <cell r="BH187">
            <v>1575</v>
          </cell>
          <cell r="BI187">
            <v>0</v>
          </cell>
          <cell r="BK187">
            <v>1554</v>
          </cell>
          <cell r="BL187">
            <v>0</v>
          </cell>
          <cell r="BM187">
            <v>1554</v>
          </cell>
          <cell r="BN187">
            <v>0</v>
          </cell>
          <cell r="BO187">
            <v>1575</v>
          </cell>
          <cell r="BP187">
            <v>0</v>
          </cell>
          <cell r="BQ187">
            <v>0</v>
          </cell>
          <cell r="BR187">
            <v>1575</v>
          </cell>
          <cell r="BS187">
            <v>0</v>
          </cell>
          <cell r="BU187">
            <v>1554</v>
          </cell>
          <cell r="BV187">
            <v>0</v>
          </cell>
          <cell r="BW187">
            <v>1554</v>
          </cell>
          <cell r="BX187">
            <v>0</v>
          </cell>
          <cell r="BY187">
            <v>1575</v>
          </cell>
          <cell r="BZ187">
            <v>0</v>
          </cell>
          <cell r="CA187">
            <v>0</v>
          </cell>
          <cell r="CB187">
            <v>1575</v>
          </cell>
          <cell r="CC187">
            <v>0</v>
          </cell>
          <cell r="CE187">
            <v>1554</v>
          </cell>
          <cell r="CF187">
            <v>0</v>
          </cell>
          <cell r="CG187">
            <v>1554</v>
          </cell>
          <cell r="CH187">
            <v>0</v>
          </cell>
          <cell r="CI187">
            <v>1575</v>
          </cell>
          <cell r="CJ187">
            <v>0</v>
          </cell>
          <cell r="CK187">
            <v>0</v>
          </cell>
          <cell r="CL187">
            <v>1575</v>
          </cell>
          <cell r="CM187">
            <v>0</v>
          </cell>
          <cell r="CO187">
            <v>1554</v>
          </cell>
          <cell r="CP187">
            <v>0</v>
          </cell>
          <cell r="CQ187">
            <v>1554</v>
          </cell>
          <cell r="CR187">
            <v>0</v>
          </cell>
          <cell r="CS187">
            <v>1575</v>
          </cell>
          <cell r="CT187">
            <v>0</v>
          </cell>
          <cell r="CU187">
            <v>0</v>
          </cell>
          <cell r="CV187">
            <v>1575</v>
          </cell>
          <cell r="CW187">
            <v>0</v>
          </cell>
          <cell r="CY187">
            <v>1554</v>
          </cell>
          <cell r="CZ187">
            <v>0</v>
          </cell>
          <cell r="DA187">
            <v>1554</v>
          </cell>
          <cell r="DB187">
            <v>0</v>
          </cell>
          <cell r="DC187">
            <v>1575</v>
          </cell>
          <cell r="DD187">
            <v>0</v>
          </cell>
          <cell r="DE187">
            <v>0</v>
          </cell>
          <cell r="DF187">
            <v>1575</v>
          </cell>
          <cell r="DG187">
            <v>0</v>
          </cell>
          <cell r="DI187">
            <v>33980</v>
          </cell>
          <cell r="DJ187">
            <v>15195</v>
          </cell>
          <cell r="DK187">
            <v>0</v>
          </cell>
          <cell r="DL187">
            <v>15195</v>
          </cell>
          <cell r="DM187">
            <v>15195</v>
          </cell>
          <cell r="DN187">
            <v>0</v>
          </cell>
          <cell r="DO187">
            <v>15195</v>
          </cell>
          <cell r="DP187">
            <v>15405</v>
          </cell>
          <cell r="DQ187">
            <v>0</v>
          </cell>
          <cell r="DR187">
            <v>0</v>
          </cell>
          <cell r="DS187">
            <v>15405</v>
          </cell>
          <cell r="DT187">
            <v>45795</v>
          </cell>
          <cell r="DU187">
            <v>11820</v>
          </cell>
          <cell r="DW187">
            <v>0</v>
          </cell>
          <cell r="DX187">
            <v>0</v>
          </cell>
          <cell r="DY187">
            <v>26360</v>
          </cell>
          <cell r="DZ187">
            <v>30905</v>
          </cell>
          <cell r="EA187">
            <v>35450</v>
          </cell>
          <cell r="EB187">
            <v>39995</v>
          </cell>
          <cell r="EC187">
            <v>44540</v>
          </cell>
          <cell r="ED187">
            <v>49223</v>
          </cell>
          <cell r="EE187">
            <v>53906</v>
          </cell>
          <cell r="EF187">
            <v>58589</v>
          </cell>
          <cell r="EG187">
            <v>63272</v>
          </cell>
          <cell r="EH187">
            <v>67955</v>
          </cell>
          <cell r="EI187">
            <v>470195</v>
          </cell>
          <cell r="EK187">
            <v>0</v>
          </cell>
          <cell r="EL187">
            <v>0</v>
          </cell>
          <cell r="EM187">
            <v>175.73333333333335</v>
          </cell>
          <cell r="EN187">
            <v>206.03333333333333</v>
          </cell>
          <cell r="EO187">
            <v>236.33333333333334</v>
          </cell>
          <cell r="EP187">
            <v>266.63333333333333</v>
          </cell>
          <cell r="EQ187">
            <v>296.93333333333334</v>
          </cell>
          <cell r="ER187">
            <v>328.15333333333336</v>
          </cell>
          <cell r="ES187">
            <v>386.32633333333337</v>
          </cell>
          <cell r="ET187">
            <v>419.88783333333328</v>
          </cell>
          <cell r="EU187">
            <v>453.4493333333333</v>
          </cell>
          <cell r="EV187">
            <v>487.01083333333332</v>
          </cell>
          <cell r="EW187">
            <v>3256.4943333333335</v>
          </cell>
          <cell r="EY187">
            <v>226473</v>
          </cell>
          <cell r="EZ187">
            <v>8</v>
          </cell>
          <cell r="FA187">
            <v>1509.82</v>
          </cell>
          <cell r="FB187">
            <v>243722</v>
          </cell>
          <cell r="FC187">
            <v>8.6</v>
          </cell>
          <cell r="FD187">
            <v>1746.6743333333334</v>
          </cell>
          <cell r="FE187">
            <v>3256.4943333333331</v>
          </cell>
          <cell r="FF187">
            <v>71211</v>
          </cell>
          <cell r="FH187">
            <v>71211</v>
          </cell>
        </row>
        <row r="188">
          <cell r="B188">
            <v>9098</v>
          </cell>
          <cell r="C188" t="str">
            <v>13.04.2007</v>
          </cell>
          <cell r="D188" t="str">
            <v>Bacchav Anil Ramesh</v>
          </cell>
          <cell r="F188">
            <v>40373</v>
          </cell>
          <cell r="G188">
            <v>48349</v>
          </cell>
          <cell r="H188">
            <v>33335</v>
          </cell>
          <cell r="I188">
            <v>33335</v>
          </cell>
          <cell r="J188">
            <v>66670</v>
          </cell>
          <cell r="K188">
            <v>26297</v>
          </cell>
          <cell r="M188">
            <v>1485</v>
          </cell>
          <cell r="N188">
            <v>0</v>
          </cell>
          <cell r="O188">
            <v>1485</v>
          </cell>
          <cell r="P188">
            <v>0</v>
          </cell>
          <cell r="Q188">
            <v>885</v>
          </cell>
          <cell r="R188">
            <v>0</v>
          </cell>
          <cell r="S188">
            <v>0</v>
          </cell>
          <cell r="T188">
            <v>885</v>
          </cell>
          <cell r="U188">
            <v>0</v>
          </cell>
          <cell r="W188">
            <v>1485</v>
          </cell>
          <cell r="X188">
            <v>0</v>
          </cell>
          <cell r="Y188">
            <v>1485</v>
          </cell>
          <cell r="Z188">
            <v>0</v>
          </cell>
          <cell r="AA188">
            <v>885</v>
          </cell>
          <cell r="AB188">
            <v>0</v>
          </cell>
          <cell r="AC188">
            <v>0</v>
          </cell>
          <cell r="AD188">
            <v>885</v>
          </cell>
          <cell r="AE188">
            <v>0</v>
          </cell>
          <cell r="AG188">
            <v>1531</v>
          </cell>
          <cell r="AH188">
            <v>0</v>
          </cell>
          <cell r="AI188">
            <v>1531</v>
          </cell>
          <cell r="AJ188">
            <v>0</v>
          </cell>
          <cell r="AK188">
            <v>885</v>
          </cell>
          <cell r="AL188">
            <v>0</v>
          </cell>
          <cell r="AM188">
            <v>0</v>
          </cell>
          <cell r="AN188">
            <v>885</v>
          </cell>
          <cell r="AO188">
            <v>0</v>
          </cell>
          <cell r="AQ188">
            <v>1531</v>
          </cell>
          <cell r="AR188">
            <v>0</v>
          </cell>
          <cell r="AS188">
            <v>1531</v>
          </cell>
          <cell r="AT188">
            <v>0</v>
          </cell>
          <cell r="AU188">
            <v>885</v>
          </cell>
          <cell r="AV188">
            <v>0</v>
          </cell>
          <cell r="AW188">
            <v>0</v>
          </cell>
          <cell r="AX188">
            <v>885</v>
          </cell>
          <cell r="AY188">
            <v>0</v>
          </cell>
          <cell r="BA188">
            <v>1531</v>
          </cell>
          <cell r="BB188">
            <v>0</v>
          </cell>
          <cell r="BC188">
            <v>1531</v>
          </cell>
          <cell r="BD188">
            <v>0</v>
          </cell>
          <cell r="BE188">
            <v>885</v>
          </cell>
          <cell r="BF188">
            <v>0</v>
          </cell>
          <cell r="BG188">
            <v>0</v>
          </cell>
          <cell r="BH188">
            <v>885</v>
          </cell>
          <cell r="BI188">
            <v>0</v>
          </cell>
          <cell r="BK188">
            <v>1602</v>
          </cell>
          <cell r="BL188">
            <v>0</v>
          </cell>
          <cell r="BM188">
            <v>1602</v>
          </cell>
          <cell r="BN188">
            <v>0</v>
          </cell>
          <cell r="BO188">
            <v>885</v>
          </cell>
          <cell r="BP188">
            <v>0</v>
          </cell>
          <cell r="BQ188">
            <v>0</v>
          </cell>
          <cell r="BR188">
            <v>885</v>
          </cell>
          <cell r="BS188">
            <v>0</v>
          </cell>
          <cell r="BU188">
            <v>1602</v>
          </cell>
          <cell r="BV188">
            <v>0</v>
          </cell>
          <cell r="BW188">
            <v>1602</v>
          </cell>
          <cell r="BX188">
            <v>0</v>
          </cell>
          <cell r="BY188">
            <v>885</v>
          </cell>
          <cell r="BZ188">
            <v>0</v>
          </cell>
          <cell r="CA188">
            <v>0</v>
          </cell>
          <cell r="CB188">
            <v>885</v>
          </cell>
          <cell r="CC188">
            <v>0</v>
          </cell>
          <cell r="CE188">
            <v>1602</v>
          </cell>
          <cell r="CF188">
            <v>0</v>
          </cell>
          <cell r="CG188">
            <v>1602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O188">
            <v>1602</v>
          </cell>
          <cell r="CP188">
            <v>0</v>
          </cell>
          <cell r="CQ188">
            <v>1602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Y188">
            <v>1602</v>
          </cell>
          <cell r="CZ188">
            <v>0</v>
          </cell>
          <cell r="DA188">
            <v>1602</v>
          </cell>
          <cell r="DB188">
            <v>0</v>
          </cell>
          <cell r="DC188">
            <v>0</v>
          </cell>
          <cell r="DD188">
            <v>0</v>
          </cell>
          <cell r="DE188">
            <v>0</v>
          </cell>
          <cell r="DF188">
            <v>0</v>
          </cell>
          <cell r="DG188">
            <v>0</v>
          </cell>
          <cell r="DI188">
            <v>66670</v>
          </cell>
          <cell r="DJ188">
            <v>15573</v>
          </cell>
          <cell r="DK188">
            <v>0</v>
          </cell>
          <cell r="DL188">
            <v>15573</v>
          </cell>
          <cell r="DM188">
            <v>15573</v>
          </cell>
          <cell r="DN188">
            <v>0</v>
          </cell>
          <cell r="DO188">
            <v>15573</v>
          </cell>
          <cell r="DP188">
            <v>6195</v>
          </cell>
          <cell r="DQ188">
            <v>0</v>
          </cell>
          <cell r="DR188">
            <v>0</v>
          </cell>
          <cell r="DS188">
            <v>6195</v>
          </cell>
          <cell r="DT188">
            <v>37341</v>
          </cell>
          <cell r="DU188">
            <v>0</v>
          </cell>
          <cell r="DW188">
            <v>0</v>
          </cell>
          <cell r="DX188">
            <v>0</v>
          </cell>
          <cell r="DY188">
            <v>70525</v>
          </cell>
          <cell r="DZ188">
            <v>74380</v>
          </cell>
          <cell r="EA188">
            <v>78327</v>
          </cell>
          <cell r="EB188">
            <v>82274</v>
          </cell>
          <cell r="EC188">
            <v>86221</v>
          </cell>
          <cell r="ED188">
            <v>90310</v>
          </cell>
          <cell r="EE188">
            <v>94399</v>
          </cell>
          <cell r="EF188">
            <v>97603</v>
          </cell>
          <cell r="EG188">
            <v>100807</v>
          </cell>
          <cell r="EH188">
            <v>104011</v>
          </cell>
          <cell r="EI188">
            <v>878857</v>
          </cell>
          <cell r="EK188">
            <v>0</v>
          </cell>
          <cell r="EL188">
            <v>0</v>
          </cell>
          <cell r="EM188">
            <v>470.16666666666669</v>
          </cell>
          <cell r="EN188">
            <v>495.86666666666662</v>
          </cell>
          <cell r="EO188">
            <v>522.17999999999995</v>
          </cell>
          <cell r="EP188">
            <v>548.49333333333334</v>
          </cell>
          <cell r="EQ188">
            <v>574.80666666666673</v>
          </cell>
          <cell r="ER188">
            <v>602.06666666666672</v>
          </cell>
          <cell r="ES188">
            <v>676.52616666666665</v>
          </cell>
          <cell r="ET188">
            <v>699.48816666666664</v>
          </cell>
          <cell r="EU188">
            <v>722.45016666666663</v>
          </cell>
          <cell r="EV188">
            <v>745.41216666666662</v>
          </cell>
          <cell r="EW188">
            <v>6057.4566666666669</v>
          </cell>
          <cell r="EY188">
            <v>482037</v>
          </cell>
          <cell r="EZ188">
            <v>8</v>
          </cell>
          <cell r="FA188">
            <v>3213.58</v>
          </cell>
          <cell r="FB188">
            <v>396820</v>
          </cell>
          <cell r="FC188">
            <v>8.6</v>
          </cell>
          <cell r="FD188">
            <v>2843.8766666666666</v>
          </cell>
          <cell r="FE188">
            <v>6057.4566666666669</v>
          </cell>
          <cell r="FF188">
            <v>110068</v>
          </cell>
          <cell r="FH188">
            <v>110068</v>
          </cell>
        </row>
        <row r="189">
          <cell r="B189">
            <v>9099</v>
          </cell>
          <cell r="C189" t="str">
            <v>13.04.2007</v>
          </cell>
          <cell r="D189" t="str">
            <v>Pardeshi Manish Hariprasad</v>
          </cell>
          <cell r="F189">
            <v>40373</v>
          </cell>
          <cell r="G189">
            <v>48349</v>
          </cell>
          <cell r="H189">
            <v>29809</v>
          </cell>
          <cell r="I189">
            <v>29809</v>
          </cell>
          <cell r="J189">
            <v>59618</v>
          </cell>
          <cell r="K189">
            <v>19245</v>
          </cell>
          <cell r="M189">
            <v>1485</v>
          </cell>
          <cell r="N189">
            <v>0</v>
          </cell>
          <cell r="O189">
            <v>1485</v>
          </cell>
          <cell r="P189">
            <v>0</v>
          </cell>
          <cell r="Q189">
            <v>3305</v>
          </cell>
          <cell r="R189">
            <v>0</v>
          </cell>
          <cell r="S189">
            <v>0</v>
          </cell>
          <cell r="T189">
            <v>3305</v>
          </cell>
          <cell r="U189">
            <v>0</v>
          </cell>
          <cell r="W189">
            <v>1485</v>
          </cell>
          <cell r="X189">
            <v>0</v>
          </cell>
          <cell r="Y189">
            <v>1485</v>
          </cell>
          <cell r="Z189">
            <v>0</v>
          </cell>
          <cell r="AA189">
            <v>3305</v>
          </cell>
          <cell r="AB189">
            <v>0</v>
          </cell>
          <cell r="AC189">
            <v>0</v>
          </cell>
          <cell r="AD189">
            <v>3305</v>
          </cell>
          <cell r="AE189">
            <v>0</v>
          </cell>
          <cell r="AG189">
            <v>1531</v>
          </cell>
          <cell r="AH189">
            <v>0</v>
          </cell>
          <cell r="AI189">
            <v>1531</v>
          </cell>
          <cell r="AJ189">
            <v>0</v>
          </cell>
          <cell r="AK189">
            <v>3305</v>
          </cell>
          <cell r="AL189">
            <v>0</v>
          </cell>
          <cell r="AM189">
            <v>0</v>
          </cell>
          <cell r="AN189">
            <v>3305</v>
          </cell>
          <cell r="AO189">
            <v>0</v>
          </cell>
          <cell r="AQ189">
            <v>1531</v>
          </cell>
          <cell r="AR189">
            <v>0</v>
          </cell>
          <cell r="AS189">
            <v>1531</v>
          </cell>
          <cell r="AT189">
            <v>0</v>
          </cell>
          <cell r="AU189">
            <v>3305</v>
          </cell>
          <cell r="AV189">
            <v>0</v>
          </cell>
          <cell r="AW189">
            <v>42965</v>
          </cell>
          <cell r="AX189">
            <v>46270</v>
          </cell>
          <cell r="AY189">
            <v>0</v>
          </cell>
          <cell r="BA189">
            <v>1531</v>
          </cell>
          <cell r="BB189">
            <v>0</v>
          </cell>
          <cell r="BC189">
            <v>1531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K189">
            <v>1602</v>
          </cell>
          <cell r="BL189">
            <v>0</v>
          </cell>
          <cell r="BM189">
            <v>1602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U189">
            <v>1602</v>
          </cell>
          <cell r="BV189">
            <v>0</v>
          </cell>
          <cell r="BW189">
            <v>1602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E189">
            <v>1602</v>
          </cell>
          <cell r="CF189">
            <v>0</v>
          </cell>
          <cell r="CG189">
            <v>1602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O189">
            <v>1602</v>
          </cell>
          <cell r="CP189">
            <v>0</v>
          </cell>
          <cell r="CQ189">
            <v>1602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Y189">
            <v>1602</v>
          </cell>
          <cell r="CZ189">
            <v>0</v>
          </cell>
          <cell r="DA189">
            <v>1602</v>
          </cell>
          <cell r="DB189">
            <v>0</v>
          </cell>
          <cell r="DC189">
            <v>0</v>
          </cell>
          <cell r="DD189">
            <v>0</v>
          </cell>
          <cell r="DE189">
            <v>0</v>
          </cell>
          <cell r="DF189">
            <v>0</v>
          </cell>
          <cell r="DG189">
            <v>0</v>
          </cell>
          <cell r="DI189">
            <v>59618</v>
          </cell>
          <cell r="DJ189">
            <v>15573</v>
          </cell>
          <cell r="DK189">
            <v>0</v>
          </cell>
          <cell r="DL189">
            <v>15573</v>
          </cell>
          <cell r="DM189">
            <v>15573</v>
          </cell>
          <cell r="DN189">
            <v>0</v>
          </cell>
          <cell r="DO189">
            <v>15573</v>
          </cell>
          <cell r="DP189">
            <v>13220</v>
          </cell>
          <cell r="DQ189">
            <v>0</v>
          </cell>
          <cell r="DR189">
            <v>42965</v>
          </cell>
          <cell r="DS189">
            <v>56185</v>
          </cell>
          <cell r="DT189">
            <v>87331</v>
          </cell>
          <cell r="DU189">
            <v>0</v>
          </cell>
          <cell r="DW189">
            <v>0</v>
          </cell>
          <cell r="DX189">
            <v>0</v>
          </cell>
          <cell r="DY189">
            <v>65893</v>
          </cell>
          <cell r="DZ189">
            <v>72168</v>
          </cell>
          <cell r="EA189">
            <v>78535</v>
          </cell>
          <cell r="EB189">
            <v>127867</v>
          </cell>
          <cell r="EC189">
            <v>130929</v>
          </cell>
          <cell r="ED189">
            <v>134133</v>
          </cell>
          <cell r="EE189">
            <v>137337</v>
          </cell>
          <cell r="EF189">
            <v>140541</v>
          </cell>
          <cell r="EG189">
            <v>143745</v>
          </cell>
          <cell r="EH189">
            <v>146949</v>
          </cell>
          <cell r="EI189">
            <v>1178097</v>
          </cell>
          <cell r="EK189">
            <v>0</v>
          </cell>
          <cell r="EL189">
            <v>0</v>
          </cell>
          <cell r="EM189">
            <v>439.28666666666663</v>
          </cell>
          <cell r="EN189">
            <v>481.11999999999995</v>
          </cell>
          <cell r="EO189">
            <v>523.56666666666672</v>
          </cell>
          <cell r="EP189">
            <v>852.44666666666672</v>
          </cell>
          <cell r="EQ189">
            <v>872.86</v>
          </cell>
          <cell r="ER189">
            <v>894.21999999999991</v>
          </cell>
          <cell r="ES189">
            <v>984.24850000000004</v>
          </cell>
          <cell r="ET189">
            <v>1007.2104999999998</v>
          </cell>
          <cell r="EU189">
            <v>1030.1724999999999</v>
          </cell>
          <cell r="EV189">
            <v>1053.1344999999999</v>
          </cell>
          <cell r="EW189">
            <v>8138.2659999999996</v>
          </cell>
          <cell r="EY189">
            <v>609525</v>
          </cell>
          <cell r="EZ189">
            <v>8</v>
          </cell>
          <cell r="FA189">
            <v>4063.5</v>
          </cell>
          <cell r="FB189">
            <v>568572</v>
          </cell>
          <cell r="FC189">
            <v>8.6</v>
          </cell>
          <cell r="FD189">
            <v>4074.7660000000001</v>
          </cell>
          <cell r="FE189">
            <v>8138.2659999999996</v>
          </cell>
          <cell r="FF189">
            <v>155087</v>
          </cell>
          <cell r="FH189">
            <v>155087</v>
          </cell>
        </row>
        <row r="190">
          <cell r="B190">
            <v>9100</v>
          </cell>
          <cell r="C190" t="str">
            <v>13.04.2007</v>
          </cell>
          <cell r="D190" t="str">
            <v>Sonawane Shivaji Namdeo</v>
          </cell>
          <cell r="F190">
            <v>40373</v>
          </cell>
          <cell r="G190">
            <v>48349</v>
          </cell>
          <cell r="H190">
            <v>46529</v>
          </cell>
          <cell r="I190">
            <v>46529</v>
          </cell>
          <cell r="J190">
            <v>93058</v>
          </cell>
          <cell r="K190">
            <v>52685</v>
          </cell>
          <cell r="M190">
            <v>1485</v>
          </cell>
          <cell r="N190">
            <v>0</v>
          </cell>
          <cell r="O190">
            <v>1485</v>
          </cell>
          <cell r="P190">
            <v>0</v>
          </cell>
          <cell r="Q190">
            <v>2500</v>
          </cell>
          <cell r="R190">
            <v>0</v>
          </cell>
          <cell r="S190">
            <v>0</v>
          </cell>
          <cell r="T190">
            <v>2500</v>
          </cell>
          <cell r="U190">
            <v>0</v>
          </cell>
          <cell r="W190">
            <v>1485</v>
          </cell>
          <cell r="X190">
            <v>0</v>
          </cell>
          <cell r="Y190">
            <v>1485</v>
          </cell>
          <cell r="Z190">
            <v>0</v>
          </cell>
          <cell r="AA190">
            <v>2500</v>
          </cell>
          <cell r="AB190">
            <v>0</v>
          </cell>
          <cell r="AC190">
            <v>0</v>
          </cell>
          <cell r="AD190">
            <v>2500</v>
          </cell>
          <cell r="AE190">
            <v>0</v>
          </cell>
          <cell r="AG190">
            <v>1531</v>
          </cell>
          <cell r="AH190">
            <v>0</v>
          </cell>
          <cell r="AI190">
            <v>1531</v>
          </cell>
          <cell r="AJ190">
            <v>0</v>
          </cell>
          <cell r="AK190">
            <v>2500</v>
          </cell>
          <cell r="AL190">
            <v>0</v>
          </cell>
          <cell r="AM190">
            <v>0</v>
          </cell>
          <cell r="AN190">
            <v>2500</v>
          </cell>
          <cell r="AO190">
            <v>0</v>
          </cell>
          <cell r="AQ190">
            <v>1531</v>
          </cell>
          <cell r="AR190">
            <v>0</v>
          </cell>
          <cell r="AS190">
            <v>1531</v>
          </cell>
          <cell r="AT190">
            <v>0</v>
          </cell>
          <cell r="AU190">
            <v>2500</v>
          </cell>
          <cell r="AV190">
            <v>0</v>
          </cell>
          <cell r="AW190">
            <v>0</v>
          </cell>
          <cell r="AX190">
            <v>2500</v>
          </cell>
          <cell r="AY190">
            <v>0</v>
          </cell>
          <cell r="BA190">
            <v>1531</v>
          </cell>
          <cell r="BB190">
            <v>0</v>
          </cell>
          <cell r="BC190">
            <v>1531</v>
          </cell>
          <cell r="BD190">
            <v>0</v>
          </cell>
          <cell r="BE190">
            <v>2500</v>
          </cell>
          <cell r="BF190">
            <v>0</v>
          </cell>
          <cell r="BG190">
            <v>0</v>
          </cell>
          <cell r="BH190">
            <v>2500</v>
          </cell>
          <cell r="BI190">
            <v>0</v>
          </cell>
          <cell r="BK190">
            <v>1602</v>
          </cell>
          <cell r="BL190">
            <v>0</v>
          </cell>
          <cell r="BM190">
            <v>1602</v>
          </cell>
          <cell r="BN190">
            <v>0</v>
          </cell>
          <cell r="BO190">
            <v>2500</v>
          </cell>
          <cell r="BP190">
            <v>0</v>
          </cell>
          <cell r="BQ190">
            <v>0</v>
          </cell>
          <cell r="BR190">
            <v>2500</v>
          </cell>
          <cell r="BS190">
            <v>0</v>
          </cell>
          <cell r="BU190">
            <v>1602</v>
          </cell>
          <cell r="BV190">
            <v>0</v>
          </cell>
          <cell r="BW190">
            <v>1602</v>
          </cell>
          <cell r="BX190">
            <v>0</v>
          </cell>
          <cell r="BY190">
            <v>2500</v>
          </cell>
          <cell r="BZ190">
            <v>0</v>
          </cell>
          <cell r="CA190">
            <v>0</v>
          </cell>
          <cell r="CB190">
            <v>2500</v>
          </cell>
          <cell r="CC190">
            <v>0</v>
          </cell>
          <cell r="CE190">
            <v>1602</v>
          </cell>
          <cell r="CF190">
            <v>0</v>
          </cell>
          <cell r="CG190">
            <v>1602</v>
          </cell>
          <cell r="CH190">
            <v>0</v>
          </cell>
          <cell r="CI190">
            <v>2500</v>
          </cell>
          <cell r="CJ190">
            <v>0</v>
          </cell>
          <cell r="CK190">
            <v>0</v>
          </cell>
          <cell r="CL190">
            <v>2500</v>
          </cell>
          <cell r="CM190">
            <v>0</v>
          </cell>
          <cell r="CO190">
            <v>1602</v>
          </cell>
          <cell r="CP190">
            <v>0</v>
          </cell>
          <cell r="CQ190">
            <v>1602</v>
          </cell>
          <cell r="CR190">
            <v>0</v>
          </cell>
          <cell r="CS190">
            <v>2500</v>
          </cell>
          <cell r="CT190">
            <v>0</v>
          </cell>
          <cell r="CU190">
            <v>0</v>
          </cell>
          <cell r="CV190">
            <v>2500</v>
          </cell>
          <cell r="CW190">
            <v>0</v>
          </cell>
          <cell r="CY190">
            <v>1602</v>
          </cell>
          <cell r="CZ190">
            <v>0</v>
          </cell>
          <cell r="DA190">
            <v>1602</v>
          </cell>
          <cell r="DB190">
            <v>0</v>
          </cell>
          <cell r="DC190">
            <v>2500</v>
          </cell>
          <cell r="DD190">
            <v>0</v>
          </cell>
          <cell r="DE190">
            <v>0</v>
          </cell>
          <cell r="DF190">
            <v>2500</v>
          </cell>
          <cell r="DG190">
            <v>0</v>
          </cell>
          <cell r="DI190">
            <v>93058</v>
          </cell>
          <cell r="DJ190">
            <v>15573</v>
          </cell>
          <cell r="DK190">
            <v>0</v>
          </cell>
          <cell r="DL190">
            <v>15573</v>
          </cell>
          <cell r="DM190">
            <v>15573</v>
          </cell>
          <cell r="DN190">
            <v>0</v>
          </cell>
          <cell r="DO190">
            <v>15573</v>
          </cell>
          <cell r="DP190">
            <v>25000</v>
          </cell>
          <cell r="DQ190">
            <v>0</v>
          </cell>
          <cell r="DR190">
            <v>0</v>
          </cell>
          <cell r="DS190">
            <v>25000</v>
          </cell>
          <cell r="DT190">
            <v>56146</v>
          </cell>
          <cell r="DU190">
            <v>0</v>
          </cell>
          <cell r="DW190">
            <v>0</v>
          </cell>
          <cell r="DX190">
            <v>0</v>
          </cell>
          <cell r="DY190">
            <v>98528</v>
          </cell>
          <cell r="DZ190">
            <v>103998</v>
          </cell>
          <cell r="EA190">
            <v>109560</v>
          </cell>
          <cell r="EB190">
            <v>115122</v>
          </cell>
          <cell r="EC190">
            <v>120684</v>
          </cell>
          <cell r="ED190">
            <v>126388</v>
          </cell>
          <cell r="EE190">
            <v>132092</v>
          </cell>
          <cell r="EF190">
            <v>137796</v>
          </cell>
          <cell r="EG190">
            <v>143500</v>
          </cell>
          <cell r="EH190">
            <v>149204</v>
          </cell>
          <cell r="EI190">
            <v>1236872</v>
          </cell>
          <cell r="EK190">
            <v>0</v>
          </cell>
          <cell r="EL190">
            <v>0</v>
          </cell>
          <cell r="EM190">
            <v>656.85333333333335</v>
          </cell>
          <cell r="EN190">
            <v>693.32</v>
          </cell>
          <cell r="EO190">
            <v>730.4</v>
          </cell>
          <cell r="EP190">
            <v>767.48</v>
          </cell>
          <cell r="EQ190">
            <v>804.56</v>
          </cell>
          <cell r="ER190">
            <v>842.5866666666667</v>
          </cell>
          <cell r="ES190">
            <v>946.65933333333339</v>
          </cell>
          <cell r="ET190">
            <v>987.5379999999999</v>
          </cell>
          <cell r="EU190">
            <v>1028.4166666666667</v>
          </cell>
          <cell r="EV190">
            <v>1069.2953333333332</v>
          </cell>
          <cell r="EW190">
            <v>8527.109333333332</v>
          </cell>
          <cell r="EY190">
            <v>674280</v>
          </cell>
          <cell r="EZ190">
            <v>8</v>
          </cell>
          <cell r="FA190">
            <v>4495.2</v>
          </cell>
          <cell r="FB190">
            <v>562592</v>
          </cell>
          <cell r="FC190">
            <v>8.6</v>
          </cell>
          <cell r="FD190">
            <v>4031.9093333333335</v>
          </cell>
          <cell r="FE190">
            <v>8527.1093333333338</v>
          </cell>
          <cell r="FF190">
            <v>157731</v>
          </cell>
          <cell r="FH190">
            <v>157731</v>
          </cell>
        </row>
        <row r="191">
          <cell r="B191">
            <v>9101</v>
          </cell>
          <cell r="C191" t="str">
            <v>13.04.2007</v>
          </cell>
          <cell r="D191" t="str">
            <v>Pathade Vishnu Uttamrao</v>
          </cell>
          <cell r="F191">
            <v>40373</v>
          </cell>
          <cell r="G191">
            <v>48349</v>
          </cell>
          <cell r="H191">
            <v>94214</v>
          </cell>
          <cell r="I191">
            <v>94214</v>
          </cell>
          <cell r="J191">
            <v>188428</v>
          </cell>
          <cell r="K191">
            <v>148055</v>
          </cell>
          <cell r="M191">
            <v>1485</v>
          </cell>
          <cell r="N191">
            <v>0</v>
          </cell>
          <cell r="O191">
            <v>1485</v>
          </cell>
          <cell r="P191">
            <v>0</v>
          </cell>
          <cell r="Q191">
            <v>1715</v>
          </cell>
          <cell r="R191">
            <v>0</v>
          </cell>
          <cell r="S191">
            <v>0</v>
          </cell>
          <cell r="T191">
            <v>1715</v>
          </cell>
          <cell r="U191">
            <v>0</v>
          </cell>
          <cell r="W191">
            <v>1485</v>
          </cell>
          <cell r="X191">
            <v>0</v>
          </cell>
          <cell r="Y191">
            <v>1485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G191">
            <v>1531</v>
          </cell>
          <cell r="AH191">
            <v>0</v>
          </cell>
          <cell r="AI191">
            <v>1531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Q191">
            <v>1531</v>
          </cell>
          <cell r="AR191">
            <v>0</v>
          </cell>
          <cell r="AS191">
            <v>1531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BA191">
            <v>1531</v>
          </cell>
          <cell r="BB191">
            <v>0</v>
          </cell>
          <cell r="BC191">
            <v>1531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K191">
            <v>1602</v>
          </cell>
          <cell r="BL191">
            <v>0</v>
          </cell>
          <cell r="BM191">
            <v>1602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U191">
            <v>1602</v>
          </cell>
          <cell r="BV191">
            <v>0</v>
          </cell>
          <cell r="BW191">
            <v>1602</v>
          </cell>
          <cell r="BX191">
            <v>0</v>
          </cell>
          <cell r="BY191">
            <v>0</v>
          </cell>
          <cell r="BZ191">
            <v>0</v>
          </cell>
          <cell r="CA191">
            <v>0</v>
          </cell>
          <cell r="CB191">
            <v>0</v>
          </cell>
          <cell r="CC191">
            <v>0</v>
          </cell>
          <cell r="CE191">
            <v>1602</v>
          </cell>
          <cell r="CF191">
            <v>0</v>
          </cell>
          <cell r="CG191">
            <v>1602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  <cell r="CL191">
            <v>0</v>
          </cell>
          <cell r="CM191">
            <v>0</v>
          </cell>
          <cell r="CO191">
            <v>1602</v>
          </cell>
          <cell r="CP191">
            <v>0</v>
          </cell>
          <cell r="CQ191">
            <v>1602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CW191">
            <v>0</v>
          </cell>
          <cell r="CY191">
            <v>1602</v>
          </cell>
          <cell r="CZ191">
            <v>0</v>
          </cell>
          <cell r="DA191">
            <v>1602</v>
          </cell>
          <cell r="DB191">
            <v>0</v>
          </cell>
          <cell r="DC191">
            <v>0</v>
          </cell>
          <cell r="DD191">
            <v>0</v>
          </cell>
          <cell r="DE191">
            <v>0</v>
          </cell>
          <cell r="DF191">
            <v>0</v>
          </cell>
          <cell r="DG191">
            <v>0</v>
          </cell>
          <cell r="DI191">
            <v>188428</v>
          </cell>
          <cell r="DJ191">
            <v>15573</v>
          </cell>
          <cell r="DK191">
            <v>0</v>
          </cell>
          <cell r="DL191">
            <v>15573</v>
          </cell>
          <cell r="DM191">
            <v>15573</v>
          </cell>
          <cell r="DN191">
            <v>0</v>
          </cell>
          <cell r="DO191">
            <v>15573</v>
          </cell>
          <cell r="DP191">
            <v>1715</v>
          </cell>
          <cell r="DQ191">
            <v>0</v>
          </cell>
          <cell r="DR191">
            <v>0</v>
          </cell>
          <cell r="DS191">
            <v>1715</v>
          </cell>
          <cell r="DT191">
            <v>32861</v>
          </cell>
          <cell r="DU191">
            <v>0</v>
          </cell>
          <cell r="DW191">
            <v>0</v>
          </cell>
          <cell r="DX191">
            <v>0</v>
          </cell>
          <cell r="DY191">
            <v>193113</v>
          </cell>
          <cell r="DZ191">
            <v>196083</v>
          </cell>
          <cell r="EA191">
            <v>199145</v>
          </cell>
          <cell r="EB191">
            <v>202207</v>
          </cell>
          <cell r="EC191">
            <v>205269</v>
          </cell>
          <cell r="ED191">
            <v>208473</v>
          </cell>
          <cell r="EE191">
            <v>211677</v>
          </cell>
          <cell r="EF191">
            <v>214881</v>
          </cell>
          <cell r="EG191">
            <v>218085</v>
          </cell>
          <cell r="EH191">
            <v>221289</v>
          </cell>
          <cell r="EI191">
            <v>2070222</v>
          </cell>
          <cell r="EK191">
            <v>0</v>
          </cell>
          <cell r="EL191">
            <v>0</v>
          </cell>
          <cell r="EM191">
            <v>1287.42</v>
          </cell>
          <cell r="EN191">
            <v>1307.22</v>
          </cell>
          <cell r="EO191">
            <v>1327.6333333333334</v>
          </cell>
          <cell r="EP191">
            <v>1348.0466666666666</v>
          </cell>
          <cell r="EQ191">
            <v>1368.46</v>
          </cell>
          <cell r="ER191">
            <v>1389.82</v>
          </cell>
          <cell r="ES191">
            <v>1517.0184999999999</v>
          </cell>
          <cell r="ET191">
            <v>1539.9804999999999</v>
          </cell>
          <cell r="EU191">
            <v>1562.9425000000001</v>
          </cell>
          <cell r="EV191">
            <v>1585.9044999999999</v>
          </cell>
          <cell r="EW191">
            <v>14234.446</v>
          </cell>
          <cell r="EY191">
            <v>1204290</v>
          </cell>
          <cell r="EZ191">
            <v>8</v>
          </cell>
          <cell r="FA191">
            <v>8028.5999999999995</v>
          </cell>
          <cell r="FB191">
            <v>865932</v>
          </cell>
          <cell r="FC191">
            <v>8.6</v>
          </cell>
          <cell r="FD191">
            <v>6205.8459999999986</v>
          </cell>
          <cell r="FE191">
            <v>14234.445999999998</v>
          </cell>
          <cell r="FF191">
            <v>235523</v>
          </cell>
          <cell r="FH191">
            <v>235523</v>
          </cell>
        </row>
        <row r="192">
          <cell r="B192">
            <v>9103</v>
          </cell>
          <cell r="C192" t="str">
            <v>13.04.2007</v>
          </cell>
          <cell r="D192" t="str">
            <v>Bhangale Sandip Bhagwat</v>
          </cell>
          <cell r="F192">
            <v>40373</v>
          </cell>
          <cell r="G192">
            <v>48349</v>
          </cell>
          <cell r="H192">
            <v>61953</v>
          </cell>
          <cell r="I192">
            <v>61953</v>
          </cell>
          <cell r="J192">
            <v>123906</v>
          </cell>
          <cell r="K192">
            <v>83533</v>
          </cell>
          <cell r="M192">
            <v>1485</v>
          </cell>
          <cell r="N192">
            <v>0</v>
          </cell>
          <cell r="O192">
            <v>1485</v>
          </cell>
          <cell r="P192">
            <v>0</v>
          </cell>
          <cell r="Q192">
            <v>2635</v>
          </cell>
          <cell r="R192">
            <v>0</v>
          </cell>
          <cell r="S192">
            <v>0</v>
          </cell>
          <cell r="T192">
            <v>2635</v>
          </cell>
          <cell r="U192">
            <v>0</v>
          </cell>
          <cell r="W192">
            <v>1485</v>
          </cell>
          <cell r="X192">
            <v>0</v>
          </cell>
          <cell r="Y192">
            <v>1485</v>
          </cell>
          <cell r="Z192">
            <v>0</v>
          </cell>
          <cell r="AA192">
            <v>2635</v>
          </cell>
          <cell r="AB192">
            <v>0</v>
          </cell>
          <cell r="AC192">
            <v>0</v>
          </cell>
          <cell r="AD192">
            <v>2635</v>
          </cell>
          <cell r="AE192">
            <v>0</v>
          </cell>
          <cell r="AG192">
            <v>1531</v>
          </cell>
          <cell r="AH192">
            <v>0</v>
          </cell>
          <cell r="AI192">
            <v>1531</v>
          </cell>
          <cell r="AJ192">
            <v>0</v>
          </cell>
          <cell r="AK192">
            <v>2635</v>
          </cell>
          <cell r="AL192">
            <v>0</v>
          </cell>
          <cell r="AM192">
            <v>0</v>
          </cell>
          <cell r="AN192">
            <v>2635</v>
          </cell>
          <cell r="AO192">
            <v>0</v>
          </cell>
          <cell r="AQ192">
            <v>1531</v>
          </cell>
          <cell r="AR192">
            <v>0</v>
          </cell>
          <cell r="AS192">
            <v>1531</v>
          </cell>
          <cell r="AT192">
            <v>0</v>
          </cell>
          <cell r="AU192">
            <v>2635</v>
          </cell>
          <cell r="AV192">
            <v>0</v>
          </cell>
          <cell r="AW192">
            <v>0</v>
          </cell>
          <cell r="AX192">
            <v>2635</v>
          </cell>
          <cell r="AY192">
            <v>0</v>
          </cell>
          <cell r="BA192">
            <v>1531</v>
          </cell>
          <cell r="BB192">
            <v>0</v>
          </cell>
          <cell r="BC192">
            <v>1531</v>
          </cell>
          <cell r="BD192">
            <v>0</v>
          </cell>
          <cell r="BE192">
            <v>2635</v>
          </cell>
          <cell r="BF192">
            <v>0</v>
          </cell>
          <cell r="BG192">
            <v>0</v>
          </cell>
          <cell r="BH192">
            <v>2635</v>
          </cell>
          <cell r="BI192">
            <v>0</v>
          </cell>
          <cell r="BK192">
            <v>1602</v>
          </cell>
          <cell r="BL192">
            <v>0</v>
          </cell>
          <cell r="BM192">
            <v>1602</v>
          </cell>
          <cell r="BN192">
            <v>0</v>
          </cell>
          <cell r="BO192">
            <v>2635</v>
          </cell>
          <cell r="BP192">
            <v>0</v>
          </cell>
          <cell r="BQ192">
            <v>0</v>
          </cell>
          <cell r="BR192">
            <v>2635</v>
          </cell>
          <cell r="BS192">
            <v>0</v>
          </cell>
          <cell r="BU192">
            <v>1602</v>
          </cell>
          <cell r="BV192">
            <v>0</v>
          </cell>
          <cell r="BW192">
            <v>1602</v>
          </cell>
          <cell r="BX192">
            <v>0</v>
          </cell>
          <cell r="BY192">
            <v>2635</v>
          </cell>
          <cell r="BZ192">
            <v>0</v>
          </cell>
          <cell r="CA192">
            <v>0</v>
          </cell>
          <cell r="CB192">
            <v>2635</v>
          </cell>
          <cell r="CC192">
            <v>0</v>
          </cell>
          <cell r="CE192">
            <v>1602</v>
          </cell>
          <cell r="CF192">
            <v>0</v>
          </cell>
          <cell r="CG192">
            <v>1602</v>
          </cell>
          <cell r="CH192">
            <v>0</v>
          </cell>
          <cell r="CI192">
            <v>2635</v>
          </cell>
          <cell r="CJ192">
            <v>0</v>
          </cell>
          <cell r="CK192">
            <v>0</v>
          </cell>
          <cell r="CL192">
            <v>2635</v>
          </cell>
          <cell r="CM192">
            <v>0</v>
          </cell>
          <cell r="CO192">
            <v>1602</v>
          </cell>
          <cell r="CP192">
            <v>0</v>
          </cell>
          <cell r="CQ192">
            <v>1602</v>
          </cell>
          <cell r="CR192">
            <v>0</v>
          </cell>
          <cell r="CS192">
            <v>2635</v>
          </cell>
          <cell r="CT192">
            <v>0</v>
          </cell>
          <cell r="CU192">
            <v>0</v>
          </cell>
          <cell r="CV192">
            <v>2635</v>
          </cell>
          <cell r="CW192">
            <v>0</v>
          </cell>
          <cell r="CY192">
            <v>1602</v>
          </cell>
          <cell r="CZ192">
            <v>0</v>
          </cell>
          <cell r="DA192">
            <v>1602</v>
          </cell>
          <cell r="DB192">
            <v>0</v>
          </cell>
          <cell r="DC192">
            <v>2635</v>
          </cell>
          <cell r="DD192">
            <v>0</v>
          </cell>
          <cell r="DE192">
            <v>0</v>
          </cell>
          <cell r="DF192">
            <v>2635</v>
          </cell>
          <cell r="DG192">
            <v>0</v>
          </cell>
          <cell r="DI192">
            <v>123906</v>
          </cell>
          <cell r="DJ192">
            <v>15573</v>
          </cell>
          <cell r="DK192">
            <v>0</v>
          </cell>
          <cell r="DL192">
            <v>15573</v>
          </cell>
          <cell r="DM192">
            <v>15573</v>
          </cell>
          <cell r="DN192">
            <v>0</v>
          </cell>
          <cell r="DO192">
            <v>15573</v>
          </cell>
          <cell r="DP192">
            <v>26350</v>
          </cell>
          <cell r="DQ192">
            <v>0</v>
          </cell>
          <cell r="DR192">
            <v>0</v>
          </cell>
          <cell r="DS192">
            <v>26350</v>
          </cell>
          <cell r="DT192">
            <v>57496</v>
          </cell>
          <cell r="DU192">
            <v>0</v>
          </cell>
          <cell r="DW192">
            <v>0</v>
          </cell>
          <cell r="DX192">
            <v>0</v>
          </cell>
          <cell r="DY192">
            <v>129511</v>
          </cell>
          <cell r="DZ192">
            <v>135116</v>
          </cell>
          <cell r="EA192">
            <v>140813</v>
          </cell>
          <cell r="EB192">
            <v>146510</v>
          </cell>
          <cell r="EC192">
            <v>152207</v>
          </cell>
          <cell r="ED192">
            <v>158046</v>
          </cell>
          <cell r="EE192">
            <v>163885</v>
          </cell>
          <cell r="EF192">
            <v>169724</v>
          </cell>
          <cell r="EG192">
            <v>175563</v>
          </cell>
          <cell r="EH192">
            <v>181402</v>
          </cell>
          <cell r="EI192">
            <v>1552777</v>
          </cell>
          <cell r="EK192">
            <v>0</v>
          </cell>
          <cell r="EL192">
            <v>0</v>
          </cell>
          <cell r="EM192">
            <v>863.40666666666664</v>
          </cell>
          <cell r="EN192">
            <v>900.77333333333343</v>
          </cell>
          <cell r="EO192">
            <v>938.75333333333344</v>
          </cell>
          <cell r="EP192">
            <v>976.73333333333323</v>
          </cell>
          <cell r="EQ192">
            <v>1014.7133333333333</v>
          </cell>
          <cell r="ER192">
            <v>1053.6400000000001</v>
          </cell>
          <cell r="ES192">
            <v>1174.5091666666667</v>
          </cell>
          <cell r="ET192">
            <v>1216.3553333333332</v>
          </cell>
          <cell r="EU192">
            <v>1258.2014999999999</v>
          </cell>
          <cell r="EV192">
            <v>1300.0476666666666</v>
          </cell>
          <cell r="EW192">
            <v>10697.133666666667</v>
          </cell>
          <cell r="EY192">
            <v>862203</v>
          </cell>
          <cell r="EZ192">
            <v>8</v>
          </cell>
          <cell r="FA192">
            <v>5748.02</v>
          </cell>
          <cell r="FB192">
            <v>690574</v>
          </cell>
          <cell r="FC192">
            <v>8.6</v>
          </cell>
          <cell r="FD192">
            <v>4949.1136666666662</v>
          </cell>
          <cell r="FE192">
            <v>10697.133666666667</v>
          </cell>
          <cell r="FF192">
            <v>192099</v>
          </cell>
          <cell r="FH192">
            <v>192099</v>
          </cell>
        </row>
        <row r="193">
          <cell r="B193">
            <v>9104</v>
          </cell>
          <cell r="C193" t="str">
            <v>13.04.2007</v>
          </cell>
          <cell r="D193" t="str">
            <v>Shaikh Tanveer Abdulrehman</v>
          </cell>
          <cell r="F193">
            <v>40373</v>
          </cell>
          <cell r="G193">
            <v>48349</v>
          </cell>
          <cell r="H193">
            <v>137111</v>
          </cell>
          <cell r="I193">
            <v>137111</v>
          </cell>
          <cell r="J193">
            <v>274222</v>
          </cell>
          <cell r="K193">
            <v>233849</v>
          </cell>
          <cell r="M193">
            <v>1485</v>
          </cell>
          <cell r="N193">
            <v>0</v>
          </cell>
          <cell r="O193">
            <v>1485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W193">
            <v>1485</v>
          </cell>
          <cell r="X193">
            <v>0</v>
          </cell>
          <cell r="Y193">
            <v>1485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G193">
            <v>1531</v>
          </cell>
          <cell r="AH193">
            <v>0</v>
          </cell>
          <cell r="AI193">
            <v>1531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Q193">
            <v>1531</v>
          </cell>
          <cell r="AR193">
            <v>0</v>
          </cell>
          <cell r="AS193">
            <v>1531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BA193">
            <v>1531</v>
          </cell>
          <cell r="BB193">
            <v>0</v>
          </cell>
          <cell r="BC193">
            <v>1531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K193">
            <v>1602</v>
          </cell>
          <cell r="BL193">
            <v>0</v>
          </cell>
          <cell r="BM193">
            <v>1602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U193">
            <v>1602</v>
          </cell>
          <cell r="BV193">
            <v>0</v>
          </cell>
          <cell r="BW193">
            <v>1602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E193">
            <v>1602</v>
          </cell>
          <cell r="CF193">
            <v>0</v>
          </cell>
          <cell r="CG193">
            <v>1602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O193">
            <v>1602</v>
          </cell>
          <cell r="CP193">
            <v>0</v>
          </cell>
          <cell r="CQ193">
            <v>1602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Y193">
            <v>1602</v>
          </cell>
          <cell r="CZ193">
            <v>0</v>
          </cell>
          <cell r="DA193">
            <v>1602</v>
          </cell>
          <cell r="DB193">
            <v>0</v>
          </cell>
          <cell r="DC193">
            <v>0</v>
          </cell>
          <cell r="DD193">
            <v>0</v>
          </cell>
          <cell r="DE193">
            <v>0</v>
          </cell>
          <cell r="DF193">
            <v>0</v>
          </cell>
          <cell r="DG193">
            <v>0</v>
          </cell>
          <cell r="DI193">
            <v>274222</v>
          </cell>
          <cell r="DJ193">
            <v>15573</v>
          </cell>
          <cell r="DK193">
            <v>0</v>
          </cell>
          <cell r="DL193">
            <v>15573</v>
          </cell>
          <cell r="DM193">
            <v>15573</v>
          </cell>
          <cell r="DN193">
            <v>0</v>
          </cell>
          <cell r="DO193">
            <v>15573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31146</v>
          </cell>
          <cell r="DU193">
            <v>0</v>
          </cell>
          <cell r="DW193">
            <v>0</v>
          </cell>
          <cell r="DX193">
            <v>0</v>
          </cell>
          <cell r="DY193">
            <v>277192</v>
          </cell>
          <cell r="DZ193">
            <v>280162</v>
          </cell>
          <cell r="EA193">
            <v>283224</v>
          </cell>
          <cell r="EB193">
            <v>286286</v>
          </cell>
          <cell r="EC193">
            <v>289348</v>
          </cell>
          <cell r="ED193">
            <v>292552</v>
          </cell>
          <cell r="EE193">
            <v>295756</v>
          </cell>
          <cell r="EF193">
            <v>298960</v>
          </cell>
          <cell r="EG193">
            <v>302164</v>
          </cell>
          <cell r="EH193">
            <v>305368</v>
          </cell>
          <cell r="EI193">
            <v>2911012</v>
          </cell>
          <cell r="EK193">
            <v>0</v>
          </cell>
          <cell r="EL193">
            <v>0</v>
          </cell>
          <cell r="EM193">
            <v>1847.9466666666667</v>
          </cell>
          <cell r="EN193">
            <v>1867.7466666666667</v>
          </cell>
          <cell r="EO193">
            <v>1888.1599999999999</v>
          </cell>
          <cell r="EP193">
            <v>1908.5733333333335</v>
          </cell>
          <cell r="EQ193">
            <v>1928.9866666666667</v>
          </cell>
          <cell r="ER193">
            <v>1950.3466666666666</v>
          </cell>
          <cell r="ES193">
            <v>2119.5846666666666</v>
          </cell>
          <cell r="ET193">
            <v>2142.5466666666666</v>
          </cell>
          <cell r="EU193">
            <v>2165.5086666666666</v>
          </cell>
          <cell r="EV193">
            <v>2188.4706666666666</v>
          </cell>
          <cell r="EW193">
            <v>20007.870666666669</v>
          </cell>
          <cell r="EY193">
            <v>1708764</v>
          </cell>
          <cell r="EZ193">
            <v>8</v>
          </cell>
          <cell r="FA193">
            <v>11391.76</v>
          </cell>
          <cell r="FB193">
            <v>1202248</v>
          </cell>
          <cell r="FC193">
            <v>8.6</v>
          </cell>
          <cell r="FD193">
            <v>8616.1106666666656</v>
          </cell>
          <cell r="FE193">
            <v>20007.870666666666</v>
          </cell>
          <cell r="FF193">
            <v>325376</v>
          </cell>
          <cell r="FH193">
            <v>325376</v>
          </cell>
        </row>
        <row r="194">
          <cell r="B194">
            <v>9105</v>
          </cell>
          <cell r="C194" t="str">
            <v>13.04.2007</v>
          </cell>
          <cell r="D194" t="str">
            <v>Patil Sandeep Dada</v>
          </cell>
          <cell r="F194">
            <v>40373</v>
          </cell>
          <cell r="G194">
            <v>48349</v>
          </cell>
          <cell r="H194">
            <v>43545</v>
          </cell>
          <cell r="I194">
            <v>43545</v>
          </cell>
          <cell r="J194">
            <v>87090</v>
          </cell>
          <cell r="K194">
            <v>46717</v>
          </cell>
          <cell r="M194">
            <v>1485</v>
          </cell>
          <cell r="N194">
            <v>0</v>
          </cell>
          <cell r="O194">
            <v>1485</v>
          </cell>
          <cell r="P194">
            <v>0</v>
          </cell>
          <cell r="Q194">
            <v>2835</v>
          </cell>
          <cell r="R194">
            <v>0</v>
          </cell>
          <cell r="S194">
            <v>0</v>
          </cell>
          <cell r="T194">
            <v>2835</v>
          </cell>
          <cell r="U194">
            <v>0</v>
          </cell>
          <cell r="W194">
            <v>1485</v>
          </cell>
          <cell r="X194">
            <v>0</v>
          </cell>
          <cell r="Y194">
            <v>1485</v>
          </cell>
          <cell r="Z194">
            <v>0</v>
          </cell>
          <cell r="AA194">
            <v>2835</v>
          </cell>
          <cell r="AB194">
            <v>0</v>
          </cell>
          <cell r="AC194">
            <v>0</v>
          </cell>
          <cell r="AD194">
            <v>2835</v>
          </cell>
          <cell r="AE194">
            <v>0</v>
          </cell>
          <cell r="AG194">
            <v>1531</v>
          </cell>
          <cell r="AH194">
            <v>0</v>
          </cell>
          <cell r="AI194">
            <v>1531</v>
          </cell>
          <cell r="AJ194">
            <v>0</v>
          </cell>
          <cell r="AK194">
            <v>2835</v>
          </cell>
          <cell r="AL194">
            <v>0</v>
          </cell>
          <cell r="AM194">
            <v>0</v>
          </cell>
          <cell r="AN194">
            <v>2835</v>
          </cell>
          <cell r="AO194">
            <v>0</v>
          </cell>
          <cell r="AQ194">
            <v>1531</v>
          </cell>
          <cell r="AR194">
            <v>0</v>
          </cell>
          <cell r="AS194">
            <v>1531</v>
          </cell>
          <cell r="AT194">
            <v>0</v>
          </cell>
          <cell r="AU194">
            <v>2835</v>
          </cell>
          <cell r="AV194">
            <v>0</v>
          </cell>
          <cell r="AW194">
            <v>0</v>
          </cell>
          <cell r="AX194">
            <v>2835</v>
          </cell>
          <cell r="AY194">
            <v>0</v>
          </cell>
          <cell r="BA194">
            <v>1531</v>
          </cell>
          <cell r="BB194">
            <v>0</v>
          </cell>
          <cell r="BC194">
            <v>1531</v>
          </cell>
          <cell r="BD194">
            <v>0</v>
          </cell>
          <cell r="BE194">
            <v>2835</v>
          </cell>
          <cell r="BF194">
            <v>0</v>
          </cell>
          <cell r="BG194">
            <v>0</v>
          </cell>
          <cell r="BH194">
            <v>2835</v>
          </cell>
          <cell r="BI194">
            <v>0</v>
          </cell>
          <cell r="BK194">
            <v>1602</v>
          </cell>
          <cell r="BL194">
            <v>0</v>
          </cell>
          <cell r="BM194">
            <v>1602</v>
          </cell>
          <cell r="BN194">
            <v>0</v>
          </cell>
          <cell r="BO194">
            <v>2835</v>
          </cell>
          <cell r="BP194">
            <v>0</v>
          </cell>
          <cell r="BQ194">
            <v>0</v>
          </cell>
          <cell r="BR194">
            <v>2835</v>
          </cell>
          <cell r="BS194">
            <v>0</v>
          </cell>
          <cell r="BU194">
            <v>1602</v>
          </cell>
          <cell r="BV194">
            <v>0</v>
          </cell>
          <cell r="BW194">
            <v>1602</v>
          </cell>
          <cell r="BX194">
            <v>0</v>
          </cell>
          <cell r="BY194">
            <v>2835</v>
          </cell>
          <cell r="BZ194">
            <v>0</v>
          </cell>
          <cell r="CA194">
            <v>0</v>
          </cell>
          <cell r="CB194">
            <v>2835</v>
          </cell>
          <cell r="CC194">
            <v>0</v>
          </cell>
          <cell r="CE194">
            <v>1602</v>
          </cell>
          <cell r="CF194">
            <v>0</v>
          </cell>
          <cell r="CG194">
            <v>1602</v>
          </cell>
          <cell r="CH194">
            <v>0</v>
          </cell>
          <cell r="CI194">
            <v>2835</v>
          </cell>
          <cell r="CJ194">
            <v>0</v>
          </cell>
          <cell r="CK194">
            <v>0</v>
          </cell>
          <cell r="CL194">
            <v>2835</v>
          </cell>
          <cell r="CM194">
            <v>0</v>
          </cell>
          <cell r="CO194">
            <v>1602</v>
          </cell>
          <cell r="CP194">
            <v>0</v>
          </cell>
          <cell r="CQ194">
            <v>1602</v>
          </cell>
          <cell r="CR194">
            <v>0</v>
          </cell>
          <cell r="CS194">
            <v>2835</v>
          </cell>
          <cell r="CT194">
            <v>0</v>
          </cell>
          <cell r="CU194">
            <v>0</v>
          </cell>
          <cell r="CV194">
            <v>2835</v>
          </cell>
          <cell r="CW194">
            <v>0</v>
          </cell>
          <cell r="CY194">
            <v>1602</v>
          </cell>
          <cell r="CZ194">
            <v>0</v>
          </cell>
          <cell r="DA194">
            <v>1602</v>
          </cell>
          <cell r="DB194">
            <v>0</v>
          </cell>
          <cell r="DC194">
            <v>2835</v>
          </cell>
          <cell r="DD194">
            <v>0</v>
          </cell>
          <cell r="DE194">
            <v>0</v>
          </cell>
          <cell r="DF194">
            <v>2835</v>
          </cell>
          <cell r="DG194">
            <v>0</v>
          </cell>
          <cell r="DI194">
            <v>87090</v>
          </cell>
          <cell r="DJ194">
            <v>15573</v>
          </cell>
          <cell r="DK194">
            <v>0</v>
          </cell>
          <cell r="DL194">
            <v>15573</v>
          </cell>
          <cell r="DM194">
            <v>15573</v>
          </cell>
          <cell r="DN194">
            <v>0</v>
          </cell>
          <cell r="DO194">
            <v>15573</v>
          </cell>
          <cell r="DP194">
            <v>28350</v>
          </cell>
          <cell r="DQ194">
            <v>0</v>
          </cell>
          <cell r="DR194">
            <v>0</v>
          </cell>
          <cell r="DS194">
            <v>28350</v>
          </cell>
          <cell r="DT194">
            <v>59496</v>
          </cell>
          <cell r="DU194">
            <v>0</v>
          </cell>
          <cell r="DW194">
            <v>0</v>
          </cell>
          <cell r="DX194">
            <v>0</v>
          </cell>
          <cell r="DY194">
            <v>92895</v>
          </cell>
          <cell r="DZ194">
            <v>98700</v>
          </cell>
          <cell r="EA194">
            <v>104597</v>
          </cell>
          <cell r="EB194">
            <v>110494</v>
          </cell>
          <cell r="EC194">
            <v>116391</v>
          </cell>
          <cell r="ED194">
            <v>122430</v>
          </cell>
          <cell r="EE194">
            <v>128469</v>
          </cell>
          <cell r="EF194">
            <v>134508</v>
          </cell>
          <cell r="EG194">
            <v>140547</v>
          </cell>
          <cell r="EH194">
            <v>146586</v>
          </cell>
          <cell r="EI194">
            <v>1195617</v>
          </cell>
          <cell r="EK194">
            <v>0</v>
          </cell>
          <cell r="EL194">
            <v>0</v>
          </cell>
          <cell r="EM194">
            <v>619.30000000000007</v>
          </cell>
          <cell r="EN194">
            <v>658</v>
          </cell>
          <cell r="EO194">
            <v>697.31333333333339</v>
          </cell>
          <cell r="EP194">
            <v>736.62666666666667</v>
          </cell>
          <cell r="EQ194">
            <v>775.94</v>
          </cell>
          <cell r="ER194">
            <v>816.19999999999993</v>
          </cell>
          <cell r="ES194">
            <v>920.69449999999995</v>
          </cell>
          <cell r="ET194">
            <v>963.97400000000005</v>
          </cell>
          <cell r="EU194">
            <v>1007.2534999999999</v>
          </cell>
          <cell r="EV194">
            <v>1050.5329999999999</v>
          </cell>
          <cell r="EW194">
            <v>8245.8349999999991</v>
          </cell>
          <cell r="EY194">
            <v>645507</v>
          </cell>
          <cell r="EZ194">
            <v>8</v>
          </cell>
          <cell r="FA194">
            <v>4303.38</v>
          </cell>
          <cell r="FB194">
            <v>550110</v>
          </cell>
          <cell r="FC194">
            <v>8.6</v>
          </cell>
          <cell r="FD194">
            <v>3942.4549999999999</v>
          </cell>
          <cell r="FE194">
            <v>8245.8349999999991</v>
          </cell>
          <cell r="FF194">
            <v>154832</v>
          </cell>
          <cell r="FH194">
            <v>154832</v>
          </cell>
        </row>
        <row r="195">
          <cell r="B195">
            <v>9106</v>
          </cell>
          <cell r="C195" t="str">
            <v>13.04.2007</v>
          </cell>
          <cell r="D195" t="str">
            <v>Ahire Babasaheb Vitthalrao</v>
          </cell>
          <cell r="F195">
            <v>28329</v>
          </cell>
          <cell r="G195">
            <v>33628</v>
          </cell>
          <cell r="H195">
            <v>23290</v>
          </cell>
          <cell r="I195">
            <v>23290</v>
          </cell>
          <cell r="J195">
            <v>46580</v>
          </cell>
          <cell r="K195">
            <v>18251</v>
          </cell>
          <cell r="M195">
            <v>1057</v>
          </cell>
          <cell r="N195">
            <v>0</v>
          </cell>
          <cell r="O195">
            <v>1057</v>
          </cell>
          <cell r="P195">
            <v>0</v>
          </cell>
          <cell r="Q195">
            <v>2000</v>
          </cell>
          <cell r="R195">
            <v>0</v>
          </cell>
          <cell r="S195">
            <v>0</v>
          </cell>
          <cell r="T195">
            <v>2000</v>
          </cell>
          <cell r="U195">
            <v>0</v>
          </cell>
          <cell r="W195">
            <v>1057</v>
          </cell>
          <cell r="X195">
            <v>0</v>
          </cell>
          <cell r="Y195">
            <v>1057</v>
          </cell>
          <cell r="Z195">
            <v>0</v>
          </cell>
          <cell r="AA195">
            <v>2000</v>
          </cell>
          <cell r="AB195">
            <v>0</v>
          </cell>
          <cell r="AC195">
            <v>0</v>
          </cell>
          <cell r="AD195">
            <v>2000</v>
          </cell>
          <cell r="AE195">
            <v>0</v>
          </cell>
          <cell r="AG195">
            <v>1088</v>
          </cell>
          <cell r="AH195">
            <v>0</v>
          </cell>
          <cell r="AI195">
            <v>1088</v>
          </cell>
          <cell r="AJ195">
            <v>0</v>
          </cell>
          <cell r="AK195">
            <v>2000</v>
          </cell>
          <cell r="AL195">
            <v>0</v>
          </cell>
          <cell r="AM195">
            <v>0</v>
          </cell>
          <cell r="AN195">
            <v>2000</v>
          </cell>
          <cell r="AO195">
            <v>0</v>
          </cell>
          <cell r="AQ195">
            <v>1088</v>
          </cell>
          <cell r="AR195">
            <v>0</v>
          </cell>
          <cell r="AS195">
            <v>1088</v>
          </cell>
          <cell r="AT195">
            <v>0</v>
          </cell>
          <cell r="AU195">
            <v>2000</v>
          </cell>
          <cell r="AV195">
            <v>0</v>
          </cell>
          <cell r="AW195">
            <v>0</v>
          </cell>
          <cell r="AX195">
            <v>2000</v>
          </cell>
          <cell r="AY195">
            <v>0</v>
          </cell>
          <cell r="BA195">
            <v>1088</v>
          </cell>
          <cell r="BB195">
            <v>0</v>
          </cell>
          <cell r="BC195">
            <v>1088</v>
          </cell>
          <cell r="BD195">
            <v>0</v>
          </cell>
          <cell r="BE195">
            <v>2000</v>
          </cell>
          <cell r="BF195">
            <v>0</v>
          </cell>
          <cell r="BG195">
            <v>0</v>
          </cell>
          <cell r="BH195">
            <v>2000</v>
          </cell>
          <cell r="BI195">
            <v>0</v>
          </cell>
          <cell r="BK195">
            <v>1139</v>
          </cell>
          <cell r="BL195">
            <v>0</v>
          </cell>
          <cell r="BM195">
            <v>1139</v>
          </cell>
          <cell r="BN195">
            <v>0</v>
          </cell>
          <cell r="BO195">
            <v>2000</v>
          </cell>
          <cell r="BP195">
            <v>0</v>
          </cell>
          <cell r="BQ195">
            <v>0</v>
          </cell>
          <cell r="BR195">
            <v>2000</v>
          </cell>
          <cell r="BS195">
            <v>0</v>
          </cell>
          <cell r="BU195">
            <v>1139</v>
          </cell>
          <cell r="BV195">
            <v>0</v>
          </cell>
          <cell r="BW195">
            <v>1139</v>
          </cell>
          <cell r="BX195">
            <v>0</v>
          </cell>
          <cell r="BY195">
            <v>2000</v>
          </cell>
          <cell r="BZ195">
            <v>0</v>
          </cell>
          <cell r="CA195">
            <v>0</v>
          </cell>
          <cell r="CB195">
            <v>2000</v>
          </cell>
          <cell r="CC195">
            <v>0</v>
          </cell>
          <cell r="CE195">
            <v>1139</v>
          </cell>
          <cell r="CF195">
            <v>0</v>
          </cell>
          <cell r="CG195">
            <v>1139</v>
          </cell>
          <cell r="CH195">
            <v>0</v>
          </cell>
          <cell r="CI195">
            <v>2000</v>
          </cell>
          <cell r="CJ195">
            <v>0</v>
          </cell>
          <cell r="CK195">
            <v>0</v>
          </cell>
          <cell r="CL195">
            <v>2000</v>
          </cell>
          <cell r="CM195">
            <v>0</v>
          </cell>
          <cell r="CO195">
            <v>1139</v>
          </cell>
          <cell r="CP195">
            <v>0</v>
          </cell>
          <cell r="CQ195">
            <v>1139</v>
          </cell>
          <cell r="CR195">
            <v>0</v>
          </cell>
          <cell r="CS195">
            <v>2000</v>
          </cell>
          <cell r="CT195">
            <v>0</v>
          </cell>
          <cell r="CU195">
            <v>0</v>
          </cell>
          <cell r="CV195">
            <v>2000</v>
          </cell>
          <cell r="CW195">
            <v>0</v>
          </cell>
          <cell r="CY195">
            <v>1139</v>
          </cell>
          <cell r="CZ195">
            <v>0</v>
          </cell>
          <cell r="DA195">
            <v>1139</v>
          </cell>
          <cell r="DB195">
            <v>0</v>
          </cell>
          <cell r="DC195">
            <v>2000</v>
          </cell>
          <cell r="DD195">
            <v>0</v>
          </cell>
          <cell r="DE195">
            <v>0</v>
          </cell>
          <cell r="DF195">
            <v>2000</v>
          </cell>
          <cell r="DG195">
            <v>0</v>
          </cell>
          <cell r="DI195">
            <v>46580</v>
          </cell>
          <cell r="DJ195">
            <v>11073</v>
          </cell>
          <cell r="DK195">
            <v>0</v>
          </cell>
          <cell r="DL195">
            <v>11073</v>
          </cell>
          <cell r="DM195">
            <v>11073</v>
          </cell>
          <cell r="DN195">
            <v>0</v>
          </cell>
          <cell r="DO195">
            <v>11073</v>
          </cell>
          <cell r="DP195">
            <v>20000</v>
          </cell>
          <cell r="DQ195">
            <v>0</v>
          </cell>
          <cell r="DR195">
            <v>0</v>
          </cell>
          <cell r="DS195">
            <v>20000</v>
          </cell>
          <cell r="DT195">
            <v>42146</v>
          </cell>
          <cell r="DU195">
            <v>0</v>
          </cell>
          <cell r="DW195">
            <v>0</v>
          </cell>
          <cell r="DX195">
            <v>0</v>
          </cell>
          <cell r="DY195">
            <v>50694</v>
          </cell>
          <cell r="DZ195">
            <v>54808</v>
          </cell>
          <cell r="EA195">
            <v>58984</v>
          </cell>
          <cell r="EB195">
            <v>63160</v>
          </cell>
          <cell r="EC195">
            <v>67336</v>
          </cell>
          <cell r="ED195">
            <v>71614</v>
          </cell>
          <cell r="EE195">
            <v>75892</v>
          </cell>
          <cell r="EF195">
            <v>80170</v>
          </cell>
          <cell r="EG195">
            <v>84448</v>
          </cell>
          <cell r="EH195">
            <v>88726</v>
          </cell>
          <cell r="EI195">
            <v>695832</v>
          </cell>
          <cell r="EK195">
            <v>0</v>
          </cell>
          <cell r="EL195">
            <v>0</v>
          </cell>
          <cell r="EM195">
            <v>337.96</v>
          </cell>
          <cell r="EN195">
            <v>365.38666666666671</v>
          </cell>
          <cell r="EO195">
            <v>393.22666666666669</v>
          </cell>
          <cell r="EP195">
            <v>421.06666666666666</v>
          </cell>
          <cell r="EQ195">
            <v>448.90666666666669</v>
          </cell>
          <cell r="ER195">
            <v>477.42666666666668</v>
          </cell>
          <cell r="ES195">
            <v>543.89266666666663</v>
          </cell>
          <cell r="ET195">
            <v>574.55166666666662</v>
          </cell>
          <cell r="EU195">
            <v>605.21066666666661</v>
          </cell>
          <cell r="EV195">
            <v>635.8696666666666</v>
          </cell>
          <cell r="EW195">
            <v>4803.4979999999996</v>
          </cell>
          <cell r="EY195">
            <v>366596</v>
          </cell>
          <cell r="EZ195">
            <v>8</v>
          </cell>
          <cell r="FA195">
            <v>2443.9733333333334</v>
          </cell>
          <cell r="FB195">
            <v>329236</v>
          </cell>
          <cell r="FC195">
            <v>8.6</v>
          </cell>
          <cell r="FD195">
            <v>2359.5246666666667</v>
          </cell>
          <cell r="FE195">
            <v>4803.4979999999996</v>
          </cell>
          <cell r="FF195">
            <v>93529</v>
          </cell>
          <cell r="FH195">
            <v>93529</v>
          </cell>
        </row>
        <row r="196">
          <cell r="B196">
            <v>9108</v>
          </cell>
          <cell r="C196" t="str">
            <v>13.04.2007</v>
          </cell>
          <cell r="D196" t="str">
            <v>Divate Jitendra Laxmanrao</v>
          </cell>
          <cell r="F196">
            <v>28329</v>
          </cell>
          <cell r="G196">
            <v>33628</v>
          </cell>
          <cell r="H196">
            <v>64428</v>
          </cell>
          <cell r="I196">
            <v>64428</v>
          </cell>
          <cell r="J196">
            <v>128856</v>
          </cell>
          <cell r="K196">
            <v>100527</v>
          </cell>
          <cell r="M196">
            <v>1057</v>
          </cell>
          <cell r="N196">
            <v>0</v>
          </cell>
          <cell r="O196">
            <v>1057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W196">
            <v>1057</v>
          </cell>
          <cell r="X196">
            <v>0</v>
          </cell>
          <cell r="Y196">
            <v>1057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20000</v>
          </cell>
          <cell r="AG196">
            <v>1088</v>
          </cell>
          <cell r="AH196">
            <v>0</v>
          </cell>
          <cell r="AI196">
            <v>1088</v>
          </cell>
          <cell r="AJ196">
            <v>0</v>
          </cell>
          <cell r="AK196">
            <v>1000</v>
          </cell>
          <cell r="AL196">
            <v>0</v>
          </cell>
          <cell r="AM196">
            <v>0</v>
          </cell>
          <cell r="AN196">
            <v>1000</v>
          </cell>
          <cell r="AO196">
            <v>0</v>
          </cell>
          <cell r="AQ196">
            <v>1088</v>
          </cell>
          <cell r="AR196">
            <v>0</v>
          </cell>
          <cell r="AS196">
            <v>1088</v>
          </cell>
          <cell r="AT196">
            <v>0</v>
          </cell>
          <cell r="AU196">
            <v>1000</v>
          </cell>
          <cell r="AV196">
            <v>0</v>
          </cell>
          <cell r="AW196">
            <v>0</v>
          </cell>
          <cell r="AX196">
            <v>1000</v>
          </cell>
          <cell r="AY196">
            <v>0</v>
          </cell>
          <cell r="BA196">
            <v>1088</v>
          </cell>
          <cell r="BB196">
            <v>0</v>
          </cell>
          <cell r="BC196">
            <v>1088</v>
          </cell>
          <cell r="BD196">
            <v>0</v>
          </cell>
          <cell r="BE196">
            <v>1000</v>
          </cell>
          <cell r="BF196">
            <v>0</v>
          </cell>
          <cell r="BG196">
            <v>0</v>
          </cell>
          <cell r="BH196">
            <v>1000</v>
          </cell>
          <cell r="BI196">
            <v>0</v>
          </cell>
          <cell r="BK196">
            <v>1139</v>
          </cell>
          <cell r="BL196">
            <v>0</v>
          </cell>
          <cell r="BM196">
            <v>1139</v>
          </cell>
          <cell r="BN196">
            <v>0</v>
          </cell>
          <cell r="BO196">
            <v>1000</v>
          </cell>
          <cell r="BP196">
            <v>0</v>
          </cell>
          <cell r="BQ196">
            <v>0</v>
          </cell>
          <cell r="BR196">
            <v>1000</v>
          </cell>
          <cell r="BS196">
            <v>0</v>
          </cell>
          <cell r="BU196">
            <v>1139</v>
          </cell>
          <cell r="BV196">
            <v>0</v>
          </cell>
          <cell r="BW196">
            <v>1139</v>
          </cell>
          <cell r="BX196">
            <v>0</v>
          </cell>
          <cell r="BY196">
            <v>1000</v>
          </cell>
          <cell r="BZ196">
            <v>0</v>
          </cell>
          <cell r="CA196">
            <v>0</v>
          </cell>
          <cell r="CB196">
            <v>1000</v>
          </cell>
          <cell r="CC196">
            <v>0</v>
          </cell>
          <cell r="CE196">
            <v>1139</v>
          </cell>
          <cell r="CF196">
            <v>0</v>
          </cell>
          <cell r="CG196">
            <v>1139</v>
          </cell>
          <cell r="CH196">
            <v>0</v>
          </cell>
          <cell r="CI196">
            <v>1000</v>
          </cell>
          <cell r="CJ196">
            <v>0</v>
          </cell>
          <cell r="CK196">
            <v>0</v>
          </cell>
          <cell r="CL196">
            <v>1000</v>
          </cell>
          <cell r="CM196">
            <v>0</v>
          </cell>
          <cell r="CO196">
            <v>1139</v>
          </cell>
          <cell r="CP196">
            <v>0</v>
          </cell>
          <cell r="CQ196">
            <v>1139</v>
          </cell>
          <cell r="CR196">
            <v>0</v>
          </cell>
          <cell r="CS196">
            <v>1000</v>
          </cell>
          <cell r="CT196">
            <v>0</v>
          </cell>
          <cell r="CU196">
            <v>0</v>
          </cell>
          <cell r="CV196">
            <v>1000</v>
          </cell>
          <cell r="CW196">
            <v>0</v>
          </cell>
          <cell r="CY196">
            <v>1139</v>
          </cell>
          <cell r="CZ196">
            <v>0</v>
          </cell>
          <cell r="DA196">
            <v>1139</v>
          </cell>
          <cell r="DB196">
            <v>0</v>
          </cell>
          <cell r="DC196">
            <v>1000</v>
          </cell>
          <cell r="DD196">
            <v>0</v>
          </cell>
          <cell r="DE196">
            <v>0</v>
          </cell>
          <cell r="DF196">
            <v>1000</v>
          </cell>
          <cell r="DG196">
            <v>0</v>
          </cell>
          <cell r="DI196">
            <v>128856</v>
          </cell>
          <cell r="DJ196">
            <v>11073</v>
          </cell>
          <cell r="DK196">
            <v>0</v>
          </cell>
          <cell r="DL196">
            <v>11073</v>
          </cell>
          <cell r="DM196">
            <v>11073</v>
          </cell>
          <cell r="DN196">
            <v>0</v>
          </cell>
          <cell r="DO196">
            <v>11073</v>
          </cell>
          <cell r="DP196">
            <v>8000</v>
          </cell>
          <cell r="DQ196">
            <v>0</v>
          </cell>
          <cell r="DR196">
            <v>0</v>
          </cell>
          <cell r="DS196">
            <v>8000</v>
          </cell>
          <cell r="DT196">
            <v>30146</v>
          </cell>
          <cell r="DU196">
            <v>20000</v>
          </cell>
          <cell r="DW196">
            <v>0</v>
          </cell>
          <cell r="DX196">
            <v>0</v>
          </cell>
          <cell r="DY196">
            <v>130970</v>
          </cell>
          <cell r="DZ196">
            <v>113084</v>
          </cell>
          <cell r="EA196">
            <v>116260</v>
          </cell>
          <cell r="EB196">
            <v>119436</v>
          </cell>
          <cell r="EC196">
            <v>122612</v>
          </cell>
          <cell r="ED196">
            <v>125890</v>
          </cell>
          <cell r="EE196">
            <v>129168</v>
          </cell>
          <cell r="EF196">
            <v>132446</v>
          </cell>
          <cell r="EG196">
            <v>135724</v>
          </cell>
          <cell r="EH196">
            <v>139002</v>
          </cell>
          <cell r="EI196">
            <v>1264592</v>
          </cell>
          <cell r="EK196">
            <v>0</v>
          </cell>
          <cell r="EL196">
            <v>0</v>
          </cell>
          <cell r="EM196">
            <v>873.13333333333333</v>
          </cell>
          <cell r="EN196">
            <v>753.89333333333332</v>
          </cell>
          <cell r="EO196">
            <v>775.06666666666661</v>
          </cell>
          <cell r="EP196">
            <v>796.2399999999999</v>
          </cell>
          <cell r="EQ196">
            <v>817.4133333333333</v>
          </cell>
          <cell r="ER196">
            <v>839.26666666666677</v>
          </cell>
          <cell r="ES196">
            <v>925.70400000000006</v>
          </cell>
          <cell r="ET196">
            <v>949.1963333333332</v>
          </cell>
          <cell r="EU196">
            <v>972.68866666666656</v>
          </cell>
          <cell r="EV196">
            <v>996.18099999999993</v>
          </cell>
          <cell r="EW196">
            <v>8698.7833333333328</v>
          </cell>
          <cell r="EY196">
            <v>728252</v>
          </cell>
          <cell r="EZ196">
            <v>8</v>
          </cell>
          <cell r="FA196">
            <v>4855.0133333333333</v>
          </cell>
          <cell r="FB196">
            <v>536340</v>
          </cell>
          <cell r="FC196">
            <v>8.6</v>
          </cell>
          <cell r="FD196">
            <v>3843.77</v>
          </cell>
          <cell r="FE196">
            <v>8698.7833333333328</v>
          </cell>
          <cell r="FF196">
            <v>147701</v>
          </cell>
          <cell r="FH196">
            <v>147701</v>
          </cell>
        </row>
        <row r="197">
          <cell r="B197">
            <v>9109</v>
          </cell>
          <cell r="C197" t="str">
            <v>13.04.2007</v>
          </cell>
          <cell r="D197" t="str">
            <v>Davare Ravindra Walchand</v>
          </cell>
          <cell r="F197">
            <v>28329</v>
          </cell>
          <cell r="G197">
            <v>33628</v>
          </cell>
          <cell r="H197">
            <v>10821</v>
          </cell>
          <cell r="I197">
            <v>10821</v>
          </cell>
          <cell r="J197">
            <v>21642</v>
          </cell>
          <cell r="K197">
            <v>-6687</v>
          </cell>
          <cell r="M197">
            <v>1057</v>
          </cell>
          <cell r="N197">
            <v>0</v>
          </cell>
          <cell r="O197">
            <v>1057</v>
          </cell>
          <cell r="P197">
            <v>0</v>
          </cell>
          <cell r="Q197">
            <v>810</v>
          </cell>
          <cell r="R197">
            <v>0</v>
          </cell>
          <cell r="S197">
            <v>0</v>
          </cell>
          <cell r="T197">
            <v>810</v>
          </cell>
          <cell r="U197">
            <v>0</v>
          </cell>
          <cell r="W197">
            <v>1057</v>
          </cell>
          <cell r="X197">
            <v>0</v>
          </cell>
          <cell r="Y197">
            <v>1057</v>
          </cell>
          <cell r="Z197">
            <v>0</v>
          </cell>
          <cell r="AA197">
            <v>810</v>
          </cell>
          <cell r="AB197">
            <v>0</v>
          </cell>
          <cell r="AC197">
            <v>0</v>
          </cell>
          <cell r="AD197">
            <v>810</v>
          </cell>
          <cell r="AE197">
            <v>0</v>
          </cell>
          <cell r="AG197">
            <v>1088</v>
          </cell>
          <cell r="AH197">
            <v>0</v>
          </cell>
          <cell r="AI197">
            <v>1088</v>
          </cell>
          <cell r="AJ197">
            <v>0</v>
          </cell>
          <cell r="AK197">
            <v>810</v>
          </cell>
          <cell r="AL197">
            <v>0</v>
          </cell>
          <cell r="AM197">
            <v>0</v>
          </cell>
          <cell r="AN197">
            <v>810</v>
          </cell>
          <cell r="AO197">
            <v>0</v>
          </cell>
          <cell r="AQ197">
            <v>1088</v>
          </cell>
          <cell r="AR197">
            <v>0</v>
          </cell>
          <cell r="AS197">
            <v>1088</v>
          </cell>
          <cell r="AT197">
            <v>0</v>
          </cell>
          <cell r="AU197">
            <v>810</v>
          </cell>
          <cell r="AV197">
            <v>0</v>
          </cell>
          <cell r="AW197">
            <v>0</v>
          </cell>
          <cell r="AX197">
            <v>810</v>
          </cell>
          <cell r="AY197">
            <v>0</v>
          </cell>
          <cell r="BA197">
            <v>1088</v>
          </cell>
          <cell r="BB197">
            <v>0</v>
          </cell>
          <cell r="BC197">
            <v>1088</v>
          </cell>
          <cell r="BD197">
            <v>0</v>
          </cell>
          <cell r="BE197">
            <v>810</v>
          </cell>
          <cell r="BF197">
            <v>0</v>
          </cell>
          <cell r="BG197">
            <v>0</v>
          </cell>
          <cell r="BH197">
            <v>810</v>
          </cell>
          <cell r="BI197">
            <v>0</v>
          </cell>
          <cell r="BK197">
            <v>1139</v>
          </cell>
          <cell r="BL197">
            <v>0</v>
          </cell>
          <cell r="BM197">
            <v>1139</v>
          </cell>
          <cell r="BN197">
            <v>0</v>
          </cell>
          <cell r="BO197">
            <v>810</v>
          </cell>
          <cell r="BP197">
            <v>0</v>
          </cell>
          <cell r="BQ197">
            <v>0</v>
          </cell>
          <cell r="BR197">
            <v>810</v>
          </cell>
          <cell r="BS197">
            <v>0</v>
          </cell>
          <cell r="BU197">
            <v>1139</v>
          </cell>
          <cell r="BV197">
            <v>0</v>
          </cell>
          <cell r="BW197">
            <v>1139</v>
          </cell>
          <cell r="BX197">
            <v>0</v>
          </cell>
          <cell r="BY197">
            <v>810</v>
          </cell>
          <cell r="BZ197">
            <v>0</v>
          </cell>
          <cell r="CA197">
            <v>0</v>
          </cell>
          <cell r="CB197">
            <v>810</v>
          </cell>
          <cell r="CC197">
            <v>0</v>
          </cell>
          <cell r="CE197">
            <v>1139</v>
          </cell>
          <cell r="CF197">
            <v>0</v>
          </cell>
          <cell r="CG197">
            <v>1139</v>
          </cell>
          <cell r="CH197">
            <v>0</v>
          </cell>
          <cell r="CI197">
            <v>810</v>
          </cell>
          <cell r="CJ197">
            <v>0</v>
          </cell>
          <cell r="CK197">
            <v>0</v>
          </cell>
          <cell r="CL197">
            <v>810</v>
          </cell>
          <cell r="CM197">
            <v>0</v>
          </cell>
          <cell r="CO197">
            <v>1139</v>
          </cell>
          <cell r="CP197">
            <v>0</v>
          </cell>
          <cell r="CQ197">
            <v>1139</v>
          </cell>
          <cell r="CR197">
            <v>0</v>
          </cell>
          <cell r="CS197">
            <v>810</v>
          </cell>
          <cell r="CT197">
            <v>0</v>
          </cell>
          <cell r="CU197">
            <v>0</v>
          </cell>
          <cell r="CV197">
            <v>810</v>
          </cell>
          <cell r="CW197">
            <v>0</v>
          </cell>
          <cell r="CY197">
            <v>1139</v>
          </cell>
          <cell r="CZ197">
            <v>0</v>
          </cell>
          <cell r="DA197">
            <v>1139</v>
          </cell>
          <cell r="DB197">
            <v>0</v>
          </cell>
          <cell r="DC197">
            <v>810</v>
          </cell>
          <cell r="DD197">
            <v>0</v>
          </cell>
          <cell r="DE197">
            <v>0</v>
          </cell>
          <cell r="DF197">
            <v>810</v>
          </cell>
          <cell r="DG197">
            <v>0</v>
          </cell>
          <cell r="DI197">
            <v>21642</v>
          </cell>
          <cell r="DJ197">
            <v>11073</v>
          </cell>
          <cell r="DK197">
            <v>0</v>
          </cell>
          <cell r="DL197">
            <v>11073</v>
          </cell>
          <cell r="DM197">
            <v>11073</v>
          </cell>
          <cell r="DN197">
            <v>0</v>
          </cell>
          <cell r="DO197">
            <v>11073</v>
          </cell>
          <cell r="DP197">
            <v>8100</v>
          </cell>
          <cell r="DQ197">
            <v>0</v>
          </cell>
          <cell r="DR197">
            <v>0</v>
          </cell>
          <cell r="DS197">
            <v>8100</v>
          </cell>
          <cell r="DT197">
            <v>30246</v>
          </cell>
          <cell r="DU197">
            <v>0</v>
          </cell>
          <cell r="DW197">
            <v>0</v>
          </cell>
          <cell r="DX197">
            <v>0</v>
          </cell>
          <cell r="DY197">
            <v>24566</v>
          </cell>
          <cell r="DZ197">
            <v>27490</v>
          </cell>
          <cell r="EA197">
            <v>30476</v>
          </cell>
          <cell r="EB197">
            <v>33462</v>
          </cell>
          <cell r="EC197">
            <v>36448</v>
          </cell>
          <cell r="ED197">
            <v>39536</v>
          </cell>
          <cell r="EE197">
            <v>42624</v>
          </cell>
          <cell r="EF197">
            <v>45712</v>
          </cell>
          <cell r="EG197">
            <v>48800</v>
          </cell>
          <cell r="EH197">
            <v>51888</v>
          </cell>
          <cell r="EI197">
            <v>381002</v>
          </cell>
          <cell r="EK197">
            <v>0</v>
          </cell>
          <cell r="EL197">
            <v>0</v>
          </cell>
          <cell r="EM197">
            <v>163.77333333333334</v>
          </cell>
          <cell r="EN197">
            <v>183.26666666666665</v>
          </cell>
          <cell r="EO197">
            <v>203.17333333333332</v>
          </cell>
          <cell r="EP197">
            <v>223.08</v>
          </cell>
          <cell r="EQ197">
            <v>242.98666666666668</v>
          </cell>
          <cell r="ER197">
            <v>263.57333333333332</v>
          </cell>
          <cell r="ES197">
            <v>305.47199999999998</v>
          </cell>
          <cell r="ET197">
            <v>327.60266666666666</v>
          </cell>
          <cell r="EU197">
            <v>349.73333333333335</v>
          </cell>
          <cell r="EV197">
            <v>371.86399999999998</v>
          </cell>
          <cell r="EW197">
            <v>2634.5253333333335</v>
          </cell>
          <cell r="EY197">
            <v>191978</v>
          </cell>
          <cell r="EZ197">
            <v>8</v>
          </cell>
          <cell r="FA197">
            <v>1279.8533333333332</v>
          </cell>
          <cell r="FB197">
            <v>189024</v>
          </cell>
          <cell r="FC197">
            <v>8.6</v>
          </cell>
          <cell r="FD197">
            <v>1354.6719999999998</v>
          </cell>
          <cell r="FE197">
            <v>2634.525333333333</v>
          </cell>
          <cell r="FF197">
            <v>54523</v>
          </cell>
          <cell r="FH197">
            <v>54523</v>
          </cell>
        </row>
        <row r="198">
          <cell r="B198">
            <v>9110</v>
          </cell>
          <cell r="C198" t="str">
            <v>13.04.2007</v>
          </cell>
          <cell r="D198" t="str">
            <v>Dive Ghanshyam Liladhar</v>
          </cell>
          <cell r="F198">
            <v>28329</v>
          </cell>
          <cell r="G198">
            <v>33628</v>
          </cell>
          <cell r="H198">
            <v>28478</v>
          </cell>
          <cell r="I198">
            <v>28478</v>
          </cell>
          <cell r="J198">
            <v>56956</v>
          </cell>
          <cell r="K198">
            <v>28627</v>
          </cell>
          <cell r="M198">
            <v>1057</v>
          </cell>
          <cell r="N198">
            <v>0</v>
          </cell>
          <cell r="O198">
            <v>1057</v>
          </cell>
          <cell r="P198">
            <v>0</v>
          </cell>
          <cell r="Q198">
            <v>1450</v>
          </cell>
          <cell r="R198">
            <v>0</v>
          </cell>
          <cell r="S198">
            <v>0</v>
          </cell>
          <cell r="T198">
            <v>1450</v>
          </cell>
          <cell r="U198">
            <v>0</v>
          </cell>
          <cell r="W198">
            <v>1057</v>
          </cell>
          <cell r="X198">
            <v>0</v>
          </cell>
          <cell r="Y198">
            <v>1057</v>
          </cell>
          <cell r="Z198">
            <v>0</v>
          </cell>
          <cell r="AA198">
            <v>1450</v>
          </cell>
          <cell r="AB198">
            <v>0</v>
          </cell>
          <cell r="AC198">
            <v>0</v>
          </cell>
          <cell r="AD198">
            <v>1450</v>
          </cell>
          <cell r="AE198">
            <v>0</v>
          </cell>
          <cell r="AG198">
            <v>1088</v>
          </cell>
          <cell r="AH198">
            <v>0</v>
          </cell>
          <cell r="AI198">
            <v>1088</v>
          </cell>
          <cell r="AJ198">
            <v>0</v>
          </cell>
          <cell r="AK198">
            <v>1450</v>
          </cell>
          <cell r="AL198">
            <v>0</v>
          </cell>
          <cell r="AM198">
            <v>0</v>
          </cell>
          <cell r="AN198">
            <v>1450</v>
          </cell>
          <cell r="AO198">
            <v>0</v>
          </cell>
          <cell r="AQ198">
            <v>1088</v>
          </cell>
          <cell r="AR198">
            <v>0</v>
          </cell>
          <cell r="AS198">
            <v>1088</v>
          </cell>
          <cell r="AT198">
            <v>0</v>
          </cell>
          <cell r="AU198">
            <v>1450</v>
          </cell>
          <cell r="AV198">
            <v>0</v>
          </cell>
          <cell r="AW198">
            <v>0</v>
          </cell>
          <cell r="AX198">
            <v>1450</v>
          </cell>
          <cell r="AY198">
            <v>0</v>
          </cell>
          <cell r="BA198">
            <v>1088</v>
          </cell>
          <cell r="BB198">
            <v>0</v>
          </cell>
          <cell r="BC198">
            <v>1088</v>
          </cell>
          <cell r="BD198">
            <v>0</v>
          </cell>
          <cell r="BE198">
            <v>1450</v>
          </cell>
          <cell r="BF198">
            <v>0</v>
          </cell>
          <cell r="BG198">
            <v>0</v>
          </cell>
          <cell r="BH198">
            <v>1450</v>
          </cell>
          <cell r="BI198">
            <v>0</v>
          </cell>
          <cell r="BK198">
            <v>1139</v>
          </cell>
          <cell r="BL198">
            <v>0</v>
          </cell>
          <cell r="BM198">
            <v>1139</v>
          </cell>
          <cell r="BN198">
            <v>0</v>
          </cell>
          <cell r="BO198">
            <v>1450</v>
          </cell>
          <cell r="BP198">
            <v>0</v>
          </cell>
          <cell r="BQ198">
            <v>0</v>
          </cell>
          <cell r="BR198">
            <v>1450</v>
          </cell>
          <cell r="BS198">
            <v>0</v>
          </cell>
          <cell r="BU198">
            <v>1139</v>
          </cell>
          <cell r="BV198">
            <v>0</v>
          </cell>
          <cell r="BW198">
            <v>1139</v>
          </cell>
          <cell r="BX198">
            <v>0</v>
          </cell>
          <cell r="BY198">
            <v>1450</v>
          </cell>
          <cell r="BZ198">
            <v>0</v>
          </cell>
          <cell r="CA198">
            <v>0</v>
          </cell>
          <cell r="CB198">
            <v>1450</v>
          </cell>
          <cell r="CC198">
            <v>0</v>
          </cell>
          <cell r="CE198">
            <v>1139</v>
          </cell>
          <cell r="CF198">
            <v>0</v>
          </cell>
          <cell r="CG198">
            <v>1139</v>
          </cell>
          <cell r="CH198">
            <v>0</v>
          </cell>
          <cell r="CI198">
            <v>1450</v>
          </cell>
          <cell r="CJ198">
            <v>0</v>
          </cell>
          <cell r="CK198">
            <v>0</v>
          </cell>
          <cell r="CL198">
            <v>1450</v>
          </cell>
          <cell r="CM198">
            <v>0</v>
          </cell>
          <cell r="CO198">
            <v>1139</v>
          </cell>
          <cell r="CP198">
            <v>0</v>
          </cell>
          <cell r="CQ198">
            <v>1139</v>
          </cell>
          <cell r="CR198">
            <v>0</v>
          </cell>
          <cell r="CS198">
            <v>1450</v>
          </cell>
          <cell r="CT198">
            <v>0</v>
          </cell>
          <cell r="CU198">
            <v>0</v>
          </cell>
          <cell r="CV198">
            <v>1450</v>
          </cell>
          <cell r="CW198">
            <v>0</v>
          </cell>
          <cell r="CY198">
            <v>1139</v>
          </cell>
          <cell r="CZ198">
            <v>0</v>
          </cell>
          <cell r="DA198">
            <v>1139</v>
          </cell>
          <cell r="DB198">
            <v>0</v>
          </cell>
          <cell r="DC198">
            <v>1450</v>
          </cell>
          <cell r="DD198">
            <v>0</v>
          </cell>
          <cell r="DE198">
            <v>0</v>
          </cell>
          <cell r="DF198">
            <v>1450</v>
          </cell>
          <cell r="DG198">
            <v>0</v>
          </cell>
          <cell r="DI198">
            <v>56956</v>
          </cell>
          <cell r="DJ198">
            <v>11073</v>
          </cell>
          <cell r="DK198">
            <v>0</v>
          </cell>
          <cell r="DL198">
            <v>11073</v>
          </cell>
          <cell r="DM198">
            <v>11073</v>
          </cell>
          <cell r="DN198">
            <v>0</v>
          </cell>
          <cell r="DO198">
            <v>11073</v>
          </cell>
          <cell r="DP198">
            <v>14500</v>
          </cell>
          <cell r="DQ198">
            <v>0</v>
          </cell>
          <cell r="DR198">
            <v>0</v>
          </cell>
          <cell r="DS198">
            <v>14500</v>
          </cell>
          <cell r="DT198">
            <v>36646</v>
          </cell>
          <cell r="DU198">
            <v>0</v>
          </cell>
          <cell r="DW198">
            <v>0</v>
          </cell>
          <cell r="DX198">
            <v>0</v>
          </cell>
          <cell r="DY198">
            <v>60520</v>
          </cell>
          <cell r="DZ198">
            <v>64084</v>
          </cell>
          <cell r="EA198">
            <v>67710</v>
          </cell>
          <cell r="EB198">
            <v>71336</v>
          </cell>
          <cell r="EC198">
            <v>74962</v>
          </cell>
          <cell r="ED198">
            <v>78690</v>
          </cell>
          <cell r="EE198">
            <v>82418</v>
          </cell>
          <cell r="EF198">
            <v>86146</v>
          </cell>
          <cell r="EG198">
            <v>89874</v>
          </cell>
          <cell r="EH198">
            <v>93602</v>
          </cell>
          <cell r="EI198">
            <v>769342</v>
          </cell>
          <cell r="EK198">
            <v>0</v>
          </cell>
          <cell r="EL198">
            <v>0</v>
          </cell>
          <cell r="EM198">
            <v>403.4666666666667</v>
          </cell>
          <cell r="EN198">
            <v>427.22666666666669</v>
          </cell>
          <cell r="EO198">
            <v>451.40000000000003</v>
          </cell>
          <cell r="EP198">
            <v>475.57333333333332</v>
          </cell>
          <cell r="EQ198">
            <v>499.74666666666667</v>
          </cell>
          <cell r="ER198">
            <v>524.6</v>
          </cell>
          <cell r="ES198">
            <v>590.66233333333332</v>
          </cell>
          <cell r="ET198">
            <v>617.37966666666659</v>
          </cell>
          <cell r="EU198">
            <v>644.09700000000009</v>
          </cell>
          <cell r="EV198">
            <v>670.81433333333337</v>
          </cell>
          <cell r="EW198">
            <v>5304.9666666666672</v>
          </cell>
          <cell r="EY198">
            <v>417302</v>
          </cell>
          <cell r="EZ198">
            <v>8</v>
          </cell>
          <cell r="FA198">
            <v>2782.0133333333338</v>
          </cell>
          <cell r="FB198">
            <v>352040</v>
          </cell>
          <cell r="FC198">
            <v>8.6</v>
          </cell>
          <cell r="FD198">
            <v>2522.9533333333334</v>
          </cell>
          <cell r="FE198">
            <v>5304.9666666666672</v>
          </cell>
          <cell r="FF198">
            <v>98907</v>
          </cell>
          <cell r="FH198">
            <v>98907</v>
          </cell>
        </row>
        <row r="199">
          <cell r="B199">
            <v>9111</v>
          </cell>
          <cell r="C199" t="str">
            <v>13.04.2007</v>
          </cell>
          <cell r="D199" t="str">
            <v>Barve Vinod Namdev</v>
          </cell>
          <cell r="F199">
            <v>28165</v>
          </cell>
          <cell r="G199">
            <v>33628</v>
          </cell>
          <cell r="H199">
            <v>13404</v>
          </cell>
          <cell r="I199">
            <v>13404</v>
          </cell>
          <cell r="J199">
            <v>26808</v>
          </cell>
          <cell r="K199">
            <v>-1357</v>
          </cell>
          <cell r="M199">
            <v>1057</v>
          </cell>
          <cell r="N199">
            <v>0</v>
          </cell>
          <cell r="O199">
            <v>1057</v>
          </cell>
          <cell r="P199">
            <v>0</v>
          </cell>
          <cell r="Q199">
            <v>1765</v>
          </cell>
          <cell r="R199">
            <v>0</v>
          </cell>
          <cell r="S199">
            <v>0</v>
          </cell>
          <cell r="T199">
            <v>1765</v>
          </cell>
          <cell r="U199">
            <v>0</v>
          </cell>
          <cell r="W199">
            <v>1057</v>
          </cell>
          <cell r="X199">
            <v>0</v>
          </cell>
          <cell r="Y199">
            <v>1057</v>
          </cell>
          <cell r="Z199">
            <v>0</v>
          </cell>
          <cell r="AA199">
            <v>1765</v>
          </cell>
          <cell r="AB199">
            <v>0</v>
          </cell>
          <cell r="AC199">
            <v>0</v>
          </cell>
          <cell r="AD199">
            <v>1765</v>
          </cell>
          <cell r="AE199">
            <v>0</v>
          </cell>
          <cell r="AG199">
            <v>1088</v>
          </cell>
          <cell r="AH199">
            <v>0</v>
          </cell>
          <cell r="AI199">
            <v>1088</v>
          </cell>
          <cell r="AJ199">
            <v>0</v>
          </cell>
          <cell r="AK199">
            <v>1765</v>
          </cell>
          <cell r="AL199">
            <v>0</v>
          </cell>
          <cell r="AM199">
            <v>0</v>
          </cell>
          <cell r="AN199">
            <v>1765</v>
          </cell>
          <cell r="AO199">
            <v>0</v>
          </cell>
          <cell r="AQ199">
            <v>1088</v>
          </cell>
          <cell r="AR199">
            <v>0</v>
          </cell>
          <cell r="AS199">
            <v>1088</v>
          </cell>
          <cell r="AT199">
            <v>0</v>
          </cell>
          <cell r="AU199">
            <v>1765</v>
          </cell>
          <cell r="AV199">
            <v>0</v>
          </cell>
          <cell r="AW199">
            <v>0</v>
          </cell>
          <cell r="AX199">
            <v>1765</v>
          </cell>
          <cell r="AY199">
            <v>0</v>
          </cell>
          <cell r="BA199">
            <v>1088</v>
          </cell>
          <cell r="BB199">
            <v>0</v>
          </cell>
          <cell r="BC199">
            <v>1088</v>
          </cell>
          <cell r="BD199">
            <v>0</v>
          </cell>
          <cell r="BE199">
            <v>1765</v>
          </cell>
          <cell r="BF199">
            <v>0</v>
          </cell>
          <cell r="BG199">
            <v>0</v>
          </cell>
          <cell r="BH199">
            <v>1765</v>
          </cell>
          <cell r="BI199">
            <v>0</v>
          </cell>
          <cell r="BK199">
            <v>1139</v>
          </cell>
          <cell r="BL199">
            <v>0</v>
          </cell>
          <cell r="BM199">
            <v>1139</v>
          </cell>
          <cell r="BN199">
            <v>0</v>
          </cell>
          <cell r="BO199">
            <v>1765</v>
          </cell>
          <cell r="BP199">
            <v>0</v>
          </cell>
          <cell r="BQ199">
            <v>0</v>
          </cell>
          <cell r="BR199">
            <v>1765</v>
          </cell>
          <cell r="BS199">
            <v>0</v>
          </cell>
          <cell r="BU199">
            <v>1139</v>
          </cell>
          <cell r="BV199">
            <v>0</v>
          </cell>
          <cell r="BW199">
            <v>1139</v>
          </cell>
          <cell r="BX199">
            <v>0</v>
          </cell>
          <cell r="BY199">
            <v>1765</v>
          </cell>
          <cell r="BZ199">
            <v>0</v>
          </cell>
          <cell r="CA199">
            <v>0</v>
          </cell>
          <cell r="CB199">
            <v>1765</v>
          </cell>
          <cell r="CC199">
            <v>0</v>
          </cell>
          <cell r="CE199">
            <v>1139</v>
          </cell>
          <cell r="CF199">
            <v>0</v>
          </cell>
          <cell r="CG199">
            <v>1139</v>
          </cell>
          <cell r="CH199">
            <v>0</v>
          </cell>
          <cell r="CI199">
            <v>1765</v>
          </cell>
          <cell r="CJ199">
            <v>0</v>
          </cell>
          <cell r="CK199">
            <v>0</v>
          </cell>
          <cell r="CL199">
            <v>1765</v>
          </cell>
          <cell r="CM199">
            <v>0</v>
          </cell>
          <cell r="CO199">
            <v>1139</v>
          </cell>
          <cell r="CP199">
            <v>0</v>
          </cell>
          <cell r="CQ199">
            <v>1139</v>
          </cell>
          <cell r="CR199">
            <v>0</v>
          </cell>
          <cell r="CS199">
            <v>1765</v>
          </cell>
          <cell r="CT199">
            <v>0</v>
          </cell>
          <cell r="CU199">
            <v>0</v>
          </cell>
          <cell r="CV199">
            <v>1765</v>
          </cell>
          <cell r="CW199">
            <v>0</v>
          </cell>
          <cell r="CY199">
            <v>1139</v>
          </cell>
          <cell r="CZ199">
            <v>0</v>
          </cell>
          <cell r="DA199">
            <v>1139</v>
          </cell>
          <cell r="DB199">
            <v>0</v>
          </cell>
          <cell r="DC199">
            <v>1765</v>
          </cell>
          <cell r="DD199">
            <v>0</v>
          </cell>
          <cell r="DE199">
            <v>0</v>
          </cell>
          <cell r="DF199">
            <v>1765</v>
          </cell>
          <cell r="DG199">
            <v>0</v>
          </cell>
          <cell r="DI199">
            <v>26808</v>
          </cell>
          <cell r="DJ199">
            <v>11073</v>
          </cell>
          <cell r="DK199">
            <v>0</v>
          </cell>
          <cell r="DL199">
            <v>11073</v>
          </cell>
          <cell r="DM199">
            <v>11073</v>
          </cell>
          <cell r="DN199">
            <v>0</v>
          </cell>
          <cell r="DO199">
            <v>11073</v>
          </cell>
          <cell r="DP199">
            <v>17650</v>
          </cell>
          <cell r="DQ199">
            <v>0</v>
          </cell>
          <cell r="DR199">
            <v>0</v>
          </cell>
          <cell r="DS199">
            <v>17650</v>
          </cell>
          <cell r="DT199">
            <v>39796</v>
          </cell>
          <cell r="DU199">
            <v>0</v>
          </cell>
          <cell r="DW199">
            <v>0</v>
          </cell>
          <cell r="DX199">
            <v>0</v>
          </cell>
          <cell r="DY199">
            <v>30687</v>
          </cell>
          <cell r="DZ199">
            <v>34566</v>
          </cell>
          <cell r="EA199">
            <v>38507</v>
          </cell>
          <cell r="EB199">
            <v>42448</v>
          </cell>
          <cell r="EC199">
            <v>46389</v>
          </cell>
          <cell r="ED199">
            <v>50432</v>
          </cell>
          <cell r="EE199">
            <v>54475</v>
          </cell>
          <cell r="EF199">
            <v>58518</v>
          </cell>
          <cell r="EG199">
            <v>62561</v>
          </cell>
          <cell r="EH199">
            <v>66604</v>
          </cell>
          <cell r="EI199">
            <v>485187</v>
          </cell>
          <cell r="EK199">
            <v>0</v>
          </cell>
          <cell r="EL199">
            <v>0</v>
          </cell>
          <cell r="EM199">
            <v>204.58</v>
          </cell>
          <cell r="EN199">
            <v>230.44000000000003</v>
          </cell>
          <cell r="EO199">
            <v>256.71333333333331</v>
          </cell>
          <cell r="EP199">
            <v>282.98666666666668</v>
          </cell>
          <cell r="EQ199">
            <v>309.26</v>
          </cell>
          <cell r="ER199">
            <v>336.21333333333331</v>
          </cell>
          <cell r="ES199">
            <v>390.4041666666667</v>
          </cell>
          <cell r="ET199">
            <v>419.37899999999996</v>
          </cell>
          <cell r="EU199">
            <v>448.35383333333334</v>
          </cell>
          <cell r="EV199">
            <v>477.32866666666672</v>
          </cell>
          <cell r="EW199">
            <v>3355.6590000000001</v>
          </cell>
          <cell r="EY199">
            <v>243029</v>
          </cell>
          <cell r="EZ199">
            <v>8</v>
          </cell>
          <cell r="FA199">
            <v>1620.1933333333334</v>
          </cell>
          <cell r="FB199">
            <v>242158</v>
          </cell>
          <cell r="FC199">
            <v>8.6</v>
          </cell>
          <cell r="FD199">
            <v>1735.4656666666667</v>
          </cell>
          <cell r="FE199">
            <v>3355.6590000000001</v>
          </cell>
          <cell r="FF199">
            <v>69960</v>
          </cell>
          <cell r="FH199">
            <v>69960</v>
          </cell>
        </row>
        <row r="200">
          <cell r="B200">
            <v>9112</v>
          </cell>
          <cell r="C200" t="str">
            <v>13.04.2007</v>
          </cell>
          <cell r="D200" t="str">
            <v>Dhadwad Devram Tukaram</v>
          </cell>
          <cell r="F200">
            <v>28329</v>
          </cell>
          <cell r="G200">
            <v>33628</v>
          </cell>
          <cell r="H200">
            <v>27732</v>
          </cell>
          <cell r="I200">
            <v>27732</v>
          </cell>
          <cell r="J200">
            <v>55464</v>
          </cell>
          <cell r="K200">
            <v>27135</v>
          </cell>
          <cell r="M200">
            <v>1057</v>
          </cell>
          <cell r="N200">
            <v>0</v>
          </cell>
          <cell r="O200">
            <v>1057</v>
          </cell>
          <cell r="P200">
            <v>0</v>
          </cell>
          <cell r="Q200">
            <v>1460</v>
          </cell>
          <cell r="R200">
            <v>0</v>
          </cell>
          <cell r="S200">
            <v>0</v>
          </cell>
          <cell r="T200">
            <v>1460</v>
          </cell>
          <cell r="U200">
            <v>0</v>
          </cell>
          <cell r="W200">
            <v>1057</v>
          </cell>
          <cell r="X200">
            <v>0</v>
          </cell>
          <cell r="Y200">
            <v>1057</v>
          </cell>
          <cell r="Z200">
            <v>0</v>
          </cell>
          <cell r="AA200">
            <v>1460</v>
          </cell>
          <cell r="AB200">
            <v>0</v>
          </cell>
          <cell r="AC200">
            <v>0</v>
          </cell>
          <cell r="AD200">
            <v>1460</v>
          </cell>
          <cell r="AE200">
            <v>0</v>
          </cell>
          <cell r="AG200">
            <v>1088</v>
          </cell>
          <cell r="AH200">
            <v>0</v>
          </cell>
          <cell r="AI200">
            <v>1088</v>
          </cell>
          <cell r="AJ200">
            <v>0</v>
          </cell>
          <cell r="AK200">
            <v>1460</v>
          </cell>
          <cell r="AL200">
            <v>0</v>
          </cell>
          <cell r="AM200">
            <v>0</v>
          </cell>
          <cell r="AN200">
            <v>1460</v>
          </cell>
          <cell r="AO200">
            <v>0</v>
          </cell>
          <cell r="AQ200">
            <v>1088</v>
          </cell>
          <cell r="AR200">
            <v>0</v>
          </cell>
          <cell r="AS200">
            <v>1088</v>
          </cell>
          <cell r="AT200">
            <v>0</v>
          </cell>
          <cell r="AU200">
            <v>1460</v>
          </cell>
          <cell r="AV200">
            <v>0</v>
          </cell>
          <cell r="AW200">
            <v>0</v>
          </cell>
          <cell r="AX200">
            <v>1460</v>
          </cell>
          <cell r="AY200">
            <v>0</v>
          </cell>
          <cell r="BA200">
            <v>1088</v>
          </cell>
          <cell r="BB200">
            <v>0</v>
          </cell>
          <cell r="BC200">
            <v>1088</v>
          </cell>
          <cell r="BD200">
            <v>0</v>
          </cell>
          <cell r="BE200">
            <v>1460</v>
          </cell>
          <cell r="BF200">
            <v>0</v>
          </cell>
          <cell r="BG200">
            <v>0</v>
          </cell>
          <cell r="BH200">
            <v>1460</v>
          </cell>
          <cell r="BI200">
            <v>0</v>
          </cell>
          <cell r="BK200">
            <v>1139</v>
          </cell>
          <cell r="BL200">
            <v>0</v>
          </cell>
          <cell r="BM200">
            <v>1139</v>
          </cell>
          <cell r="BN200">
            <v>0</v>
          </cell>
          <cell r="BO200">
            <v>1460</v>
          </cell>
          <cell r="BP200">
            <v>0</v>
          </cell>
          <cell r="BQ200">
            <v>0</v>
          </cell>
          <cell r="BR200">
            <v>1460</v>
          </cell>
          <cell r="BS200">
            <v>0</v>
          </cell>
          <cell r="BU200">
            <v>1139</v>
          </cell>
          <cell r="BV200">
            <v>0</v>
          </cell>
          <cell r="BW200">
            <v>1139</v>
          </cell>
          <cell r="BX200">
            <v>0</v>
          </cell>
          <cell r="BY200">
            <v>1460</v>
          </cell>
          <cell r="BZ200">
            <v>0</v>
          </cell>
          <cell r="CA200">
            <v>0</v>
          </cell>
          <cell r="CB200">
            <v>1460</v>
          </cell>
          <cell r="CC200">
            <v>0</v>
          </cell>
          <cell r="CE200">
            <v>1139</v>
          </cell>
          <cell r="CF200">
            <v>0</v>
          </cell>
          <cell r="CG200">
            <v>1139</v>
          </cell>
          <cell r="CH200">
            <v>0</v>
          </cell>
          <cell r="CI200">
            <v>1460</v>
          </cell>
          <cell r="CJ200">
            <v>0</v>
          </cell>
          <cell r="CK200">
            <v>0</v>
          </cell>
          <cell r="CL200">
            <v>1460</v>
          </cell>
          <cell r="CM200">
            <v>0</v>
          </cell>
          <cell r="CO200">
            <v>1139</v>
          </cell>
          <cell r="CP200">
            <v>0</v>
          </cell>
          <cell r="CQ200">
            <v>1139</v>
          </cell>
          <cell r="CR200">
            <v>0</v>
          </cell>
          <cell r="CS200">
            <v>1460</v>
          </cell>
          <cell r="CT200">
            <v>0</v>
          </cell>
          <cell r="CU200">
            <v>0</v>
          </cell>
          <cell r="CV200">
            <v>1460</v>
          </cell>
          <cell r="CW200">
            <v>0</v>
          </cell>
          <cell r="CY200">
            <v>1139</v>
          </cell>
          <cell r="CZ200">
            <v>0</v>
          </cell>
          <cell r="DA200">
            <v>1139</v>
          </cell>
          <cell r="DB200">
            <v>0</v>
          </cell>
          <cell r="DC200">
            <v>1460</v>
          </cell>
          <cell r="DD200">
            <v>0</v>
          </cell>
          <cell r="DE200">
            <v>0</v>
          </cell>
          <cell r="DF200">
            <v>1460</v>
          </cell>
          <cell r="DG200">
            <v>0</v>
          </cell>
          <cell r="DI200">
            <v>55464</v>
          </cell>
          <cell r="DJ200">
            <v>11073</v>
          </cell>
          <cell r="DK200">
            <v>0</v>
          </cell>
          <cell r="DL200">
            <v>11073</v>
          </cell>
          <cell r="DM200">
            <v>11073</v>
          </cell>
          <cell r="DN200">
            <v>0</v>
          </cell>
          <cell r="DO200">
            <v>11073</v>
          </cell>
          <cell r="DP200">
            <v>14600</v>
          </cell>
          <cell r="DQ200">
            <v>0</v>
          </cell>
          <cell r="DR200">
            <v>0</v>
          </cell>
          <cell r="DS200">
            <v>14600</v>
          </cell>
          <cell r="DT200">
            <v>36746</v>
          </cell>
          <cell r="DU200">
            <v>0</v>
          </cell>
          <cell r="DW200">
            <v>0</v>
          </cell>
          <cell r="DX200">
            <v>0</v>
          </cell>
          <cell r="DY200">
            <v>59038</v>
          </cell>
          <cell r="DZ200">
            <v>62612</v>
          </cell>
          <cell r="EA200">
            <v>66248</v>
          </cell>
          <cell r="EB200">
            <v>69884</v>
          </cell>
          <cell r="EC200">
            <v>73520</v>
          </cell>
          <cell r="ED200">
            <v>77258</v>
          </cell>
          <cell r="EE200">
            <v>80996</v>
          </cell>
          <cell r="EF200">
            <v>84734</v>
          </cell>
          <cell r="EG200">
            <v>88472</v>
          </cell>
          <cell r="EH200">
            <v>92210</v>
          </cell>
          <cell r="EI200">
            <v>754972</v>
          </cell>
          <cell r="EK200">
            <v>0</v>
          </cell>
          <cell r="EL200">
            <v>0</v>
          </cell>
          <cell r="EM200">
            <v>393.58666666666664</v>
          </cell>
          <cell r="EN200">
            <v>417.41333333333336</v>
          </cell>
          <cell r="EO200">
            <v>441.65333333333336</v>
          </cell>
          <cell r="EP200">
            <v>465.89333333333337</v>
          </cell>
          <cell r="EQ200">
            <v>490.13333333333338</v>
          </cell>
          <cell r="ER200">
            <v>515.0533333333334</v>
          </cell>
          <cell r="ES200">
            <v>580.47133333333329</v>
          </cell>
          <cell r="ET200">
            <v>607.26033333333328</v>
          </cell>
          <cell r="EU200">
            <v>634.04933333333327</v>
          </cell>
          <cell r="EV200">
            <v>660.83833333333337</v>
          </cell>
          <cell r="EW200">
            <v>5206.3526666666667</v>
          </cell>
          <cell r="EY200">
            <v>408560</v>
          </cell>
          <cell r="EZ200">
            <v>8</v>
          </cell>
          <cell r="FA200">
            <v>2723.7333333333331</v>
          </cell>
          <cell r="FB200">
            <v>346412</v>
          </cell>
          <cell r="FC200">
            <v>8.6</v>
          </cell>
          <cell r="FD200">
            <v>2482.6193333333331</v>
          </cell>
          <cell r="FE200">
            <v>5206.3526666666658</v>
          </cell>
          <cell r="FF200">
            <v>97416</v>
          </cell>
          <cell r="FH200">
            <v>97416</v>
          </cell>
        </row>
        <row r="201">
          <cell r="B201">
            <v>9113</v>
          </cell>
          <cell r="C201" t="str">
            <v>13.04.2007</v>
          </cell>
          <cell r="D201" t="str">
            <v>Salve Hemant Vasant</v>
          </cell>
          <cell r="F201">
            <v>28329</v>
          </cell>
          <cell r="G201">
            <v>33628</v>
          </cell>
          <cell r="H201">
            <v>27939</v>
          </cell>
          <cell r="I201">
            <v>27939</v>
          </cell>
          <cell r="J201">
            <v>55878</v>
          </cell>
          <cell r="K201">
            <v>27549</v>
          </cell>
          <cell r="M201">
            <v>1057</v>
          </cell>
          <cell r="N201">
            <v>0</v>
          </cell>
          <cell r="O201">
            <v>1057</v>
          </cell>
          <cell r="P201">
            <v>0</v>
          </cell>
          <cell r="Q201">
            <v>1520</v>
          </cell>
          <cell r="R201">
            <v>0</v>
          </cell>
          <cell r="S201">
            <v>0</v>
          </cell>
          <cell r="T201">
            <v>1520</v>
          </cell>
          <cell r="U201">
            <v>0</v>
          </cell>
          <cell r="W201">
            <v>1057</v>
          </cell>
          <cell r="X201">
            <v>0</v>
          </cell>
          <cell r="Y201">
            <v>1057</v>
          </cell>
          <cell r="Z201">
            <v>0</v>
          </cell>
          <cell r="AA201">
            <v>1520</v>
          </cell>
          <cell r="AB201">
            <v>0</v>
          </cell>
          <cell r="AC201">
            <v>0</v>
          </cell>
          <cell r="AD201">
            <v>1520</v>
          </cell>
          <cell r="AE201">
            <v>0</v>
          </cell>
          <cell r="AG201">
            <v>1088</v>
          </cell>
          <cell r="AH201">
            <v>0</v>
          </cell>
          <cell r="AI201">
            <v>1088</v>
          </cell>
          <cell r="AJ201">
            <v>0</v>
          </cell>
          <cell r="AK201">
            <v>1520</v>
          </cell>
          <cell r="AL201">
            <v>0</v>
          </cell>
          <cell r="AM201">
            <v>0</v>
          </cell>
          <cell r="AN201">
            <v>1520</v>
          </cell>
          <cell r="AO201">
            <v>0</v>
          </cell>
          <cell r="AQ201">
            <v>1088</v>
          </cell>
          <cell r="AR201">
            <v>0</v>
          </cell>
          <cell r="AS201">
            <v>1088</v>
          </cell>
          <cell r="AT201">
            <v>0</v>
          </cell>
          <cell r="AU201">
            <v>1520</v>
          </cell>
          <cell r="AV201">
            <v>0</v>
          </cell>
          <cell r="AW201">
            <v>0</v>
          </cell>
          <cell r="AX201">
            <v>1520</v>
          </cell>
          <cell r="AY201">
            <v>0</v>
          </cell>
          <cell r="BA201">
            <v>1088</v>
          </cell>
          <cell r="BB201">
            <v>0</v>
          </cell>
          <cell r="BC201">
            <v>1088</v>
          </cell>
          <cell r="BD201">
            <v>0</v>
          </cell>
          <cell r="BE201">
            <v>1520</v>
          </cell>
          <cell r="BF201">
            <v>0</v>
          </cell>
          <cell r="BG201">
            <v>0</v>
          </cell>
          <cell r="BH201">
            <v>1520</v>
          </cell>
          <cell r="BI201">
            <v>0</v>
          </cell>
          <cell r="BK201">
            <v>1139</v>
          </cell>
          <cell r="BL201">
            <v>0</v>
          </cell>
          <cell r="BM201">
            <v>1139</v>
          </cell>
          <cell r="BN201">
            <v>0</v>
          </cell>
          <cell r="BO201">
            <v>1520</v>
          </cell>
          <cell r="BP201">
            <v>0</v>
          </cell>
          <cell r="BQ201">
            <v>0</v>
          </cell>
          <cell r="BR201">
            <v>1520</v>
          </cell>
          <cell r="BS201">
            <v>0</v>
          </cell>
          <cell r="BU201">
            <v>1139</v>
          </cell>
          <cell r="BV201">
            <v>0</v>
          </cell>
          <cell r="BW201">
            <v>1139</v>
          </cell>
          <cell r="BX201">
            <v>0</v>
          </cell>
          <cell r="BY201">
            <v>1520</v>
          </cell>
          <cell r="BZ201">
            <v>0</v>
          </cell>
          <cell r="CA201">
            <v>0</v>
          </cell>
          <cell r="CB201">
            <v>1520</v>
          </cell>
          <cell r="CC201">
            <v>0</v>
          </cell>
          <cell r="CE201">
            <v>1139</v>
          </cell>
          <cell r="CF201">
            <v>0</v>
          </cell>
          <cell r="CG201">
            <v>1139</v>
          </cell>
          <cell r="CH201">
            <v>0</v>
          </cell>
          <cell r="CI201">
            <v>1520</v>
          </cell>
          <cell r="CJ201">
            <v>0</v>
          </cell>
          <cell r="CK201">
            <v>0</v>
          </cell>
          <cell r="CL201">
            <v>1520</v>
          </cell>
          <cell r="CM201">
            <v>0</v>
          </cell>
          <cell r="CO201">
            <v>1139</v>
          </cell>
          <cell r="CP201">
            <v>0</v>
          </cell>
          <cell r="CQ201">
            <v>1139</v>
          </cell>
          <cell r="CR201">
            <v>0</v>
          </cell>
          <cell r="CS201">
            <v>1520</v>
          </cell>
          <cell r="CT201">
            <v>0</v>
          </cell>
          <cell r="CU201">
            <v>0</v>
          </cell>
          <cell r="CV201">
            <v>1520</v>
          </cell>
          <cell r="CW201">
            <v>0</v>
          </cell>
          <cell r="CY201">
            <v>1139</v>
          </cell>
          <cell r="CZ201">
            <v>0</v>
          </cell>
          <cell r="DA201">
            <v>1139</v>
          </cell>
          <cell r="DB201">
            <v>0</v>
          </cell>
          <cell r="DC201">
            <v>1520</v>
          </cell>
          <cell r="DD201">
            <v>0</v>
          </cell>
          <cell r="DE201">
            <v>0</v>
          </cell>
          <cell r="DF201">
            <v>1520</v>
          </cell>
          <cell r="DG201">
            <v>0</v>
          </cell>
          <cell r="DI201">
            <v>55878</v>
          </cell>
          <cell r="DJ201">
            <v>11073</v>
          </cell>
          <cell r="DK201">
            <v>0</v>
          </cell>
          <cell r="DL201">
            <v>11073</v>
          </cell>
          <cell r="DM201">
            <v>11073</v>
          </cell>
          <cell r="DN201">
            <v>0</v>
          </cell>
          <cell r="DO201">
            <v>11073</v>
          </cell>
          <cell r="DP201">
            <v>15200</v>
          </cell>
          <cell r="DQ201">
            <v>0</v>
          </cell>
          <cell r="DR201">
            <v>0</v>
          </cell>
          <cell r="DS201">
            <v>15200</v>
          </cell>
          <cell r="DT201">
            <v>37346</v>
          </cell>
          <cell r="DU201">
            <v>0</v>
          </cell>
          <cell r="DW201">
            <v>0</v>
          </cell>
          <cell r="DX201">
            <v>0</v>
          </cell>
          <cell r="DY201">
            <v>59512</v>
          </cell>
          <cell r="DZ201">
            <v>63146</v>
          </cell>
          <cell r="EA201">
            <v>66842</v>
          </cell>
          <cell r="EB201">
            <v>70538</v>
          </cell>
          <cell r="EC201">
            <v>74234</v>
          </cell>
          <cell r="ED201">
            <v>78032</v>
          </cell>
          <cell r="EE201">
            <v>81830</v>
          </cell>
          <cell r="EF201">
            <v>85628</v>
          </cell>
          <cell r="EG201">
            <v>89426</v>
          </cell>
          <cell r="EH201">
            <v>93224</v>
          </cell>
          <cell r="EI201">
            <v>762412</v>
          </cell>
          <cell r="EK201">
            <v>0</v>
          </cell>
          <cell r="EL201">
            <v>0</v>
          </cell>
          <cell r="EM201">
            <v>396.74666666666667</v>
          </cell>
          <cell r="EN201">
            <v>420.97333333333336</v>
          </cell>
          <cell r="EO201">
            <v>445.61333333333329</v>
          </cell>
          <cell r="EP201">
            <v>470.25333333333333</v>
          </cell>
          <cell r="EQ201">
            <v>494.89333333333337</v>
          </cell>
          <cell r="ER201">
            <v>520.21333333333337</v>
          </cell>
          <cell r="ES201">
            <v>586.44833333333338</v>
          </cell>
          <cell r="ET201">
            <v>613.6673333333332</v>
          </cell>
          <cell r="EU201">
            <v>640.88633333333325</v>
          </cell>
          <cell r="EV201">
            <v>668.10533333333331</v>
          </cell>
          <cell r="EW201">
            <v>5257.8006666666661</v>
          </cell>
          <cell r="EY201">
            <v>412304</v>
          </cell>
          <cell r="EZ201">
            <v>8</v>
          </cell>
          <cell r="FA201">
            <v>2748.6933333333332</v>
          </cell>
          <cell r="FB201">
            <v>350108</v>
          </cell>
          <cell r="FC201">
            <v>8.6</v>
          </cell>
          <cell r="FD201">
            <v>2509.1073333333329</v>
          </cell>
          <cell r="FE201">
            <v>5257.8006666666661</v>
          </cell>
          <cell r="FF201">
            <v>98482</v>
          </cell>
          <cell r="FH201">
            <v>98482</v>
          </cell>
        </row>
        <row r="202">
          <cell r="B202">
            <v>9114</v>
          </cell>
          <cell r="C202" t="str">
            <v>13.04.2007</v>
          </cell>
          <cell r="D202" t="str">
            <v>Dhadwad Balu Keru</v>
          </cell>
          <cell r="F202">
            <v>28329</v>
          </cell>
          <cell r="G202">
            <v>33628</v>
          </cell>
          <cell r="H202">
            <v>26737</v>
          </cell>
          <cell r="I202">
            <v>26737</v>
          </cell>
          <cell r="J202">
            <v>53474</v>
          </cell>
          <cell r="K202">
            <v>25145</v>
          </cell>
          <cell r="M202">
            <v>1057</v>
          </cell>
          <cell r="N202">
            <v>0</v>
          </cell>
          <cell r="O202">
            <v>1057</v>
          </cell>
          <cell r="P202">
            <v>0</v>
          </cell>
          <cell r="Q202">
            <v>1890</v>
          </cell>
          <cell r="R202">
            <v>0</v>
          </cell>
          <cell r="S202">
            <v>0</v>
          </cell>
          <cell r="T202">
            <v>1890</v>
          </cell>
          <cell r="U202">
            <v>0</v>
          </cell>
          <cell r="W202">
            <v>1057</v>
          </cell>
          <cell r="X202">
            <v>0</v>
          </cell>
          <cell r="Y202">
            <v>1057</v>
          </cell>
          <cell r="Z202">
            <v>0</v>
          </cell>
          <cell r="AA202">
            <v>1890</v>
          </cell>
          <cell r="AB202">
            <v>0</v>
          </cell>
          <cell r="AC202">
            <v>0</v>
          </cell>
          <cell r="AD202">
            <v>1890</v>
          </cell>
          <cell r="AE202">
            <v>0</v>
          </cell>
          <cell r="AG202">
            <v>1088</v>
          </cell>
          <cell r="AH202">
            <v>0</v>
          </cell>
          <cell r="AI202">
            <v>1088</v>
          </cell>
          <cell r="AJ202">
            <v>0</v>
          </cell>
          <cell r="AK202">
            <v>1890</v>
          </cell>
          <cell r="AL202">
            <v>0</v>
          </cell>
          <cell r="AM202">
            <v>0</v>
          </cell>
          <cell r="AN202">
            <v>1890</v>
          </cell>
          <cell r="AO202">
            <v>0</v>
          </cell>
          <cell r="AQ202">
            <v>1088</v>
          </cell>
          <cell r="AR202">
            <v>0</v>
          </cell>
          <cell r="AS202">
            <v>1088</v>
          </cell>
          <cell r="AT202">
            <v>0</v>
          </cell>
          <cell r="AU202">
            <v>1890</v>
          </cell>
          <cell r="AV202">
            <v>0</v>
          </cell>
          <cell r="AW202">
            <v>0</v>
          </cell>
          <cell r="AX202">
            <v>1890</v>
          </cell>
          <cell r="AY202">
            <v>0</v>
          </cell>
          <cell r="BA202">
            <v>1088</v>
          </cell>
          <cell r="BB202">
            <v>0</v>
          </cell>
          <cell r="BC202">
            <v>1088</v>
          </cell>
          <cell r="BD202">
            <v>0</v>
          </cell>
          <cell r="BE202">
            <v>1890</v>
          </cell>
          <cell r="BF202">
            <v>0</v>
          </cell>
          <cell r="BG202">
            <v>0</v>
          </cell>
          <cell r="BH202">
            <v>1890</v>
          </cell>
          <cell r="BI202">
            <v>0</v>
          </cell>
          <cell r="BK202">
            <v>1139</v>
          </cell>
          <cell r="BL202">
            <v>0</v>
          </cell>
          <cell r="BM202">
            <v>1139</v>
          </cell>
          <cell r="BN202">
            <v>0</v>
          </cell>
          <cell r="BO202">
            <v>1890</v>
          </cell>
          <cell r="BP202">
            <v>0</v>
          </cell>
          <cell r="BQ202">
            <v>0</v>
          </cell>
          <cell r="BR202">
            <v>1890</v>
          </cell>
          <cell r="BS202">
            <v>0</v>
          </cell>
          <cell r="BU202">
            <v>1139</v>
          </cell>
          <cell r="BV202">
            <v>0</v>
          </cell>
          <cell r="BW202">
            <v>1139</v>
          </cell>
          <cell r="BX202">
            <v>0</v>
          </cell>
          <cell r="BY202">
            <v>1890</v>
          </cell>
          <cell r="BZ202">
            <v>0</v>
          </cell>
          <cell r="CA202">
            <v>0</v>
          </cell>
          <cell r="CB202">
            <v>1890</v>
          </cell>
          <cell r="CC202">
            <v>0</v>
          </cell>
          <cell r="CE202">
            <v>1139</v>
          </cell>
          <cell r="CF202">
            <v>0</v>
          </cell>
          <cell r="CG202">
            <v>1139</v>
          </cell>
          <cell r="CH202">
            <v>0</v>
          </cell>
          <cell r="CI202">
            <v>1890</v>
          </cell>
          <cell r="CJ202">
            <v>0</v>
          </cell>
          <cell r="CK202">
            <v>0</v>
          </cell>
          <cell r="CL202">
            <v>1890</v>
          </cell>
          <cell r="CM202">
            <v>0</v>
          </cell>
          <cell r="CO202">
            <v>1139</v>
          </cell>
          <cell r="CP202">
            <v>0</v>
          </cell>
          <cell r="CQ202">
            <v>1139</v>
          </cell>
          <cell r="CR202">
            <v>0</v>
          </cell>
          <cell r="CS202">
            <v>1890</v>
          </cell>
          <cell r="CT202">
            <v>0</v>
          </cell>
          <cell r="CU202">
            <v>0</v>
          </cell>
          <cell r="CV202">
            <v>1890</v>
          </cell>
          <cell r="CW202">
            <v>0</v>
          </cell>
          <cell r="CY202">
            <v>1139</v>
          </cell>
          <cell r="CZ202">
            <v>0</v>
          </cell>
          <cell r="DA202">
            <v>1139</v>
          </cell>
          <cell r="DB202">
            <v>0</v>
          </cell>
          <cell r="DC202">
            <v>1890</v>
          </cell>
          <cell r="DD202">
            <v>0</v>
          </cell>
          <cell r="DE202">
            <v>0</v>
          </cell>
          <cell r="DF202">
            <v>1890</v>
          </cell>
          <cell r="DG202">
            <v>0</v>
          </cell>
          <cell r="DI202">
            <v>53474</v>
          </cell>
          <cell r="DJ202">
            <v>11073</v>
          </cell>
          <cell r="DK202">
            <v>0</v>
          </cell>
          <cell r="DL202">
            <v>11073</v>
          </cell>
          <cell r="DM202">
            <v>11073</v>
          </cell>
          <cell r="DN202">
            <v>0</v>
          </cell>
          <cell r="DO202">
            <v>11073</v>
          </cell>
          <cell r="DP202">
            <v>18900</v>
          </cell>
          <cell r="DQ202">
            <v>0</v>
          </cell>
          <cell r="DR202">
            <v>0</v>
          </cell>
          <cell r="DS202">
            <v>18900</v>
          </cell>
          <cell r="DT202">
            <v>41046</v>
          </cell>
          <cell r="DU202">
            <v>0</v>
          </cell>
          <cell r="DW202">
            <v>0</v>
          </cell>
          <cell r="DX202">
            <v>0</v>
          </cell>
          <cell r="DY202">
            <v>57478</v>
          </cell>
          <cell r="DZ202">
            <v>61482</v>
          </cell>
          <cell r="EA202">
            <v>65548</v>
          </cell>
          <cell r="EB202">
            <v>69614</v>
          </cell>
          <cell r="EC202">
            <v>73680</v>
          </cell>
          <cell r="ED202">
            <v>77848</v>
          </cell>
          <cell r="EE202">
            <v>82016</v>
          </cell>
          <cell r="EF202">
            <v>86184</v>
          </cell>
          <cell r="EG202">
            <v>90352</v>
          </cell>
          <cell r="EH202">
            <v>94520</v>
          </cell>
          <cell r="EI202">
            <v>758722</v>
          </cell>
          <cell r="EK202">
            <v>0</v>
          </cell>
          <cell r="EL202">
            <v>0</v>
          </cell>
          <cell r="EM202">
            <v>383.18666666666667</v>
          </cell>
          <cell r="EN202">
            <v>409.88000000000005</v>
          </cell>
          <cell r="EO202">
            <v>436.98666666666668</v>
          </cell>
          <cell r="EP202">
            <v>464.09333333333331</v>
          </cell>
          <cell r="EQ202">
            <v>491.2</v>
          </cell>
          <cell r="ER202">
            <v>518.98666666666668</v>
          </cell>
          <cell r="ES202">
            <v>587.78133333333335</v>
          </cell>
          <cell r="ET202">
            <v>617.65200000000004</v>
          </cell>
          <cell r="EU202">
            <v>647.52266666666662</v>
          </cell>
          <cell r="EV202">
            <v>677.39333333333332</v>
          </cell>
          <cell r="EW202">
            <v>5234.6826666666666</v>
          </cell>
          <cell r="EY202">
            <v>405650</v>
          </cell>
          <cell r="EZ202">
            <v>8</v>
          </cell>
          <cell r="FA202">
            <v>2704.3333333333335</v>
          </cell>
          <cell r="FB202">
            <v>353072</v>
          </cell>
          <cell r="FC202">
            <v>8.6</v>
          </cell>
          <cell r="FD202">
            <v>2530.3493333333331</v>
          </cell>
          <cell r="FE202">
            <v>5234.6826666666666</v>
          </cell>
          <cell r="FF202">
            <v>99755</v>
          </cell>
          <cell r="FH202">
            <v>99755</v>
          </cell>
        </row>
        <row r="203">
          <cell r="B203">
            <v>9115</v>
          </cell>
          <cell r="C203" t="str">
            <v>13.04.2007</v>
          </cell>
          <cell r="D203" t="str">
            <v>Patil Dipak Suresh</v>
          </cell>
          <cell r="F203">
            <v>28329</v>
          </cell>
          <cell r="G203">
            <v>33628</v>
          </cell>
          <cell r="H203">
            <v>19421</v>
          </cell>
          <cell r="I203">
            <v>19421</v>
          </cell>
          <cell r="J203">
            <v>38842</v>
          </cell>
          <cell r="K203">
            <v>10513</v>
          </cell>
          <cell r="M203">
            <v>1057</v>
          </cell>
          <cell r="N203">
            <v>0</v>
          </cell>
          <cell r="O203">
            <v>1057</v>
          </cell>
          <cell r="P203">
            <v>0</v>
          </cell>
          <cell r="Q203">
            <v>1690</v>
          </cell>
          <cell r="R203">
            <v>0</v>
          </cell>
          <cell r="S203">
            <v>0</v>
          </cell>
          <cell r="T203">
            <v>1690</v>
          </cell>
          <cell r="U203">
            <v>0</v>
          </cell>
          <cell r="W203">
            <v>1057</v>
          </cell>
          <cell r="X203">
            <v>0</v>
          </cell>
          <cell r="Y203">
            <v>1057</v>
          </cell>
          <cell r="Z203">
            <v>0</v>
          </cell>
          <cell r="AA203">
            <v>1690</v>
          </cell>
          <cell r="AB203">
            <v>0</v>
          </cell>
          <cell r="AC203">
            <v>0</v>
          </cell>
          <cell r="AD203">
            <v>1690</v>
          </cell>
          <cell r="AE203">
            <v>0</v>
          </cell>
          <cell r="AG203">
            <v>1088</v>
          </cell>
          <cell r="AH203">
            <v>0</v>
          </cell>
          <cell r="AI203">
            <v>1088</v>
          </cell>
          <cell r="AJ203">
            <v>0</v>
          </cell>
          <cell r="AK203">
            <v>1690</v>
          </cell>
          <cell r="AL203">
            <v>0</v>
          </cell>
          <cell r="AM203">
            <v>0</v>
          </cell>
          <cell r="AN203">
            <v>1690</v>
          </cell>
          <cell r="AO203">
            <v>0</v>
          </cell>
          <cell r="AQ203">
            <v>1088</v>
          </cell>
          <cell r="AR203">
            <v>0</v>
          </cell>
          <cell r="AS203">
            <v>1088</v>
          </cell>
          <cell r="AT203">
            <v>0</v>
          </cell>
          <cell r="AU203">
            <v>1690</v>
          </cell>
          <cell r="AV203">
            <v>0</v>
          </cell>
          <cell r="AW203">
            <v>0</v>
          </cell>
          <cell r="AX203">
            <v>1690</v>
          </cell>
          <cell r="AY203">
            <v>0</v>
          </cell>
          <cell r="BA203">
            <v>1088</v>
          </cell>
          <cell r="BB203">
            <v>0</v>
          </cell>
          <cell r="BC203">
            <v>1088</v>
          </cell>
          <cell r="BD203">
            <v>0</v>
          </cell>
          <cell r="BE203">
            <v>1690</v>
          </cell>
          <cell r="BF203">
            <v>0</v>
          </cell>
          <cell r="BG203">
            <v>0</v>
          </cell>
          <cell r="BH203">
            <v>1690</v>
          </cell>
          <cell r="BI203">
            <v>0</v>
          </cell>
          <cell r="BK203">
            <v>1139</v>
          </cell>
          <cell r="BL203">
            <v>0</v>
          </cell>
          <cell r="BM203">
            <v>1139</v>
          </cell>
          <cell r="BN203">
            <v>0</v>
          </cell>
          <cell r="BO203">
            <v>1690</v>
          </cell>
          <cell r="BP203">
            <v>0</v>
          </cell>
          <cell r="BQ203">
            <v>0</v>
          </cell>
          <cell r="BR203">
            <v>1690</v>
          </cell>
          <cell r="BS203">
            <v>0</v>
          </cell>
          <cell r="BU203">
            <v>1139</v>
          </cell>
          <cell r="BV203">
            <v>0</v>
          </cell>
          <cell r="BW203">
            <v>1139</v>
          </cell>
          <cell r="BX203">
            <v>0</v>
          </cell>
          <cell r="BY203">
            <v>1690</v>
          </cell>
          <cell r="BZ203">
            <v>0</v>
          </cell>
          <cell r="CA203">
            <v>0</v>
          </cell>
          <cell r="CB203">
            <v>1690</v>
          </cell>
          <cell r="CC203">
            <v>0</v>
          </cell>
          <cell r="CE203">
            <v>1139</v>
          </cell>
          <cell r="CF203">
            <v>0</v>
          </cell>
          <cell r="CG203">
            <v>1139</v>
          </cell>
          <cell r="CH203">
            <v>0</v>
          </cell>
          <cell r="CI203">
            <v>1690</v>
          </cell>
          <cell r="CJ203">
            <v>0</v>
          </cell>
          <cell r="CK203">
            <v>0</v>
          </cell>
          <cell r="CL203">
            <v>1690</v>
          </cell>
          <cell r="CM203">
            <v>0</v>
          </cell>
          <cell r="CO203">
            <v>1139</v>
          </cell>
          <cell r="CP203">
            <v>0</v>
          </cell>
          <cell r="CQ203">
            <v>1139</v>
          </cell>
          <cell r="CR203">
            <v>0</v>
          </cell>
          <cell r="CS203">
            <v>1690</v>
          </cell>
          <cell r="CT203">
            <v>0</v>
          </cell>
          <cell r="CU203">
            <v>0</v>
          </cell>
          <cell r="CV203">
            <v>1690</v>
          </cell>
          <cell r="CW203">
            <v>0</v>
          </cell>
          <cell r="CY203">
            <v>1139</v>
          </cell>
          <cell r="CZ203">
            <v>0</v>
          </cell>
          <cell r="DA203">
            <v>1139</v>
          </cell>
          <cell r="DB203">
            <v>0</v>
          </cell>
          <cell r="DC203">
            <v>1690</v>
          </cell>
          <cell r="DD203">
            <v>0</v>
          </cell>
          <cell r="DE203">
            <v>0</v>
          </cell>
          <cell r="DF203">
            <v>1690</v>
          </cell>
          <cell r="DG203">
            <v>0</v>
          </cell>
          <cell r="DI203">
            <v>38842</v>
          </cell>
          <cell r="DJ203">
            <v>11073</v>
          </cell>
          <cell r="DK203">
            <v>0</v>
          </cell>
          <cell r="DL203">
            <v>11073</v>
          </cell>
          <cell r="DM203">
            <v>11073</v>
          </cell>
          <cell r="DN203">
            <v>0</v>
          </cell>
          <cell r="DO203">
            <v>11073</v>
          </cell>
          <cell r="DP203">
            <v>16900</v>
          </cell>
          <cell r="DQ203">
            <v>0</v>
          </cell>
          <cell r="DR203">
            <v>0</v>
          </cell>
          <cell r="DS203">
            <v>16900</v>
          </cell>
          <cell r="DT203">
            <v>39046</v>
          </cell>
          <cell r="DU203">
            <v>0</v>
          </cell>
          <cell r="DW203">
            <v>0</v>
          </cell>
          <cell r="DX203">
            <v>0</v>
          </cell>
          <cell r="DY203">
            <v>42646</v>
          </cell>
          <cell r="DZ203">
            <v>46450</v>
          </cell>
          <cell r="EA203">
            <v>50316</v>
          </cell>
          <cell r="EB203">
            <v>54182</v>
          </cell>
          <cell r="EC203">
            <v>58048</v>
          </cell>
          <cell r="ED203">
            <v>62016</v>
          </cell>
          <cell r="EE203">
            <v>65984</v>
          </cell>
          <cell r="EF203">
            <v>69952</v>
          </cell>
          <cell r="EG203">
            <v>73920</v>
          </cell>
          <cell r="EH203">
            <v>77888</v>
          </cell>
          <cell r="EI203">
            <v>601402</v>
          </cell>
          <cell r="EK203">
            <v>0</v>
          </cell>
          <cell r="EL203">
            <v>0</v>
          </cell>
          <cell r="EM203">
            <v>284.30666666666667</v>
          </cell>
          <cell r="EN203">
            <v>309.66666666666669</v>
          </cell>
          <cell r="EO203">
            <v>335.44</v>
          </cell>
          <cell r="EP203">
            <v>361.21333333333337</v>
          </cell>
          <cell r="EQ203">
            <v>386.98666666666668</v>
          </cell>
          <cell r="ER203">
            <v>413.44</v>
          </cell>
          <cell r="ES203">
            <v>472.88533333333334</v>
          </cell>
          <cell r="ET203">
            <v>501.32266666666663</v>
          </cell>
          <cell r="EU203">
            <v>529.76</v>
          </cell>
          <cell r="EV203">
            <v>558.19733333333329</v>
          </cell>
          <cell r="EW203">
            <v>4153.2186666666666</v>
          </cell>
          <cell r="EY203">
            <v>313658</v>
          </cell>
          <cell r="EZ203">
            <v>8</v>
          </cell>
          <cell r="FA203">
            <v>2091.0533333333333</v>
          </cell>
          <cell r="FB203">
            <v>287744</v>
          </cell>
          <cell r="FC203">
            <v>8.6</v>
          </cell>
          <cell r="FD203">
            <v>2062.1653333333334</v>
          </cell>
          <cell r="FE203">
            <v>4153.2186666666666</v>
          </cell>
          <cell r="FF203">
            <v>82041</v>
          </cell>
          <cell r="FH203">
            <v>82041</v>
          </cell>
        </row>
        <row r="204">
          <cell r="B204">
            <v>9116</v>
          </cell>
          <cell r="C204" t="str">
            <v>13.04.2007</v>
          </cell>
          <cell r="D204" t="str">
            <v>Ahire Savata Shridhar</v>
          </cell>
          <cell r="F204">
            <v>28329</v>
          </cell>
          <cell r="G204">
            <v>32766</v>
          </cell>
          <cell r="H204">
            <v>67523</v>
          </cell>
          <cell r="I204">
            <v>67523</v>
          </cell>
          <cell r="J204">
            <v>135046</v>
          </cell>
          <cell r="K204">
            <v>106717</v>
          </cell>
          <cell r="M204">
            <v>1057</v>
          </cell>
          <cell r="N204">
            <v>0</v>
          </cell>
          <cell r="O204">
            <v>1057</v>
          </cell>
          <cell r="P204">
            <v>0</v>
          </cell>
          <cell r="Q204">
            <v>1165</v>
          </cell>
          <cell r="R204">
            <v>0</v>
          </cell>
          <cell r="S204">
            <v>0</v>
          </cell>
          <cell r="T204">
            <v>1165</v>
          </cell>
          <cell r="U204">
            <v>0</v>
          </cell>
          <cell r="W204">
            <v>1057</v>
          </cell>
          <cell r="X204">
            <v>0</v>
          </cell>
          <cell r="Y204">
            <v>1057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G204">
            <v>1057</v>
          </cell>
          <cell r="AH204">
            <v>0</v>
          </cell>
          <cell r="AI204">
            <v>1057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Q204">
            <v>1057</v>
          </cell>
          <cell r="AR204">
            <v>0</v>
          </cell>
          <cell r="AS204">
            <v>1057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BA204">
            <v>1057</v>
          </cell>
          <cell r="BB204">
            <v>0</v>
          </cell>
          <cell r="BC204">
            <v>1057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K204">
            <v>1106</v>
          </cell>
          <cell r="BL204">
            <v>0</v>
          </cell>
          <cell r="BM204">
            <v>1106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U204">
            <v>1106</v>
          </cell>
          <cell r="BV204">
            <v>0</v>
          </cell>
          <cell r="BW204">
            <v>1106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E204">
            <v>1106</v>
          </cell>
          <cell r="CF204">
            <v>0</v>
          </cell>
          <cell r="CG204">
            <v>1106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  <cell r="CL204">
            <v>0</v>
          </cell>
          <cell r="CM204">
            <v>0</v>
          </cell>
          <cell r="CO204">
            <v>1106</v>
          </cell>
          <cell r="CP204">
            <v>0</v>
          </cell>
          <cell r="CQ204">
            <v>1106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  <cell r="CV204">
            <v>0</v>
          </cell>
          <cell r="CW204">
            <v>0</v>
          </cell>
          <cell r="CY204">
            <v>1106</v>
          </cell>
          <cell r="CZ204">
            <v>0</v>
          </cell>
          <cell r="DA204">
            <v>1106</v>
          </cell>
          <cell r="DB204">
            <v>0</v>
          </cell>
          <cell r="DC204">
            <v>0</v>
          </cell>
          <cell r="DD204">
            <v>0</v>
          </cell>
          <cell r="DE204">
            <v>0</v>
          </cell>
          <cell r="DF204">
            <v>0</v>
          </cell>
          <cell r="DG204">
            <v>0</v>
          </cell>
          <cell r="DI204">
            <v>135046</v>
          </cell>
          <cell r="DJ204">
            <v>10815</v>
          </cell>
          <cell r="DK204">
            <v>0</v>
          </cell>
          <cell r="DL204">
            <v>10815</v>
          </cell>
          <cell r="DM204">
            <v>10815</v>
          </cell>
          <cell r="DN204">
            <v>0</v>
          </cell>
          <cell r="DO204">
            <v>10815</v>
          </cell>
          <cell r="DP204">
            <v>1165</v>
          </cell>
          <cell r="DQ204">
            <v>0</v>
          </cell>
          <cell r="DR204">
            <v>0</v>
          </cell>
          <cell r="DS204">
            <v>1165</v>
          </cell>
          <cell r="DT204">
            <v>22795</v>
          </cell>
          <cell r="DU204">
            <v>0</v>
          </cell>
          <cell r="DW204">
            <v>0</v>
          </cell>
          <cell r="DX204">
            <v>0</v>
          </cell>
          <cell r="DY204">
            <v>138325</v>
          </cell>
          <cell r="DZ204">
            <v>140439</v>
          </cell>
          <cell r="EA204">
            <v>142553</v>
          </cell>
          <cell r="EB204">
            <v>144667</v>
          </cell>
          <cell r="EC204">
            <v>146781</v>
          </cell>
          <cell r="ED204">
            <v>148993</v>
          </cell>
          <cell r="EE204">
            <v>151205</v>
          </cell>
          <cell r="EF204">
            <v>153417</v>
          </cell>
          <cell r="EG204">
            <v>155629</v>
          </cell>
          <cell r="EH204">
            <v>157841</v>
          </cell>
          <cell r="EI204">
            <v>1479850</v>
          </cell>
          <cell r="EK204">
            <v>0</v>
          </cell>
          <cell r="EL204">
            <v>0</v>
          </cell>
          <cell r="EM204">
            <v>922.16666666666663</v>
          </cell>
          <cell r="EN204">
            <v>936.2600000000001</v>
          </cell>
          <cell r="EO204">
            <v>950.35333333333335</v>
          </cell>
          <cell r="EP204">
            <v>964.44666666666672</v>
          </cell>
          <cell r="EQ204">
            <v>978.54</v>
          </cell>
          <cell r="ER204">
            <v>993.28666666666675</v>
          </cell>
          <cell r="ES204">
            <v>1083.6358333333333</v>
          </cell>
          <cell r="ET204">
            <v>1099.4884999999999</v>
          </cell>
          <cell r="EU204">
            <v>1115.3411666666666</v>
          </cell>
          <cell r="EV204">
            <v>1131.1938333333333</v>
          </cell>
          <cell r="EW204">
            <v>10174.712666666666</v>
          </cell>
          <cell r="EY204">
            <v>861758</v>
          </cell>
          <cell r="EZ204">
            <v>8</v>
          </cell>
          <cell r="FA204">
            <v>5745.0533333333333</v>
          </cell>
          <cell r="FB204">
            <v>618092</v>
          </cell>
          <cell r="FC204">
            <v>8.6</v>
          </cell>
          <cell r="FD204">
            <v>4429.659333333334</v>
          </cell>
          <cell r="FE204">
            <v>10174.712666666666</v>
          </cell>
          <cell r="FF204">
            <v>168016</v>
          </cell>
          <cell r="FH204">
            <v>168016</v>
          </cell>
        </row>
        <row r="205">
          <cell r="B205">
            <v>9117</v>
          </cell>
          <cell r="C205" t="str">
            <v>13.04.2007</v>
          </cell>
          <cell r="D205" t="str">
            <v>Lokhande Sham Kailas</v>
          </cell>
          <cell r="F205">
            <v>28212</v>
          </cell>
          <cell r="G205">
            <v>33628</v>
          </cell>
          <cell r="H205">
            <v>14857</v>
          </cell>
          <cell r="I205">
            <v>14857</v>
          </cell>
          <cell r="J205">
            <v>29714</v>
          </cell>
          <cell r="K205">
            <v>1502</v>
          </cell>
          <cell r="M205">
            <v>1057</v>
          </cell>
          <cell r="N205">
            <v>0</v>
          </cell>
          <cell r="O205">
            <v>1057</v>
          </cell>
          <cell r="P205">
            <v>0</v>
          </cell>
          <cell r="Q205">
            <v>1060</v>
          </cell>
          <cell r="R205">
            <v>0</v>
          </cell>
          <cell r="S205">
            <v>0</v>
          </cell>
          <cell r="T205">
            <v>1060</v>
          </cell>
          <cell r="U205">
            <v>0</v>
          </cell>
          <cell r="W205">
            <v>1057</v>
          </cell>
          <cell r="X205">
            <v>0</v>
          </cell>
          <cell r="Y205">
            <v>1057</v>
          </cell>
          <cell r="Z205">
            <v>0</v>
          </cell>
          <cell r="AA205">
            <v>1060</v>
          </cell>
          <cell r="AB205">
            <v>0</v>
          </cell>
          <cell r="AC205">
            <v>0</v>
          </cell>
          <cell r="AD205">
            <v>1060</v>
          </cell>
          <cell r="AE205">
            <v>0</v>
          </cell>
          <cell r="AG205">
            <v>1088</v>
          </cell>
          <cell r="AH205">
            <v>0</v>
          </cell>
          <cell r="AI205">
            <v>1088</v>
          </cell>
          <cell r="AJ205">
            <v>0</v>
          </cell>
          <cell r="AK205">
            <v>1060</v>
          </cell>
          <cell r="AL205">
            <v>0</v>
          </cell>
          <cell r="AM205">
            <v>0</v>
          </cell>
          <cell r="AN205">
            <v>1060</v>
          </cell>
          <cell r="AO205">
            <v>0</v>
          </cell>
          <cell r="AQ205">
            <v>1088</v>
          </cell>
          <cell r="AR205">
            <v>0</v>
          </cell>
          <cell r="AS205">
            <v>1088</v>
          </cell>
          <cell r="AT205">
            <v>0</v>
          </cell>
          <cell r="AU205">
            <v>1060</v>
          </cell>
          <cell r="AV205">
            <v>0</v>
          </cell>
          <cell r="AW205">
            <v>0</v>
          </cell>
          <cell r="AX205">
            <v>1060</v>
          </cell>
          <cell r="AY205">
            <v>0</v>
          </cell>
          <cell r="BA205">
            <v>1088</v>
          </cell>
          <cell r="BB205">
            <v>0</v>
          </cell>
          <cell r="BC205">
            <v>1088</v>
          </cell>
          <cell r="BD205">
            <v>0</v>
          </cell>
          <cell r="BE205">
            <v>1060</v>
          </cell>
          <cell r="BF205">
            <v>0</v>
          </cell>
          <cell r="BG205">
            <v>0</v>
          </cell>
          <cell r="BH205">
            <v>1060</v>
          </cell>
          <cell r="BI205">
            <v>0</v>
          </cell>
          <cell r="BK205">
            <v>1139</v>
          </cell>
          <cell r="BL205">
            <v>0</v>
          </cell>
          <cell r="BM205">
            <v>1139</v>
          </cell>
          <cell r="BN205">
            <v>0</v>
          </cell>
          <cell r="BO205">
            <v>1060</v>
          </cell>
          <cell r="BP205">
            <v>0</v>
          </cell>
          <cell r="BQ205">
            <v>0</v>
          </cell>
          <cell r="BR205">
            <v>1060</v>
          </cell>
          <cell r="BS205">
            <v>0</v>
          </cell>
          <cell r="BU205">
            <v>1139</v>
          </cell>
          <cell r="BV205">
            <v>0</v>
          </cell>
          <cell r="BW205">
            <v>1139</v>
          </cell>
          <cell r="BX205">
            <v>0</v>
          </cell>
          <cell r="BY205">
            <v>1060</v>
          </cell>
          <cell r="BZ205">
            <v>0</v>
          </cell>
          <cell r="CA205">
            <v>0</v>
          </cell>
          <cell r="CB205">
            <v>1060</v>
          </cell>
          <cell r="CC205">
            <v>0</v>
          </cell>
          <cell r="CE205">
            <v>1139</v>
          </cell>
          <cell r="CF205">
            <v>0</v>
          </cell>
          <cell r="CG205">
            <v>1139</v>
          </cell>
          <cell r="CH205">
            <v>0</v>
          </cell>
          <cell r="CI205">
            <v>1060</v>
          </cell>
          <cell r="CJ205">
            <v>0</v>
          </cell>
          <cell r="CK205">
            <v>0</v>
          </cell>
          <cell r="CL205">
            <v>1060</v>
          </cell>
          <cell r="CM205">
            <v>0</v>
          </cell>
          <cell r="CO205">
            <v>1139</v>
          </cell>
          <cell r="CP205">
            <v>0</v>
          </cell>
          <cell r="CQ205">
            <v>1139</v>
          </cell>
          <cell r="CR205">
            <v>0</v>
          </cell>
          <cell r="CS205">
            <v>1060</v>
          </cell>
          <cell r="CT205">
            <v>0</v>
          </cell>
          <cell r="CU205">
            <v>0</v>
          </cell>
          <cell r="CV205">
            <v>1060</v>
          </cell>
          <cell r="CW205">
            <v>0</v>
          </cell>
          <cell r="CY205">
            <v>1139</v>
          </cell>
          <cell r="CZ205">
            <v>0</v>
          </cell>
          <cell r="DA205">
            <v>1139</v>
          </cell>
          <cell r="DB205">
            <v>0</v>
          </cell>
          <cell r="DC205">
            <v>1060</v>
          </cell>
          <cell r="DD205">
            <v>0</v>
          </cell>
          <cell r="DE205">
            <v>0</v>
          </cell>
          <cell r="DF205">
            <v>1060</v>
          </cell>
          <cell r="DG205">
            <v>0</v>
          </cell>
          <cell r="DI205">
            <v>29714</v>
          </cell>
          <cell r="DJ205">
            <v>11073</v>
          </cell>
          <cell r="DK205">
            <v>0</v>
          </cell>
          <cell r="DL205">
            <v>11073</v>
          </cell>
          <cell r="DM205">
            <v>11073</v>
          </cell>
          <cell r="DN205">
            <v>0</v>
          </cell>
          <cell r="DO205">
            <v>11073</v>
          </cell>
          <cell r="DP205">
            <v>10600</v>
          </cell>
          <cell r="DQ205">
            <v>0</v>
          </cell>
          <cell r="DR205">
            <v>0</v>
          </cell>
          <cell r="DS205">
            <v>10600</v>
          </cell>
          <cell r="DT205">
            <v>32746</v>
          </cell>
          <cell r="DU205">
            <v>0</v>
          </cell>
          <cell r="DW205">
            <v>0</v>
          </cell>
          <cell r="DX205">
            <v>0</v>
          </cell>
          <cell r="DY205">
            <v>32888</v>
          </cell>
          <cell r="DZ205">
            <v>36062</v>
          </cell>
          <cell r="EA205">
            <v>39298</v>
          </cell>
          <cell r="EB205">
            <v>42534</v>
          </cell>
          <cell r="EC205">
            <v>45770</v>
          </cell>
          <cell r="ED205">
            <v>49108</v>
          </cell>
          <cell r="EE205">
            <v>52446</v>
          </cell>
          <cell r="EF205">
            <v>55784</v>
          </cell>
          <cell r="EG205">
            <v>59122</v>
          </cell>
          <cell r="EH205">
            <v>62460</v>
          </cell>
          <cell r="EI205">
            <v>475472</v>
          </cell>
          <cell r="EK205">
            <v>0</v>
          </cell>
          <cell r="EL205">
            <v>0</v>
          </cell>
          <cell r="EM205">
            <v>219.25333333333333</v>
          </cell>
          <cell r="EN205">
            <v>240.41333333333333</v>
          </cell>
          <cell r="EO205">
            <v>261.98666666666668</v>
          </cell>
          <cell r="EP205">
            <v>283.56</v>
          </cell>
          <cell r="EQ205">
            <v>305.13333333333333</v>
          </cell>
          <cell r="ER205">
            <v>327.38666666666666</v>
          </cell>
          <cell r="ES205">
            <v>375.863</v>
          </cell>
          <cell r="ET205">
            <v>399.78533333333331</v>
          </cell>
          <cell r="EU205">
            <v>423.70766666666663</v>
          </cell>
          <cell r="EV205">
            <v>447.63000000000005</v>
          </cell>
          <cell r="EW205">
            <v>3284.7193333333339</v>
          </cell>
          <cell r="EY205">
            <v>245660</v>
          </cell>
          <cell r="EZ205">
            <v>8</v>
          </cell>
          <cell r="FA205">
            <v>1637.7333333333333</v>
          </cell>
          <cell r="FB205">
            <v>229812</v>
          </cell>
          <cell r="FC205">
            <v>8.6</v>
          </cell>
          <cell r="FD205">
            <v>1646.9859999999999</v>
          </cell>
          <cell r="FE205">
            <v>3284.7193333333335</v>
          </cell>
          <cell r="FF205">
            <v>65745</v>
          </cell>
          <cell r="FH205">
            <v>65745</v>
          </cell>
        </row>
        <row r="206">
          <cell r="B206">
            <v>9118</v>
          </cell>
          <cell r="C206" t="str">
            <v>13.04.2007</v>
          </cell>
          <cell r="D206" t="str">
            <v>Deshmukh Shital Kalyan</v>
          </cell>
          <cell r="F206">
            <v>28308</v>
          </cell>
          <cell r="G206">
            <v>33628</v>
          </cell>
          <cell r="H206">
            <v>15172</v>
          </cell>
          <cell r="I206">
            <v>15172</v>
          </cell>
          <cell r="J206">
            <v>30344</v>
          </cell>
          <cell r="K206">
            <v>2036</v>
          </cell>
          <cell r="M206">
            <v>1057</v>
          </cell>
          <cell r="N206">
            <v>0</v>
          </cell>
          <cell r="O206">
            <v>1057</v>
          </cell>
          <cell r="P206">
            <v>0</v>
          </cell>
          <cell r="Q206">
            <v>1970</v>
          </cell>
          <cell r="R206">
            <v>0</v>
          </cell>
          <cell r="S206">
            <v>0</v>
          </cell>
          <cell r="T206">
            <v>1970</v>
          </cell>
          <cell r="U206">
            <v>0</v>
          </cell>
          <cell r="W206">
            <v>1057</v>
          </cell>
          <cell r="X206">
            <v>0</v>
          </cell>
          <cell r="Y206">
            <v>1057</v>
          </cell>
          <cell r="Z206">
            <v>0</v>
          </cell>
          <cell r="AA206">
            <v>1970</v>
          </cell>
          <cell r="AB206">
            <v>0</v>
          </cell>
          <cell r="AC206">
            <v>0</v>
          </cell>
          <cell r="AD206">
            <v>1970</v>
          </cell>
          <cell r="AE206">
            <v>0</v>
          </cell>
          <cell r="AG206">
            <v>1088</v>
          </cell>
          <cell r="AH206">
            <v>0</v>
          </cell>
          <cell r="AI206">
            <v>1088</v>
          </cell>
          <cell r="AJ206">
            <v>0</v>
          </cell>
          <cell r="AK206">
            <v>1970</v>
          </cell>
          <cell r="AL206">
            <v>0</v>
          </cell>
          <cell r="AM206">
            <v>0</v>
          </cell>
          <cell r="AN206">
            <v>1970</v>
          </cell>
          <cell r="AO206">
            <v>0</v>
          </cell>
          <cell r="AQ206">
            <v>1088</v>
          </cell>
          <cell r="AR206">
            <v>0</v>
          </cell>
          <cell r="AS206">
            <v>1088</v>
          </cell>
          <cell r="AT206">
            <v>0</v>
          </cell>
          <cell r="AU206">
            <v>1970</v>
          </cell>
          <cell r="AV206">
            <v>0</v>
          </cell>
          <cell r="AW206">
            <v>0</v>
          </cell>
          <cell r="AX206">
            <v>1970</v>
          </cell>
          <cell r="AY206">
            <v>0</v>
          </cell>
          <cell r="BA206">
            <v>1088</v>
          </cell>
          <cell r="BB206">
            <v>0</v>
          </cell>
          <cell r="BC206">
            <v>1088</v>
          </cell>
          <cell r="BD206">
            <v>0</v>
          </cell>
          <cell r="BE206">
            <v>1970</v>
          </cell>
          <cell r="BF206">
            <v>0</v>
          </cell>
          <cell r="BG206">
            <v>0</v>
          </cell>
          <cell r="BH206">
            <v>1970</v>
          </cell>
          <cell r="BI206">
            <v>19050</v>
          </cell>
          <cell r="BK206">
            <v>1139</v>
          </cell>
          <cell r="BL206">
            <v>0</v>
          </cell>
          <cell r="BM206">
            <v>1139</v>
          </cell>
          <cell r="BN206">
            <v>0</v>
          </cell>
          <cell r="BO206">
            <v>2430</v>
          </cell>
          <cell r="BP206">
            <v>0</v>
          </cell>
          <cell r="BQ206">
            <v>0</v>
          </cell>
          <cell r="BR206">
            <v>2430</v>
          </cell>
          <cell r="BS206">
            <v>0</v>
          </cell>
          <cell r="BU206">
            <v>1139</v>
          </cell>
          <cell r="BV206">
            <v>0</v>
          </cell>
          <cell r="BW206">
            <v>1139</v>
          </cell>
          <cell r="BX206">
            <v>0</v>
          </cell>
          <cell r="BY206">
            <v>2430</v>
          </cell>
          <cell r="BZ206">
            <v>0</v>
          </cell>
          <cell r="CA206">
            <v>0</v>
          </cell>
          <cell r="CB206">
            <v>2430</v>
          </cell>
          <cell r="CC206">
            <v>0</v>
          </cell>
          <cell r="CE206">
            <v>1139</v>
          </cell>
          <cell r="CF206">
            <v>0</v>
          </cell>
          <cell r="CG206">
            <v>1139</v>
          </cell>
          <cell r="CH206">
            <v>0</v>
          </cell>
          <cell r="CI206">
            <v>2430</v>
          </cell>
          <cell r="CJ206">
            <v>0</v>
          </cell>
          <cell r="CK206">
            <v>0</v>
          </cell>
          <cell r="CL206">
            <v>2430</v>
          </cell>
          <cell r="CM206">
            <v>0</v>
          </cell>
          <cell r="CO206">
            <v>1139</v>
          </cell>
          <cell r="CP206">
            <v>0</v>
          </cell>
          <cell r="CQ206">
            <v>1139</v>
          </cell>
          <cell r="CR206">
            <v>0</v>
          </cell>
          <cell r="CS206">
            <v>2430</v>
          </cell>
          <cell r="CT206">
            <v>0</v>
          </cell>
          <cell r="CU206">
            <v>0</v>
          </cell>
          <cell r="CV206">
            <v>2430</v>
          </cell>
          <cell r="CW206">
            <v>0</v>
          </cell>
          <cell r="CY206">
            <v>1139</v>
          </cell>
          <cell r="CZ206">
            <v>0</v>
          </cell>
          <cell r="DA206">
            <v>1139</v>
          </cell>
          <cell r="DB206">
            <v>0</v>
          </cell>
          <cell r="DC206">
            <v>2430</v>
          </cell>
          <cell r="DD206">
            <v>0</v>
          </cell>
          <cell r="DE206">
            <v>0</v>
          </cell>
          <cell r="DF206">
            <v>2430</v>
          </cell>
          <cell r="DG206">
            <v>0</v>
          </cell>
          <cell r="DI206">
            <v>30344</v>
          </cell>
          <cell r="DJ206">
            <v>11073</v>
          </cell>
          <cell r="DK206">
            <v>0</v>
          </cell>
          <cell r="DL206">
            <v>11073</v>
          </cell>
          <cell r="DM206">
            <v>11073</v>
          </cell>
          <cell r="DN206">
            <v>0</v>
          </cell>
          <cell r="DO206">
            <v>11073</v>
          </cell>
          <cell r="DP206">
            <v>22000</v>
          </cell>
          <cell r="DQ206">
            <v>0</v>
          </cell>
          <cell r="DR206">
            <v>0</v>
          </cell>
          <cell r="DS206">
            <v>22000</v>
          </cell>
          <cell r="DT206">
            <v>44146</v>
          </cell>
          <cell r="DU206">
            <v>19050</v>
          </cell>
          <cell r="DW206">
            <v>0</v>
          </cell>
          <cell r="DX206">
            <v>0</v>
          </cell>
          <cell r="DY206">
            <v>34428</v>
          </cell>
          <cell r="DZ206">
            <v>38512</v>
          </cell>
          <cell r="EA206">
            <v>42658</v>
          </cell>
          <cell r="EB206">
            <v>46804</v>
          </cell>
          <cell r="EC206">
            <v>31900</v>
          </cell>
          <cell r="ED206">
            <v>36608</v>
          </cell>
          <cell r="EE206">
            <v>41316</v>
          </cell>
          <cell r="EF206">
            <v>46024</v>
          </cell>
          <cell r="EG206">
            <v>50732</v>
          </cell>
          <cell r="EH206">
            <v>55440</v>
          </cell>
          <cell r="EI206">
            <v>424422</v>
          </cell>
          <cell r="EK206">
            <v>0</v>
          </cell>
          <cell r="EL206">
            <v>0</v>
          </cell>
          <cell r="EM206">
            <v>229.51999999999998</v>
          </cell>
          <cell r="EN206">
            <v>256.74666666666667</v>
          </cell>
          <cell r="EO206">
            <v>284.38666666666666</v>
          </cell>
          <cell r="EP206">
            <v>312.0266666666667</v>
          </cell>
          <cell r="EQ206">
            <v>212.66666666666666</v>
          </cell>
          <cell r="ER206">
            <v>244.05333333333331</v>
          </cell>
          <cell r="ES206">
            <v>296.09800000000001</v>
          </cell>
          <cell r="ET206">
            <v>329.83866666666665</v>
          </cell>
          <cell r="EU206">
            <v>363.5793333333333</v>
          </cell>
          <cell r="EV206">
            <v>397.32</v>
          </cell>
          <cell r="EW206">
            <v>2926.2359999999999</v>
          </cell>
          <cell r="EY206">
            <v>230910</v>
          </cell>
          <cell r="EZ206">
            <v>8</v>
          </cell>
          <cell r="FA206">
            <v>1539.3999999999999</v>
          </cell>
          <cell r="FB206">
            <v>193512</v>
          </cell>
          <cell r="FC206">
            <v>8.6</v>
          </cell>
          <cell r="FD206">
            <v>1386.836</v>
          </cell>
          <cell r="FE206">
            <v>2926.2359999999999</v>
          </cell>
          <cell r="FF206">
            <v>58366</v>
          </cell>
          <cell r="FH206">
            <v>58366</v>
          </cell>
        </row>
        <row r="207">
          <cell r="B207">
            <v>9119</v>
          </cell>
          <cell r="C207" t="str">
            <v>13.04.2007</v>
          </cell>
          <cell r="D207" t="str">
            <v>Gangurde Kashinath Jagannath</v>
          </cell>
          <cell r="F207">
            <v>28226</v>
          </cell>
          <cell r="G207">
            <v>33628</v>
          </cell>
          <cell r="H207">
            <v>26671</v>
          </cell>
          <cell r="I207">
            <v>26671</v>
          </cell>
          <cell r="J207">
            <v>53342</v>
          </cell>
          <cell r="K207">
            <v>25116</v>
          </cell>
          <cell r="M207">
            <v>1057</v>
          </cell>
          <cell r="N207">
            <v>0</v>
          </cell>
          <cell r="O207">
            <v>1057</v>
          </cell>
          <cell r="P207">
            <v>0</v>
          </cell>
          <cell r="Q207">
            <v>1580</v>
          </cell>
          <cell r="R207">
            <v>0</v>
          </cell>
          <cell r="S207">
            <v>0</v>
          </cell>
          <cell r="T207">
            <v>1580</v>
          </cell>
          <cell r="U207">
            <v>0</v>
          </cell>
          <cell r="W207">
            <v>1057</v>
          </cell>
          <cell r="X207">
            <v>0</v>
          </cell>
          <cell r="Y207">
            <v>1057</v>
          </cell>
          <cell r="Z207">
            <v>0</v>
          </cell>
          <cell r="AA207">
            <v>1580</v>
          </cell>
          <cell r="AB207">
            <v>0</v>
          </cell>
          <cell r="AC207">
            <v>0</v>
          </cell>
          <cell r="AD207">
            <v>1580</v>
          </cell>
          <cell r="AE207">
            <v>20480</v>
          </cell>
          <cell r="AG207">
            <v>1088</v>
          </cell>
          <cell r="AH207">
            <v>0</v>
          </cell>
          <cell r="AI207">
            <v>1088</v>
          </cell>
          <cell r="AJ207">
            <v>0</v>
          </cell>
          <cell r="AK207">
            <v>2130</v>
          </cell>
          <cell r="AL207">
            <v>0</v>
          </cell>
          <cell r="AM207">
            <v>0</v>
          </cell>
          <cell r="AN207">
            <v>2130</v>
          </cell>
          <cell r="AO207">
            <v>0</v>
          </cell>
          <cell r="AQ207">
            <v>1088</v>
          </cell>
          <cell r="AR207">
            <v>0</v>
          </cell>
          <cell r="AS207">
            <v>1088</v>
          </cell>
          <cell r="AT207">
            <v>0</v>
          </cell>
          <cell r="AU207">
            <v>2130</v>
          </cell>
          <cell r="AV207">
            <v>0</v>
          </cell>
          <cell r="AW207">
            <v>0</v>
          </cell>
          <cell r="AX207">
            <v>2130</v>
          </cell>
          <cell r="AY207">
            <v>0</v>
          </cell>
          <cell r="BA207">
            <v>1088</v>
          </cell>
          <cell r="BB207">
            <v>0</v>
          </cell>
          <cell r="BC207">
            <v>1088</v>
          </cell>
          <cell r="BD207">
            <v>0</v>
          </cell>
          <cell r="BE207">
            <v>2130</v>
          </cell>
          <cell r="BF207">
            <v>0</v>
          </cell>
          <cell r="BG207">
            <v>0</v>
          </cell>
          <cell r="BH207">
            <v>2130</v>
          </cell>
          <cell r="BI207">
            <v>0</v>
          </cell>
          <cell r="BK207">
            <v>1139</v>
          </cell>
          <cell r="BL207">
            <v>0</v>
          </cell>
          <cell r="BM207">
            <v>1139</v>
          </cell>
          <cell r="BN207">
            <v>0</v>
          </cell>
          <cell r="BO207">
            <v>2130</v>
          </cell>
          <cell r="BP207">
            <v>0</v>
          </cell>
          <cell r="BQ207">
            <v>0</v>
          </cell>
          <cell r="BR207">
            <v>2130</v>
          </cell>
          <cell r="BS207">
            <v>0</v>
          </cell>
          <cell r="BU207">
            <v>1139</v>
          </cell>
          <cell r="BV207">
            <v>0</v>
          </cell>
          <cell r="BW207">
            <v>1139</v>
          </cell>
          <cell r="BX207">
            <v>0</v>
          </cell>
          <cell r="BY207">
            <v>2130</v>
          </cell>
          <cell r="BZ207">
            <v>0</v>
          </cell>
          <cell r="CA207">
            <v>0</v>
          </cell>
          <cell r="CB207">
            <v>2130</v>
          </cell>
          <cell r="CC207">
            <v>0</v>
          </cell>
          <cell r="CE207">
            <v>1139</v>
          </cell>
          <cell r="CF207">
            <v>0</v>
          </cell>
          <cell r="CG207">
            <v>1139</v>
          </cell>
          <cell r="CH207">
            <v>0</v>
          </cell>
          <cell r="CI207">
            <v>2130</v>
          </cell>
          <cell r="CJ207">
            <v>0</v>
          </cell>
          <cell r="CK207">
            <v>0</v>
          </cell>
          <cell r="CL207">
            <v>2130</v>
          </cell>
          <cell r="CM207">
            <v>0</v>
          </cell>
          <cell r="CO207">
            <v>1139</v>
          </cell>
          <cell r="CP207">
            <v>0</v>
          </cell>
          <cell r="CQ207">
            <v>1139</v>
          </cell>
          <cell r="CR207">
            <v>0</v>
          </cell>
          <cell r="CS207">
            <v>2130</v>
          </cell>
          <cell r="CT207">
            <v>0</v>
          </cell>
          <cell r="CU207">
            <v>0</v>
          </cell>
          <cell r="CV207">
            <v>2130</v>
          </cell>
          <cell r="CW207">
            <v>0</v>
          </cell>
          <cell r="CY207">
            <v>1139</v>
          </cell>
          <cell r="CZ207">
            <v>0</v>
          </cell>
          <cell r="DA207">
            <v>1139</v>
          </cell>
          <cell r="DB207">
            <v>0</v>
          </cell>
          <cell r="DC207">
            <v>2130</v>
          </cell>
          <cell r="DD207">
            <v>0</v>
          </cell>
          <cell r="DE207">
            <v>0</v>
          </cell>
          <cell r="DF207">
            <v>2130</v>
          </cell>
          <cell r="DG207">
            <v>0</v>
          </cell>
          <cell r="DI207">
            <v>53342</v>
          </cell>
          <cell r="DJ207">
            <v>11073</v>
          </cell>
          <cell r="DK207">
            <v>0</v>
          </cell>
          <cell r="DL207">
            <v>11073</v>
          </cell>
          <cell r="DM207">
            <v>11073</v>
          </cell>
          <cell r="DN207">
            <v>0</v>
          </cell>
          <cell r="DO207">
            <v>11073</v>
          </cell>
          <cell r="DP207">
            <v>20200</v>
          </cell>
          <cell r="DQ207">
            <v>0</v>
          </cell>
          <cell r="DR207">
            <v>0</v>
          </cell>
          <cell r="DS207">
            <v>20200</v>
          </cell>
          <cell r="DT207">
            <v>42346</v>
          </cell>
          <cell r="DU207">
            <v>20480</v>
          </cell>
          <cell r="DW207">
            <v>0</v>
          </cell>
          <cell r="DX207">
            <v>0</v>
          </cell>
          <cell r="DY207">
            <v>57036</v>
          </cell>
          <cell r="DZ207">
            <v>40250</v>
          </cell>
          <cell r="EA207">
            <v>44556</v>
          </cell>
          <cell r="EB207">
            <v>48862</v>
          </cell>
          <cell r="EC207">
            <v>53168</v>
          </cell>
          <cell r="ED207">
            <v>57576</v>
          </cell>
          <cell r="EE207">
            <v>61984</v>
          </cell>
          <cell r="EF207">
            <v>66392</v>
          </cell>
          <cell r="EG207">
            <v>70800</v>
          </cell>
          <cell r="EH207">
            <v>75208</v>
          </cell>
          <cell r="EI207">
            <v>575832</v>
          </cell>
          <cell r="EK207">
            <v>0</v>
          </cell>
          <cell r="EL207">
            <v>0</v>
          </cell>
          <cell r="EM207">
            <v>380.24</v>
          </cell>
          <cell r="EN207">
            <v>268.33333333333331</v>
          </cell>
          <cell r="EO207">
            <v>297.04000000000002</v>
          </cell>
          <cell r="EP207">
            <v>325.74666666666667</v>
          </cell>
          <cell r="EQ207">
            <v>354.45333333333332</v>
          </cell>
          <cell r="ER207">
            <v>383.84</v>
          </cell>
          <cell r="ES207">
            <v>444.21866666666665</v>
          </cell>
          <cell r="ET207">
            <v>475.80933333333331</v>
          </cell>
          <cell r="EU207">
            <v>507.40000000000003</v>
          </cell>
          <cell r="EV207">
            <v>538.99066666666658</v>
          </cell>
          <cell r="EW207">
            <v>3976.0719999999997</v>
          </cell>
          <cell r="EY207">
            <v>301448</v>
          </cell>
          <cell r="EZ207">
            <v>8</v>
          </cell>
          <cell r="FA207">
            <v>2009.6533333333334</v>
          </cell>
          <cell r="FB207">
            <v>274384</v>
          </cell>
          <cell r="FC207">
            <v>8.6</v>
          </cell>
          <cell r="FD207">
            <v>1966.4186666666665</v>
          </cell>
          <cell r="FE207">
            <v>3976.0720000000001</v>
          </cell>
          <cell r="FF207">
            <v>79184</v>
          </cell>
          <cell r="FH207">
            <v>79184</v>
          </cell>
        </row>
        <row r="208">
          <cell r="B208">
            <v>9120</v>
          </cell>
          <cell r="C208" t="str">
            <v>13.04.2007</v>
          </cell>
          <cell r="D208" t="str">
            <v>Randive Bajirao Kundlik</v>
          </cell>
          <cell r="F208">
            <v>28329</v>
          </cell>
          <cell r="H208">
            <v>21888</v>
          </cell>
          <cell r="I208">
            <v>21888</v>
          </cell>
          <cell r="J208">
            <v>43776</v>
          </cell>
          <cell r="K208">
            <v>15447</v>
          </cell>
          <cell r="M208">
            <v>1057</v>
          </cell>
          <cell r="N208">
            <v>0</v>
          </cell>
          <cell r="O208">
            <v>1057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W208">
            <v>1057</v>
          </cell>
          <cell r="X208">
            <v>0</v>
          </cell>
          <cell r="Y208">
            <v>1057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G208">
            <v>1088</v>
          </cell>
          <cell r="AH208">
            <v>0</v>
          </cell>
          <cell r="AI208">
            <v>1088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Q208">
            <v>1088</v>
          </cell>
          <cell r="AR208">
            <v>0</v>
          </cell>
          <cell r="AS208">
            <v>1088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BA208">
            <v>1088</v>
          </cell>
          <cell r="BB208">
            <v>0</v>
          </cell>
          <cell r="BC208">
            <v>1088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K208">
            <v>1139</v>
          </cell>
          <cell r="BL208">
            <v>0</v>
          </cell>
          <cell r="BM208">
            <v>1139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U208">
            <v>1139</v>
          </cell>
          <cell r="BV208">
            <v>0</v>
          </cell>
          <cell r="BW208">
            <v>1139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E208">
            <v>1139</v>
          </cell>
          <cell r="CF208">
            <v>0</v>
          </cell>
          <cell r="CG208">
            <v>1139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O208">
            <v>1139</v>
          </cell>
          <cell r="CP208">
            <v>0</v>
          </cell>
          <cell r="CQ208">
            <v>1139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Y208">
            <v>1139</v>
          </cell>
          <cell r="CZ208">
            <v>0</v>
          </cell>
          <cell r="DA208">
            <v>1139</v>
          </cell>
          <cell r="DB208">
            <v>0</v>
          </cell>
          <cell r="DC208">
            <v>0</v>
          </cell>
          <cell r="DD208">
            <v>0</v>
          </cell>
          <cell r="DE208">
            <v>0</v>
          </cell>
          <cell r="DF208">
            <v>0</v>
          </cell>
          <cell r="DG208">
            <v>0</v>
          </cell>
          <cell r="DI208">
            <v>43776</v>
          </cell>
          <cell r="DJ208">
            <v>11073</v>
          </cell>
          <cell r="DK208">
            <v>0</v>
          </cell>
          <cell r="DL208">
            <v>11073</v>
          </cell>
          <cell r="DM208">
            <v>11073</v>
          </cell>
          <cell r="DN208">
            <v>0</v>
          </cell>
          <cell r="DO208">
            <v>11073</v>
          </cell>
          <cell r="DP208">
            <v>0</v>
          </cell>
          <cell r="DQ208">
            <v>0</v>
          </cell>
          <cell r="DR208">
            <v>0</v>
          </cell>
          <cell r="DS208">
            <v>0</v>
          </cell>
          <cell r="DT208">
            <v>22146</v>
          </cell>
          <cell r="DU208">
            <v>0</v>
          </cell>
          <cell r="DW208">
            <v>0</v>
          </cell>
          <cell r="DX208">
            <v>0</v>
          </cell>
          <cell r="DY208">
            <v>45890</v>
          </cell>
          <cell r="DZ208">
            <v>48004</v>
          </cell>
          <cell r="EA208">
            <v>50180</v>
          </cell>
          <cell r="EB208">
            <v>52356</v>
          </cell>
          <cell r="EC208">
            <v>54532</v>
          </cell>
          <cell r="ED208">
            <v>56810</v>
          </cell>
          <cell r="EE208">
            <v>59088</v>
          </cell>
          <cell r="EF208">
            <v>61366</v>
          </cell>
          <cell r="EG208">
            <v>63644</v>
          </cell>
          <cell r="EH208">
            <v>65922</v>
          </cell>
          <cell r="EI208">
            <v>557792</v>
          </cell>
          <cell r="EK208">
            <v>0</v>
          </cell>
          <cell r="EL208">
            <v>0</v>
          </cell>
          <cell r="EM208">
            <v>305.93333333333334</v>
          </cell>
          <cell r="EN208">
            <v>320.0266666666667</v>
          </cell>
          <cell r="EO208">
            <v>334.53333333333336</v>
          </cell>
          <cell r="EP208">
            <v>349.03999999999996</v>
          </cell>
          <cell r="EQ208">
            <v>363.54666666666668</v>
          </cell>
          <cell r="ER208">
            <v>378.73333333333335</v>
          </cell>
          <cell r="ES208">
            <v>423.464</v>
          </cell>
          <cell r="ET208">
            <v>439.78966666666662</v>
          </cell>
          <cell r="EU208">
            <v>456.11533333333335</v>
          </cell>
          <cell r="EV208">
            <v>472.44099999999997</v>
          </cell>
          <cell r="EW208">
            <v>3843.623333333333</v>
          </cell>
          <cell r="EY208">
            <v>307772</v>
          </cell>
          <cell r="EZ208">
            <v>8</v>
          </cell>
          <cell r="FA208">
            <v>2051.813333333333</v>
          </cell>
          <cell r="FB208">
            <v>250020</v>
          </cell>
          <cell r="FC208">
            <v>8.6</v>
          </cell>
          <cell r="FD208">
            <v>1791.8100000000002</v>
          </cell>
          <cell r="FE208">
            <v>3843.623333333333</v>
          </cell>
          <cell r="FF208">
            <v>69766</v>
          </cell>
          <cell r="FH208">
            <v>69766</v>
          </cell>
        </row>
        <row r="209">
          <cell r="B209">
            <v>9121</v>
          </cell>
          <cell r="C209" t="str">
            <v>13.04.2007</v>
          </cell>
          <cell r="D209" t="str">
            <v>Dorge Ramdas Baban</v>
          </cell>
          <cell r="F209">
            <v>28329</v>
          </cell>
          <cell r="G209">
            <v>33628</v>
          </cell>
          <cell r="H209">
            <v>55546</v>
          </cell>
          <cell r="I209">
            <v>55546</v>
          </cell>
          <cell r="J209">
            <v>111092</v>
          </cell>
          <cell r="K209">
            <v>82763</v>
          </cell>
          <cell r="M209">
            <v>1057</v>
          </cell>
          <cell r="N209">
            <v>0</v>
          </cell>
          <cell r="O209">
            <v>1057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W209">
            <v>1057</v>
          </cell>
          <cell r="X209">
            <v>0</v>
          </cell>
          <cell r="Y209">
            <v>1057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G209">
            <v>1088</v>
          </cell>
          <cell r="AH209">
            <v>0</v>
          </cell>
          <cell r="AI209">
            <v>1088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Q209">
            <v>1088</v>
          </cell>
          <cell r="AR209">
            <v>0</v>
          </cell>
          <cell r="AS209">
            <v>1088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BA209">
            <v>1088</v>
          </cell>
          <cell r="BB209">
            <v>0</v>
          </cell>
          <cell r="BC209">
            <v>1088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K209">
            <v>1139</v>
          </cell>
          <cell r="BL209">
            <v>0</v>
          </cell>
          <cell r="BM209">
            <v>1139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U209">
            <v>1139</v>
          </cell>
          <cell r="BV209">
            <v>0</v>
          </cell>
          <cell r="BW209">
            <v>1139</v>
          </cell>
          <cell r="BX209">
            <v>0</v>
          </cell>
          <cell r="BY209">
            <v>0</v>
          </cell>
          <cell r="BZ209">
            <v>0</v>
          </cell>
          <cell r="CA209">
            <v>0</v>
          </cell>
          <cell r="CB209">
            <v>0</v>
          </cell>
          <cell r="CC209">
            <v>0</v>
          </cell>
          <cell r="CE209">
            <v>1139</v>
          </cell>
          <cell r="CF209">
            <v>0</v>
          </cell>
          <cell r="CG209">
            <v>1139</v>
          </cell>
          <cell r="CH209">
            <v>0</v>
          </cell>
          <cell r="CI209">
            <v>0</v>
          </cell>
          <cell r="CJ209">
            <v>0</v>
          </cell>
          <cell r="CK209">
            <v>0</v>
          </cell>
          <cell r="CL209">
            <v>0</v>
          </cell>
          <cell r="CM209">
            <v>0</v>
          </cell>
          <cell r="CO209">
            <v>1139</v>
          </cell>
          <cell r="CP209">
            <v>0</v>
          </cell>
          <cell r="CQ209">
            <v>1139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Y209">
            <v>1139</v>
          </cell>
          <cell r="CZ209">
            <v>0</v>
          </cell>
          <cell r="DA209">
            <v>1139</v>
          </cell>
          <cell r="DB209">
            <v>0</v>
          </cell>
          <cell r="DC209">
            <v>0</v>
          </cell>
          <cell r="DD209">
            <v>0</v>
          </cell>
          <cell r="DE209">
            <v>0</v>
          </cell>
          <cell r="DF209">
            <v>0</v>
          </cell>
          <cell r="DG209">
            <v>0</v>
          </cell>
          <cell r="DI209">
            <v>111092</v>
          </cell>
          <cell r="DJ209">
            <v>11073</v>
          </cell>
          <cell r="DK209">
            <v>0</v>
          </cell>
          <cell r="DL209">
            <v>11073</v>
          </cell>
          <cell r="DM209">
            <v>11073</v>
          </cell>
          <cell r="DN209">
            <v>0</v>
          </cell>
          <cell r="DO209">
            <v>11073</v>
          </cell>
          <cell r="DP209">
            <v>0</v>
          </cell>
          <cell r="DQ209">
            <v>0</v>
          </cell>
          <cell r="DR209">
            <v>0</v>
          </cell>
          <cell r="DS209">
            <v>0</v>
          </cell>
          <cell r="DT209">
            <v>22146</v>
          </cell>
          <cell r="DU209">
            <v>0</v>
          </cell>
          <cell r="DW209">
            <v>0</v>
          </cell>
          <cell r="DX209">
            <v>0</v>
          </cell>
          <cell r="DY209">
            <v>113206</v>
          </cell>
          <cell r="DZ209">
            <v>115320</v>
          </cell>
          <cell r="EA209">
            <v>117496</v>
          </cell>
          <cell r="EB209">
            <v>119672</v>
          </cell>
          <cell r="EC209">
            <v>121848</v>
          </cell>
          <cell r="ED209">
            <v>124126</v>
          </cell>
          <cell r="EE209">
            <v>126404</v>
          </cell>
          <cell r="EF209">
            <v>128682</v>
          </cell>
          <cell r="EG209">
            <v>130960</v>
          </cell>
          <cell r="EH209">
            <v>133238</v>
          </cell>
          <cell r="EI209">
            <v>1230952</v>
          </cell>
          <cell r="EK209">
            <v>0</v>
          </cell>
          <cell r="EL209">
            <v>0</v>
          </cell>
          <cell r="EM209">
            <v>754.70666666666659</v>
          </cell>
          <cell r="EN209">
            <v>768.80000000000007</v>
          </cell>
          <cell r="EO209">
            <v>783.30666666666673</v>
          </cell>
          <cell r="EP209">
            <v>797.81333333333339</v>
          </cell>
          <cell r="EQ209">
            <v>812.32</v>
          </cell>
          <cell r="ER209">
            <v>827.50666666666666</v>
          </cell>
          <cell r="ES209">
            <v>905.89533333333327</v>
          </cell>
          <cell r="ET209">
            <v>922.221</v>
          </cell>
          <cell r="EU209">
            <v>938.54666666666662</v>
          </cell>
          <cell r="EV209">
            <v>954.87233333333336</v>
          </cell>
          <cell r="EW209">
            <v>8465.9886666666662</v>
          </cell>
          <cell r="EY209">
            <v>711668</v>
          </cell>
          <cell r="EZ209">
            <v>8</v>
          </cell>
          <cell r="FA209">
            <v>4744.4533333333338</v>
          </cell>
          <cell r="FB209">
            <v>519284</v>
          </cell>
          <cell r="FC209">
            <v>8.6</v>
          </cell>
          <cell r="FD209">
            <v>3721.5353333333328</v>
          </cell>
          <cell r="FE209">
            <v>8465.9886666666662</v>
          </cell>
          <cell r="FF209">
            <v>141704</v>
          </cell>
          <cell r="FH209">
            <v>141704</v>
          </cell>
        </row>
        <row r="210">
          <cell r="B210">
            <v>9122</v>
          </cell>
          <cell r="C210" t="str">
            <v>13.04.2007</v>
          </cell>
          <cell r="D210" t="str">
            <v>Waghmare Balu Kisan</v>
          </cell>
          <cell r="F210">
            <v>28200</v>
          </cell>
          <cell r="G210">
            <v>32766</v>
          </cell>
          <cell r="H210">
            <v>50550</v>
          </cell>
          <cell r="I210">
            <v>50550</v>
          </cell>
          <cell r="J210">
            <v>101100</v>
          </cell>
          <cell r="K210">
            <v>72900</v>
          </cell>
          <cell r="M210">
            <v>1057</v>
          </cell>
          <cell r="N210">
            <v>0</v>
          </cell>
          <cell r="O210">
            <v>1057</v>
          </cell>
          <cell r="P210">
            <v>0</v>
          </cell>
          <cell r="Q210">
            <v>550</v>
          </cell>
          <cell r="R210">
            <v>0</v>
          </cell>
          <cell r="S210">
            <v>0</v>
          </cell>
          <cell r="T210">
            <v>550</v>
          </cell>
          <cell r="U210">
            <v>0</v>
          </cell>
          <cell r="W210">
            <v>1057</v>
          </cell>
          <cell r="X210">
            <v>0</v>
          </cell>
          <cell r="Y210">
            <v>1057</v>
          </cell>
          <cell r="Z210">
            <v>0</v>
          </cell>
          <cell r="AA210">
            <v>550</v>
          </cell>
          <cell r="AB210">
            <v>0</v>
          </cell>
          <cell r="AC210">
            <v>0</v>
          </cell>
          <cell r="AD210">
            <v>550</v>
          </cell>
          <cell r="AE210">
            <v>0</v>
          </cell>
          <cell r="AG210">
            <v>1057</v>
          </cell>
          <cell r="AH210">
            <v>0</v>
          </cell>
          <cell r="AI210">
            <v>1057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Q210">
            <v>1057</v>
          </cell>
          <cell r="AR210">
            <v>0</v>
          </cell>
          <cell r="AS210">
            <v>1057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BA210">
            <v>1057</v>
          </cell>
          <cell r="BB210">
            <v>0</v>
          </cell>
          <cell r="BC210">
            <v>1057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39800</v>
          </cell>
          <cell r="BK210">
            <v>1106</v>
          </cell>
          <cell r="BL210">
            <v>0</v>
          </cell>
          <cell r="BM210">
            <v>1106</v>
          </cell>
          <cell r="BN210">
            <v>0</v>
          </cell>
          <cell r="BO210">
            <v>1990</v>
          </cell>
          <cell r="BP210">
            <v>0</v>
          </cell>
          <cell r="BQ210">
            <v>0</v>
          </cell>
          <cell r="BR210">
            <v>1990</v>
          </cell>
          <cell r="BS210">
            <v>0</v>
          </cell>
          <cell r="BU210">
            <v>1106</v>
          </cell>
          <cell r="BV210">
            <v>0</v>
          </cell>
          <cell r="BW210">
            <v>1106</v>
          </cell>
          <cell r="BX210">
            <v>0</v>
          </cell>
          <cell r="BY210">
            <v>1990</v>
          </cell>
          <cell r="BZ210">
            <v>0</v>
          </cell>
          <cell r="CA210">
            <v>0</v>
          </cell>
          <cell r="CB210">
            <v>1990</v>
          </cell>
          <cell r="CC210">
            <v>0</v>
          </cell>
          <cell r="CE210">
            <v>1106</v>
          </cell>
          <cell r="CF210">
            <v>0</v>
          </cell>
          <cell r="CG210">
            <v>1106</v>
          </cell>
          <cell r="CH210">
            <v>0</v>
          </cell>
          <cell r="CI210">
            <v>1990</v>
          </cell>
          <cell r="CJ210">
            <v>0</v>
          </cell>
          <cell r="CK210">
            <v>0</v>
          </cell>
          <cell r="CL210">
            <v>1990</v>
          </cell>
          <cell r="CM210">
            <v>0</v>
          </cell>
          <cell r="CO210">
            <v>1106</v>
          </cell>
          <cell r="CP210">
            <v>0</v>
          </cell>
          <cell r="CQ210">
            <v>1106</v>
          </cell>
          <cell r="CR210">
            <v>0</v>
          </cell>
          <cell r="CS210">
            <v>1990</v>
          </cell>
          <cell r="CT210">
            <v>0</v>
          </cell>
          <cell r="CU210">
            <v>0</v>
          </cell>
          <cell r="CV210">
            <v>1990</v>
          </cell>
          <cell r="CW210">
            <v>0</v>
          </cell>
          <cell r="CY210">
            <v>1106</v>
          </cell>
          <cell r="CZ210">
            <v>0</v>
          </cell>
          <cell r="DA210">
            <v>1106</v>
          </cell>
          <cell r="DB210">
            <v>0</v>
          </cell>
          <cell r="DC210">
            <v>1990</v>
          </cell>
          <cell r="DD210">
            <v>0</v>
          </cell>
          <cell r="DE210">
            <v>0</v>
          </cell>
          <cell r="DF210">
            <v>1990</v>
          </cell>
          <cell r="DG210">
            <v>0</v>
          </cell>
          <cell r="DI210">
            <v>101100</v>
          </cell>
          <cell r="DJ210">
            <v>10815</v>
          </cell>
          <cell r="DK210">
            <v>0</v>
          </cell>
          <cell r="DL210">
            <v>10815</v>
          </cell>
          <cell r="DM210">
            <v>10815</v>
          </cell>
          <cell r="DN210">
            <v>0</v>
          </cell>
          <cell r="DO210">
            <v>10815</v>
          </cell>
          <cell r="DP210">
            <v>11050</v>
          </cell>
          <cell r="DQ210">
            <v>0</v>
          </cell>
          <cell r="DR210">
            <v>0</v>
          </cell>
          <cell r="DS210">
            <v>11050</v>
          </cell>
          <cell r="DT210">
            <v>32680</v>
          </cell>
          <cell r="DU210">
            <v>39800</v>
          </cell>
          <cell r="DW210">
            <v>0</v>
          </cell>
          <cell r="DX210">
            <v>0</v>
          </cell>
          <cell r="DY210">
            <v>103764</v>
          </cell>
          <cell r="DZ210">
            <v>106428</v>
          </cell>
          <cell r="EA210">
            <v>108542</v>
          </cell>
          <cell r="EB210">
            <v>110656</v>
          </cell>
          <cell r="EC210">
            <v>72970</v>
          </cell>
          <cell r="ED210">
            <v>77172</v>
          </cell>
          <cell r="EE210">
            <v>81374</v>
          </cell>
          <cell r="EF210">
            <v>85576</v>
          </cell>
          <cell r="EG210">
            <v>89778</v>
          </cell>
          <cell r="EH210">
            <v>93980</v>
          </cell>
          <cell r="EI210">
            <v>930240</v>
          </cell>
          <cell r="EK210">
            <v>0</v>
          </cell>
          <cell r="EL210">
            <v>0</v>
          </cell>
          <cell r="EM210">
            <v>691.7600000000001</v>
          </cell>
          <cell r="EN210">
            <v>709.52</v>
          </cell>
          <cell r="EO210">
            <v>723.61333333333334</v>
          </cell>
          <cell r="EP210">
            <v>737.70666666666659</v>
          </cell>
          <cell r="EQ210">
            <v>486.4666666666667</v>
          </cell>
          <cell r="ER210">
            <v>514.48</v>
          </cell>
          <cell r="ES210">
            <v>583.18033333333335</v>
          </cell>
          <cell r="ET210">
            <v>613.29466666666667</v>
          </cell>
          <cell r="EU210">
            <v>643.40899999999999</v>
          </cell>
          <cell r="EV210">
            <v>673.52333333333331</v>
          </cell>
          <cell r="EW210">
            <v>6376.9539999999997</v>
          </cell>
          <cell r="EY210">
            <v>579532</v>
          </cell>
          <cell r="EZ210">
            <v>8</v>
          </cell>
          <cell r="FA210">
            <v>3863.5466666666666</v>
          </cell>
          <cell r="FB210">
            <v>350708</v>
          </cell>
          <cell r="FC210">
            <v>8.6</v>
          </cell>
          <cell r="FD210">
            <v>2513.4073333333331</v>
          </cell>
          <cell r="FE210">
            <v>6376.9539999999997</v>
          </cell>
          <cell r="FF210">
            <v>100357</v>
          </cell>
          <cell r="FH210">
            <v>100357</v>
          </cell>
        </row>
        <row r="211">
          <cell r="B211">
            <v>9123</v>
          </cell>
          <cell r="C211" t="str">
            <v>13.04.2007</v>
          </cell>
          <cell r="D211" t="str">
            <v>Dhaymukte Raghunath Dadu</v>
          </cell>
          <cell r="F211">
            <v>28329</v>
          </cell>
          <cell r="G211">
            <v>32766</v>
          </cell>
          <cell r="H211">
            <v>21935</v>
          </cell>
          <cell r="I211">
            <v>21935</v>
          </cell>
          <cell r="J211">
            <v>43870</v>
          </cell>
          <cell r="K211">
            <v>15541</v>
          </cell>
          <cell r="M211">
            <v>1057</v>
          </cell>
          <cell r="N211">
            <v>0</v>
          </cell>
          <cell r="O211">
            <v>1057</v>
          </cell>
          <cell r="P211">
            <v>0</v>
          </cell>
          <cell r="Q211">
            <v>335</v>
          </cell>
          <cell r="R211">
            <v>0</v>
          </cell>
          <cell r="S211">
            <v>0</v>
          </cell>
          <cell r="T211">
            <v>335</v>
          </cell>
          <cell r="U211">
            <v>9910</v>
          </cell>
          <cell r="W211">
            <v>1057</v>
          </cell>
          <cell r="X211">
            <v>0</v>
          </cell>
          <cell r="Y211">
            <v>1057</v>
          </cell>
          <cell r="Z211">
            <v>0</v>
          </cell>
          <cell r="AA211">
            <v>580</v>
          </cell>
          <cell r="AB211">
            <v>0</v>
          </cell>
          <cell r="AC211">
            <v>0</v>
          </cell>
          <cell r="AD211">
            <v>580</v>
          </cell>
          <cell r="AE211">
            <v>0</v>
          </cell>
          <cell r="AG211">
            <v>1057</v>
          </cell>
          <cell r="AH211">
            <v>0</v>
          </cell>
          <cell r="AI211">
            <v>1057</v>
          </cell>
          <cell r="AJ211">
            <v>0</v>
          </cell>
          <cell r="AK211">
            <v>580</v>
          </cell>
          <cell r="AL211">
            <v>0</v>
          </cell>
          <cell r="AM211">
            <v>0</v>
          </cell>
          <cell r="AN211">
            <v>580</v>
          </cell>
          <cell r="AO211">
            <v>0</v>
          </cell>
          <cell r="AQ211">
            <v>1057</v>
          </cell>
          <cell r="AR211">
            <v>0</v>
          </cell>
          <cell r="AS211">
            <v>1057</v>
          </cell>
          <cell r="AT211">
            <v>0</v>
          </cell>
          <cell r="AU211">
            <v>580</v>
          </cell>
          <cell r="AV211">
            <v>0</v>
          </cell>
          <cell r="AW211">
            <v>0</v>
          </cell>
          <cell r="AX211">
            <v>580</v>
          </cell>
          <cell r="AY211">
            <v>0</v>
          </cell>
          <cell r="BA211">
            <v>1057</v>
          </cell>
          <cell r="BB211">
            <v>0</v>
          </cell>
          <cell r="BC211">
            <v>1057</v>
          </cell>
          <cell r="BD211">
            <v>0</v>
          </cell>
          <cell r="BE211">
            <v>580</v>
          </cell>
          <cell r="BF211">
            <v>0</v>
          </cell>
          <cell r="BG211">
            <v>0</v>
          </cell>
          <cell r="BH211">
            <v>580</v>
          </cell>
          <cell r="BI211">
            <v>0</v>
          </cell>
          <cell r="BK211">
            <v>1106</v>
          </cell>
          <cell r="BL211">
            <v>0</v>
          </cell>
          <cell r="BM211">
            <v>1106</v>
          </cell>
          <cell r="BN211">
            <v>0</v>
          </cell>
          <cell r="BO211">
            <v>580</v>
          </cell>
          <cell r="BP211">
            <v>0</v>
          </cell>
          <cell r="BQ211">
            <v>0</v>
          </cell>
          <cell r="BR211">
            <v>580</v>
          </cell>
          <cell r="BS211">
            <v>0</v>
          </cell>
          <cell r="BU211">
            <v>1106</v>
          </cell>
          <cell r="BV211">
            <v>0</v>
          </cell>
          <cell r="BW211">
            <v>1106</v>
          </cell>
          <cell r="BX211">
            <v>0</v>
          </cell>
          <cell r="BY211">
            <v>580</v>
          </cell>
          <cell r="BZ211">
            <v>0</v>
          </cell>
          <cell r="CA211">
            <v>0</v>
          </cell>
          <cell r="CB211">
            <v>580</v>
          </cell>
          <cell r="CC211">
            <v>0</v>
          </cell>
          <cell r="CE211">
            <v>1106</v>
          </cell>
          <cell r="CF211">
            <v>0</v>
          </cell>
          <cell r="CG211">
            <v>1106</v>
          </cell>
          <cell r="CH211">
            <v>0</v>
          </cell>
          <cell r="CI211">
            <v>580</v>
          </cell>
          <cell r="CJ211">
            <v>0</v>
          </cell>
          <cell r="CK211">
            <v>0</v>
          </cell>
          <cell r="CL211">
            <v>580</v>
          </cell>
          <cell r="CM211">
            <v>0</v>
          </cell>
          <cell r="CO211">
            <v>1106</v>
          </cell>
          <cell r="CP211">
            <v>0</v>
          </cell>
          <cell r="CQ211">
            <v>1106</v>
          </cell>
          <cell r="CR211">
            <v>0</v>
          </cell>
          <cell r="CS211">
            <v>580</v>
          </cell>
          <cell r="CT211">
            <v>0</v>
          </cell>
          <cell r="CU211">
            <v>0</v>
          </cell>
          <cell r="CV211">
            <v>580</v>
          </cell>
          <cell r="CW211">
            <v>0</v>
          </cell>
          <cell r="CY211">
            <v>1106</v>
          </cell>
          <cell r="CZ211">
            <v>0</v>
          </cell>
          <cell r="DA211">
            <v>1106</v>
          </cell>
          <cell r="DB211">
            <v>0</v>
          </cell>
          <cell r="DC211">
            <v>580</v>
          </cell>
          <cell r="DD211">
            <v>0</v>
          </cell>
          <cell r="DE211">
            <v>0</v>
          </cell>
          <cell r="DF211">
            <v>580</v>
          </cell>
          <cell r="DG211">
            <v>0</v>
          </cell>
          <cell r="DI211">
            <v>43870</v>
          </cell>
          <cell r="DJ211">
            <v>10815</v>
          </cell>
          <cell r="DK211">
            <v>0</v>
          </cell>
          <cell r="DL211">
            <v>10815</v>
          </cell>
          <cell r="DM211">
            <v>10815</v>
          </cell>
          <cell r="DN211">
            <v>0</v>
          </cell>
          <cell r="DO211">
            <v>10815</v>
          </cell>
          <cell r="DP211">
            <v>5555</v>
          </cell>
          <cell r="DQ211">
            <v>0</v>
          </cell>
          <cell r="DR211">
            <v>0</v>
          </cell>
          <cell r="DS211">
            <v>5555</v>
          </cell>
          <cell r="DT211">
            <v>27185</v>
          </cell>
          <cell r="DU211">
            <v>9910</v>
          </cell>
          <cell r="DW211">
            <v>0</v>
          </cell>
          <cell r="DX211">
            <v>0</v>
          </cell>
          <cell r="DY211">
            <v>36409</v>
          </cell>
          <cell r="DZ211">
            <v>39103</v>
          </cell>
          <cell r="EA211">
            <v>41797</v>
          </cell>
          <cell r="EB211">
            <v>44491</v>
          </cell>
          <cell r="EC211">
            <v>47185</v>
          </cell>
          <cell r="ED211">
            <v>49977</v>
          </cell>
          <cell r="EE211">
            <v>52769</v>
          </cell>
          <cell r="EF211">
            <v>55561</v>
          </cell>
          <cell r="EG211">
            <v>58353</v>
          </cell>
          <cell r="EH211">
            <v>61145</v>
          </cell>
          <cell r="EI211">
            <v>486790</v>
          </cell>
          <cell r="EK211">
            <v>0</v>
          </cell>
          <cell r="EL211">
            <v>0</v>
          </cell>
          <cell r="EM211">
            <v>242.72666666666666</v>
          </cell>
          <cell r="EN211">
            <v>260.68666666666667</v>
          </cell>
          <cell r="EO211">
            <v>278.6466666666667</v>
          </cell>
          <cell r="EP211">
            <v>296.60666666666668</v>
          </cell>
          <cell r="EQ211">
            <v>314.56666666666666</v>
          </cell>
          <cell r="ER211">
            <v>333.18</v>
          </cell>
          <cell r="ES211">
            <v>378.17783333333335</v>
          </cell>
          <cell r="ET211">
            <v>398.18716666666666</v>
          </cell>
          <cell r="EU211">
            <v>418.19650000000001</v>
          </cell>
          <cell r="EV211">
            <v>438.20583333333337</v>
          </cell>
          <cell r="EW211">
            <v>3359.1806666666666</v>
          </cell>
          <cell r="EY211">
            <v>258962</v>
          </cell>
          <cell r="EZ211">
            <v>8</v>
          </cell>
          <cell r="FA211">
            <v>1726.4133333333332</v>
          </cell>
          <cell r="FB211">
            <v>227828</v>
          </cell>
          <cell r="FC211">
            <v>8.6</v>
          </cell>
          <cell r="FD211">
            <v>1632.7673333333332</v>
          </cell>
          <cell r="FE211">
            <v>3359.1806666666662</v>
          </cell>
          <cell r="FF211">
            <v>64504</v>
          </cell>
          <cell r="FH211">
            <v>64504</v>
          </cell>
        </row>
        <row r="212">
          <cell r="B212">
            <v>9124</v>
          </cell>
          <cell r="C212" t="str">
            <v>13.04.2007</v>
          </cell>
          <cell r="D212" t="str">
            <v>Mahale Namdeo Shreepat</v>
          </cell>
          <cell r="F212">
            <v>27692</v>
          </cell>
          <cell r="G212">
            <v>32766</v>
          </cell>
          <cell r="H212">
            <v>59714</v>
          </cell>
          <cell r="I212">
            <v>59714</v>
          </cell>
          <cell r="J212">
            <v>119428</v>
          </cell>
          <cell r="K212">
            <v>91736</v>
          </cell>
          <cell r="M212">
            <v>1057</v>
          </cell>
          <cell r="N212">
            <v>0</v>
          </cell>
          <cell r="O212">
            <v>1057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W212">
            <v>1057</v>
          </cell>
          <cell r="X212">
            <v>0</v>
          </cell>
          <cell r="Y212">
            <v>1057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G212">
            <v>1057</v>
          </cell>
          <cell r="AH212">
            <v>0</v>
          </cell>
          <cell r="AI212">
            <v>1057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Q212">
            <v>1057</v>
          </cell>
          <cell r="AR212">
            <v>0</v>
          </cell>
          <cell r="AS212">
            <v>1057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BA212">
            <v>1057</v>
          </cell>
          <cell r="BB212">
            <v>0</v>
          </cell>
          <cell r="BC212">
            <v>1057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K212">
            <v>1106</v>
          </cell>
          <cell r="BL212">
            <v>0</v>
          </cell>
          <cell r="BM212">
            <v>1106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U212">
            <v>1106</v>
          </cell>
          <cell r="BV212">
            <v>0</v>
          </cell>
          <cell r="BW212">
            <v>1106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E212">
            <v>1106</v>
          </cell>
          <cell r="CF212">
            <v>0</v>
          </cell>
          <cell r="CG212">
            <v>1106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O212">
            <v>1106</v>
          </cell>
          <cell r="CP212">
            <v>0</v>
          </cell>
          <cell r="CQ212">
            <v>1106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Y212">
            <v>1106</v>
          </cell>
          <cell r="CZ212">
            <v>0</v>
          </cell>
          <cell r="DA212">
            <v>1106</v>
          </cell>
          <cell r="DB212">
            <v>0</v>
          </cell>
          <cell r="DC212">
            <v>0</v>
          </cell>
          <cell r="DD212">
            <v>0</v>
          </cell>
          <cell r="DE212">
            <v>0</v>
          </cell>
          <cell r="DF212">
            <v>0</v>
          </cell>
          <cell r="DG212">
            <v>0</v>
          </cell>
          <cell r="DI212">
            <v>119428</v>
          </cell>
          <cell r="DJ212">
            <v>10815</v>
          </cell>
          <cell r="DK212">
            <v>0</v>
          </cell>
          <cell r="DL212">
            <v>10815</v>
          </cell>
          <cell r="DM212">
            <v>10815</v>
          </cell>
          <cell r="DN212">
            <v>0</v>
          </cell>
          <cell r="DO212">
            <v>10815</v>
          </cell>
          <cell r="DP212">
            <v>0</v>
          </cell>
          <cell r="DQ212">
            <v>0</v>
          </cell>
          <cell r="DR212">
            <v>0</v>
          </cell>
          <cell r="DS212">
            <v>0</v>
          </cell>
          <cell r="DT212">
            <v>21630</v>
          </cell>
          <cell r="DU212">
            <v>0</v>
          </cell>
          <cell r="DW212">
            <v>0</v>
          </cell>
          <cell r="DX212">
            <v>0</v>
          </cell>
          <cell r="DY212">
            <v>121542</v>
          </cell>
          <cell r="DZ212">
            <v>123656</v>
          </cell>
          <cell r="EA212">
            <v>125770</v>
          </cell>
          <cell r="EB212">
            <v>127884</v>
          </cell>
          <cell r="EC212">
            <v>129998</v>
          </cell>
          <cell r="ED212">
            <v>132210</v>
          </cell>
          <cell r="EE212">
            <v>134422</v>
          </cell>
          <cell r="EF212">
            <v>136634</v>
          </cell>
          <cell r="EG212">
            <v>138846</v>
          </cell>
          <cell r="EH212">
            <v>141058</v>
          </cell>
          <cell r="EI212">
            <v>1312020</v>
          </cell>
          <cell r="EK212">
            <v>0</v>
          </cell>
          <cell r="EL212">
            <v>0</v>
          </cell>
          <cell r="EM212">
            <v>810.28000000000009</v>
          </cell>
          <cell r="EN212">
            <v>824.37333333333333</v>
          </cell>
          <cell r="EO212">
            <v>838.4666666666667</v>
          </cell>
          <cell r="EP212">
            <v>852.56</v>
          </cell>
          <cell r="EQ212">
            <v>866.65333333333331</v>
          </cell>
          <cell r="ER212">
            <v>881.4</v>
          </cell>
          <cell r="ES212">
            <v>963.35766666666666</v>
          </cell>
          <cell r="ET212">
            <v>979.21033333333332</v>
          </cell>
          <cell r="EU212">
            <v>995.06299999999999</v>
          </cell>
          <cell r="EV212">
            <v>1010.9156666666668</v>
          </cell>
          <cell r="EW212">
            <v>9022.2799999999988</v>
          </cell>
          <cell r="EY212">
            <v>761060</v>
          </cell>
          <cell r="EZ212">
            <v>8</v>
          </cell>
          <cell r="FA212">
            <v>5073.7333333333336</v>
          </cell>
          <cell r="FB212">
            <v>550960</v>
          </cell>
          <cell r="FC212">
            <v>8.6</v>
          </cell>
          <cell r="FD212">
            <v>3948.5466666666666</v>
          </cell>
          <cell r="FE212">
            <v>9022.2800000000007</v>
          </cell>
          <cell r="FF212">
            <v>150080</v>
          </cell>
          <cell r="FH212">
            <v>150080</v>
          </cell>
        </row>
        <row r="213">
          <cell r="B213">
            <v>9125</v>
          </cell>
          <cell r="C213" t="str">
            <v>13.04.2007</v>
          </cell>
          <cell r="D213" t="str">
            <v>Thombare Kailas Baban</v>
          </cell>
          <cell r="F213">
            <v>28329</v>
          </cell>
          <cell r="G213">
            <v>32766</v>
          </cell>
          <cell r="H213">
            <v>37724</v>
          </cell>
          <cell r="I213">
            <v>37724</v>
          </cell>
          <cell r="J213">
            <v>75448</v>
          </cell>
          <cell r="K213">
            <v>47119</v>
          </cell>
          <cell r="M213">
            <v>1057</v>
          </cell>
          <cell r="N213">
            <v>0</v>
          </cell>
          <cell r="O213">
            <v>1057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W213">
            <v>1057</v>
          </cell>
          <cell r="X213">
            <v>0</v>
          </cell>
          <cell r="Y213">
            <v>1057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G213">
            <v>1057</v>
          </cell>
          <cell r="AH213">
            <v>0</v>
          </cell>
          <cell r="AI213">
            <v>1057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Q213">
            <v>1057</v>
          </cell>
          <cell r="AR213">
            <v>0</v>
          </cell>
          <cell r="AS213">
            <v>1057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BA213">
            <v>1057</v>
          </cell>
          <cell r="BB213">
            <v>0</v>
          </cell>
          <cell r="BC213">
            <v>1057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K213">
            <v>1106</v>
          </cell>
          <cell r="BL213">
            <v>0</v>
          </cell>
          <cell r="BM213">
            <v>1106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U213">
            <v>1106</v>
          </cell>
          <cell r="BV213">
            <v>0</v>
          </cell>
          <cell r="BW213">
            <v>1106</v>
          </cell>
          <cell r="BX213">
            <v>0</v>
          </cell>
          <cell r="BY213">
            <v>0</v>
          </cell>
          <cell r="BZ213">
            <v>0</v>
          </cell>
          <cell r="CA213">
            <v>0</v>
          </cell>
          <cell r="CB213">
            <v>0</v>
          </cell>
          <cell r="CC213">
            <v>0</v>
          </cell>
          <cell r="CE213">
            <v>1106</v>
          </cell>
          <cell r="CF213">
            <v>0</v>
          </cell>
          <cell r="CG213">
            <v>1106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  <cell r="CL213">
            <v>0</v>
          </cell>
          <cell r="CM213">
            <v>0</v>
          </cell>
          <cell r="CO213">
            <v>1106</v>
          </cell>
          <cell r="CP213">
            <v>0</v>
          </cell>
          <cell r="CQ213">
            <v>1106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0</v>
          </cell>
          <cell r="CW213">
            <v>0</v>
          </cell>
          <cell r="CY213">
            <v>1106</v>
          </cell>
          <cell r="CZ213">
            <v>0</v>
          </cell>
          <cell r="DA213">
            <v>1106</v>
          </cell>
          <cell r="DB213">
            <v>0</v>
          </cell>
          <cell r="DC213">
            <v>0</v>
          </cell>
          <cell r="DD213">
            <v>0</v>
          </cell>
          <cell r="DE213">
            <v>0</v>
          </cell>
          <cell r="DF213">
            <v>0</v>
          </cell>
          <cell r="DG213">
            <v>0</v>
          </cell>
          <cell r="DI213">
            <v>75448</v>
          </cell>
          <cell r="DJ213">
            <v>10815</v>
          </cell>
          <cell r="DK213">
            <v>0</v>
          </cell>
          <cell r="DL213">
            <v>10815</v>
          </cell>
          <cell r="DM213">
            <v>10815</v>
          </cell>
          <cell r="DN213">
            <v>0</v>
          </cell>
          <cell r="DO213">
            <v>10815</v>
          </cell>
          <cell r="DP213">
            <v>0</v>
          </cell>
          <cell r="DQ213">
            <v>0</v>
          </cell>
          <cell r="DR213">
            <v>0</v>
          </cell>
          <cell r="DS213">
            <v>0</v>
          </cell>
          <cell r="DT213">
            <v>21630</v>
          </cell>
          <cell r="DU213">
            <v>0</v>
          </cell>
          <cell r="DW213">
            <v>0</v>
          </cell>
          <cell r="DX213">
            <v>0</v>
          </cell>
          <cell r="DY213">
            <v>77562</v>
          </cell>
          <cell r="DZ213">
            <v>79676</v>
          </cell>
          <cell r="EA213">
            <v>81790</v>
          </cell>
          <cell r="EB213">
            <v>83904</v>
          </cell>
          <cell r="EC213">
            <v>86018</v>
          </cell>
          <cell r="ED213">
            <v>88230</v>
          </cell>
          <cell r="EE213">
            <v>90442</v>
          </cell>
          <cell r="EF213">
            <v>92654</v>
          </cell>
          <cell r="EG213">
            <v>94866</v>
          </cell>
          <cell r="EH213">
            <v>97078</v>
          </cell>
          <cell r="EI213">
            <v>872220</v>
          </cell>
          <cell r="EK213">
            <v>0</v>
          </cell>
          <cell r="EL213">
            <v>0</v>
          </cell>
          <cell r="EM213">
            <v>517.08000000000004</v>
          </cell>
          <cell r="EN213">
            <v>531.17333333333329</v>
          </cell>
          <cell r="EO213">
            <v>545.26666666666665</v>
          </cell>
          <cell r="EP213">
            <v>559.36</v>
          </cell>
          <cell r="EQ213">
            <v>573.45333333333326</v>
          </cell>
          <cell r="ER213">
            <v>588.19999999999993</v>
          </cell>
          <cell r="ES213">
            <v>648.16766666666661</v>
          </cell>
          <cell r="ET213">
            <v>664.02033333333338</v>
          </cell>
          <cell r="EU213">
            <v>679.87299999999993</v>
          </cell>
          <cell r="EV213">
            <v>695.7256666666666</v>
          </cell>
          <cell r="EW213">
            <v>6002.3199999999988</v>
          </cell>
          <cell r="EY213">
            <v>497180</v>
          </cell>
          <cell r="EZ213">
            <v>8</v>
          </cell>
          <cell r="FA213">
            <v>3314.5333333333333</v>
          </cell>
          <cell r="FB213">
            <v>375040</v>
          </cell>
          <cell r="FC213">
            <v>8.6</v>
          </cell>
          <cell r="FD213">
            <v>2687.7866666666664</v>
          </cell>
          <cell r="FE213">
            <v>6002.32</v>
          </cell>
          <cell r="FF213">
            <v>103080</v>
          </cell>
          <cell r="FH213">
            <v>103080</v>
          </cell>
        </row>
        <row r="214">
          <cell r="B214">
            <v>9126</v>
          </cell>
          <cell r="C214" t="str">
            <v>13.04.2007</v>
          </cell>
          <cell r="D214" t="str">
            <v>Gaware Anil Sambhaji</v>
          </cell>
          <cell r="F214">
            <v>28329</v>
          </cell>
          <cell r="G214">
            <v>32766</v>
          </cell>
          <cell r="H214">
            <v>39959</v>
          </cell>
          <cell r="I214">
            <v>39959</v>
          </cell>
          <cell r="J214">
            <v>79918</v>
          </cell>
          <cell r="K214">
            <v>51589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W214">
            <v>1057</v>
          </cell>
          <cell r="X214">
            <v>0</v>
          </cell>
          <cell r="Y214">
            <v>1057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12000</v>
          </cell>
          <cell r="AG214">
            <v>1057</v>
          </cell>
          <cell r="AH214">
            <v>0</v>
          </cell>
          <cell r="AI214">
            <v>1057</v>
          </cell>
          <cell r="AJ214">
            <v>0</v>
          </cell>
          <cell r="AK214">
            <v>600</v>
          </cell>
          <cell r="AL214">
            <v>0</v>
          </cell>
          <cell r="AM214">
            <v>0</v>
          </cell>
          <cell r="AN214">
            <v>600</v>
          </cell>
          <cell r="AO214">
            <v>0</v>
          </cell>
          <cell r="AQ214">
            <v>1057</v>
          </cell>
          <cell r="AR214">
            <v>450</v>
          </cell>
          <cell r="AS214">
            <v>1057</v>
          </cell>
          <cell r="AT214">
            <v>450</v>
          </cell>
          <cell r="AU214">
            <v>600</v>
          </cell>
          <cell r="AV214">
            <v>0</v>
          </cell>
          <cell r="AW214">
            <v>0</v>
          </cell>
          <cell r="AX214">
            <v>600</v>
          </cell>
          <cell r="AY214">
            <v>0</v>
          </cell>
          <cell r="BA214">
            <v>1057</v>
          </cell>
          <cell r="BB214">
            <v>0</v>
          </cell>
          <cell r="BC214">
            <v>1057</v>
          </cell>
          <cell r="BD214">
            <v>0</v>
          </cell>
          <cell r="BE214">
            <v>600</v>
          </cell>
          <cell r="BF214">
            <v>0</v>
          </cell>
          <cell r="BG214">
            <v>0</v>
          </cell>
          <cell r="BH214">
            <v>600</v>
          </cell>
          <cell r="BI214">
            <v>0</v>
          </cell>
          <cell r="BK214">
            <v>1106</v>
          </cell>
          <cell r="BL214">
            <v>0</v>
          </cell>
          <cell r="BM214">
            <v>1106</v>
          </cell>
          <cell r="BN214">
            <v>0</v>
          </cell>
          <cell r="BO214">
            <v>600</v>
          </cell>
          <cell r="BP214">
            <v>0</v>
          </cell>
          <cell r="BQ214">
            <v>0</v>
          </cell>
          <cell r="BR214">
            <v>600</v>
          </cell>
          <cell r="BS214">
            <v>0</v>
          </cell>
          <cell r="BU214">
            <v>1106</v>
          </cell>
          <cell r="BV214">
            <v>0</v>
          </cell>
          <cell r="BW214">
            <v>1106</v>
          </cell>
          <cell r="BX214">
            <v>0</v>
          </cell>
          <cell r="BY214">
            <v>600</v>
          </cell>
          <cell r="BZ214">
            <v>0</v>
          </cell>
          <cell r="CA214">
            <v>0</v>
          </cell>
          <cell r="CB214">
            <v>600</v>
          </cell>
          <cell r="CC214">
            <v>0</v>
          </cell>
          <cell r="CE214">
            <v>1106</v>
          </cell>
          <cell r="CF214">
            <v>0</v>
          </cell>
          <cell r="CG214">
            <v>1106</v>
          </cell>
          <cell r="CH214">
            <v>0</v>
          </cell>
          <cell r="CI214">
            <v>600</v>
          </cell>
          <cell r="CJ214">
            <v>0</v>
          </cell>
          <cell r="CK214">
            <v>0</v>
          </cell>
          <cell r="CL214">
            <v>600</v>
          </cell>
          <cell r="CM214">
            <v>0</v>
          </cell>
          <cell r="CO214">
            <v>1106</v>
          </cell>
          <cell r="CP214">
            <v>0</v>
          </cell>
          <cell r="CQ214">
            <v>1106</v>
          </cell>
          <cell r="CR214">
            <v>0</v>
          </cell>
          <cell r="CS214">
            <v>600</v>
          </cell>
          <cell r="CT214">
            <v>0</v>
          </cell>
          <cell r="CU214">
            <v>0</v>
          </cell>
          <cell r="CV214">
            <v>600</v>
          </cell>
          <cell r="CW214">
            <v>0</v>
          </cell>
          <cell r="CY214">
            <v>1106</v>
          </cell>
          <cell r="CZ214">
            <v>0</v>
          </cell>
          <cell r="DA214">
            <v>1106</v>
          </cell>
          <cell r="DB214">
            <v>0</v>
          </cell>
          <cell r="DC214">
            <v>600</v>
          </cell>
          <cell r="DD214">
            <v>0</v>
          </cell>
          <cell r="DE214">
            <v>0</v>
          </cell>
          <cell r="DF214">
            <v>600</v>
          </cell>
          <cell r="DG214">
            <v>0</v>
          </cell>
          <cell r="DI214">
            <v>79918</v>
          </cell>
          <cell r="DJ214">
            <v>9758</v>
          </cell>
          <cell r="DK214">
            <v>450</v>
          </cell>
          <cell r="DL214">
            <v>10208</v>
          </cell>
          <cell r="DM214">
            <v>9758</v>
          </cell>
          <cell r="DN214">
            <v>450</v>
          </cell>
          <cell r="DO214">
            <v>10208</v>
          </cell>
          <cell r="DP214">
            <v>4800</v>
          </cell>
          <cell r="DQ214">
            <v>0</v>
          </cell>
          <cell r="DR214">
            <v>0</v>
          </cell>
          <cell r="DS214">
            <v>4800</v>
          </cell>
          <cell r="DT214">
            <v>25216</v>
          </cell>
          <cell r="DU214">
            <v>12000</v>
          </cell>
          <cell r="DW214">
            <v>0</v>
          </cell>
          <cell r="DX214">
            <v>0</v>
          </cell>
          <cell r="DY214">
            <v>79918</v>
          </cell>
          <cell r="DZ214">
            <v>70032</v>
          </cell>
          <cell r="EA214">
            <v>72746</v>
          </cell>
          <cell r="EB214">
            <v>76360</v>
          </cell>
          <cell r="EC214">
            <v>79074</v>
          </cell>
          <cell r="ED214">
            <v>81886</v>
          </cell>
          <cell r="EE214">
            <v>84698</v>
          </cell>
          <cell r="EF214">
            <v>87510</v>
          </cell>
          <cell r="EG214">
            <v>90322</v>
          </cell>
          <cell r="EH214">
            <v>93134</v>
          </cell>
          <cell r="EI214">
            <v>815680</v>
          </cell>
          <cell r="EK214">
            <v>0</v>
          </cell>
          <cell r="EL214">
            <v>0</v>
          </cell>
          <cell r="EM214">
            <v>532.78666666666663</v>
          </cell>
          <cell r="EN214">
            <v>466.88000000000005</v>
          </cell>
          <cell r="EO214">
            <v>484.97333333333336</v>
          </cell>
          <cell r="EP214">
            <v>509.06666666666666</v>
          </cell>
          <cell r="EQ214">
            <v>527.16</v>
          </cell>
          <cell r="ER214">
            <v>545.90666666666664</v>
          </cell>
          <cell r="ES214">
            <v>607.00233333333324</v>
          </cell>
          <cell r="ET214">
            <v>627.15499999999997</v>
          </cell>
          <cell r="EU214">
            <v>647.30766666666659</v>
          </cell>
          <cell r="EV214">
            <v>667.46033333333332</v>
          </cell>
          <cell r="EW214">
            <v>5615.6986666666671</v>
          </cell>
          <cell r="EY214">
            <v>460016</v>
          </cell>
          <cell r="EZ214">
            <v>8</v>
          </cell>
          <cell r="FA214">
            <v>3066.7733333333331</v>
          </cell>
          <cell r="FB214">
            <v>355664</v>
          </cell>
          <cell r="FC214">
            <v>8.6</v>
          </cell>
          <cell r="FD214">
            <v>2548.9253333333331</v>
          </cell>
          <cell r="FE214">
            <v>5615.6986666666662</v>
          </cell>
          <cell r="FF214">
            <v>98750</v>
          </cell>
          <cell r="FH214">
            <v>98750</v>
          </cell>
        </row>
        <row r="215">
          <cell r="B215">
            <v>9127</v>
          </cell>
          <cell r="C215" t="str">
            <v>13.04.2007</v>
          </cell>
          <cell r="D215" t="str">
            <v>Kharote Prasad Dinkar</v>
          </cell>
          <cell r="F215">
            <v>28329</v>
          </cell>
          <cell r="G215">
            <v>33628</v>
          </cell>
          <cell r="H215">
            <v>16070</v>
          </cell>
          <cell r="I215">
            <v>16070</v>
          </cell>
          <cell r="J215">
            <v>32140</v>
          </cell>
          <cell r="K215">
            <v>3811</v>
          </cell>
          <cell r="M215">
            <v>1057</v>
          </cell>
          <cell r="N215">
            <v>0</v>
          </cell>
          <cell r="O215">
            <v>1057</v>
          </cell>
          <cell r="P215">
            <v>0</v>
          </cell>
          <cell r="Q215">
            <v>705</v>
          </cell>
          <cell r="R215">
            <v>0</v>
          </cell>
          <cell r="S215">
            <v>0</v>
          </cell>
          <cell r="T215">
            <v>705</v>
          </cell>
          <cell r="U215">
            <v>0</v>
          </cell>
          <cell r="W215">
            <v>1057</v>
          </cell>
          <cell r="X215">
            <v>0</v>
          </cell>
          <cell r="Y215">
            <v>1057</v>
          </cell>
          <cell r="Z215">
            <v>0</v>
          </cell>
          <cell r="AA215">
            <v>705</v>
          </cell>
          <cell r="AB215">
            <v>0</v>
          </cell>
          <cell r="AC215">
            <v>0</v>
          </cell>
          <cell r="AD215">
            <v>705</v>
          </cell>
          <cell r="AE215">
            <v>0</v>
          </cell>
          <cell r="AG215">
            <v>1088</v>
          </cell>
          <cell r="AH215">
            <v>0</v>
          </cell>
          <cell r="AI215">
            <v>1088</v>
          </cell>
          <cell r="AJ215">
            <v>0</v>
          </cell>
          <cell r="AK215">
            <v>705</v>
          </cell>
          <cell r="AL215">
            <v>0</v>
          </cell>
          <cell r="AM215">
            <v>9165</v>
          </cell>
          <cell r="AN215">
            <v>9870</v>
          </cell>
          <cell r="AO215">
            <v>0</v>
          </cell>
          <cell r="AQ215">
            <v>1088</v>
          </cell>
          <cell r="AR215">
            <v>0</v>
          </cell>
          <cell r="AS215">
            <v>1088</v>
          </cell>
          <cell r="AT215">
            <v>0</v>
          </cell>
          <cell r="AU215">
            <v>705</v>
          </cell>
          <cell r="AV215">
            <v>0</v>
          </cell>
          <cell r="AW215">
            <v>0</v>
          </cell>
          <cell r="AX215">
            <v>705</v>
          </cell>
          <cell r="AY215">
            <v>0</v>
          </cell>
          <cell r="BA215">
            <v>1088</v>
          </cell>
          <cell r="BB215">
            <v>0</v>
          </cell>
          <cell r="BC215">
            <v>1088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K215">
            <v>1139</v>
          </cell>
          <cell r="BL215">
            <v>0</v>
          </cell>
          <cell r="BM215">
            <v>1139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U215">
            <v>1139</v>
          </cell>
          <cell r="BV215">
            <v>0</v>
          </cell>
          <cell r="BW215">
            <v>1139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E215">
            <v>1139</v>
          </cell>
          <cell r="CF215">
            <v>0</v>
          </cell>
          <cell r="CG215">
            <v>1139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  <cell r="CL215">
            <v>0</v>
          </cell>
          <cell r="CM215">
            <v>0</v>
          </cell>
          <cell r="CO215">
            <v>1139</v>
          </cell>
          <cell r="CP215">
            <v>0</v>
          </cell>
          <cell r="CQ215">
            <v>1139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Y215">
            <v>1139</v>
          </cell>
          <cell r="CZ215">
            <v>0</v>
          </cell>
          <cell r="DA215">
            <v>1139</v>
          </cell>
          <cell r="DB215">
            <v>0</v>
          </cell>
          <cell r="DC215">
            <v>0</v>
          </cell>
          <cell r="DD215">
            <v>0</v>
          </cell>
          <cell r="DE215">
            <v>0</v>
          </cell>
          <cell r="DF215">
            <v>0</v>
          </cell>
          <cell r="DG215">
            <v>0</v>
          </cell>
          <cell r="DI215">
            <v>32140</v>
          </cell>
          <cell r="DJ215">
            <v>11073</v>
          </cell>
          <cell r="DK215">
            <v>0</v>
          </cell>
          <cell r="DL215">
            <v>11073</v>
          </cell>
          <cell r="DM215">
            <v>11073</v>
          </cell>
          <cell r="DN215">
            <v>0</v>
          </cell>
          <cell r="DO215">
            <v>11073</v>
          </cell>
          <cell r="DP215">
            <v>2820</v>
          </cell>
          <cell r="DQ215">
            <v>0</v>
          </cell>
          <cell r="DR215">
            <v>9165</v>
          </cell>
          <cell r="DS215">
            <v>11985</v>
          </cell>
          <cell r="DT215">
            <v>34131</v>
          </cell>
          <cell r="DU215">
            <v>0</v>
          </cell>
          <cell r="DW215">
            <v>0</v>
          </cell>
          <cell r="DX215">
            <v>0</v>
          </cell>
          <cell r="DY215">
            <v>34959</v>
          </cell>
          <cell r="DZ215">
            <v>37778</v>
          </cell>
          <cell r="EA215">
            <v>49824</v>
          </cell>
          <cell r="EB215">
            <v>52705</v>
          </cell>
          <cell r="EC215">
            <v>54881</v>
          </cell>
          <cell r="ED215">
            <v>57159</v>
          </cell>
          <cell r="EE215">
            <v>59437</v>
          </cell>
          <cell r="EF215">
            <v>61715</v>
          </cell>
          <cell r="EG215">
            <v>63993</v>
          </cell>
          <cell r="EH215">
            <v>66271</v>
          </cell>
          <cell r="EI215">
            <v>538722</v>
          </cell>
          <cell r="EK215">
            <v>0</v>
          </cell>
          <cell r="EL215">
            <v>0</v>
          </cell>
          <cell r="EM215">
            <v>233.05999999999997</v>
          </cell>
          <cell r="EN215">
            <v>251.85333333333332</v>
          </cell>
          <cell r="EO215">
            <v>332.16</v>
          </cell>
          <cell r="EP215">
            <v>351.36666666666662</v>
          </cell>
          <cell r="EQ215">
            <v>365.87333333333328</v>
          </cell>
          <cell r="ER215">
            <v>381.06</v>
          </cell>
          <cell r="ES215">
            <v>425.96516666666662</v>
          </cell>
          <cell r="ET215">
            <v>442.2908333333333</v>
          </cell>
          <cell r="EU215">
            <v>458.61649999999992</v>
          </cell>
          <cell r="EV215">
            <v>474.94216666666665</v>
          </cell>
          <cell r="EW215">
            <v>3717.1880000000001</v>
          </cell>
          <cell r="EY215">
            <v>287306</v>
          </cell>
          <cell r="EZ215">
            <v>8</v>
          </cell>
          <cell r="FA215">
            <v>1915.3733333333332</v>
          </cell>
          <cell r="FB215">
            <v>251416</v>
          </cell>
          <cell r="FC215">
            <v>8.6</v>
          </cell>
          <cell r="FD215">
            <v>1801.8146666666669</v>
          </cell>
          <cell r="FE215">
            <v>3717.1880000000001</v>
          </cell>
          <cell r="FF215">
            <v>69988</v>
          </cell>
          <cell r="FH215">
            <v>69988</v>
          </cell>
        </row>
        <row r="216">
          <cell r="B216">
            <v>9128</v>
          </cell>
          <cell r="C216" t="str">
            <v>13.04.2007</v>
          </cell>
          <cell r="D216" t="str">
            <v>Bokhare Shantaram Tulashira</v>
          </cell>
          <cell r="F216">
            <v>28308</v>
          </cell>
          <cell r="G216">
            <v>33628</v>
          </cell>
          <cell r="H216">
            <v>19588</v>
          </cell>
          <cell r="I216">
            <v>19588</v>
          </cell>
          <cell r="J216">
            <v>39176</v>
          </cell>
          <cell r="K216">
            <v>10868</v>
          </cell>
          <cell r="M216">
            <v>1057</v>
          </cell>
          <cell r="N216">
            <v>0</v>
          </cell>
          <cell r="O216">
            <v>1057</v>
          </cell>
          <cell r="P216">
            <v>0</v>
          </cell>
          <cell r="Q216">
            <v>320</v>
          </cell>
          <cell r="R216">
            <v>0</v>
          </cell>
          <cell r="S216">
            <v>0</v>
          </cell>
          <cell r="T216">
            <v>320</v>
          </cell>
          <cell r="U216">
            <v>0</v>
          </cell>
          <cell r="W216">
            <v>1057</v>
          </cell>
          <cell r="X216">
            <v>0</v>
          </cell>
          <cell r="Y216">
            <v>1057</v>
          </cell>
          <cell r="Z216">
            <v>0</v>
          </cell>
          <cell r="AA216">
            <v>320</v>
          </cell>
          <cell r="AB216">
            <v>0</v>
          </cell>
          <cell r="AC216">
            <v>0</v>
          </cell>
          <cell r="AD216">
            <v>320</v>
          </cell>
          <cell r="AE216">
            <v>0</v>
          </cell>
          <cell r="AG216">
            <v>1088</v>
          </cell>
          <cell r="AH216">
            <v>0</v>
          </cell>
          <cell r="AI216">
            <v>1088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Q216">
            <v>1088</v>
          </cell>
          <cell r="AR216">
            <v>0</v>
          </cell>
          <cell r="AS216">
            <v>1088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16400</v>
          </cell>
          <cell r="BA216">
            <v>1088</v>
          </cell>
          <cell r="BB216">
            <v>0</v>
          </cell>
          <cell r="BC216">
            <v>1088</v>
          </cell>
          <cell r="BD216">
            <v>0</v>
          </cell>
          <cell r="BE216">
            <v>820</v>
          </cell>
          <cell r="BF216">
            <v>0</v>
          </cell>
          <cell r="BG216">
            <v>0</v>
          </cell>
          <cell r="BH216">
            <v>820</v>
          </cell>
          <cell r="BI216">
            <v>0</v>
          </cell>
          <cell r="BK216">
            <v>1139</v>
          </cell>
          <cell r="BL216">
            <v>0</v>
          </cell>
          <cell r="BM216">
            <v>1139</v>
          </cell>
          <cell r="BN216">
            <v>0</v>
          </cell>
          <cell r="BO216">
            <v>820</v>
          </cell>
          <cell r="BP216">
            <v>0</v>
          </cell>
          <cell r="BQ216">
            <v>0</v>
          </cell>
          <cell r="BR216">
            <v>820</v>
          </cell>
          <cell r="BS216">
            <v>0</v>
          </cell>
          <cell r="BU216">
            <v>1139</v>
          </cell>
          <cell r="BV216">
            <v>0</v>
          </cell>
          <cell r="BW216">
            <v>1139</v>
          </cell>
          <cell r="BX216">
            <v>0</v>
          </cell>
          <cell r="BY216">
            <v>820</v>
          </cell>
          <cell r="BZ216">
            <v>0</v>
          </cell>
          <cell r="CA216">
            <v>0</v>
          </cell>
          <cell r="CB216">
            <v>820</v>
          </cell>
          <cell r="CC216">
            <v>0</v>
          </cell>
          <cell r="CE216">
            <v>1139</v>
          </cell>
          <cell r="CF216">
            <v>0</v>
          </cell>
          <cell r="CG216">
            <v>1139</v>
          </cell>
          <cell r="CH216">
            <v>0</v>
          </cell>
          <cell r="CI216">
            <v>820</v>
          </cell>
          <cell r="CJ216">
            <v>0</v>
          </cell>
          <cell r="CK216">
            <v>0</v>
          </cell>
          <cell r="CL216">
            <v>820</v>
          </cell>
          <cell r="CM216">
            <v>0</v>
          </cell>
          <cell r="CO216">
            <v>1139</v>
          </cell>
          <cell r="CP216">
            <v>0</v>
          </cell>
          <cell r="CQ216">
            <v>1139</v>
          </cell>
          <cell r="CR216">
            <v>0</v>
          </cell>
          <cell r="CS216">
            <v>820</v>
          </cell>
          <cell r="CT216">
            <v>0</v>
          </cell>
          <cell r="CU216">
            <v>0</v>
          </cell>
          <cell r="CV216">
            <v>820</v>
          </cell>
          <cell r="CW216">
            <v>0</v>
          </cell>
          <cell r="CY216">
            <v>1139</v>
          </cell>
          <cell r="CZ216">
            <v>0</v>
          </cell>
          <cell r="DA216">
            <v>1139</v>
          </cell>
          <cell r="DB216">
            <v>0</v>
          </cell>
          <cell r="DC216">
            <v>820</v>
          </cell>
          <cell r="DD216">
            <v>0</v>
          </cell>
          <cell r="DE216">
            <v>0</v>
          </cell>
          <cell r="DF216">
            <v>820</v>
          </cell>
          <cell r="DG216">
            <v>0</v>
          </cell>
          <cell r="DI216">
            <v>39176</v>
          </cell>
          <cell r="DJ216">
            <v>11073</v>
          </cell>
          <cell r="DK216">
            <v>0</v>
          </cell>
          <cell r="DL216">
            <v>11073</v>
          </cell>
          <cell r="DM216">
            <v>11073</v>
          </cell>
          <cell r="DN216">
            <v>0</v>
          </cell>
          <cell r="DO216">
            <v>11073</v>
          </cell>
          <cell r="DP216">
            <v>5560</v>
          </cell>
          <cell r="DQ216">
            <v>0</v>
          </cell>
          <cell r="DR216">
            <v>0</v>
          </cell>
          <cell r="DS216">
            <v>5560</v>
          </cell>
          <cell r="DT216">
            <v>27706</v>
          </cell>
          <cell r="DU216">
            <v>16400</v>
          </cell>
          <cell r="DW216">
            <v>0</v>
          </cell>
          <cell r="DX216">
            <v>0</v>
          </cell>
          <cell r="DY216">
            <v>41610</v>
          </cell>
          <cell r="DZ216">
            <v>44044</v>
          </cell>
          <cell r="EA216">
            <v>46220</v>
          </cell>
          <cell r="EB216">
            <v>31996</v>
          </cell>
          <cell r="EC216">
            <v>34992</v>
          </cell>
          <cell r="ED216">
            <v>38090</v>
          </cell>
          <cell r="EE216">
            <v>41188</v>
          </cell>
          <cell r="EF216">
            <v>44286</v>
          </cell>
          <cell r="EG216">
            <v>47384</v>
          </cell>
          <cell r="EH216">
            <v>50482</v>
          </cell>
          <cell r="EI216">
            <v>420292</v>
          </cell>
          <cell r="EK216">
            <v>0</v>
          </cell>
          <cell r="EL216">
            <v>0</v>
          </cell>
          <cell r="EM216">
            <v>277.40000000000003</v>
          </cell>
          <cell r="EN216">
            <v>293.62666666666667</v>
          </cell>
          <cell r="EO216">
            <v>308.13333333333333</v>
          </cell>
          <cell r="EP216">
            <v>213.30666666666664</v>
          </cell>
          <cell r="EQ216">
            <v>233.28</v>
          </cell>
          <cell r="ER216">
            <v>253.93333333333331</v>
          </cell>
          <cell r="ES216">
            <v>295.18066666666664</v>
          </cell>
          <cell r="ET216">
            <v>317.38299999999998</v>
          </cell>
          <cell r="EU216">
            <v>339.58533333333327</v>
          </cell>
          <cell r="EV216">
            <v>361.78766666666661</v>
          </cell>
          <cell r="EW216">
            <v>2893.6166666666668</v>
          </cell>
          <cell r="EY216">
            <v>236952</v>
          </cell>
          <cell r="EZ216">
            <v>8</v>
          </cell>
          <cell r="FA216">
            <v>1579.68</v>
          </cell>
          <cell r="FB216">
            <v>183340</v>
          </cell>
          <cell r="FC216">
            <v>8.6</v>
          </cell>
          <cell r="FD216">
            <v>1313.9366666666667</v>
          </cell>
          <cell r="FE216">
            <v>2893.6166666666668</v>
          </cell>
          <cell r="FF216">
            <v>53376</v>
          </cell>
          <cell r="FH216">
            <v>53376</v>
          </cell>
        </row>
        <row r="217">
          <cell r="B217">
            <v>9129</v>
          </cell>
          <cell r="C217" t="str">
            <v>13.04.2007</v>
          </cell>
          <cell r="D217" t="str">
            <v>Khan Shabbir Shamshu</v>
          </cell>
          <cell r="F217">
            <v>28288</v>
          </cell>
          <cell r="G217">
            <v>33628</v>
          </cell>
          <cell r="H217">
            <v>18312</v>
          </cell>
          <cell r="I217">
            <v>18312</v>
          </cell>
          <cell r="J217">
            <v>36624</v>
          </cell>
          <cell r="K217">
            <v>8336</v>
          </cell>
          <cell r="M217">
            <v>1057</v>
          </cell>
          <cell r="N217">
            <v>0</v>
          </cell>
          <cell r="O217">
            <v>1057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W217">
            <v>1057</v>
          </cell>
          <cell r="X217">
            <v>0</v>
          </cell>
          <cell r="Y217">
            <v>1057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G217">
            <v>1088</v>
          </cell>
          <cell r="AH217">
            <v>0</v>
          </cell>
          <cell r="AI217">
            <v>1088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Q217">
            <v>1088</v>
          </cell>
          <cell r="AR217">
            <v>0</v>
          </cell>
          <cell r="AS217">
            <v>1088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BA217">
            <v>1088</v>
          </cell>
          <cell r="BB217">
            <v>0</v>
          </cell>
          <cell r="BC217">
            <v>1088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K217">
            <v>1139</v>
          </cell>
          <cell r="BL217">
            <v>0</v>
          </cell>
          <cell r="BM217">
            <v>1139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U217">
            <v>1139</v>
          </cell>
          <cell r="BV217">
            <v>0</v>
          </cell>
          <cell r="BW217">
            <v>1139</v>
          </cell>
          <cell r="BX217">
            <v>0</v>
          </cell>
          <cell r="BY217">
            <v>0</v>
          </cell>
          <cell r="BZ217">
            <v>0</v>
          </cell>
          <cell r="CA217">
            <v>0</v>
          </cell>
          <cell r="CB217">
            <v>0</v>
          </cell>
          <cell r="CC217">
            <v>0</v>
          </cell>
          <cell r="CE217">
            <v>1139</v>
          </cell>
          <cell r="CF217">
            <v>0</v>
          </cell>
          <cell r="CG217">
            <v>1139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  <cell r="CL217">
            <v>0</v>
          </cell>
          <cell r="CM217">
            <v>0</v>
          </cell>
          <cell r="CO217">
            <v>1139</v>
          </cell>
          <cell r="CP217">
            <v>0</v>
          </cell>
          <cell r="CQ217">
            <v>1139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Y217">
            <v>1139</v>
          </cell>
          <cell r="CZ217">
            <v>0</v>
          </cell>
          <cell r="DA217">
            <v>1139</v>
          </cell>
          <cell r="DB217">
            <v>0</v>
          </cell>
          <cell r="DC217">
            <v>0</v>
          </cell>
          <cell r="DD217">
            <v>0</v>
          </cell>
          <cell r="DE217">
            <v>0</v>
          </cell>
          <cell r="DF217">
            <v>0</v>
          </cell>
          <cell r="DG217">
            <v>0</v>
          </cell>
          <cell r="DI217">
            <v>36624</v>
          </cell>
          <cell r="DJ217">
            <v>11073</v>
          </cell>
          <cell r="DK217">
            <v>0</v>
          </cell>
          <cell r="DL217">
            <v>11073</v>
          </cell>
          <cell r="DM217">
            <v>11073</v>
          </cell>
          <cell r="DN217">
            <v>0</v>
          </cell>
          <cell r="DO217">
            <v>11073</v>
          </cell>
          <cell r="DP217">
            <v>0</v>
          </cell>
          <cell r="DQ217">
            <v>0</v>
          </cell>
          <cell r="DR217">
            <v>0</v>
          </cell>
          <cell r="DS217">
            <v>0</v>
          </cell>
          <cell r="DT217">
            <v>22146</v>
          </cell>
          <cell r="DU217">
            <v>0</v>
          </cell>
          <cell r="DW217">
            <v>0</v>
          </cell>
          <cell r="DX217">
            <v>0</v>
          </cell>
          <cell r="DY217">
            <v>38738</v>
          </cell>
          <cell r="DZ217">
            <v>40852</v>
          </cell>
          <cell r="EA217">
            <v>43028</v>
          </cell>
          <cell r="EB217">
            <v>45204</v>
          </cell>
          <cell r="EC217">
            <v>47380</v>
          </cell>
          <cell r="ED217">
            <v>49658</v>
          </cell>
          <cell r="EE217">
            <v>51936</v>
          </cell>
          <cell r="EF217">
            <v>54214</v>
          </cell>
          <cell r="EG217">
            <v>56492</v>
          </cell>
          <cell r="EH217">
            <v>58770</v>
          </cell>
          <cell r="EI217">
            <v>486272</v>
          </cell>
          <cell r="EK217">
            <v>0</v>
          </cell>
          <cell r="EL217">
            <v>0</v>
          </cell>
          <cell r="EM217">
            <v>258.25333333333333</v>
          </cell>
          <cell r="EN217">
            <v>272.34666666666664</v>
          </cell>
          <cell r="EO217">
            <v>286.8533333333333</v>
          </cell>
          <cell r="EP217">
            <v>301.36</v>
          </cell>
          <cell r="EQ217">
            <v>315.86666666666667</v>
          </cell>
          <cell r="ER217">
            <v>331.05333333333334</v>
          </cell>
          <cell r="ES217">
            <v>372.20800000000003</v>
          </cell>
          <cell r="ET217">
            <v>388.53366666666665</v>
          </cell>
          <cell r="EU217">
            <v>404.85933333333332</v>
          </cell>
          <cell r="EV217">
            <v>421.185</v>
          </cell>
          <cell r="EW217">
            <v>3352.5193333333332</v>
          </cell>
          <cell r="EY217">
            <v>264860</v>
          </cell>
          <cell r="EZ217">
            <v>8</v>
          </cell>
          <cell r="FA217">
            <v>1765.7333333333333</v>
          </cell>
          <cell r="FB217">
            <v>221412</v>
          </cell>
          <cell r="FC217">
            <v>8.6</v>
          </cell>
          <cell r="FD217">
            <v>1586.7860000000001</v>
          </cell>
          <cell r="FE217">
            <v>3352.5193333333336</v>
          </cell>
          <cell r="FF217">
            <v>62123</v>
          </cell>
          <cell r="FH217">
            <v>62123</v>
          </cell>
        </row>
        <row r="218">
          <cell r="B218">
            <v>9130</v>
          </cell>
          <cell r="C218" t="str">
            <v>13.04.2007</v>
          </cell>
          <cell r="D218" t="str">
            <v>Kureshi Sameer Attaulla</v>
          </cell>
          <cell r="F218">
            <v>28329</v>
          </cell>
          <cell r="G218">
            <v>33628</v>
          </cell>
          <cell r="H218">
            <v>24913</v>
          </cell>
          <cell r="I218">
            <v>24913</v>
          </cell>
          <cell r="J218">
            <v>49826</v>
          </cell>
          <cell r="K218">
            <v>21497</v>
          </cell>
          <cell r="M218">
            <v>1057</v>
          </cell>
          <cell r="N218">
            <v>0</v>
          </cell>
          <cell r="O218">
            <v>1057</v>
          </cell>
          <cell r="P218">
            <v>0</v>
          </cell>
          <cell r="Q218">
            <v>275</v>
          </cell>
          <cell r="R218">
            <v>0</v>
          </cell>
          <cell r="S218">
            <v>0</v>
          </cell>
          <cell r="T218">
            <v>275</v>
          </cell>
          <cell r="U218">
            <v>0</v>
          </cell>
          <cell r="W218">
            <v>1057</v>
          </cell>
          <cell r="X218">
            <v>0</v>
          </cell>
          <cell r="Y218">
            <v>1057</v>
          </cell>
          <cell r="Z218">
            <v>0</v>
          </cell>
          <cell r="AA218">
            <v>275</v>
          </cell>
          <cell r="AB218">
            <v>0</v>
          </cell>
          <cell r="AC218">
            <v>0</v>
          </cell>
          <cell r="AD218">
            <v>275</v>
          </cell>
          <cell r="AE218">
            <v>0</v>
          </cell>
          <cell r="AG218">
            <v>1088</v>
          </cell>
          <cell r="AH218">
            <v>0</v>
          </cell>
          <cell r="AI218">
            <v>1088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Q218">
            <v>1088</v>
          </cell>
          <cell r="AR218">
            <v>0</v>
          </cell>
          <cell r="AS218">
            <v>1088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20000</v>
          </cell>
          <cell r="BA218">
            <v>1088</v>
          </cell>
          <cell r="BB218">
            <v>0</v>
          </cell>
          <cell r="BC218">
            <v>1088</v>
          </cell>
          <cell r="BD218">
            <v>0</v>
          </cell>
          <cell r="BE218">
            <v>1000</v>
          </cell>
          <cell r="BF218">
            <v>0</v>
          </cell>
          <cell r="BG218">
            <v>0</v>
          </cell>
          <cell r="BH218">
            <v>1000</v>
          </cell>
          <cell r="BI218">
            <v>0</v>
          </cell>
          <cell r="BK218">
            <v>1139</v>
          </cell>
          <cell r="BL218">
            <v>0</v>
          </cell>
          <cell r="BM218">
            <v>1139</v>
          </cell>
          <cell r="BN218">
            <v>0</v>
          </cell>
          <cell r="BO218">
            <v>1000</v>
          </cell>
          <cell r="BP218">
            <v>0</v>
          </cell>
          <cell r="BQ218">
            <v>0</v>
          </cell>
          <cell r="BR218">
            <v>1000</v>
          </cell>
          <cell r="BS218">
            <v>0</v>
          </cell>
          <cell r="BU218">
            <v>1139</v>
          </cell>
          <cell r="BV218">
            <v>0</v>
          </cell>
          <cell r="BW218">
            <v>1139</v>
          </cell>
          <cell r="BX218">
            <v>0</v>
          </cell>
          <cell r="BY218">
            <v>1000</v>
          </cell>
          <cell r="BZ218">
            <v>0</v>
          </cell>
          <cell r="CA218">
            <v>0</v>
          </cell>
          <cell r="CB218">
            <v>1000</v>
          </cell>
          <cell r="CC218">
            <v>0</v>
          </cell>
          <cell r="CE218">
            <v>1139</v>
          </cell>
          <cell r="CF218">
            <v>0</v>
          </cell>
          <cell r="CG218">
            <v>1139</v>
          </cell>
          <cell r="CH218">
            <v>0</v>
          </cell>
          <cell r="CI218">
            <v>1000</v>
          </cell>
          <cell r="CJ218">
            <v>0</v>
          </cell>
          <cell r="CK218">
            <v>0</v>
          </cell>
          <cell r="CL218">
            <v>1000</v>
          </cell>
          <cell r="CM218">
            <v>0</v>
          </cell>
          <cell r="CO218">
            <v>1139</v>
          </cell>
          <cell r="CP218">
            <v>0</v>
          </cell>
          <cell r="CQ218">
            <v>1139</v>
          </cell>
          <cell r="CR218">
            <v>0</v>
          </cell>
          <cell r="CS218">
            <v>1000</v>
          </cell>
          <cell r="CT218">
            <v>0</v>
          </cell>
          <cell r="CU218">
            <v>0</v>
          </cell>
          <cell r="CV218">
            <v>1000</v>
          </cell>
          <cell r="CW218">
            <v>0</v>
          </cell>
          <cell r="CY218">
            <v>1139</v>
          </cell>
          <cell r="CZ218">
            <v>0</v>
          </cell>
          <cell r="DA218">
            <v>1139</v>
          </cell>
          <cell r="DB218">
            <v>0</v>
          </cell>
          <cell r="DC218">
            <v>1000</v>
          </cell>
          <cell r="DD218">
            <v>0</v>
          </cell>
          <cell r="DE218">
            <v>0</v>
          </cell>
          <cell r="DF218">
            <v>1000</v>
          </cell>
          <cell r="DG218">
            <v>0</v>
          </cell>
          <cell r="DI218">
            <v>49826</v>
          </cell>
          <cell r="DJ218">
            <v>11073</v>
          </cell>
          <cell r="DK218">
            <v>0</v>
          </cell>
          <cell r="DL218">
            <v>11073</v>
          </cell>
          <cell r="DM218">
            <v>11073</v>
          </cell>
          <cell r="DN218">
            <v>0</v>
          </cell>
          <cell r="DO218">
            <v>11073</v>
          </cell>
          <cell r="DP218">
            <v>6550</v>
          </cell>
          <cell r="DQ218">
            <v>0</v>
          </cell>
          <cell r="DR218">
            <v>0</v>
          </cell>
          <cell r="DS218">
            <v>6550</v>
          </cell>
          <cell r="DT218">
            <v>28696</v>
          </cell>
          <cell r="DU218">
            <v>20000</v>
          </cell>
          <cell r="DW218">
            <v>0</v>
          </cell>
          <cell r="DX218">
            <v>0</v>
          </cell>
          <cell r="DY218">
            <v>52215</v>
          </cell>
          <cell r="DZ218">
            <v>54604</v>
          </cell>
          <cell r="EA218">
            <v>56780</v>
          </cell>
          <cell r="EB218">
            <v>38956</v>
          </cell>
          <cell r="EC218">
            <v>42132</v>
          </cell>
          <cell r="ED218">
            <v>45410</v>
          </cell>
          <cell r="EE218">
            <v>48688</v>
          </cell>
          <cell r="EF218">
            <v>51966</v>
          </cell>
          <cell r="EG218">
            <v>55244</v>
          </cell>
          <cell r="EH218">
            <v>58522</v>
          </cell>
          <cell r="EI218">
            <v>504517</v>
          </cell>
          <cell r="EK218">
            <v>0</v>
          </cell>
          <cell r="EL218">
            <v>0</v>
          </cell>
          <cell r="EM218">
            <v>348.09999999999997</v>
          </cell>
          <cell r="EN218">
            <v>364.02666666666664</v>
          </cell>
          <cell r="EO218">
            <v>378.5333333333333</v>
          </cell>
          <cell r="EP218">
            <v>259.70666666666665</v>
          </cell>
          <cell r="EQ218">
            <v>280.88</v>
          </cell>
          <cell r="ER218">
            <v>302.73333333333335</v>
          </cell>
          <cell r="ES218">
            <v>348.93066666666664</v>
          </cell>
          <cell r="ET218">
            <v>372.423</v>
          </cell>
          <cell r="EU218">
            <v>395.91533333333331</v>
          </cell>
          <cell r="EV218">
            <v>419.40766666666667</v>
          </cell>
          <cell r="EW218">
            <v>3470.6566666666663</v>
          </cell>
          <cell r="EY218">
            <v>290097</v>
          </cell>
          <cell r="EZ218">
            <v>8</v>
          </cell>
          <cell r="FA218">
            <v>1933.9799999999998</v>
          </cell>
          <cell r="FB218">
            <v>214420</v>
          </cell>
          <cell r="FC218">
            <v>8.6</v>
          </cell>
          <cell r="FD218">
            <v>1536.6766666666665</v>
          </cell>
          <cell r="FE218">
            <v>3470.6566666666663</v>
          </cell>
          <cell r="FF218">
            <v>61993</v>
          </cell>
          <cell r="FH218">
            <v>61993</v>
          </cell>
        </row>
        <row r="219">
          <cell r="B219">
            <v>9131</v>
          </cell>
          <cell r="C219" t="str">
            <v>13.04.2007</v>
          </cell>
          <cell r="D219" t="str">
            <v>Dhanave Mahadev Kacharu</v>
          </cell>
          <cell r="F219">
            <v>27967</v>
          </cell>
          <cell r="G219">
            <v>32766</v>
          </cell>
          <cell r="H219">
            <v>26327</v>
          </cell>
          <cell r="I219">
            <v>26327</v>
          </cell>
          <cell r="J219">
            <v>52654</v>
          </cell>
          <cell r="K219">
            <v>24687</v>
          </cell>
          <cell r="M219">
            <v>1057</v>
          </cell>
          <cell r="N219">
            <v>0</v>
          </cell>
          <cell r="O219">
            <v>1057</v>
          </cell>
          <cell r="P219">
            <v>0</v>
          </cell>
          <cell r="Q219">
            <v>305</v>
          </cell>
          <cell r="R219">
            <v>0</v>
          </cell>
          <cell r="S219">
            <v>0</v>
          </cell>
          <cell r="T219">
            <v>305</v>
          </cell>
          <cell r="U219">
            <v>0</v>
          </cell>
          <cell r="W219">
            <v>1057</v>
          </cell>
          <cell r="X219">
            <v>0</v>
          </cell>
          <cell r="Y219">
            <v>1057</v>
          </cell>
          <cell r="Z219">
            <v>0</v>
          </cell>
          <cell r="AA219">
            <v>305</v>
          </cell>
          <cell r="AB219">
            <v>0</v>
          </cell>
          <cell r="AC219">
            <v>0</v>
          </cell>
          <cell r="AD219">
            <v>305</v>
          </cell>
          <cell r="AE219">
            <v>0</v>
          </cell>
          <cell r="AG219">
            <v>1057</v>
          </cell>
          <cell r="AH219">
            <v>0</v>
          </cell>
          <cell r="AI219">
            <v>1057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Q219">
            <v>1057</v>
          </cell>
          <cell r="AR219">
            <v>0</v>
          </cell>
          <cell r="AS219">
            <v>1057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BA219">
            <v>1057</v>
          </cell>
          <cell r="BB219">
            <v>0</v>
          </cell>
          <cell r="BC219">
            <v>1057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K219">
            <v>1106</v>
          </cell>
          <cell r="BL219">
            <v>0</v>
          </cell>
          <cell r="BM219">
            <v>1106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U219">
            <v>1106</v>
          </cell>
          <cell r="BV219">
            <v>0</v>
          </cell>
          <cell r="BW219">
            <v>1106</v>
          </cell>
          <cell r="BX219">
            <v>0</v>
          </cell>
          <cell r="BY219">
            <v>0</v>
          </cell>
          <cell r="BZ219">
            <v>0</v>
          </cell>
          <cell r="CA219">
            <v>0</v>
          </cell>
          <cell r="CB219">
            <v>0</v>
          </cell>
          <cell r="CC219">
            <v>0</v>
          </cell>
          <cell r="CE219">
            <v>1106</v>
          </cell>
          <cell r="CF219">
            <v>0</v>
          </cell>
          <cell r="CG219">
            <v>1106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O219">
            <v>1106</v>
          </cell>
          <cell r="CP219">
            <v>0</v>
          </cell>
          <cell r="CQ219">
            <v>1106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Y219">
            <v>1106</v>
          </cell>
          <cell r="CZ219">
            <v>0</v>
          </cell>
          <cell r="DA219">
            <v>1106</v>
          </cell>
          <cell r="DB219">
            <v>0</v>
          </cell>
          <cell r="DC219">
            <v>0</v>
          </cell>
          <cell r="DD219">
            <v>0</v>
          </cell>
          <cell r="DE219">
            <v>0</v>
          </cell>
          <cell r="DF219">
            <v>0</v>
          </cell>
          <cell r="DG219">
            <v>0</v>
          </cell>
          <cell r="DI219">
            <v>52654</v>
          </cell>
          <cell r="DJ219">
            <v>10815</v>
          </cell>
          <cell r="DK219">
            <v>0</v>
          </cell>
          <cell r="DL219">
            <v>10815</v>
          </cell>
          <cell r="DM219">
            <v>10815</v>
          </cell>
          <cell r="DN219">
            <v>0</v>
          </cell>
          <cell r="DO219">
            <v>10815</v>
          </cell>
          <cell r="DP219">
            <v>610</v>
          </cell>
          <cell r="DQ219">
            <v>0</v>
          </cell>
          <cell r="DR219">
            <v>0</v>
          </cell>
          <cell r="DS219">
            <v>610</v>
          </cell>
          <cell r="DT219">
            <v>22240</v>
          </cell>
          <cell r="DU219">
            <v>0</v>
          </cell>
          <cell r="DW219">
            <v>0</v>
          </cell>
          <cell r="DX219">
            <v>0</v>
          </cell>
          <cell r="DY219">
            <v>55073</v>
          </cell>
          <cell r="DZ219">
            <v>57492</v>
          </cell>
          <cell r="EA219">
            <v>59606</v>
          </cell>
          <cell r="EB219">
            <v>61720</v>
          </cell>
          <cell r="EC219">
            <v>63834</v>
          </cell>
          <cell r="ED219">
            <v>66046</v>
          </cell>
          <cell r="EE219">
            <v>68258</v>
          </cell>
          <cell r="EF219">
            <v>70470</v>
          </cell>
          <cell r="EG219">
            <v>72682</v>
          </cell>
          <cell r="EH219">
            <v>74894</v>
          </cell>
          <cell r="EI219">
            <v>650075</v>
          </cell>
          <cell r="EK219">
            <v>0</v>
          </cell>
          <cell r="EL219">
            <v>0</v>
          </cell>
          <cell r="EM219">
            <v>367.15333333333336</v>
          </cell>
          <cell r="EN219">
            <v>383.28</v>
          </cell>
          <cell r="EO219">
            <v>397.37333333333328</v>
          </cell>
          <cell r="EP219">
            <v>411.4666666666667</v>
          </cell>
          <cell r="EQ219">
            <v>425.56</v>
          </cell>
          <cell r="ER219">
            <v>440.30666666666667</v>
          </cell>
          <cell r="ES219">
            <v>489.18233333333325</v>
          </cell>
          <cell r="ET219">
            <v>505.03500000000003</v>
          </cell>
          <cell r="EU219">
            <v>520.88766666666663</v>
          </cell>
          <cell r="EV219">
            <v>536.7403333333333</v>
          </cell>
          <cell r="EW219">
            <v>4476.9853333333331</v>
          </cell>
          <cell r="EY219">
            <v>363771</v>
          </cell>
          <cell r="EZ219">
            <v>8</v>
          </cell>
          <cell r="FA219">
            <v>2425.14</v>
          </cell>
          <cell r="FB219">
            <v>286304</v>
          </cell>
          <cell r="FC219">
            <v>8.6</v>
          </cell>
          <cell r="FD219">
            <v>2051.8453333333332</v>
          </cell>
          <cell r="FE219">
            <v>4476.9853333333331</v>
          </cell>
          <cell r="FF219">
            <v>79371</v>
          </cell>
          <cell r="FH219">
            <v>79371</v>
          </cell>
        </row>
        <row r="220">
          <cell r="B220">
            <v>9132</v>
          </cell>
          <cell r="C220" t="str">
            <v>13.04.2007</v>
          </cell>
          <cell r="D220" t="str">
            <v>Shinde Sandip Machindra</v>
          </cell>
          <cell r="F220">
            <v>28329</v>
          </cell>
          <cell r="G220">
            <v>33628</v>
          </cell>
          <cell r="H220">
            <v>6769</v>
          </cell>
          <cell r="I220">
            <v>6769</v>
          </cell>
          <cell r="J220">
            <v>13538</v>
          </cell>
          <cell r="K220">
            <v>-14791</v>
          </cell>
          <cell r="M220">
            <v>1057</v>
          </cell>
          <cell r="N220">
            <v>0</v>
          </cell>
          <cell r="O220">
            <v>1057</v>
          </cell>
          <cell r="P220">
            <v>0</v>
          </cell>
          <cell r="Q220">
            <v>445</v>
          </cell>
          <cell r="R220">
            <v>0</v>
          </cell>
          <cell r="S220">
            <v>0</v>
          </cell>
          <cell r="T220">
            <v>445</v>
          </cell>
          <cell r="U220">
            <v>0</v>
          </cell>
          <cell r="W220">
            <v>1057</v>
          </cell>
          <cell r="X220">
            <v>0</v>
          </cell>
          <cell r="Y220">
            <v>1057</v>
          </cell>
          <cell r="Z220">
            <v>0</v>
          </cell>
          <cell r="AA220">
            <v>445</v>
          </cell>
          <cell r="AB220">
            <v>0</v>
          </cell>
          <cell r="AC220">
            <v>0</v>
          </cell>
          <cell r="AD220">
            <v>445</v>
          </cell>
          <cell r="AE220">
            <v>0</v>
          </cell>
          <cell r="AG220">
            <v>1088</v>
          </cell>
          <cell r="AH220">
            <v>0</v>
          </cell>
          <cell r="AI220">
            <v>1088</v>
          </cell>
          <cell r="AJ220">
            <v>0</v>
          </cell>
          <cell r="AK220">
            <v>445</v>
          </cell>
          <cell r="AL220">
            <v>0</v>
          </cell>
          <cell r="AM220">
            <v>0</v>
          </cell>
          <cell r="AN220">
            <v>445</v>
          </cell>
          <cell r="AO220">
            <v>0</v>
          </cell>
          <cell r="AQ220">
            <v>1088</v>
          </cell>
          <cell r="AR220">
            <v>0</v>
          </cell>
          <cell r="AS220">
            <v>1088</v>
          </cell>
          <cell r="AT220">
            <v>0</v>
          </cell>
          <cell r="AU220">
            <v>445</v>
          </cell>
          <cell r="AV220">
            <v>0</v>
          </cell>
          <cell r="AW220">
            <v>0</v>
          </cell>
          <cell r="AX220">
            <v>445</v>
          </cell>
          <cell r="AY220">
            <v>0</v>
          </cell>
          <cell r="BA220">
            <v>1088</v>
          </cell>
          <cell r="BB220">
            <v>0</v>
          </cell>
          <cell r="BC220">
            <v>1088</v>
          </cell>
          <cell r="BD220">
            <v>0</v>
          </cell>
          <cell r="BE220">
            <v>445</v>
          </cell>
          <cell r="BF220">
            <v>0</v>
          </cell>
          <cell r="BG220">
            <v>0</v>
          </cell>
          <cell r="BH220">
            <v>445</v>
          </cell>
          <cell r="BI220">
            <v>7815</v>
          </cell>
          <cell r="BK220">
            <v>1139</v>
          </cell>
          <cell r="BL220">
            <v>0</v>
          </cell>
          <cell r="BM220">
            <v>1139</v>
          </cell>
          <cell r="BN220">
            <v>0</v>
          </cell>
          <cell r="BO220">
            <v>680</v>
          </cell>
          <cell r="BP220">
            <v>0</v>
          </cell>
          <cell r="BQ220">
            <v>0</v>
          </cell>
          <cell r="BR220">
            <v>680</v>
          </cell>
          <cell r="BS220">
            <v>0</v>
          </cell>
          <cell r="BU220">
            <v>1139</v>
          </cell>
          <cell r="BV220">
            <v>0</v>
          </cell>
          <cell r="BW220">
            <v>1139</v>
          </cell>
          <cell r="BX220">
            <v>0</v>
          </cell>
          <cell r="BY220">
            <v>680</v>
          </cell>
          <cell r="BZ220">
            <v>0</v>
          </cell>
          <cell r="CA220">
            <v>0</v>
          </cell>
          <cell r="CB220">
            <v>680</v>
          </cell>
          <cell r="CC220">
            <v>0</v>
          </cell>
          <cell r="CE220">
            <v>1139</v>
          </cell>
          <cell r="CF220">
            <v>0</v>
          </cell>
          <cell r="CG220">
            <v>1139</v>
          </cell>
          <cell r="CH220">
            <v>0</v>
          </cell>
          <cell r="CI220">
            <v>680</v>
          </cell>
          <cell r="CJ220">
            <v>0</v>
          </cell>
          <cell r="CK220">
            <v>0</v>
          </cell>
          <cell r="CL220">
            <v>680</v>
          </cell>
          <cell r="CM220">
            <v>0</v>
          </cell>
          <cell r="CO220">
            <v>1139</v>
          </cell>
          <cell r="CP220">
            <v>0</v>
          </cell>
          <cell r="CQ220">
            <v>1139</v>
          </cell>
          <cell r="CR220">
            <v>0</v>
          </cell>
          <cell r="CS220">
            <v>680</v>
          </cell>
          <cell r="CT220">
            <v>0</v>
          </cell>
          <cell r="CU220">
            <v>0</v>
          </cell>
          <cell r="CV220">
            <v>680</v>
          </cell>
          <cell r="CW220">
            <v>0</v>
          </cell>
          <cell r="CY220">
            <v>1139</v>
          </cell>
          <cell r="CZ220">
            <v>0</v>
          </cell>
          <cell r="DA220">
            <v>1139</v>
          </cell>
          <cell r="DB220">
            <v>0</v>
          </cell>
          <cell r="DC220">
            <v>680</v>
          </cell>
          <cell r="DD220">
            <v>0</v>
          </cell>
          <cell r="DE220">
            <v>0</v>
          </cell>
          <cell r="DF220">
            <v>680</v>
          </cell>
          <cell r="DG220">
            <v>0</v>
          </cell>
          <cell r="DI220">
            <v>13538</v>
          </cell>
          <cell r="DJ220">
            <v>11073</v>
          </cell>
          <cell r="DK220">
            <v>0</v>
          </cell>
          <cell r="DL220">
            <v>11073</v>
          </cell>
          <cell r="DM220">
            <v>11073</v>
          </cell>
          <cell r="DN220">
            <v>0</v>
          </cell>
          <cell r="DO220">
            <v>11073</v>
          </cell>
          <cell r="DP220">
            <v>5625</v>
          </cell>
          <cell r="DQ220">
            <v>0</v>
          </cell>
          <cell r="DR220">
            <v>0</v>
          </cell>
          <cell r="DS220">
            <v>5625</v>
          </cell>
          <cell r="DT220">
            <v>27771</v>
          </cell>
          <cell r="DU220">
            <v>7815</v>
          </cell>
          <cell r="DW220">
            <v>0</v>
          </cell>
          <cell r="DX220">
            <v>0</v>
          </cell>
          <cell r="DY220">
            <v>16097</v>
          </cell>
          <cell r="DZ220">
            <v>18656</v>
          </cell>
          <cell r="EA220">
            <v>21277</v>
          </cell>
          <cell r="EB220">
            <v>23898</v>
          </cell>
          <cell r="EC220">
            <v>18704</v>
          </cell>
          <cell r="ED220">
            <v>21662</v>
          </cell>
          <cell r="EE220">
            <v>24620</v>
          </cell>
          <cell r="EF220">
            <v>27578</v>
          </cell>
          <cell r="EG220">
            <v>30536</v>
          </cell>
          <cell r="EH220">
            <v>33494</v>
          </cell>
          <cell r="EI220">
            <v>236522</v>
          </cell>
          <cell r="EK220">
            <v>0</v>
          </cell>
          <cell r="EL220">
            <v>0</v>
          </cell>
          <cell r="EM220">
            <v>107.31333333333333</v>
          </cell>
          <cell r="EN220">
            <v>124.37333333333333</v>
          </cell>
          <cell r="EO220">
            <v>141.84666666666666</v>
          </cell>
          <cell r="EP220">
            <v>159.32</v>
          </cell>
          <cell r="EQ220">
            <v>124.69333333333333</v>
          </cell>
          <cell r="ER220">
            <v>144.41333333333333</v>
          </cell>
          <cell r="ES220">
            <v>176.44333333333336</v>
          </cell>
          <cell r="ET220">
            <v>197.64233333333334</v>
          </cell>
          <cell r="EU220">
            <v>218.8413333333333</v>
          </cell>
          <cell r="EV220">
            <v>240.04033333333328</v>
          </cell>
          <cell r="EW220">
            <v>1634.9273333333333</v>
          </cell>
          <cell r="EY220">
            <v>120294</v>
          </cell>
          <cell r="EZ220">
            <v>8</v>
          </cell>
          <cell r="FA220">
            <v>801.96</v>
          </cell>
          <cell r="FB220">
            <v>116228</v>
          </cell>
          <cell r="FC220">
            <v>8.6</v>
          </cell>
          <cell r="FD220">
            <v>832.96733333333339</v>
          </cell>
          <cell r="FE220">
            <v>1634.9273333333335</v>
          </cell>
          <cell r="FF220">
            <v>35129</v>
          </cell>
          <cell r="FH220">
            <v>35129</v>
          </cell>
        </row>
        <row r="221">
          <cell r="B221">
            <v>9133</v>
          </cell>
          <cell r="C221" t="str">
            <v>13.04.2007</v>
          </cell>
          <cell r="D221" t="str">
            <v>Valmiki Yamraj Jogiram</v>
          </cell>
          <cell r="F221">
            <v>26343</v>
          </cell>
          <cell r="G221">
            <v>32766</v>
          </cell>
          <cell r="H221">
            <v>6623</v>
          </cell>
          <cell r="I221">
            <v>6623</v>
          </cell>
          <cell r="J221">
            <v>13246</v>
          </cell>
          <cell r="K221">
            <v>-13097</v>
          </cell>
          <cell r="M221">
            <v>1057</v>
          </cell>
          <cell r="N221">
            <v>0</v>
          </cell>
          <cell r="O221">
            <v>1057</v>
          </cell>
          <cell r="P221">
            <v>0</v>
          </cell>
          <cell r="Q221">
            <v>570</v>
          </cell>
          <cell r="R221">
            <v>0</v>
          </cell>
          <cell r="S221">
            <v>0</v>
          </cell>
          <cell r="T221">
            <v>570</v>
          </cell>
          <cell r="U221">
            <v>0</v>
          </cell>
          <cell r="W221">
            <v>1057</v>
          </cell>
          <cell r="X221">
            <v>0</v>
          </cell>
          <cell r="Y221">
            <v>1057</v>
          </cell>
          <cell r="Z221">
            <v>0</v>
          </cell>
          <cell r="AA221">
            <v>570</v>
          </cell>
          <cell r="AB221">
            <v>0</v>
          </cell>
          <cell r="AC221">
            <v>0</v>
          </cell>
          <cell r="AD221">
            <v>570</v>
          </cell>
          <cell r="AE221">
            <v>0</v>
          </cell>
          <cell r="AG221">
            <v>1057</v>
          </cell>
          <cell r="AH221">
            <v>0</v>
          </cell>
          <cell r="AI221">
            <v>1057</v>
          </cell>
          <cell r="AJ221">
            <v>0</v>
          </cell>
          <cell r="AK221">
            <v>570</v>
          </cell>
          <cell r="AL221">
            <v>0</v>
          </cell>
          <cell r="AM221">
            <v>0</v>
          </cell>
          <cell r="AN221">
            <v>570</v>
          </cell>
          <cell r="AO221">
            <v>0</v>
          </cell>
          <cell r="AQ221">
            <v>1057</v>
          </cell>
          <cell r="AR221">
            <v>0</v>
          </cell>
          <cell r="AS221">
            <v>1057</v>
          </cell>
          <cell r="AT221">
            <v>0</v>
          </cell>
          <cell r="AU221">
            <v>570</v>
          </cell>
          <cell r="AV221">
            <v>0</v>
          </cell>
          <cell r="AW221">
            <v>0</v>
          </cell>
          <cell r="AX221">
            <v>570</v>
          </cell>
          <cell r="AY221">
            <v>0</v>
          </cell>
          <cell r="BA221">
            <v>1057</v>
          </cell>
          <cell r="BB221">
            <v>0</v>
          </cell>
          <cell r="BC221">
            <v>1057</v>
          </cell>
          <cell r="BD221">
            <v>0</v>
          </cell>
          <cell r="BE221">
            <v>570</v>
          </cell>
          <cell r="BF221">
            <v>0</v>
          </cell>
          <cell r="BG221">
            <v>0</v>
          </cell>
          <cell r="BH221">
            <v>570</v>
          </cell>
          <cell r="BI221">
            <v>7190</v>
          </cell>
          <cell r="BK221">
            <v>1106</v>
          </cell>
          <cell r="BL221">
            <v>0</v>
          </cell>
          <cell r="BM221">
            <v>1106</v>
          </cell>
          <cell r="BN221">
            <v>0</v>
          </cell>
          <cell r="BO221">
            <v>730</v>
          </cell>
          <cell r="BP221">
            <v>0</v>
          </cell>
          <cell r="BQ221">
            <v>0</v>
          </cell>
          <cell r="BR221">
            <v>730</v>
          </cell>
          <cell r="BS221">
            <v>0</v>
          </cell>
          <cell r="BU221">
            <v>1106</v>
          </cell>
          <cell r="BV221">
            <v>0</v>
          </cell>
          <cell r="BW221">
            <v>1106</v>
          </cell>
          <cell r="BX221">
            <v>0</v>
          </cell>
          <cell r="BY221">
            <v>730</v>
          </cell>
          <cell r="BZ221">
            <v>0</v>
          </cell>
          <cell r="CA221">
            <v>0</v>
          </cell>
          <cell r="CB221">
            <v>730</v>
          </cell>
          <cell r="CC221">
            <v>0</v>
          </cell>
          <cell r="CE221">
            <v>1106</v>
          </cell>
          <cell r="CF221">
            <v>0</v>
          </cell>
          <cell r="CG221">
            <v>1106</v>
          </cell>
          <cell r="CH221">
            <v>0</v>
          </cell>
          <cell r="CI221">
            <v>730</v>
          </cell>
          <cell r="CJ221">
            <v>0</v>
          </cell>
          <cell r="CK221">
            <v>0</v>
          </cell>
          <cell r="CL221">
            <v>730</v>
          </cell>
          <cell r="CM221">
            <v>0</v>
          </cell>
          <cell r="CO221">
            <v>1106</v>
          </cell>
          <cell r="CP221">
            <v>0</v>
          </cell>
          <cell r="CQ221">
            <v>1106</v>
          </cell>
          <cell r="CR221">
            <v>0</v>
          </cell>
          <cell r="CS221">
            <v>730</v>
          </cell>
          <cell r="CT221">
            <v>0</v>
          </cell>
          <cell r="CU221">
            <v>0</v>
          </cell>
          <cell r="CV221">
            <v>730</v>
          </cell>
          <cell r="CW221">
            <v>0</v>
          </cell>
          <cell r="CY221">
            <v>1106</v>
          </cell>
          <cell r="CZ221">
            <v>0</v>
          </cell>
          <cell r="DA221">
            <v>1106</v>
          </cell>
          <cell r="DB221">
            <v>0</v>
          </cell>
          <cell r="DC221">
            <v>730</v>
          </cell>
          <cell r="DD221">
            <v>0</v>
          </cell>
          <cell r="DE221">
            <v>0</v>
          </cell>
          <cell r="DF221">
            <v>730</v>
          </cell>
          <cell r="DG221">
            <v>0</v>
          </cell>
          <cell r="DI221">
            <v>13246</v>
          </cell>
          <cell r="DJ221">
            <v>10815</v>
          </cell>
          <cell r="DK221">
            <v>0</v>
          </cell>
          <cell r="DL221">
            <v>10815</v>
          </cell>
          <cell r="DM221">
            <v>10815</v>
          </cell>
          <cell r="DN221">
            <v>0</v>
          </cell>
          <cell r="DO221">
            <v>10815</v>
          </cell>
          <cell r="DP221">
            <v>6500</v>
          </cell>
          <cell r="DQ221">
            <v>0</v>
          </cell>
          <cell r="DR221">
            <v>0</v>
          </cell>
          <cell r="DS221">
            <v>6500</v>
          </cell>
          <cell r="DT221">
            <v>28130</v>
          </cell>
          <cell r="DU221">
            <v>7190</v>
          </cell>
          <cell r="DW221">
            <v>0</v>
          </cell>
          <cell r="DX221">
            <v>0</v>
          </cell>
          <cell r="DY221">
            <v>15930</v>
          </cell>
          <cell r="DZ221">
            <v>18614</v>
          </cell>
          <cell r="EA221">
            <v>21298</v>
          </cell>
          <cell r="EB221">
            <v>23982</v>
          </cell>
          <cell r="EC221">
            <v>19476</v>
          </cell>
          <cell r="ED221">
            <v>22418</v>
          </cell>
          <cell r="EE221">
            <v>25360</v>
          </cell>
          <cell r="EF221">
            <v>28302</v>
          </cell>
          <cell r="EG221">
            <v>31244</v>
          </cell>
          <cell r="EH221">
            <v>34186</v>
          </cell>
          <cell r="EI221">
            <v>240810</v>
          </cell>
          <cell r="EK221">
            <v>0</v>
          </cell>
          <cell r="EL221">
            <v>0</v>
          </cell>
          <cell r="EM221">
            <v>106.2</v>
          </cell>
          <cell r="EN221">
            <v>124.09333333333332</v>
          </cell>
          <cell r="EO221">
            <v>141.98666666666665</v>
          </cell>
          <cell r="EP221">
            <v>159.88</v>
          </cell>
          <cell r="EQ221">
            <v>129.84</v>
          </cell>
          <cell r="ER221">
            <v>149.45333333333335</v>
          </cell>
          <cell r="ES221">
            <v>181.74666666666667</v>
          </cell>
          <cell r="ET221">
            <v>202.83099999999999</v>
          </cell>
          <cell r="EU221">
            <v>223.91533333333328</v>
          </cell>
          <cell r="EV221">
            <v>244.99966666666663</v>
          </cell>
          <cell r="EW221">
            <v>1664.9459999999999</v>
          </cell>
          <cell r="EY221">
            <v>121718</v>
          </cell>
          <cell r="EZ221">
            <v>8</v>
          </cell>
          <cell r="FA221">
            <v>811.45333333333338</v>
          </cell>
          <cell r="FB221">
            <v>119092</v>
          </cell>
          <cell r="FC221">
            <v>8.6</v>
          </cell>
          <cell r="FD221">
            <v>853.49266666666665</v>
          </cell>
          <cell r="FE221">
            <v>1664.9459999999999</v>
          </cell>
          <cell r="FF221">
            <v>35851</v>
          </cell>
          <cell r="FH221">
            <v>35851</v>
          </cell>
        </row>
        <row r="222">
          <cell r="B222">
            <v>9156</v>
          </cell>
          <cell r="C222" t="str">
            <v>13.04.2007</v>
          </cell>
          <cell r="D222" t="str">
            <v>Yadgiri Yelkatti Yelppa / Dabeta Y Balaya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  <cell r="CL222">
            <v>0</v>
          </cell>
          <cell r="CM222">
            <v>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Y222">
            <v>0</v>
          </cell>
          <cell r="CZ222">
            <v>0</v>
          </cell>
          <cell r="DA222">
            <v>0</v>
          </cell>
          <cell r="DB222">
            <v>0</v>
          </cell>
          <cell r="DC222">
            <v>0</v>
          </cell>
          <cell r="DD222">
            <v>0</v>
          </cell>
          <cell r="DE222">
            <v>0</v>
          </cell>
          <cell r="DF222">
            <v>0</v>
          </cell>
          <cell r="DG222">
            <v>0</v>
          </cell>
          <cell r="DI222">
            <v>0</v>
          </cell>
          <cell r="DJ222">
            <v>0</v>
          </cell>
          <cell r="DK222">
            <v>0</v>
          </cell>
          <cell r="DL222">
            <v>0</v>
          </cell>
          <cell r="DM222">
            <v>0</v>
          </cell>
          <cell r="DN222">
            <v>0</v>
          </cell>
          <cell r="DO222">
            <v>0</v>
          </cell>
          <cell r="DP222">
            <v>0</v>
          </cell>
          <cell r="DQ222">
            <v>0</v>
          </cell>
          <cell r="DR222">
            <v>0</v>
          </cell>
          <cell r="DS222">
            <v>0</v>
          </cell>
          <cell r="DT222">
            <v>0</v>
          </cell>
          <cell r="DU222">
            <v>0</v>
          </cell>
          <cell r="DW222">
            <v>0</v>
          </cell>
          <cell r="DX222">
            <v>0</v>
          </cell>
          <cell r="DY222">
            <v>0</v>
          </cell>
          <cell r="DZ222">
            <v>0</v>
          </cell>
          <cell r="EA222">
            <v>0</v>
          </cell>
          <cell r="EB222">
            <v>0</v>
          </cell>
          <cell r="EC222">
            <v>0</v>
          </cell>
          <cell r="ED222">
            <v>0</v>
          </cell>
          <cell r="EE222">
            <v>0</v>
          </cell>
          <cell r="EF222">
            <v>0</v>
          </cell>
          <cell r="EG222">
            <v>0</v>
          </cell>
          <cell r="EH222">
            <v>0</v>
          </cell>
          <cell r="EI222">
            <v>0</v>
          </cell>
          <cell r="EK222">
            <v>0</v>
          </cell>
          <cell r="EL222">
            <v>0</v>
          </cell>
          <cell r="EM222">
            <v>0</v>
          </cell>
          <cell r="EN222">
            <v>0</v>
          </cell>
          <cell r="EO222">
            <v>0</v>
          </cell>
          <cell r="EP222">
            <v>0</v>
          </cell>
          <cell r="EQ222">
            <v>0</v>
          </cell>
          <cell r="ER222">
            <v>0</v>
          </cell>
          <cell r="ES222">
            <v>0</v>
          </cell>
          <cell r="ET222">
            <v>0</v>
          </cell>
          <cell r="EU222">
            <v>0</v>
          </cell>
          <cell r="EV222">
            <v>0</v>
          </cell>
          <cell r="EW222">
            <v>0</v>
          </cell>
          <cell r="EY222">
            <v>0</v>
          </cell>
          <cell r="EZ222">
            <v>8</v>
          </cell>
          <cell r="FA222">
            <v>0</v>
          </cell>
          <cell r="FB222">
            <v>0</v>
          </cell>
          <cell r="FC222">
            <v>8.6</v>
          </cell>
          <cell r="FD222">
            <v>0</v>
          </cell>
          <cell r="FE222">
            <v>0</v>
          </cell>
          <cell r="FF222">
            <v>0</v>
          </cell>
          <cell r="FH222">
            <v>0</v>
          </cell>
        </row>
        <row r="223">
          <cell r="B223">
            <v>9239</v>
          </cell>
          <cell r="C223" t="str">
            <v>13.04.2007</v>
          </cell>
          <cell r="D223" t="str">
            <v>Bedse Amitkumar Gauram</v>
          </cell>
          <cell r="F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  <cell r="CL223">
            <v>0</v>
          </cell>
          <cell r="CM223">
            <v>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Y223">
            <v>0</v>
          </cell>
          <cell r="CZ223">
            <v>0</v>
          </cell>
          <cell r="DA223">
            <v>0</v>
          </cell>
          <cell r="DB223">
            <v>0</v>
          </cell>
          <cell r="DC223">
            <v>0</v>
          </cell>
          <cell r="DD223">
            <v>0</v>
          </cell>
          <cell r="DE223">
            <v>0</v>
          </cell>
          <cell r="DF223">
            <v>0</v>
          </cell>
          <cell r="DG223">
            <v>0</v>
          </cell>
          <cell r="DI223">
            <v>0</v>
          </cell>
          <cell r="DJ223">
            <v>0</v>
          </cell>
          <cell r="DK223">
            <v>0</v>
          </cell>
          <cell r="DL223">
            <v>0</v>
          </cell>
          <cell r="DM223">
            <v>0</v>
          </cell>
          <cell r="DN223">
            <v>0</v>
          </cell>
          <cell r="DO223">
            <v>0</v>
          </cell>
          <cell r="DP223">
            <v>0</v>
          </cell>
          <cell r="DQ223">
            <v>0</v>
          </cell>
          <cell r="DR223">
            <v>0</v>
          </cell>
          <cell r="DS223">
            <v>0</v>
          </cell>
          <cell r="DT223">
            <v>0</v>
          </cell>
          <cell r="DU223">
            <v>0</v>
          </cell>
          <cell r="DW223">
            <v>0</v>
          </cell>
          <cell r="DX223">
            <v>0</v>
          </cell>
          <cell r="DY223">
            <v>0</v>
          </cell>
          <cell r="DZ223">
            <v>0</v>
          </cell>
          <cell r="EA223">
            <v>0</v>
          </cell>
          <cell r="EB223">
            <v>0</v>
          </cell>
          <cell r="EC223">
            <v>0</v>
          </cell>
          <cell r="ED223">
            <v>0</v>
          </cell>
          <cell r="EE223">
            <v>0</v>
          </cell>
          <cell r="EF223">
            <v>0</v>
          </cell>
          <cell r="EG223">
            <v>0</v>
          </cell>
          <cell r="EH223">
            <v>0</v>
          </cell>
          <cell r="EI223">
            <v>0</v>
          </cell>
          <cell r="EK223">
            <v>0</v>
          </cell>
          <cell r="EL223">
            <v>0</v>
          </cell>
          <cell r="EM223">
            <v>0</v>
          </cell>
          <cell r="EN223">
            <v>0</v>
          </cell>
          <cell r="EO223">
            <v>0</v>
          </cell>
          <cell r="EP223">
            <v>0</v>
          </cell>
          <cell r="EQ223">
            <v>0</v>
          </cell>
          <cell r="ER223">
            <v>0</v>
          </cell>
          <cell r="ES223">
            <v>0</v>
          </cell>
          <cell r="ET223">
            <v>0</v>
          </cell>
          <cell r="EU223">
            <v>0</v>
          </cell>
          <cell r="EV223">
            <v>0</v>
          </cell>
          <cell r="EW223">
            <v>0</v>
          </cell>
          <cell r="EY223">
            <v>0</v>
          </cell>
          <cell r="EZ223">
            <v>8</v>
          </cell>
          <cell r="FA223">
            <v>0</v>
          </cell>
          <cell r="FB223">
            <v>0</v>
          </cell>
          <cell r="FC223">
            <v>8.6</v>
          </cell>
          <cell r="FD223">
            <v>0</v>
          </cell>
          <cell r="FE223">
            <v>0</v>
          </cell>
          <cell r="FF223">
            <v>0</v>
          </cell>
          <cell r="FH223">
            <v>0</v>
          </cell>
        </row>
        <row r="224">
          <cell r="B224">
            <v>9402</v>
          </cell>
          <cell r="C224" t="str">
            <v>03.05.2007</v>
          </cell>
          <cell r="D224" t="str">
            <v>Kamble Sachin Rajendra</v>
          </cell>
          <cell r="F224">
            <v>9870</v>
          </cell>
          <cell r="H224">
            <v>4608</v>
          </cell>
          <cell r="I224">
            <v>4608</v>
          </cell>
          <cell r="J224">
            <v>9216</v>
          </cell>
          <cell r="K224">
            <v>-654</v>
          </cell>
          <cell r="M224">
            <v>1057</v>
          </cell>
          <cell r="N224">
            <v>0</v>
          </cell>
          <cell r="O224">
            <v>1057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3200</v>
          </cell>
          <cell r="W224">
            <v>1057</v>
          </cell>
          <cell r="X224">
            <v>0</v>
          </cell>
          <cell r="Y224">
            <v>1057</v>
          </cell>
          <cell r="Z224">
            <v>0</v>
          </cell>
          <cell r="AA224">
            <v>160</v>
          </cell>
          <cell r="AB224">
            <v>0</v>
          </cell>
          <cell r="AC224">
            <v>0</v>
          </cell>
          <cell r="AD224">
            <v>160</v>
          </cell>
          <cell r="AE224">
            <v>0</v>
          </cell>
          <cell r="AG224">
            <v>1088</v>
          </cell>
          <cell r="AH224">
            <v>0</v>
          </cell>
          <cell r="AI224">
            <v>1088</v>
          </cell>
          <cell r="AJ224">
            <v>0</v>
          </cell>
          <cell r="AK224">
            <v>160</v>
          </cell>
          <cell r="AL224">
            <v>0</v>
          </cell>
          <cell r="AM224">
            <v>0</v>
          </cell>
          <cell r="AN224">
            <v>160</v>
          </cell>
          <cell r="AO224">
            <v>0</v>
          </cell>
          <cell r="AQ224">
            <v>1088</v>
          </cell>
          <cell r="AR224">
            <v>0</v>
          </cell>
          <cell r="AS224">
            <v>1088</v>
          </cell>
          <cell r="AT224">
            <v>0</v>
          </cell>
          <cell r="AU224">
            <v>160</v>
          </cell>
          <cell r="AV224">
            <v>0</v>
          </cell>
          <cell r="AW224">
            <v>0</v>
          </cell>
          <cell r="AX224">
            <v>160</v>
          </cell>
          <cell r="AY224">
            <v>0</v>
          </cell>
          <cell r="BA224">
            <v>1088</v>
          </cell>
          <cell r="BB224">
            <v>0</v>
          </cell>
          <cell r="BC224">
            <v>1088</v>
          </cell>
          <cell r="BD224">
            <v>0</v>
          </cell>
          <cell r="BE224">
            <v>160</v>
          </cell>
          <cell r="BF224">
            <v>0</v>
          </cell>
          <cell r="BG224">
            <v>0</v>
          </cell>
          <cell r="BH224">
            <v>160</v>
          </cell>
          <cell r="BI224">
            <v>0</v>
          </cell>
          <cell r="BK224">
            <v>1139</v>
          </cell>
          <cell r="BL224">
            <v>0</v>
          </cell>
          <cell r="BM224">
            <v>1139</v>
          </cell>
          <cell r="BN224">
            <v>0</v>
          </cell>
          <cell r="BO224">
            <v>160</v>
          </cell>
          <cell r="BP224">
            <v>0</v>
          </cell>
          <cell r="BQ224">
            <v>0</v>
          </cell>
          <cell r="BR224">
            <v>160</v>
          </cell>
          <cell r="BS224">
            <v>0</v>
          </cell>
          <cell r="BU224">
            <v>1139</v>
          </cell>
          <cell r="BV224">
            <v>0</v>
          </cell>
          <cell r="BW224">
            <v>1139</v>
          </cell>
          <cell r="BX224">
            <v>0</v>
          </cell>
          <cell r="BY224">
            <v>160</v>
          </cell>
          <cell r="BZ224">
            <v>0</v>
          </cell>
          <cell r="CA224">
            <v>0</v>
          </cell>
          <cell r="CB224">
            <v>160</v>
          </cell>
          <cell r="CC224">
            <v>0</v>
          </cell>
          <cell r="CE224">
            <v>1139</v>
          </cell>
          <cell r="CF224">
            <v>0</v>
          </cell>
          <cell r="CG224">
            <v>1139</v>
          </cell>
          <cell r="CH224">
            <v>0</v>
          </cell>
          <cell r="CI224">
            <v>160</v>
          </cell>
          <cell r="CJ224">
            <v>0</v>
          </cell>
          <cell r="CK224">
            <v>0</v>
          </cell>
          <cell r="CL224">
            <v>160</v>
          </cell>
          <cell r="CM224">
            <v>0</v>
          </cell>
          <cell r="CO224">
            <v>1139</v>
          </cell>
          <cell r="CP224">
            <v>0</v>
          </cell>
          <cell r="CQ224">
            <v>1139</v>
          </cell>
          <cell r="CR224">
            <v>0</v>
          </cell>
          <cell r="CS224">
            <v>160</v>
          </cell>
          <cell r="CT224">
            <v>0</v>
          </cell>
          <cell r="CU224">
            <v>0</v>
          </cell>
          <cell r="CV224">
            <v>160</v>
          </cell>
          <cell r="CW224">
            <v>0</v>
          </cell>
          <cell r="CY224">
            <v>1139</v>
          </cell>
          <cell r="CZ224">
            <v>0</v>
          </cell>
          <cell r="DA224">
            <v>1139</v>
          </cell>
          <cell r="DB224">
            <v>0</v>
          </cell>
          <cell r="DC224">
            <v>160</v>
          </cell>
          <cell r="DD224">
            <v>0</v>
          </cell>
          <cell r="DE224">
            <v>0</v>
          </cell>
          <cell r="DF224">
            <v>160</v>
          </cell>
          <cell r="DG224">
            <v>0</v>
          </cell>
          <cell r="DI224">
            <v>9216</v>
          </cell>
          <cell r="DJ224">
            <v>11073</v>
          </cell>
          <cell r="DK224">
            <v>0</v>
          </cell>
          <cell r="DL224">
            <v>11073</v>
          </cell>
          <cell r="DM224">
            <v>11073</v>
          </cell>
          <cell r="DN224">
            <v>0</v>
          </cell>
          <cell r="DO224">
            <v>11073</v>
          </cell>
          <cell r="DP224">
            <v>1440</v>
          </cell>
          <cell r="DQ224">
            <v>0</v>
          </cell>
          <cell r="DR224">
            <v>0</v>
          </cell>
          <cell r="DS224">
            <v>1440</v>
          </cell>
          <cell r="DT224">
            <v>23586</v>
          </cell>
          <cell r="DU224">
            <v>3200</v>
          </cell>
          <cell r="DW224">
            <v>0</v>
          </cell>
          <cell r="DX224">
            <v>0</v>
          </cell>
          <cell r="DY224">
            <v>8130</v>
          </cell>
          <cell r="DZ224">
            <v>10404</v>
          </cell>
          <cell r="EA224">
            <v>12740</v>
          </cell>
          <cell r="EB224">
            <v>15076</v>
          </cell>
          <cell r="EC224">
            <v>17412</v>
          </cell>
          <cell r="ED224">
            <v>19850</v>
          </cell>
          <cell r="EE224">
            <v>22288</v>
          </cell>
          <cell r="EF224">
            <v>24726</v>
          </cell>
          <cell r="EG224">
            <v>27164</v>
          </cell>
          <cell r="EH224">
            <v>29602</v>
          </cell>
          <cell r="EI224">
            <v>187392</v>
          </cell>
          <cell r="EK224">
            <v>0</v>
          </cell>
          <cell r="EL224">
            <v>0</v>
          </cell>
          <cell r="EM224">
            <v>54.199999999999996</v>
          </cell>
          <cell r="EN224">
            <v>69.36</v>
          </cell>
          <cell r="EO224">
            <v>84.933333333333337</v>
          </cell>
          <cell r="EP224">
            <v>100.50666666666666</v>
          </cell>
          <cell r="EQ224">
            <v>116.08</v>
          </cell>
          <cell r="ER224">
            <v>132.33333333333334</v>
          </cell>
          <cell r="ES224">
            <v>159.73066666666665</v>
          </cell>
          <cell r="ET224">
            <v>177.20299999999997</v>
          </cell>
          <cell r="EU224">
            <v>194.67533333333333</v>
          </cell>
          <cell r="EV224">
            <v>212.14766666666665</v>
          </cell>
          <cell r="EW224">
            <v>1301.17</v>
          </cell>
          <cell r="EY224">
            <v>83612</v>
          </cell>
          <cell r="EZ224">
            <v>8</v>
          </cell>
          <cell r="FA224">
            <v>557.4133333333333</v>
          </cell>
          <cell r="FB224">
            <v>103780</v>
          </cell>
          <cell r="FC224">
            <v>8.6</v>
          </cell>
          <cell r="FD224">
            <v>743.75666666666666</v>
          </cell>
          <cell r="FE224">
            <v>1301.17</v>
          </cell>
          <cell r="FF224">
            <v>30903</v>
          </cell>
          <cell r="FH224">
            <v>30903</v>
          </cell>
        </row>
        <row r="225">
          <cell r="B225">
            <v>9499</v>
          </cell>
          <cell r="C225" t="str">
            <v>03.05.2007</v>
          </cell>
          <cell r="D225" t="str">
            <v>Maru Pushpa Ravindra</v>
          </cell>
          <cell r="F225">
            <v>4446</v>
          </cell>
          <cell r="H225">
            <v>3368</v>
          </cell>
          <cell r="I225">
            <v>3368</v>
          </cell>
          <cell r="J225">
            <v>6736</v>
          </cell>
          <cell r="K225">
            <v>2290</v>
          </cell>
          <cell r="M225">
            <v>1057</v>
          </cell>
          <cell r="N225">
            <v>0</v>
          </cell>
          <cell r="O225">
            <v>1057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W225">
            <v>1057</v>
          </cell>
          <cell r="X225">
            <v>0</v>
          </cell>
          <cell r="Y225">
            <v>1057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G225">
            <v>1088</v>
          </cell>
          <cell r="AH225">
            <v>0</v>
          </cell>
          <cell r="AI225">
            <v>1088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Q225">
            <v>1088</v>
          </cell>
          <cell r="AR225">
            <v>0</v>
          </cell>
          <cell r="AS225">
            <v>1088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BA225">
            <v>1088</v>
          </cell>
          <cell r="BB225">
            <v>0</v>
          </cell>
          <cell r="BC225">
            <v>1088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K225">
            <v>1139</v>
          </cell>
          <cell r="BL225">
            <v>0</v>
          </cell>
          <cell r="BM225">
            <v>1139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U225">
            <v>1139</v>
          </cell>
          <cell r="BV225">
            <v>0</v>
          </cell>
          <cell r="BW225">
            <v>1139</v>
          </cell>
          <cell r="BX225">
            <v>0</v>
          </cell>
          <cell r="BY225">
            <v>0</v>
          </cell>
          <cell r="BZ225">
            <v>0</v>
          </cell>
          <cell r="CA225">
            <v>0</v>
          </cell>
          <cell r="CB225">
            <v>0</v>
          </cell>
          <cell r="CC225">
            <v>0</v>
          </cell>
          <cell r="CE225">
            <v>1139</v>
          </cell>
          <cell r="CF225">
            <v>0</v>
          </cell>
          <cell r="CG225">
            <v>1139</v>
          </cell>
          <cell r="CH225">
            <v>0</v>
          </cell>
          <cell r="CI225">
            <v>0</v>
          </cell>
          <cell r="CJ225">
            <v>0</v>
          </cell>
          <cell r="CK225">
            <v>0</v>
          </cell>
          <cell r="CL225">
            <v>0</v>
          </cell>
          <cell r="CM225">
            <v>0</v>
          </cell>
          <cell r="CO225">
            <v>1139</v>
          </cell>
          <cell r="CP225">
            <v>0</v>
          </cell>
          <cell r="CQ225">
            <v>1139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Y225">
            <v>1139</v>
          </cell>
          <cell r="CZ225">
            <v>0</v>
          </cell>
          <cell r="DA225">
            <v>1139</v>
          </cell>
          <cell r="DB225">
            <v>0</v>
          </cell>
          <cell r="DC225">
            <v>0</v>
          </cell>
          <cell r="DD225">
            <v>0</v>
          </cell>
          <cell r="DE225">
            <v>0</v>
          </cell>
          <cell r="DF225">
            <v>0</v>
          </cell>
          <cell r="DG225">
            <v>0</v>
          </cell>
          <cell r="DI225">
            <v>6736</v>
          </cell>
          <cell r="DJ225">
            <v>11073</v>
          </cell>
          <cell r="DK225">
            <v>0</v>
          </cell>
          <cell r="DL225">
            <v>11073</v>
          </cell>
          <cell r="DM225">
            <v>11073</v>
          </cell>
          <cell r="DN225">
            <v>0</v>
          </cell>
          <cell r="DO225">
            <v>11073</v>
          </cell>
          <cell r="DP225">
            <v>0</v>
          </cell>
          <cell r="DQ225">
            <v>0</v>
          </cell>
          <cell r="DR225">
            <v>0</v>
          </cell>
          <cell r="DS225">
            <v>0</v>
          </cell>
          <cell r="DT225">
            <v>22146</v>
          </cell>
          <cell r="DU225">
            <v>0</v>
          </cell>
          <cell r="DW225">
            <v>0</v>
          </cell>
          <cell r="DX225">
            <v>0</v>
          </cell>
          <cell r="DY225">
            <v>8850</v>
          </cell>
          <cell r="DZ225">
            <v>10964</v>
          </cell>
          <cell r="EA225">
            <v>13140</v>
          </cell>
          <cell r="EB225">
            <v>15316</v>
          </cell>
          <cell r="EC225">
            <v>17492</v>
          </cell>
          <cell r="ED225">
            <v>19770</v>
          </cell>
          <cell r="EE225">
            <v>22048</v>
          </cell>
          <cell r="EF225">
            <v>24326</v>
          </cell>
          <cell r="EG225">
            <v>26604</v>
          </cell>
          <cell r="EH225">
            <v>28882</v>
          </cell>
          <cell r="EI225">
            <v>187392</v>
          </cell>
          <cell r="EK225">
            <v>0</v>
          </cell>
          <cell r="EL225">
            <v>0</v>
          </cell>
          <cell r="EM225">
            <v>59</v>
          </cell>
          <cell r="EN225">
            <v>73.093333333333334</v>
          </cell>
          <cell r="EO225">
            <v>87.600000000000009</v>
          </cell>
          <cell r="EP225">
            <v>102.10666666666667</v>
          </cell>
          <cell r="EQ225">
            <v>116.61333333333333</v>
          </cell>
          <cell r="ER225">
            <v>131.79999999999998</v>
          </cell>
          <cell r="ES225">
            <v>158.01066666666665</v>
          </cell>
          <cell r="ET225">
            <v>174.33633333333333</v>
          </cell>
          <cell r="EU225">
            <v>190.66200000000001</v>
          </cell>
          <cell r="EV225">
            <v>206.98766666666666</v>
          </cell>
          <cell r="EW225">
            <v>1300.21</v>
          </cell>
          <cell r="EY225">
            <v>85532</v>
          </cell>
          <cell r="EZ225">
            <v>8</v>
          </cell>
          <cell r="FA225">
            <v>570.21333333333337</v>
          </cell>
          <cell r="FB225">
            <v>101860</v>
          </cell>
          <cell r="FC225">
            <v>8.6</v>
          </cell>
          <cell r="FD225">
            <v>729.99666666666656</v>
          </cell>
          <cell r="FE225">
            <v>1300.21</v>
          </cell>
          <cell r="FF225">
            <v>30182</v>
          </cell>
          <cell r="FH225">
            <v>30182</v>
          </cell>
        </row>
        <row r="226">
          <cell r="B226">
            <v>9409</v>
          </cell>
          <cell r="C226" t="str">
            <v>09.05.2007</v>
          </cell>
          <cell r="D226" t="str">
            <v>Zanzote Sachin Suresh</v>
          </cell>
          <cell r="F226">
            <v>8624</v>
          </cell>
          <cell r="H226">
            <v>5234</v>
          </cell>
          <cell r="I226">
            <v>5234</v>
          </cell>
          <cell r="J226">
            <v>10468</v>
          </cell>
          <cell r="K226">
            <v>1844</v>
          </cell>
          <cell r="M226">
            <v>1057</v>
          </cell>
          <cell r="N226">
            <v>0</v>
          </cell>
          <cell r="O226">
            <v>1057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W226">
            <v>1057</v>
          </cell>
          <cell r="X226">
            <v>0</v>
          </cell>
          <cell r="Y226">
            <v>1057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G226">
            <v>1088</v>
          </cell>
          <cell r="AH226">
            <v>0</v>
          </cell>
          <cell r="AI226">
            <v>1088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Q226">
            <v>1088</v>
          </cell>
          <cell r="AR226">
            <v>0</v>
          </cell>
          <cell r="AS226">
            <v>1088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5900</v>
          </cell>
          <cell r="BA226">
            <v>1088</v>
          </cell>
          <cell r="BB226">
            <v>0</v>
          </cell>
          <cell r="BC226">
            <v>1088</v>
          </cell>
          <cell r="BD226">
            <v>0</v>
          </cell>
          <cell r="BE226">
            <v>295</v>
          </cell>
          <cell r="BF226">
            <v>0</v>
          </cell>
          <cell r="BG226">
            <v>0</v>
          </cell>
          <cell r="BH226">
            <v>295</v>
          </cell>
          <cell r="BI226">
            <v>0</v>
          </cell>
          <cell r="BK226">
            <v>1139</v>
          </cell>
          <cell r="BL226">
            <v>0</v>
          </cell>
          <cell r="BM226">
            <v>1139</v>
          </cell>
          <cell r="BN226">
            <v>0</v>
          </cell>
          <cell r="BO226">
            <v>295</v>
          </cell>
          <cell r="BP226">
            <v>0</v>
          </cell>
          <cell r="BQ226">
            <v>0</v>
          </cell>
          <cell r="BR226">
            <v>295</v>
          </cell>
          <cell r="BS226">
            <v>0</v>
          </cell>
          <cell r="BU226">
            <v>1139</v>
          </cell>
          <cell r="BV226">
            <v>0</v>
          </cell>
          <cell r="BW226">
            <v>1139</v>
          </cell>
          <cell r="BX226">
            <v>0</v>
          </cell>
          <cell r="BY226">
            <v>295</v>
          </cell>
          <cell r="BZ226">
            <v>0</v>
          </cell>
          <cell r="CA226">
            <v>0</v>
          </cell>
          <cell r="CB226">
            <v>295</v>
          </cell>
          <cell r="CC226">
            <v>0</v>
          </cell>
          <cell r="CE226">
            <v>1139</v>
          </cell>
          <cell r="CF226">
            <v>0</v>
          </cell>
          <cell r="CG226">
            <v>1139</v>
          </cell>
          <cell r="CH226">
            <v>0</v>
          </cell>
          <cell r="CI226">
            <v>295</v>
          </cell>
          <cell r="CJ226">
            <v>0</v>
          </cell>
          <cell r="CK226">
            <v>0</v>
          </cell>
          <cell r="CL226">
            <v>295</v>
          </cell>
          <cell r="CM226">
            <v>0</v>
          </cell>
          <cell r="CO226">
            <v>1139</v>
          </cell>
          <cell r="CP226">
            <v>0</v>
          </cell>
          <cell r="CQ226">
            <v>1139</v>
          </cell>
          <cell r="CR226">
            <v>0</v>
          </cell>
          <cell r="CS226">
            <v>295</v>
          </cell>
          <cell r="CT226">
            <v>0</v>
          </cell>
          <cell r="CU226">
            <v>0</v>
          </cell>
          <cell r="CV226">
            <v>295</v>
          </cell>
          <cell r="CW226">
            <v>0</v>
          </cell>
          <cell r="CY226">
            <v>1139</v>
          </cell>
          <cell r="CZ226">
            <v>0</v>
          </cell>
          <cell r="DA226">
            <v>1139</v>
          </cell>
          <cell r="DB226">
            <v>0</v>
          </cell>
          <cell r="DC226">
            <v>295</v>
          </cell>
          <cell r="DD226">
            <v>0</v>
          </cell>
          <cell r="DE226">
            <v>0</v>
          </cell>
          <cell r="DF226">
            <v>295</v>
          </cell>
          <cell r="DG226">
            <v>0</v>
          </cell>
          <cell r="DI226">
            <v>10468</v>
          </cell>
          <cell r="DJ226">
            <v>11073</v>
          </cell>
          <cell r="DK226">
            <v>0</v>
          </cell>
          <cell r="DL226">
            <v>11073</v>
          </cell>
          <cell r="DM226">
            <v>11073</v>
          </cell>
          <cell r="DN226">
            <v>0</v>
          </cell>
          <cell r="DO226">
            <v>11073</v>
          </cell>
          <cell r="DP226">
            <v>1770</v>
          </cell>
          <cell r="DQ226">
            <v>0</v>
          </cell>
          <cell r="DR226">
            <v>0</v>
          </cell>
          <cell r="DS226">
            <v>1770</v>
          </cell>
          <cell r="DT226">
            <v>23916</v>
          </cell>
          <cell r="DU226">
            <v>5900</v>
          </cell>
          <cell r="DW226">
            <v>0</v>
          </cell>
          <cell r="DX226">
            <v>0</v>
          </cell>
          <cell r="DY226">
            <v>12582</v>
          </cell>
          <cell r="DZ226">
            <v>14696</v>
          </cell>
          <cell r="EA226">
            <v>16872</v>
          </cell>
          <cell r="EB226">
            <v>13148</v>
          </cell>
          <cell r="EC226">
            <v>15619</v>
          </cell>
          <cell r="ED226">
            <v>18192</v>
          </cell>
          <cell r="EE226">
            <v>20765</v>
          </cell>
          <cell r="EF226">
            <v>23338</v>
          </cell>
          <cell r="EG226">
            <v>25911</v>
          </cell>
          <cell r="EH226">
            <v>28484</v>
          </cell>
          <cell r="EI226">
            <v>189607</v>
          </cell>
          <cell r="EK226">
            <v>0</v>
          </cell>
          <cell r="EL226">
            <v>0</v>
          </cell>
          <cell r="EM226">
            <v>83.88</v>
          </cell>
          <cell r="EN226">
            <v>97.973333333333343</v>
          </cell>
          <cell r="EO226">
            <v>112.48</v>
          </cell>
          <cell r="EP226">
            <v>87.653333333333322</v>
          </cell>
          <cell r="EQ226">
            <v>104.12666666666667</v>
          </cell>
          <cell r="ER226">
            <v>121.27999999999999</v>
          </cell>
          <cell r="ES226">
            <v>148.81583333333333</v>
          </cell>
          <cell r="ET226">
            <v>167.25566666666666</v>
          </cell>
          <cell r="EU226">
            <v>185.69549999999995</v>
          </cell>
          <cell r="EV226">
            <v>204.13533333333331</v>
          </cell>
          <cell r="EW226">
            <v>1313.2956666666666</v>
          </cell>
          <cell r="EY226">
            <v>91109</v>
          </cell>
          <cell r="EZ226">
            <v>8</v>
          </cell>
          <cell r="FA226">
            <v>607.39333333333332</v>
          </cell>
          <cell r="FB226">
            <v>98498</v>
          </cell>
          <cell r="FC226">
            <v>8.6</v>
          </cell>
          <cell r="FD226">
            <v>705.90233333333333</v>
          </cell>
          <cell r="FE226">
            <v>1313.2956666666666</v>
          </cell>
          <cell r="FF226">
            <v>29797</v>
          </cell>
          <cell r="FH226">
            <v>29797</v>
          </cell>
        </row>
        <row r="227">
          <cell r="B227">
            <v>9406</v>
          </cell>
          <cell r="C227" t="str">
            <v>10.05.2007</v>
          </cell>
          <cell r="D227" t="str">
            <v>Shaikh Heenakausar Umar</v>
          </cell>
          <cell r="F227">
            <v>8925</v>
          </cell>
          <cell r="H227">
            <v>6234</v>
          </cell>
          <cell r="I227">
            <v>6234</v>
          </cell>
          <cell r="J227">
            <v>12468</v>
          </cell>
          <cell r="K227">
            <v>3543</v>
          </cell>
          <cell r="M227">
            <v>1057</v>
          </cell>
          <cell r="N227">
            <v>0</v>
          </cell>
          <cell r="O227">
            <v>1057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W227">
            <v>1057</v>
          </cell>
          <cell r="X227">
            <v>0</v>
          </cell>
          <cell r="Y227">
            <v>1057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G227">
            <v>1088</v>
          </cell>
          <cell r="AH227">
            <v>0</v>
          </cell>
          <cell r="AI227">
            <v>1088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Q227">
            <v>1088</v>
          </cell>
          <cell r="AR227">
            <v>0</v>
          </cell>
          <cell r="AS227">
            <v>1088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BA227">
            <v>1088</v>
          </cell>
          <cell r="BB227">
            <v>0</v>
          </cell>
          <cell r="BC227">
            <v>1088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K227">
            <v>1139</v>
          </cell>
          <cell r="BL227">
            <v>0</v>
          </cell>
          <cell r="BM227">
            <v>1139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U227">
            <v>1139</v>
          </cell>
          <cell r="BV227">
            <v>0</v>
          </cell>
          <cell r="BW227">
            <v>1139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E227">
            <v>1139</v>
          </cell>
          <cell r="CF227">
            <v>0</v>
          </cell>
          <cell r="CG227">
            <v>1139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  <cell r="CO227">
            <v>1139</v>
          </cell>
          <cell r="CP227">
            <v>0</v>
          </cell>
          <cell r="CQ227">
            <v>1139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Y227">
            <v>1139</v>
          </cell>
          <cell r="CZ227">
            <v>0</v>
          </cell>
          <cell r="DA227">
            <v>1139</v>
          </cell>
          <cell r="DB227">
            <v>0</v>
          </cell>
          <cell r="DC227">
            <v>0</v>
          </cell>
          <cell r="DD227">
            <v>0</v>
          </cell>
          <cell r="DE227">
            <v>0</v>
          </cell>
          <cell r="DF227">
            <v>0</v>
          </cell>
          <cell r="DG227">
            <v>0</v>
          </cell>
          <cell r="DI227">
            <v>12468</v>
          </cell>
          <cell r="DJ227">
            <v>11073</v>
          </cell>
          <cell r="DK227">
            <v>0</v>
          </cell>
          <cell r="DL227">
            <v>11073</v>
          </cell>
          <cell r="DM227">
            <v>11073</v>
          </cell>
          <cell r="DN227">
            <v>0</v>
          </cell>
          <cell r="DO227">
            <v>11073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22146</v>
          </cell>
          <cell r="DU227">
            <v>0</v>
          </cell>
          <cell r="DW227">
            <v>0</v>
          </cell>
          <cell r="DX227">
            <v>0</v>
          </cell>
          <cell r="DY227">
            <v>14582</v>
          </cell>
          <cell r="DZ227">
            <v>16696</v>
          </cell>
          <cell r="EA227">
            <v>18872</v>
          </cell>
          <cell r="EB227">
            <v>21048</v>
          </cell>
          <cell r="EC227">
            <v>23224</v>
          </cell>
          <cell r="ED227">
            <v>25502</v>
          </cell>
          <cell r="EE227">
            <v>27780</v>
          </cell>
          <cell r="EF227">
            <v>30058</v>
          </cell>
          <cell r="EG227">
            <v>32336</v>
          </cell>
          <cell r="EH227">
            <v>34614</v>
          </cell>
          <cell r="EI227">
            <v>244712</v>
          </cell>
          <cell r="EK227">
            <v>0</v>
          </cell>
          <cell r="EL227">
            <v>0</v>
          </cell>
          <cell r="EM227">
            <v>97.213333333333324</v>
          </cell>
          <cell r="EN227">
            <v>111.30666666666667</v>
          </cell>
          <cell r="EO227">
            <v>125.81333333333333</v>
          </cell>
          <cell r="EP227">
            <v>140.32</v>
          </cell>
          <cell r="EQ227">
            <v>154.82666666666668</v>
          </cell>
          <cell r="ER227">
            <v>170.01333333333335</v>
          </cell>
          <cell r="ES227">
            <v>199.09</v>
          </cell>
          <cell r="ET227">
            <v>215.41566666666665</v>
          </cell>
          <cell r="EU227">
            <v>231.7413333333333</v>
          </cell>
          <cell r="EV227">
            <v>248.06699999999998</v>
          </cell>
          <cell r="EW227">
            <v>1693.8073333333334</v>
          </cell>
          <cell r="EY227">
            <v>119924</v>
          </cell>
          <cell r="EZ227">
            <v>8</v>
          </cell>
          <cell r="FA227">
            <v>799.49333333333334</v>
          </cell>
          <cell r="FB227">
            <v>124788</v>
          </cell>
          <cell r="FC227">
            <v>8.6</v>
          </cell>
          <cell r="FD227">
            <v>894.31399999999996</v>
          </cell>
          <cell r="FE227">
            <v>1693.8073333333332</v>
          </cell>
          <cell r="FF227">
            <v>36308</v>
          </cell>
          <cell r="FH227">
            <v>36308</v>
          </cell>
        </row>
        <row r="228">
          <cell r="B228">
            <v>9483</v>
          </cell>
          <cell r="C228" t="str">
            <v>10.05.2007</v>
          </cell>
          <cell r="D228" t="str">
            <v>Khandave Rohini Bhaskar</v>
          </cell>
          <cell r="F228">
            <v>6090</v>
          </cell>
          <cell r="H228">
            <v>3830</v>
          </cell>
          <cell r="I228">
            <v>3830</v>
          </cell>
          <cell r="J228">
            <v>7660</v>
          </cell>
          <cell r="K228">
            <v>1570</v>
          </cell>
          <cell r="M228">
            <v>1057</v>
          </cell>
          <cell r="N228">
            <v>0</v>
          </cell>
          <cell r="O228">
            <v>1057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W228">
            <v>1057</v>
          </cell>
          <cell r="X228">
            <v>0</v>
          </cell>
          <cell r="Y228">
            <v>1057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G228">
            <v>1088</v>
          </cell>
          <cell r="AH228">
            <v>0</v>
          </cell>
          <cell r="AI228">
            <v>1088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Q228">
            <v>1088</v>
          </cell>
          <cell r="AR228">
            <v>0</v>
          </cell>
          <cell r="AS228">
            <v>1088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BA228">
            <v>1088</v>
          </cell>
          <cell r="BB228">
            <v>0</v>
          </cell>
          <cell r="BC228">
            <v>1088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K228">
            <v>1139</v>
          </cell>
          <cell r="BL228">
            <v>0</v>
          </cell>
          <cell r="BM228">
            <v>1139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U228">
            <v>1139</v>
          </cell>
          <cell r="BV228">
            <v>0</v>
          </cell>
          <cell r="BW228">
            <v>1139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E228">
            <v>1139</v>
          </cell>
          <cell r="CF228">
            <v>0</v>
          </cell>
          <cell r="CG228">
            <v>1139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O228">
            <v>1139</v>
          </cell>
          <cell r="CP228">
            <v>0</v>
          </cell>
          <cell r="CQ228">
            <v>1139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Y228">
            <v>1139</v>
          </cell>
          <cell r="CZ228">
            <v>0</v>
          </cell>
          <cell r="DA228">
            <v>1139</v>
          </cell>
          <cell r="DB228">
            <v>0</v>
          </cell>
          <cell r="DC228">
            <v>0</v>
          </cell>
          <cell r="DD228">
            <v>0</v>
          </cell>
          <cell r="DE228">
            <v>0</v>
          </cell>
          <cell r="DF228">
            <v>0</v>
          </cell>
          <cell r="DG228">
            <v>0</v>
          </cell>
          <cell r="DI228">
            <v>7660</v>
          </cell>
          <cell r="DJ228">
            <v>11073</v>
          </cell>
          <cell r="DK228">
            <v>0</v>
          </cell>
          <cell r="DL228">
            <v>11073</v>
          </cell>
          <cell r="DM228">
            <v>11073</v>
          </cell>
          <cell r="DN228">
            <v>0</v>
          </cell>
          <cell r="DO228">
            <v>11073</v>
          </cell>
          <cell r="DP228">
            <v>0</v>
          </cell>
          <cell r="DQ228">
            <v>0</v>
          </cell>
          <cell r="DR228">
            <v>0</v>
          </cell>
          <cell r="DS228">
            <v>0</v>
          </cell>
          <cell r="DT228">
            <v>22146</v>
          </cell>
          <cell r="DU228">
            <v>0</v>
          </cell>
          <cell r="DW228">
            <v>0</v>
          </cell>
          <cell r="DX228">
            <v>0</v>
          </cell>
          <cell r="DY228">
            <v>9774</v>
          </cell>
          <cell r="DZ228">
            <v>11888</v>
          </cell>
          <cell r="EA228">
            <v>14064</v>
          </cell>
          <cell r="EB228">
            <v>16240</v>
          </cell>
          <cell r="EC228">
            <v>18416</v>
          </cell>
          <cell r="ED228">
            <v>20694</v>
          </cell>
          <cell r="EE228">
            <v>22972</v>
          </cell>
          <cell r="EF228">
            <v>25250</v>
          </cell>
          <cell r="EG228">
            <v>27528</v>
          </cell>
          <cell r="EH228">
            <v>29806</v>
          </cell>
          <cell r="EI228">
            <v>196632</v>
          </cell>
          <cell r="EK228">
            <v>0</v>
          </cell>
          <cell r="EL228">
            <v>0</v>
          </cell>
          <cell r="EM228">
            <v>65.16</v>
          </cell>
          <cell r="EN228">
            <v>79.25333333333333</v>
          </cell>
          <cell r="EO228">
            <v>93.759999999999991</v>
          </cell>
          <cell r="EP228">
            <v>108.26666666666667</v>
          </cell>
          <cell r="EQ228">
            <v>122.77333333333333</v>
          </cell>
          <cell r="ER228">
            <v>137.96</v>
          </cell>
          <cell r="ES228">
            <v>164.63266666666667</v>
          </cell>
          <cell r="ET228">
            <v>180.95833333333334</v>
          </cell>
          <cell r="EU228">
            <v>197.28399999999999</v>
          </cell>
          <cell r="EV228">
            <v>213.60966666666664</v>
          </cell>
          <cell r="EW228">
            <v>1363.6579999999999</v>
          </cell>
          <cell r="EY228">
            <v>91076</v>
          </cell>
          <cell r="EZ228">
            <v>8</v>
          </cell>
          <cell r="FA228">
            <v>607.17333333333329</v>
          </cell>
          <cell r="FB228">
            <v>105556</v>
          </cell>
          <cell r="FC228">
            <v>8.6</v>
          </cell>
          <cell r="FD228">
            <v>756.48466666666661</v>
          </cell>
          <cell r="FE228">
            <v>1363.6579999999999</v>
          </cell>
          <cell r="FF228">
            <v>31170</v>
          </cell>
          <cell r="FH228">
            <v>31170</v>
          </cell>
        </row>
        <row r="229">
          <cell r="B229">
            <v>9489</v>
          </cell>
          <cell r="C229" t="str">
            <v>10.05.2007</v>
          </cell>
          <cell r="D229" t="str">
            <v>Kale Anita Ashok</v>
          </cell>
          <cell r="F229">
            <v>6090</v>
          </cell>
          <cell r="H229">
            <v>8630</v>
          </cell>
          <cell r="I229">
            <v>8630</v>
          </cell>
          <cell r="J229">
            <v>17260</v>
          </cell>
          <cell r="K229">
            <v>11170</v>
          </cell>
          <cell r="M229">
            <v>1057</v>
          </cell>
          <cell r="N229">
            <v>0</v>
          </cell>
          <cell r="O229">
            <v>1057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W229">
            <v>1057</v>
          </cell>
          <cell r="X229">
            <v>0</v>
          </cell>
          <cell r="Y229">
            <v>1057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G229">
            <v>1088</v>
          </cell>
          <cell r="AH229">
            <v>0</v>
          </cell>
          <cell r="AI229">
            <v>1088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Q229">
            <v>1088</v>
          </cell>
          <cell r="AR229">
            <v>0</v>
          </cell>
          <cell r="AS229">
            <v>1088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BA229">
            <v>1088</v>
          </cell>
          <cell r="BB229">
            <v>0</v>
          </cell>
          <cell r="BC229">
            <v>1088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K229">
            <v>1139</v>
          </cell>
          <cell r="BL229">
            <v>0</v>
          </cell>
          <cell r="BM229">
            <v>1139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U229">
            <v>1139</v>
          </cell>
          <cell r="BV229">
            <v>0</v>
          </cell>
          <cell r="BW229">
            <v>1139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E229">
            <v>1139</v>
          </cell>
          <cell r="CF229">
            <v>0</v>
          </cell>
          <cell r="CG229">
            <v>1139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O229">
            <v>1139</v>
          </cell>
          <cell r="CP229">
            <v>0</v>
          </cell>
          <cell r="CQ229">
            <v>1139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Y229">
            <v>1139</v>
          </cell>
          <cell r="CZ229">
            <v>0</v>
          </cell>
          <cell r="DA229">
            <v>1139</v>
          </cell>
          <cell r="DB229">
            <v>0</v>
          </cell>
          <cell r="DC229">
            <v>0</v>
          </cell>
          <cell r="DD229">
            <v>0</v>
          </cell>
          <cell r="DE229">
            <v>0</v>
          </cell>
          <cell r="DF229">
            <v>0</v>
          </cell>
          <cell r="DG229">
            <v>0</v>
          </cell>
          <cell r="DI229">
            <v>17260</v>
          </cell>
          <cell r="DJ229">
            <v>11073</v>
          </cell>
          <cell r="DK229">
            <v>0</v>
          </cell>
          <cell r="DL229">
            <v>11073</v>
          </cell>
          <cell r="DM229">
            <v>11073</v>
          </cell>
          <cell r="DN229">
            <v>0</v>
          </cell>
          <cell r="DO229">
            <v>11073</v>
          </cell>
          <cell r="DP229">
            <v>0</v>
          </cell>
          <cell r="DQ229">
            <v>0</v>
          </cell>
          <cell r="DR229">
            <v>0</v>
          </cell>
          <cell r="DS229">
            <v>0</v>
          </cell>
          <cell r="DT229">
            <v>22146</v>
          </cell>
          <cell r="DU229">
            <v>0</v>
          </cell>
          <cell r="DW229">
            <v>0</v>
          </cell>
          <cell r="DX229">
            <v>0</v>
          </cell>
          <cell r="DY229">
            <v>19374</v>
          </cell>
          <cell r="DZ229">
            <v>21488</v>
          </cell>
          <cell r="EA229">
            <v>23664</v>
          </cell>
          <cell r="EB229">
            <v>25840</v>
          </cell>
          <cell r="EC229">
            <v>28016</v>
          </cell>
          <cell r="ED229">
            <v>30294</v>
          </cell>
          <cell r="EE229">
            <v>32572</v>
          </cell>
          <cell r="EF229">
            <v>34850</v>
          </cell>
          <cell r="EG229">
            <v>37128</v>
          </cell>
          <cell r="EH229">
            <v>39406</v>
          </cell>
          <cell r="EI229">
            <v>292632</v>
          </cell>
          <cell r="EK229">
            <v>0</v>
          </cell>
          <cell r="EL229">
            <v>0</v>
          </cell>
          <cell r="EM229">
            <v>129.16</v>
          </cell>
          <cell r="EN229">
            <v>143.25333333333333</v>
          </cell>
          <cell r="EO229">
            <v>157.76</v>
          </cell>
          <cell r="EP229">
            <v>172.26666666666665</v>
          </cell>
          <cell r="EQ229">
            <v>186.77333333333334</v>
          </cell>
          <cell r="ER229">
            <v>201.96</v>
          </cell>
          <cell r="ES229">
            <v>233.43266666666668</v>
          </cell>
          <cell r="ET229">
            <v>249.75833333333333</v>
          </cell>
          <cell r="EU229">
            <v>266.084</v>
          </cell>
          <cell r="EV229">
            <v>282.40966666666662</v>
          </cell>
          <cell r="EW229">
            <v>2022.8580000000002</v>
          </cell>
          <cell r="EY229">
            <v>148676</v>
          </cell>
          <cell r="EZ229">
            <v>8</v>
          </cell>
          <cell r="FA229">
            <v>991.17333333333329</v>
          </cell>
          <cell r="FB229">
            <v>143956</v>
          </cell>
          <cell r="FC229">
            <v>8.6</v>
          </cell>
          <cell r="FD229">
            <v>1031.6846666666665</v>
          </cell>
          <cell r="FE229">
            <v>2022.8579999999997</v>
          </cell>
          <cell r="FF229">
            <v>41429</v>
          </cell>
          <cell r="FH229">
            <v>41429</v>
          </cell>
        </row>
        <row r="230">
          <cell r="B230">
            <v>9493</v>
          </cell>
          <cell r="C230" t="str">
            <v>10.05.2007</v>
          </cell>
          <cell r="D230" t="str">
            <v>Borade Savita Bhimrao</v>
          </cell>
          <cell r="F230">
            <v>5075</v>
          </cell>
          <cell r="H230">
            <v>2268</v>
          </cell>
          <cell r="I230">
            <v>2268</v>
          </cell>
          <cell r="J230">
            <v>4536</v>
          </cell>
          <cell r="K230">
            <v>-539</v>
          </cell>
          <cell r="M230">
            <v>1057</v>
          </cell>
          <cell r="N230">
            <v>0</v>
          </cell>
          <cell r="O230">
            <v>1057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W230">
            <v>1057</v>
          </cell>
          <cell r="X230">
            <v>0</v>
          </cell>
          <cell r="Y230">
            <v>1057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G230">
            <v>1088</v>
          </cell>
          <cell r="AH230">
            <v>0</v>
          </cell>
          <cell r="AI230">
            <v>1088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Q230">
            <v>1088</v>
          </cell>
          <cell r="AR230">
            <v>0</v>
          </cell>
          <cell r="AS230">
            <v>1088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BA230">
            <v>1088</v>
          </cell>
          <cell r="BB230">
            <v>0</v>
          </cell>
          <cell r="BC230">
            <v>1088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K230">
            <v>1139</v>
          </cell>
          <cell r="BL230">
            <v>0</v>
          </cell>
          <cell r="BM230">
            <v>1139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U230">
            <v>1139</v>
          </cell>
          <cell r="BV230">
            <v>0</v>
          </cell>
          <cell r="BW230">
            <v>1139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E230">
            <v>1139</v>
          </cell>
          <cell r="CF230">
            <v>0</v>
          </cell>
          <cell r="CG230">
            <v>1139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O230">
            <v>1139</v>
          </cell>
          <cell r="CP230">
            <v>0</v>
          </cell>
          <cell r="CQ230">
            <v>1139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Y230">
            <v>1139</v>
          </cell>
          <cell r="CZ230">
            <v>0</v>
          </cell>
          <cell r="DA230">
            <v>1139</v>
          </cell>
          <cell r="DB230">
            <v>0</v>
          </cell>
          <cell r="DC230">
            <v>0</v>
          </cell>
          <cell r="DD230">
            <v>0</v>
          </cell>
          <cell r="DE230">
            <v>0</v>
          </cell>
          <cell r="DF230">
            <v>0</v>
          </cell>
          <cell r="DG230">
            <v>0</v>
          </cell>
          <cell r="DI230">
            <v>4536</v>
          </cell>
          <cell r="DJ230">
            <v>11073</v>
          </cell>
          <cell r="DK230">
            <v>0</v>
          </cell>
          <cell r="DL230">
            <v>11073</v>
          </cell>
          <cell r="DM230">
            <v>11073</v>
          </cell>
          <cell r="DN230">
            <v>0</v>
          </cell>
          <cell r="DO230">
            <v>11073</v>
          </cell>
          <cell r="DP230">
            <v>0</v>
          </cell>
          <cell r="DQ230">
            <v>0</v>
          </cell>
          <cell r="DR230">
            <v>0</v>
          </cell>
          <cell r="DS230">
            <v>0</v>
          </cell>
          <cell r="DT230">
            <v>22146</v>
          </cell>
          <cell r="DU230">
            <v>0</v>
          </cell>
          <cell r="DW230">
            <v>0</v>
          </cell>
          <cell r="DX230">
            <v>0</v>
          </cell>
          <cell r="DY230">
            <v>6650</v>
          </cell>
          <cell r="DZ230">
            <v>8764</v>
          </cell>
          <cell r="EA230">
            <v>10940</v>
          </cell>
          <cell r="EB230">
            <v>13116</v>
          </cell>
          <cell r="EC230">
            <v>15292</v>
          </cell>
          <cell r="ED230">
            <v>17570</v>
          </cell>
          <cell r="EE230">
            <v>19848</v>
          </cell>
          <cell r="EF230">
            <v>22126</v>
          </cell>
          <cell r="EG230">
            <v>24404</v>
          </cell>
          <cell r="EH230">
            <v>26682</v>
          </cell>
          <cell r="EI230">
            <v>165392</v>
          </cell>
          <cell r="EK230">
            <v>0</v>
          </cell>
          <cell r="EL230">
            <v>0</v>
          </cell>
          <cell r="EM230">
            <v>44.333333333333336</v>
          </cell>
          <cell r="EN230">
            <v>58.426666666666669</v>
          </cell>
          <cell r="EO230">
            <v>72.933333333333337</v>
          </cell>
          <cell r="EP230">
            <v>87.44</v>
          </cell>
          <cell r="EQ230">
            <v>101.94666666666666</v>
          </cell>
          <cell r="ER230">
            <v>117.13333333333333</v>
          </cell>
          <cell r="ES230">
            <v>142.244</v>
          </cell>
          <cell r="ET230">
            <v>158.56966666666668</v>
          </cell>
          <cell r="EU230">
            <v>174.89533333333335</v>
          </cell>
          <cell r="EV230">
            <v>191.221</v>
          </cell>
          <cell r="EW230">
            <v>1149.1433333333334</v>
          </cell>
          <cell r="EY230">
            <v>72332</v>
          </cell>
          <cell r="EZ230">
            <v>8</v>
          </cell>
          <cell r="FA230">
            <v>482.21333333333337</v>
          </cell>
          <cell r="FB230">
            <v>93060</v>
          </cell>
          <cell r="FC230">
            <v>8.6</v>
          </cell>
          <cell r="FD230">
            <v>666.93</v>
          </cell>
          <cell r="FE230">
            <v>1149.1433333333334</v>
          </cell>
          <cell r="FF230">
            <v>27831</v>
          </cell>
          <cell r="FH230">
            <v>27831</v>
          </cell>
        </row>
        <row r="231">
          <cell r="B231">
            <v>9403</v>
          </cell>
          <cell r="C231" t="str">
            <v>14.05.2007</v>
          </cell>
          <cell r="D231" t="str">
            <v>Bhalerao Prakash Shantaram</v>
          </cell>
          <cell r="F231">
            <v>9870</v>
          </cell>
          <cell r="H231">
            <v>4608</v>
          </cell>
          <cell r="I231">
            <v>4608</v>
          </cell>
          <cell r="J231">
            <v>9216</v>
          </cell>
          <cell r="K231">
            <v>-654</v>
          </cell>
          <cell r="M231">
            <v>1057</v>
          </cell>
          <cell r="N231">
            <v>0</v>
          </cell>
          <cell r="O231">
            <v>1057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W231">
            <v>1057</v>
          </cell>
          <cell r="X231">
            <v>0</v>
          </cell>
          <cell r="Y231">
            <v>1057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G231">
            <v>1088</v>
          </cell>
          <cell r="AH231">
            <v>0</v>
          </cell>
          <cell r="AI231">
            <v>1088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Q231">
            <v>1088</v>
          </cell>
          <cell r="AR231">
            <v>0</v>
          </cell>
          <cell r="AS231">
            <v>1088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BA231">
            <v>1088</v>
          </cell>
          <cell r="BB231">
            <v>0</v>
          </cell>
          <cell r="BC231">
            <v>1088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K231">
            <v>1139</v>
          </cell>
          <cell r="BL231">
            <v>0</v>
          </cell>
          <cell r="BM231">
            <v>1139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U231">
            <v>1139</v>
          </cell>
          <cell r="BV231">
            <v>0</v>
          </cell>
          <cell r="BW231">
            <v>1139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E231">
            <v>1139</v>
          </cell>
          <cell r="CF231">
            <v>0</v>
          </cell>
          <cell r="CG231">
            <v>1139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O231">
            <v>1139</v>
          </cell>
          <cell r="CP231">
            <v>0</v>
          </cell>
          <cell r="CQ231">
            <v>1139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Y231">
            <v>1139</v>
          </cell>
          <cell r="CZ231">
            <v>0</v>
          </cell>
          <cell r="DA231">
            <v>1139</v>
          </cell>
          <cell r="DB231">
            <v>0</v>
          </cell>
          <cell r="DC231">
            <v>0</v>
          </cell>
          <cell r="DD231">
            <v>0</v>
          </cell>
          <cell r="DE231">
            <v>0</v>
          </cell>
          <cell r="DF231">
            <v>0</v>
          </cell>
          <cell r="DG231">
            <v>0</v>
          </cell>
          <cell r="DI231">
            <v>9216</v>
          </cell>
          <cell r="DJ231">
            <v>11073</v>
          </cell>
          <cell r="DK231">
            <v>0</v>
          </cell>
          <cell r="DL231">
            <v>11073</v>
          </cell>
          <cell r="DM231">
            <v>11073</v>
          </cell>
          <cell r="DN231">
            <v>0</v>
          </cell>
          <cell r="DO231">
            <v>11073</v>
          </cell>
          <cell r="DP231">
            <v>0</v>
          </cell>
          <cell r="DQ231">
            <v>0</v>
          </cell>
          <cell r="DR231">
            <v>0</v>
          </cell>
          <cell r="DS231">
            <v>0</v>
          </cell>
          <cell r="DT231">
            <v>22146</v>
          </cell>
          <cell r="DU231">
            <v>0</v>
          </cell>
          <cell r="DW231">
            <v>0</v>
          </cell>
          <cell r="DX231">
            <v>0</v>
          </cell>
          <cell r="DY231">
            <v>11330</v>
          </cell>
          <cell r="DZ231">
            <v>13444</v>
          </cell>
          <cell r="EA231">
            <v>15620</v>
          </cell>
          <cell r="EB231">
            <v>17796</v>
          </cell>
          <cell r="EC231">
            <v>19972</v>
          </cell>
          <cell r="ED231">
            <v>22250</v>
          </cell>
          <cell r="EE231">
            <v>24528</v>
          </cell>
          <cell r="EF231">
            <v>26806</v>
          </cell>
          <cell r="EG231">
            <v>29084</v>
          </cell>
          <cell r="EH231">
            <v>31362</v>
          </cell>
          <cell r="EI231">
            <v>212192</v>
          </cell>
          <cell r="EK231">
            <v>0</v>
          </cell>
          <cell r="EL231">
            <v>0</v>
          </cell>
          <cell r="EM231">
            <v>75.533333333333331</v>
          </cell>
          <cell r="EN231">
            <v>89.626666666666665</v>
          </cell>
          <cell r="EO231">
            <v>104.13333333333333</v>
          </cell>
          <cell r="EP231">
            <v>118.64</v>
          </cell>
          <cell r="EQ231">
            <v>133.14666666666668</v>
          </cell>
          <cell r="ER231">
            <v>148.33333333333334</v>
          </cell>
          <cell r="ES231">
            <v>175.78399999999999</v>
          </cell>
          <cell r="ET231">
            <v>192.10966666666664</v>
          </cell>
          <cell r="EU231">
            <v>208.43533333333335</v>
          </cell>
          <cell r="EV231">
            <v>224.761</v>
          </cell>
          <cell r="EW231">
            <v>1470.5033333333333</v>
          </cell>
          <cell r="EY231">
            <v>100412</v>
          </cell>
          <cell r="EZ231">
            <v>8</v>
          </cell>
          <cell r="FA231">
            <v>669.4133333333333</v>
          </cell>
          <cell r="FB231">
            <v>111780</v>
          </cell>
          <cell r="FC231">
            <v>8.6</v>
          </cell>
          <cell r="FD231">
            <v>801.09</v>
          </cell>
          <cell r="FE231">
            <v>1470.5033333333333</v>
          </cell>
          <cell r="FF231">
            <v>32833</v>
          </cell>
          <cell r="FH231">
            <v>32833</v>
          </cell>
        </row>
        <row r="232">
          <cell r="B232">
            <v>9407</v>
          </cell>
          <cell r="C232" t="str">
            <v>14.05.2007</v>
          </cell>
          <cell r="D232" t="str">
            <v>Pandurlikar Yogita Sadanand</v>
          </cell>
          <cell r="F232">
            <v>8925</v>
          </cell>
          <cell r="H232">
            <v>5234</v>
          </cell>
          <cell r="I232">
            <v>5234</v>
          </cell>
          <cell r="J232">
            <v>10468</v>
          </cell>
          <cell r="K232">
            <v>1543</v>
          </cell>
          <cell r="M232">
            <v>1057</v>
          </cell>
          <cell r="N232">
            <v>0</v>
          </cell>
          <cell r="O232">
            <v>1057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W232">
            <v>1057</v>
          </cell>
          <cell r="X232">
            <v>0</v>
          </cell>
          <cell r="Y232">
            <v>1057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G232">
            <v>1088</v>
          </cell>
          <cell r="AH232">
            <v>0</v>
          </cell>
          <cell r="AI232">
            <v>1088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Q232">
            <v>1088</v>
          </cell>
          <cell r="AR232">
            <v>0</v>
          </cell>
          <cell r="AS232">
            <v>1088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BA232">
            <v>1088</v>
          </cell>
          <cell r="BB232">
            <v>0</v>
          </cell>
          <cell r="BC232">
            <v>1088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K232">
            <v>1139</v>
          </cell>
          <cell r="BL232">
            <v>0</v>
          </cell>
          <cell r="BM232">
            <v>1139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U232">
            <v>1139</v>
          </cell>
          <cell r="BV232">
            <v>0</v>
          </cell>
          <cell r="BW232">
            <v>1139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E232">
            <v>1139</v>
          </cell>
          <cell r="CF232">
            <v>0</v>
          </cell>
          <cell r="CG232">
            <v>1139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O232">
            <v>1139</v>
          </cell>
          <cell r="CP232">
            <v>0</v>
          </cell>
          <cell r="CQ232">
            <v>1139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Y232">
            <v>1139</v>
          </cell>
          <cell r="CZ232">
            <v>0</v>
          </cell>
          <cell r="DA232">
            <v>1139</v>
          </cell>
          <cell r="DB232">
            <v>0</v>
          </cell>
          <cell r="DC232">
            <v>0</v>
          </cell>
          <cell r="DD232">
            <v>0</v>
          </cell>
          <cell r="DE232">
            <v>0</v>
          </cell>
          <cell r="DF232">
            <v>0</v>
          </cell>
          <cell r="DG232">
            <v>0</v>
          </cell>
          <cell r="DI232">
            <v>10468</v>
          </cell>
          <cell r="DJ232">
            <v>11073</v>
          </cell>
          <cell r="DK232">
            <v>0</v>
          </cell>
          <cell r="DL232">
            <v>11073</v>
          </cell>
          <cell r="DM232">
            <v>11073</v>
          </cell>
          <cell r="DN232">
            <v>0</v>
          </cell>
          <cell r="DO232">
            <v>11073</v>
          </cell>
          <cell r="DP232">
            <v>0</v>
          </cell>
          <cell r="DQ232">
            <v>0</v>
          </cell>
          <cell r="DR232">
            <v>0</v>
          </cell>
          <cell r="DS232">
            <v>0</v>
          </cell>
          <cell r="DT232">
            <v>22146</v>
          </cell>
          <cell r="DU232">
            <v>0</v>
          </cell>
          <cell r="DW232">
            <v>0</v>
          </cell>
          <cell r="DX232">
            <v>0</v>
          </cell>
          <cell r="DY232">
            <v>12582</v>
          </cell>
          <cell r="DZ232">
            <v>14696</v>
          </cell>
          <cell r="EA232">
            <v>16872</v>
          </cell>
          <cell r="EB232">
            <v>19048</v>
          </cell>
          <cell r="EC232">
            <v>21224</v>
          </cell>
          <cell r="ED232">
            <v>23502</v>
          </cell>
          <cell r="EE232">
            <v>25780</v>
          </cell>
          <cell r="EF232">
            <v>28058</v>
          </cell>
          <cell r="EG232">
            <v>30336</v>
          </cell>
          <cell r="EH232">
            <v>32614</v>
          </cell>
          <cell r="EI232">
            <v>224712</v>
          </cell>
          <cell r="EK232">
            <v>0</v>
          </cell>
          <cell r="EL232">
            <v>0</v>
          </cell>
          <cell r="EM232">
            <v>83.88</v>
          </cell>
          <cell r="EN232">
            <v>97.973333333333343</v>
          </cell>
          <cell r="EO232">
            <v>112.48</v>
          </cell>
          <cell r="EP232">
            <v>126.98666666666666</v>
          </cell>
          <cell r="EQ232">
            <v>141.49333333333334</v>
          </cell>
          <cell r="ER232">
            <v>156.68</v>
          </cell>
          <cell r="ES232">
            <v>184.75666666666666</v>
          </cell>
          <cell r="ET232">
            <v>201.08233333333331</v>
          </cell>
          <cell r="EU232">
            <v>217.40799999999999</v>
          </cell>
          <cell r="EV232">
            <v>233.73366666666664</v>
          </cell>
          <cell r="EW232">
            <v>1556.4739999999997</v>
          </cell>
          <cell r="EY232">
            <v>107924</v>
          </cell>
          <cell r="EZ232">
            <v>8</v>
          </cell>
          <cell r="FA232">
            <v>719.49333333333334</v>
          </cell>
          <cell r="FB232">
            <v>116788</v>
          </cell>
          <cell r="FC232">
            <v>8.6</v>
          </cell>
          <cell r="FD232">
            <v>836.98066666666671</v>
          </cell>
          <cell r="FE232">
            <v>1556.4740000000002</v>
          </cell>
          <cell r="FF232">
            <v>34170</v>
          </cell>
          <cell r="FH232">
            <v>34170</v>
          </cell>
        </row>
        <row r="233">
          <cell r="B233">
            <v>9624</v>
          </cell>
          <cell r="C233" t="str">
            <v>14.05.2007</v>
          </cell>
          <cell r="D233" t="str">
            <v>Palaskar Seema Pravin</v>
          </cell>
          <cell r="F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E233">
            <v>1106</v>
          </cell>
          <cell r="CF233">
            <v>0</v>
          </cell>
          <cell r="CG233">
            <v>1106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O233">
            <v>1106</v>
          </cell>
          <cell r="CP233">
            <v>0</v>
          </cell>
          <cell r="CQ233">
            <v>1106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Y233">
            <v>1106</v>
          </cell>
          <cell r="CZ233">
            <v>0</v>
          </cell>
          <cell r="DA233">
            <v>1106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I233">
            <v>0</v>
          </cell>
          <cell r="DJ233">
            <v>3318</v>
          </cell>
          <cell r="DK233">
            <v>0</v>
          </cell>
          <cell r="DL233">
            <v>3318</v>
          </cell>
          <cell r="DM233">
            <v>3318</v>
          </cell>
          <cell r="DN233">
            <v>0</v>
          </cell>
          <cell r="DO233">
            <v>3318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>
            <v>6636</v>
          </cell>
          <cell r="DU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  <cell r="EF233">
            <v>2212</v>
          </cell>
          <cell r="EG233">
            <v>4424</v>
          </cell>
          <cell r="EH233">
            <v>6636</v>
          </cell>
          <cell r="EI233">
            <v>13272</v>
          </cell>
          <cell r="EK233">
            <v>0</v>
          </cell>
          <cell r="EL233">
            <v>0</v>
          </cell>
          <cell r="EM233">
            <v>0</v>
          </cell>
          <cell r="EN233">
            <v>0</v>
          </cell>
          <cell r="EO233">
            <v>0</v>
          </cell>
          <cell r="EP233">
            <v>0</v>
          </cell>
          <cell r="EQ233">
            <v>0</v>
          </cell>
          <cell r="ER233">
            <v>0</v>
          </cell>
          <cell r="ES233">
            <v>0</v>
          </cell>
          <cell r="ET233">
            <v>15.852666666666666</v>
          </cell>
          <cell r="EU233">
            <v>31.705333333333332</v>
          </cell>
          <cell r="EV233">
            <v>47.558</v>
          </cell>
          <cell r="EW233">
            <v>95.116</v>
          </cell>
          <cell r="EY233">
            <v>0</v>
          </cell>
          <cell r="EZ233">
            <v>8</v>
          </cell>
          <cell r="FA233">
            <v>0</v>
          </cell>
          <cell r="FB233">
            <v>13272</v>
          </cell>
          <cell r="FC233">
            <v>8.6</v>
          </cell>
          <cell r="FD233">
            <v>95.116</v>
          </cell>
          <cell r="FE233">
            <v>95.116</v>
          </cell>
          <cell r="FF233">
            <v>6731</v>
          </cell>
          <cell r="FH233">
            <v>6731</v>
          </cell>
        </row>
        <row r="234">
          <cell r="B234">
            <v>9427</v>
          </cell>
          <cell r="C234" t="str">
            <v>14.05.2007</v>
          </cell>
          <cell r="D234" t="str">
            <v>Gaikwad Nilesh Chintaman</v>
          </cell>
          <cell r="F234">
            <v>0</v>
          </cell>
          <cell r="H234">
            <v>4295</v>
          </cell>
          <cell r="I234">
            <v>4295</v>
          </cell>
          <cell r="J234">
            <v>8590</v>
          </cell>
          <cell r="K234">
            <v>8590</v>
          </cell>
          <cell r="M234">
            <v>1057</v>
          </cell>
          <cell r="N234">
            <v>0</v>
          </cell>
          <cell r="O234">
            <v>1057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W234">
            <v>1057</v>
          </cell>
          <cell r="X234">
            <v>0</v>
          </cell>
          <cell r="Y234">
            <v>1057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G234">
            <v>1088</v>
          </cell>
          <cell r="AH234">
            <v>0</v>
          </cell>
          <cell r="AI234">
            <v>1088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Q234">
            <v>1088</v>
          </cell>
          <cell r="AR234">
            <v>0</v>
          </cell>
          <cell r="AS234">
            <v>1088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BA234">
            <v>1088</v>
          </cell>
          <cell r="BB234">
            <v>0</v>
          </cell>
          <cell r="BC234">
            <v>1088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K234">
            <v>1139</v>
          </cell>
          <cell r="BL234">
            <v>0</v>
          </cell>
          <cell r="BM234">
            <v>1139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U234">
            <v>1139</v>
          </cell>
          <cell r="BV234">
            <v>0</v>
          </cell>
          <cell r="BW234">
            <v>1139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E234">
            <v>1139</v>
          </cell>
          <cell r="CF234">
            <v>0</v>
          </cell>
          <cell r="CG234">
            <v>1139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O234">
            <v>1139</v>
          </cell>
          <cell r="CP234">
            <v>0</v>
          </cell>
          <cell r="CQ234">
            <v>1139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Y234">
            <v>1139</v>
          </cell>
          <cell r="CZ234">
            <v>0</v>
          </cell>
          <cell r="DA234">
            <v>1139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I234">
            <v>8590</v>
          </cell>
          <cell r="DJ234">
            <v>11073</v>
          </cell>
          <cell r="DK234">
            <v>0</v>
          </cell>
          <cell r="DL234">
            <v>11073</v>
          </cell>
          <cell r="DM234">
            <v>11073</v>
          </cell>
          <cell r="DN234">
            <v>0</v>
          </cell>
          <cell r="DO234">
            <v>11073</v>
          </cell>
          <cell r="DP234">
            <v>0</v>
          </cell>
          <cell r="DQ234">
            <v>0</v>
          </cell>
          <cell r="DR234">
            <v>0</v>
          </cell>
          <cell r="DS234">
            <v>0</v>
          </cell>
          <cell r="DT234">
            <v>22146</v>
          </cell>
          <cell r="DU234">
            <v>0</v>
          </cell>
          <cell r="DW234">
            <v>0</v>
          </cell>
          <cell r="DX234">
            <v>0</v>
          </cell>
          <cell r="DY234">
            <v>10704</v>
          </cell>
          <cell r="DZ234">
            <v>12818</v>
          </cell>
          <cell r="EA234">
            <v>14994</v>
          </cell>
          <cell r="EB234">
            <v>17170</v>
          </cell>
          <cell r="EC234">
            <v>19346</v>
          </cell>
          <cell r="ED234">
            <v>21624</v>
          </cell>
          <cell r="EE234">
            <v>23902</v>
          </cell>
          <cell r="EF234">
            <v>26180</v>
          </cell>
          <cell r="EG234">
            <v>28458</v>
          </cell>
          <cell r="EH234">
            <v>30736</v>
          </cell>
          <cell r="EI234">
            <v>205932</v>
          </cell>
          <cell r="EK234">
            <v>0</v>
          </cell>
          <cell r="EL234">
            <v>0</v>
          </cell>
          <cell r="EM234">
            <v>71.36</v>
          </cell>
          <cell r="EN234">
            <v>85.453333333333333</v>
          </cell>
          <cell r="EO234">
            <v>99.96</v>
          </cell>
          <cell r="EP234">
            <v>114.46666666666665</v>
          </cell>
          <cell r="EQ234">
            <v>128.97333333333333</v>
          </cell>
          <cell r="ER234">
            <v>144.16</v>
          </cell>
          <cell r="ES234">
            <v>171.29766666666663</v>
          </cell>
          <cell r="ET234">
            <v>187.62333333333333</v>
          </cell>
          <cell r="EU234">
            <v>203.94899999999998</v>
          </cell>
          <cell r="EV234">
            <v>220.27466666666666</v>
          </cell>
          <cell r="EW234">
            <v>1427.5179999999998</v>
          </cell>
          <cell r="EY234">
            <v>96656</v>
          </cell>
          <cell r="EZ234">
            <v>8</v>
          </cell>
          <cell r="FA234">
            <v>644.37333333333333</v>
          </cell>
          <cell r="FB234">
            <v>109276</v>
          </cell>
          <cell r="FC234">
            <v>8.6</v>
          </cell>
          <cell r="FD234">
            <v>783.14466666666658</v>
          </cell>
          <cell r="FE234">
            <v>1427.518</v>
          </cell>
          <cell r="FF234">
            <v>32164</v>
          </cell>
          <cell r="FH234">
            <v>32164</v>
          </cell>
        </row>
        <row r="235">
          <cell r="B235">
            <v>9428</v>
          </cell>
          <cell r="C235" t="str">
            <v>14.05.2007</v>
          </cell>
          <cell r="D235" t="str">
            <v>Dhumal Vivek Vaman</v>
          </cell>
          <cell r="F235">
            <v>7035</v>
          </cell>
          <cell r="G235">
            <v>22144</v>
          </cell>
          <cell r="H235">
            <v>3195</v>
          </cell>
          <cell r="I235">
            <v>3195</v>
          </cell>
          <cell r="J235">
            <v>6390</v>
          </cell>
          <cell r="K235">
            <v>-645</v>
          </cell>
          <cell r="M235">
            <v>1057</v>
          </cell>
          <cell r="N235">
            <v>0</v>
          </cell>
          <cell r="O235">
            <v>1057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W235">
            <v>1057</v>
          </cell>
          <cell r="X235">
            <v>0</v>
          </cell>
          <cell r="Y235">
            <v>1057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G235">
            <v>1088</v>
          </cell>
          <cell r="AH235">
            <v>0</v>
          </cell>
          <cell r="AI235">
            <v>1088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Q235">
            <v>1088</v>
          </cell>
          <cell r="AR235">
            <v>0</v>
          </cell>
          <cell r="AS235">
            <v>1088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BA235">
            <v>1088</v>
          </cell>
          <cell r="BB235">
            <v>0</v>
          </cell>
          <cell r="BC235">
            <v>1088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K235">
            <v>1139</v>
          </cell>
          <cell r="BL235">
            <v>0</v>
          </cell>
          <cell r="BM235">
            <v>1139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U235">
            <v>1139</v>
          </cell>
          <cell r="BV235">
            <v>0</v>
          </cell>
          <cell r="BW235">
            <v>1139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E235">
            <v>1139</v>
          </cell>
          <cell r="CF235">
            <v>0</v>
          </cell>
          <cell r="CG235">
            <v>1139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O235">
            <v>1139</v>
          </cell>
          <cell r="CP235">
            <v>0</v>
          </cell>
          <cell r="CQ235">
            <v>1139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Y235">
            <v>1139</v>
          </cell>
          <cell r="CZ235">
            <v>0</v>
          </cell>
          <cell r="DA235">
            <v>1139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I235">
            <v>6390</v>
          </cell>
          <cell r="DJ235">
            <v>11073</v>
          </cell>
          <cell r="DK235">
            <v>0</v>
          </cell>
          <cell r="DL235">
            <v>11073</v>
          </cell>
          <cell r="DM235">
            <v>11073</v>
          </cell>
          <cell r="DN235">
            <v>0</v>
          </cell>
          <cell r="DO235">
            <v>11073</v>
          </cell>
          <cell r="DP235">
            <v>0</v>
          </cell>
          <cell r="DQ235">
            <v>0</v>
          </cell>
          <cell r="DR235">
            <v>0</v>
          </cell>
          <cell r="DS235">
            <v>0</v>
          </cell>
          <cell r="DT235">
            <v>22146</v>
          </cell>
          <cell r="DU235">
            <v>0</v>
          </cell>
          <cell r="DW235">
            <v>0</v>
          </cell>
          <cell r="DX235">
            <v>0</v>
          </cell>
          <cell r="DY235">
            <v>8504</v>
          </cell>
          <cell r="DZ235">
            <v>10618</v>
          </cell>
          <cell r="EA235">
            <v>12794</v>
          </cell>
          <cell r="EB235">
            <v>14970</v>
          </cell>
          <cell r="EC235">
            <v>17146</v>
          </cell>
          <cell r="ED235">
            <v>19424</v>
          </cell>
          <cell r="EE235">
            <v>21702</v>
          </cell>
          <cell r="EF235">
            <v>23980</v>
          </cell>
          <cell r="EG235">
            <v>26258</v>
          </cell>
          <cell r="EH235">
            <v>28536</v>
          </cell>
          <cell r="EI235">
            <v>183932</v>
          </cell>
          <cell r="EK235">
            <v>0</v>
          </cell>
          <cell r="EL235">
            <v>0</v>
          </cell>
          <cell r="EM235">
            <v>56.693333333333335</v>
          </cell>
          <cell r="EN235">
            <v>70.786666666666676</v>
          </cell>
          <cell r="EO235">
            <v>85.293333333333337</v>
          </cell>
          <cell r="EP235">
            <v>99.8</v>
          </cell>
          <cell r="EQ235">
            <v>114.30666666666667</v>
          </cell>
          <cell r="ER235">
            <v>129.49333333333334</v>
          </cell>
          <cell r="ES235">
            <v>155.53099999999998</v>
          </cell>
          <cell r="ET235">
            <v>171.85666666666668</v>
          </cell>
          <cell r="EU235">
            <v>188.18233333333333</v>
          </cell>
          <cell r="EV235">
            <v>204.50799999999995</v>
          </cell>
          <cell r="EW235">
            <v>1276.4513333333334</v>
          </cell>
          <cell r="EY235">
            <v>83456</v>
          </cell>
          <cell r="EZ235">
            <v>8</v>
          </cell>
          <cell r="FA235">
            <v>556.37333333333333</v>
          </cell>
          <cell r="FB235">
            <v>100476</v>
          </cell>
          <cell r="FC235">
            <v>8.6</v>
          </cell>
          <cell r="FD235">
            <v>720.07799999999997</v>
          </cell>
          <cell r="FE235">
            <v>1276.4513333333334</v>
          </cell>
          <cell r="FF235">
            <v>29812</v>
          </cell>
          <cell r="FH235">
            <v>29812</v>
          </cell>
        </row>
        <row r="236">
          <cell r="B236">
            <v>9479</v>
          </cell>
          <cell r="C236" t="str">
            <v>15.05.2007</v>
          </cell>
          <cell r="D236" t="str">
            <v>Nigal Sachin Ashok</v>
          </cell>
          <cell r="F236">
            <v>6090</v>
          </cell>
          <cell r="G236">
            <v>22136</v>
          </cell>
          <cell r="H236">
            <v>2730</v>
          </cell>
          <cell r="I236">
            <v>2730</v>
          </cell>
          <cell r="J236">
            <v>5460</v>
          </cell>
          <cell r="K236">
            <v>-630</v>
          </cell>
          <cell r="M236">
            <v>1057</v>
          </cell>
          <cell r="N236">
            <v>0</v>
          </cell>
          <cell r="O236">
            <v>1057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W236">
            <v>1057</v>
          </cell>
          <cell r="X236">
            <v>0</v>
          </cell>
          <cell r="Y236">
            <v>1057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G236">
            <v>1088</v>
          </cell>
          <cell r="AH236">
            <v>0</v>
          </cell>
          <cell r="AI236">
            <v>1088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Q236">
            <v>1088</v>
          </cell>
          <cell r="AR236">
            <v>0</v>
          </cell>
          <cell r="AS236">
            <v>1088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BA236">
            <v>1088</v>
          </cell>
          <cell r="BB236">
            <v>0</v>
          </cell>
          <cell r="BC236">
            <v>1088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K236">
            <v>1139</v>
          </cell>
          <cell r="BL236">
            <v>0</v>
          </cell>
          <cell r="BM236">
            <v>1139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U236">
            <v>1139</v>
          </cell>
          <cell r="BV236">
            <v>0</v>
          </cell>
          <cell r="BW236">
            <v>1139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E236">
            <v>1139</v>
          </cell>
          <cell r="CF236">
            <v>0</v>
          </cell>
          <cell r="CG236">
            <v>1139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O236">
            <v>1139</v>
          </cell>
          <cell r="CP236">
            <v>0</v>
          </cell>
          <cell r="CQ236">
            <v>1139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Y236">
            <v>1139</v>
          </cell>
          <cell r="CZ236">
            <v>0</v>
          </cell>
          <cell r="DA236">
            <v>1139</v>
          </cell>
          <cell r="DB236">
            <v>0</v>
          </cell>
          <cell r="DC236">
            <v>0</v>
          </cell>
          <cell r="DD236">
            <v>0</v>
          </cell>
          <cell r="DE236">
            <v>0</v>
          </cell>
          <cell r="DF236">
            <v>0</v>
          </cell>
          <cell r="DG236">
            <v>0</v>
          </cell>
          <cell r="DI236">
            <v>5460</v>
          </cell>
          <cell r="DJ236">
            <v>11073</v>
          </cell>
          <cell r="DK236">
            <v>0</v>
          </cell>
          <cell r="DL236">
            <v>11073</v>
          </cell>
          <cell r="DM236">
            <v>11073</v>
          </cell>
          <cell r="DN236">
            <v>0</v>
          </cell>
          <cell r="DO236">
            <v>11073</v>
          </cell>
          <cell r="DP236">
            <v>0</v>
          </cell>
          <cell r="DQ236">
            <v>0</v>
          </cell>
          <cell r="DR236">
            <v>0</v>
          </cell>
          <cell r="DS236">
            <v>0</v>
          </cell>
          <cell r="DT236">
            <v>22146</v>
          </cell>
          <cell r="DU236">
            <v>0</v>
          </cell>
          <cell r="DW236">
            <v>0</v>
          </cell>
          <cell r="DX236">
            <v>0</v>
          </cell>
          <cell r="DY236">
            <v>7574</v>
          </cell>
          <cell r="DZ236">
            <v>9688</v>
          </cell>
          <cell r="EA236">
            <v>11864</v>
          </cell>
          <cell r="EB236">
            <v>14040</v>
          </cell>
          <cell r="EC236">
            <v>16216</v>
          </cell>
          <cell r="ED236">
            <v>18494</v>
          </cell>
          <cell r="EE236">
            <v>20772</v>
          </cell>
          <cell r="EF236">
            <v>23050</v>
          </cell>
          <cell r="EG236">
            <v>25328</v>
          </cell>
          <cell r="EH236">
            <v>27606</v>
          </cell>
          <cell r="EI236">
            <v>174632</v>
          </cell>
          <cell r="EK236">
            <v>0</v>
          </cell>
          <cell r="EL236">
            <v>0</v>
          </cell>
          <cell r="EM236">
            <v>50.493333333333332</v>
          </cell>
          <cell r="EN236">
            <v>64.586666666666659</v>
          </cell>
          <cell r="EO236">
            <v>79.093333333333334</v>
          </cell>
          <cell r="EP236">
            <v>93.600000000000009</v>
          </cell>
          <cell r="EQ236">
            <v>108.10666666666667</v>
          </cell>
          <cell r="ER236">
            <v>123.29333333333334</v>
          </cell>
          <cell r="ES236">
            <v>148.86599999999999</v>
          </cell>
          <cell r="ET236">
            <v>165.19166666666666</v>
          </cell>
          <cell r="EU236">
            <v>181.51733333333334</v>
          </cell>
          <cell r="EV236">
            <v>197.84299999999999</v>
          </cell>
          <cell r="EW236">
            <v>1212.5913333333333</v>
          </cell>
          <cell r="EY236">
            <v>77876</v>
          </cell>
          <cell r="EZ236">
            <v>8</v>
          </cell>
          <cell r="FA236">
            <v>519.17333333333329</v>
          </cell>
          <cell r="FB236">
            <v>96756</v>
          </cell>
          <cell r="FC236">
            <v>8.6</v>
          </cell>
          <cell r="FD236">
            <v>693.41800000000001</v>
          </cell>
          <cell r="FE236">
            <v>1212.5913333333333</v>
          </cell>
          <cell r="FF236">
            <v>28819</v>
          </cell>
          <cell r="FH236">
            <v>28819</v>
          </cell>
        </row>
        <row r="237">
          <cell r="B237">
            <v>9501</v>
          </cell>
          <cell r="C237" t="str">
            <v>15.05.2007</v>
          </cell>
          <cell r="D237" t="str">
            <v>Nigal Manoj Pandit</v>
          </cell>
          <cell r="F237">
            <v>5075</v>
          </cell>
          <cell r="H237">
            <v>3824</v>
          </cell>
          <cell r="I237">
            <v>3824</v>
          </cell>
          <cell r="J237">
            <v>7648</v>
          </cell>
          <cell r="K237">
            <v>2573</v>
          </cell>
          <cell r="M237">
            <v>1057</v>
          </cell>
          <cell r="N237">
            <v>0</v>
          </cell>
          <cell r="O237">
            <v>1057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W237">
            <v>1057</v>
          </cell>
          <cell r="X237">
            <v>0</v>
          </cell>
          <cell r="Y237">
            <v>1057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G237">
            <v>1088</v>
          </cell>
          <cell r="AH237">
            <v>0</v>
          </cell>
          <cell r="AI237">
            <v>1088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Q237">
            <v>1088</v>
          </cell>
          <cell r="AR237">
            <v>0</v>
          </cell>
          <cell r="AS237">
            <v>1088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BA237">
            <v>1088</v>
          </cell>
          <cell r="BB237">
            <v>0</v>
          </cell>
          <cell r="BC237">
            <v>1088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K237">
            <v>1139</v>
          </cell>
          <cell r="BL237">
            <v>0</v>
          </cell>
          <cell r="BM237">
            <v>1139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U237">
            <v>1139</v>
          </cell>
          <cell r="BV237">
            <v>0</v>
          </cell>
          <cell r="BW237">
            <v>1139</v>
          </cell>
          <cell r="BX237">
            <v>0</v>
          </cell>
          <cell r="BY237">
            <v>0</v>
          </cell>
          <cell r="BZ237">
            <v>0</v>
          </cell>
          <cell r="CA237">
            <v>0</v>
          </cell>
          <cell r="CB237">
            <v>0</v>
          </cell>
          <cell r="CC237">
            <v>0</v>
          </cell>
          <cell r="CE237">
            <v>1139</v>
          </cell>
          <cell r="CF237">
            <v>0</v>
          </cell>
          <cell r="CG237">
            <v>1139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O237">
            <v>1139</v>
          </cell>
          <cell r="CP237">
            <v>0</v>
          </cell>
          <cell r="CQ237">
            <v>1139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Y237">
            <v>1139</v>
          </cell>
          <cell r="CZ237">
            <v>0</v>
          </cell>
          <cell r="DA237">
            <v>1139</v>
          </cell>
          <cell r="DB237">
            <v>0</v>
          </cell>
          <cell r="DC237">
            <v>0</v>
          </cell>
          <cell r="DD237">
            <v>0</v>
          </cell>
          <cell r="DE237">
            <v>0</v>
          </cell>
          <cell r="DF237">
            <v>0</v>
          </cell>
          <cell r="DG237">
            <v>0</v>
          </cell>
          <cell r="DI237">
            <v>7648</v>
          </cell>
          <cell r="DJ237">
            <v>11073</v>
          </cell>
          <cell r="DK237">
            <v>0</v>
          </cell>
          <cell r="DL237">
            <v>11073</v>
          </cell>
          <cell r="DM237">
            <v>11073</v>
          </cell>
          <cell r="DN237">
            <v>0</v>
          </cell>
          <cell r="DO237">
            <v>11073</v>
          </cell>
          <cell r="DP237">
            <v>0</v>
          </cell>
          <cell r="DQ237">
            <v>0</v>
          </cell>
          <cell r="DR237">
            <v>0</v>
          </cell>
          <cell r="DS237">
            <v>0</v>
          </cell>
          <cell r="DT237">
            <v>22146</v>
          </cell>
          <cell r="DU237">
            <v>0</v>
          </cell>
          <cell r="DW237">
            <v>0</v>
          </cell>
          <cell r="DX237">
            <v>0</v>
          </cell>
          <cell r="DY237">
            <v>9762</v>
          </cell>
          <cell r="DZ237">
            <v>11876</v>
          </cell>
          <cell r="EA237">
            <v>14052</v>
          </cell>
          <cell r="EB237">
            <v>16228</v>
          </cell>
          <cell r="EC237">
            <v>18404</v>
          </cell>
          <cell r="ED237">
            <v>20682</v>
          </cell>
          <cell r="EE237">
            <v>22960</v>
          </cell>
          <cell r="EF237">
            <v>25238</v>
          </cell>
          <cell r="EG237">
            <v>27516</v>
          </cell>
          <cell r="EH237">
            <v>29794</v>
          </cell>
          <cell r="EI237">
            <v>196512</v>
          </cell>
          <cell r="EK237">
            <v>0</v>
          </cell>
          <cell r="EL237">
            <v>0</v>
          </cell>
          <cell r="EM237">
            <v>65.08</v>
          </cell>
          <cell r="EN237">
            <v>79.173333333333332</v>
          </cell>
          <cell r="EO237">
            <v>93.68</v>
          </cell>
          <cell r="EP237">
            <v>108.18666666666667</v>
          </cell>
          <cell r="EQ237">
            <v>122.69333333333333</v>
          </cell>
          <cell r="ER237">
            <v>137.88</v>
          </cell>
          <cell r="ES237">
            <v>164.54666666666665</v>
          </cell>
          <cell r="ET237">
            <v>180.87233333333333</v>
          </cell>
          <cell r="EU237">
            <v>197.19799999999998</v>
          </cell>
          <cell r="EV237">
            <v>213.52366666666668</v>
          </cell>
          <cell r="EW237">
            <v>1362.8340000000001</v>
          </cell>
          <cell r="EY237">
            <v>91004</v>
          </cell>
          <cell r="EZ237">
            <v>8</v>
          </cell>
          <cell r="FA237">
            <v>606.69333333333327</v>
          </cell>
          <cell r="FB237">
            <v>105508</v>
          </cell>
          <cell r="FC237">
            <v>8.6</v>
          </cell>
          <cell r="FD237">
            <v>756.14066666666668</v>
          </cell>
          <cell r="FE237">
            <v>1362.8339999999998</v>
          </cell>
          <cell r="FF237">
            <v>31157</v>
          </cell>
          <cell r="FH237">
            <v>31157</v>
          </cell>
        </row>
        <row r="238">
          <cell r="B238">
            <v>9405</v>
          </cell>
          <cell r="C238" t="str">
            <v>16.05.2007</v>
          </cell>
          <cell r="D238" t="str">
            <v>Chavan Deepak Ramdas</v>
          </cell>
          <cell r="F238">
            <v>8925</v>
          </cell>
          <cell r="G238">
            <v>22823</v>
          </cell>
          <cell r="H238">
            <v>5234</v>
          </cell>
          <cell r="I238">
            <v>5234</v>
          </cell>
          <cell r="J238">
            <v>10468</v>
          </cell>
          <cell r="K238">
            <v>1543</v>
          </cell>
          <cell r="M238">
            <v>1057</v>
          </cell>
          <cell r="N238">
            <v>0</v>
          </cell>
          <cell r="O238">
            <v>1057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W238">
            <v>1057</v>
          </cell>
          <cell r="X238">
            <v>0</v>
          </cell>
          <cell r="Y238">
            <v>1057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G238">
            <v>1088</v>
          </cell>
          <cell r="AH238">
            <v>0</v>
          </cell>
          <cell r="AI238">
            <v>1088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Q238">
            <v>1088</v>
          </cell>
          <cell r="AR238">
            <v>0</v>
          </cell>
          <cell r="AS238">
            <v>1088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BA238">
            <v>1088</v>
          </cell>
          <cell r="BB238">
            <v>0</v>
          </cell>
          <cell r="BC238">
            <v>1088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K238">
            <v>1139</v>
          </cell>
          <cell r="BL238">
            <v>0</v>
          </cell>
          <cell r="BM238">
            <v>1139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U238">
            <v>1139</v>
          </cell>
          <cell r="BV238">
            <v>0</v>
          </cell>
          <cell r="BW238">
            <v>1139</v>
          </cell>
          <cell r="BX238">
            <v>0</v>
          </cell>
          <cell r="BY238">
            <v>0</v>
          </cell>
          <cell r="BZ238">
            <v>0</v>
          </cell>
          <cell r="CA238">
            <v>0</v>
          </cell>
          <cell r="CB238">
            <v>0</v>
          </cell>
          <cell r="CC238">
            <v>0</v>
          </cell>
          <cell r="CE238">
            <v>1139</v>
          </cell>
          <cell r="CF238">
            <v>0</v>
          </cell>
          <cell r="CG238">
            <v>1139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O238">
            <v>1139</v>
          </cell>
          <cell r="CP238">
            <v>0</v>
          </cell>
          <cell r="CQ238">
            <v>1139</v>
          </cell>
          <cell r="CR238">
            <v>0</v>
          </cell>
          <cell r="CS238">
            <v>0</v>
          </cell>
          <cell r="CT238">
            <v>0</v>
          </cell>
          <cell r="CU238">
            <v>0</v>
          </cell>
          <cell r="CV238">
            <v>0</v>
          </cell>
          <cell r="CW238">
            <v>0</v>
          </cell>
          <cell r="CY238">
            <v>1139</v>
          </cell>
          <cell r="CZ238">
            <v>0</v>
          </cell>
          <cell r="DA238">
            <v>1139</v>
          </cell>
          <cell r="DB238">
            <v>0</v>
          </cell>
          <cell r="DC238">
            <v>0</v>
          </cell>
          <cell r="DD238">
            <v>0</v>
          </cell>
          <cell r="DE238">
            <v>0</v>
          </cell>
          <cell r="DF238">
            <v>0</v>
          </cell>
          <cell r="DG238">
            <v>0</v>
          </cell>
          <cell r="DI238">
            <v>10468</v>
          </cell>
          <cell r="DJ238">
            <v>11073</v>
          </cell>
          <cell r="DK238">
            <v>0</v>
          </cell>
          <cell r="DL238">
            <v>11073</v>
          </cell>
          <cell r="DM238">
            <v>11073</v>
          </cell>
          <cell r="DN238">
            <v>0</v>
          </cell>
          <cell r="DO238">
            <v>11073</v>
          </cell>
          <cell r="DP238">
            <v>0</v>
          </cell>
          <cell r="DQ238">
            <v>0</v>
          </cell>
          <cell r="DR238">
            <v>0</v>
          </cell>
          <cell r="DS238">
            <v>0</v>
          </cell>
          <cell r="DT238">
            <v>22146</v>
          </cell>
          <cell r="DU238">
            <v>0</v>
          </cell>
          <cell r="DW238">
            <v>0</v>
          </cell>
          <cell r="DX238">
            <v>0</v>
          </cell>
          <cell r="DY238">
            <v>12582</v>
          </cell>
          <cell r="DZ238">
            <v>14696</v>
          </cell>
          <cell r="EA238">
            <v>16872</v>
          </cell>
          <cell r="EB238">
            <v>19048</v>
          </cell>
          <cell r="EC238">
            <v>21224</v>
          </cell>
          <cell r="ED238">
            <v>23502</v>
          </cell>
          <cell r="EE238">
            <v>25780</v>
          </cell>
          <cell r="EF238">
            <v>28058</v>
          </cell>
          <cell r="EG238">
            <v>30336</v>
          </cell>
          <cell r="EH238">
            <v>32614</v>
          </cell>
          <cell r="EI238">
            <v>224712</v>
          </cell>
          <cell r="EK238">
            <v>0</v>
          </cell>
          <cell r="EL238">
            <v>0</v>
          </cell>
          <cell r="EM238">
            <v>83.88</v>
          </cell>
          <cell r="EN238">
            <v>97.973333333333343</v>
          </cell>
          <cell r="EO238">
            <v>112.48</v>
          </cell>
          <cell r="EP238">
            <v>126.98666666666666</v>
          </cell>
          <cell r="EQ238">
            <v>141.49333333333334</v>
          </cell>
          <cell r="ER238">
            <v>156.68</v>
          </cell>
          <cell r="ES238">
            <v>184.75666666666666</v>
          </cell>
          <cell r="ET238">
            <v>201.08233333333331</v>
          </cell>
          <cell r="EU238">
            <v>217.40799999999999</v>
          </cell>
          <cell r="EV238">
            <v>233.73366666666664</v>
          </cell>
          <cell r="EW238">
            <v>1556.4739999999997</v>
          </cell>
          <cell r="EY238">
            <v>107924</v>
          </cell>
          <cell r="EZ238">
            <v>8</v>
          </cell>
          <cell r="FA238">
            <v>719.49333333333334</v>
          </cell>
          <cell r="FB238">
            <v>116788</v>
          </cell>
          <cell r="FC238">
            <v>8.6</v>
          </cell>
          <cell r="FD238">
            <v>836.98066666666671</v>
          </cell>
          <cell r="FE238">
            <v>1556.4740000000002</v>
          </cell>
          <cell r="FF238">
            <v>34170</v>
          </cell>
          <cell r="FH238">
            <v>34170</v>
          </cell>
        </row>
        <row r="239">
          <cell r="B239">
            <v>9425</v>
          </cell>
          <cell r="C239" t="str">
            <v>16.05.2007</v>
          </cell>
          <cell r="D239" t="str">
            <v>Narayane Sanjana Jagnnath</v>
          </cell>
          <cell r="F239">
            <v>7035</v>
          </cell>
          <cell r="H239">
            <v>4295</v>
          </cell>
          <cell r="I239">
            <v>4295</v>
          </cell>
          <cell r="J239">
            <v>8590</v>
          </cell>
          <cell r="K239">
            <v>1555</v>
          </cell>
          <cell r="M239">
            <v>1057</v>
          </cell>
          <cell r="N239">
            <v>0</v>
          </cell>
          <cell r="O239">
            <v>1057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W239">
            <v>1057</v>
          </cell>
          <cell r="X239">
            <v>0</v>
          </cell>
          <cell r="Y239">
            <v>1057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G239">
            <v>1088</v>
          </cell>
          <cell r="AH239">
            <v>0</v>
          </cell>
          <cell r="AI239">
            <v>1088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Q239">
            <v>1088</v>
          </cell>
          <cell r="AR239">
            <v>0</v>
          </cell>
          <cell r="AS239">
            <v>1088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BA239">
            <v>1088</v>
          </cell>
          <cell r="BB239">
            <v>0</v>
          </cell>
          <cell r="BC239">
            <v>1088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K239">
            <v>1139</v>
          </cell>
          <cell r="BL239">
            <v>0</v>
          </cell>
          <cell r="BM239">
            <v>1139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U239">
            <v>1139</v>
          </cell>
          <cell r="BV239">
            <v>0</v>
          </cell>
          <cell r="BW239">
            <v>1139</v>
          </cell>
          <cell r="BX239">
            <v>0</v>
          </cell>
          <cell r="BY239">
            <v>0</v>
          </cell>
          <cell r="BZ239">
            <v>0</v>
          </cell>
          <cell r="CA239">
            <v>0</v>
          </cell>
          <cell r="CB239">
            <v>0</v>
          </cell>
          <cell r="CC239">
            <v>0</v>
          </cell>
          <cell r="CE239">
            <v>1139</v>
          </cell>
          <cell r="CF239">
            <v>0</v>
          </cell>
          <cell r="CG239">
            <v>1139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O239">
            <v>1139</v>
          </cell>
          <cell r="CP239">
            <v>0</v>
          </cell>
          <cell r="CQ239">
            <v>1139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Y239">
            <v>1139</v>
          </cell>
          <cell r="CZ239">
            <v>0</v>
          </cell>
          <cell r="DA239">
            <v>1139</v>
          </cell>
          <cell r="DB239">
            <v>0</v>
          </cell>
          <cell r="DC239">
            <v>0</v>
          </cell>
          <cell r="DD239">
            <v>0</v>
          </cell>
          <cell r="DE239">
            <v>0</v>
          </cell>
          <cell r="DF239">
            <v>0</v>
          </cell>
          <cell r="DG239">
            <v>0</v>
          </cell>
          <cell r="DI239">
            <v>8590</v>
          </cell>
          <cell r="DJ239">
            <v>11073</v>
          </cell>
          <cell r="DK239">
            <v>0</v>
          </cell>
          <cell r="DL239">
            <v>11073</v>
          </cell>
          <cell r="DM239">
            <v>11073</v>
          </cell>
          <cell r="DN239">
            <v>0</v>
          </cell>
          <cell r="DO239">
            <v>11073</v>
          </cell>
          <cell r="DP239">
            <v>0</v>
          </cell>
          <cell r="DQ239">
            <v>0</v>
          </cell>
          <cell r="DR239">
            <v>0</v>
          </cell>
          <cell r="DS239">
            <v>0</v>
          </cell>
          <cell r="DT239">
            <v>22146</v>
          </cell>
          <cell r="DU239">
            <v>0</v>
          </cell>
          <cell r="DW239">
            <v>0</v>
          </cell>
          <cell r="DX239">
            <v>0</v>
          </cell>
          <cell r="DY239">
            <v>10704</v>
          </cell>
          <cell r="DZ239">
            <v>12818</v>
          </cell>
          <cell r="EA239">
            <v>14994</v>
          </cell>
          <cell r="EB239">
            <v>17170</v>
          </cell>
          <cell r="EC239">
            <v>19346</v>
          </cell>
          <cell r="ED239">
            <v>21624</v>
          </cell>
          <cell r="EE239">
            <v>23902</v>
          </cell>
          <cell r="EF239">
            <v>26180</v>
          </cell>
          <cell r="EG239">
            <v>28458</v>
          </cell>
          <cell r="EH239">
            <v>30736</v>
          </cell>
          <cell r="EI239">
            <v>205932</v>
          </cell>
          <cell r="EK239">
            <v>0</v>
          </cell>
          <cell r="EL239">
            <v>0</v>
          </cell>
          <cell r="EM239">
            <v>71.36</v>
          </cell>
          <cell r="EN239">
            <v>85.453333333333333</v>
          </cell>
          <cell r="EO239">
            <v>99.96</v>
          </cell>
          <cell r="EP239">
            <v>114.46666666666665</v>
          </cell>
          <cell r="EQ239">
            <v>128.97333333333333</v>
          </cell>
          <cell r="ER239">
            <v>144.16</v>
          </cell>
          <cell r="ES239">
            <v>171.29766666666663</v>
          </cell>
          <cell r="ET239">
            <v>187.62333333333333</v>
          </cell>
          <cell r="EU239">
            <v>203.94899999999998</v>
          </cell>
          <cell r="EV239">
            <v>220.27466666666666</v>
          </cell>
          <cell r="EW239">
            <v>1427.5179999999998</v>
          </cell>
          <cell r="EY239">
            <v>96656</v>
          </cell>
          <cell r="EZ239">
            <v>8</v>
          </cell>
          <cell r="FA239">
            <v>644.37333333333333</v>
          </cell>
          <cell r="FB239">
            <v>109276</v>
          </cell>
          <cell r="FC239">
            <v>8.6</v>
          </cell>
          <cell r="FD239">
            <v>783.14466666666658</v>
          </cell>
          <cell r="FE239">
            <v>1427.518</v>
          </cell>
          <cell r="FF239">
            <v>32164</v>
          </cell>
          <cell r="FH239">
            <v>32164</v>
          </cell>
        </row>
        <row r="240">
          <cell r="B240">
            <v>9505</v>
          </cell>
          <cell r="C240" t="str">
            <v>21.05.2007</v>
          </cell>
          <cell r="D240" t="str">
            <v>Gangurde Sangita Raju</v>
          </cell>
          <cell r="F240">
            <v>4060</v>
          </cell>
          <cell r="H240">
            <v>3909</v>
          </cell>
          <cell r="I240">
            <v>3909</v>
          </cell>
          <cell r="J240">
            <v>7818</v>
          </cell>
          <cell r="K240">
            <v>3758</v>
          </cell>
          <cell r="M240">
            <v>1057</v>
          </cell>
          <cell r="N240">
            <v>0</v>
          </cell>
          <cell r="O240">
            <v>1057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W240">
            <v>1057</v>
          </cell>
          <cell r="X240">
            <v>0</v>
          </cell>
          <cell r="Y240">
            <v>1057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G240">
            <v>1088</v>
          </cell>
          <cell r="AH240">
            <v>0</v>
          </cell>
          <cell r="AI240">
            <v>1088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Q240">
            <v>1088</v>
          </cell>
          <cell r="AR240">
            <v>0</v>
          </cell>
          <cell r="AS240">
            <v>1088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BA240">
            <v>1088</v>
          </cell>
          <cell r="BB240">
            <v>0</v>
          </cell>
          <cell r="BC240">
            <v>1088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K240">
            <v>1139</v>
          </cell>
          <cell r="BL240">
            <v>0</v>
          </cell>
          <cell r="BM240">
            <v>1139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U240">
            <v>1139</v>
          </cell>
          <cell r="BV240">
            <v>0</v>
          </cell>
          <cell r="BW240">
            <v>1139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E240">
            <v>1139</v>
          </cell>
          <cell r="CF240">
            <v>0</v>
          </cell>
          <cell r="CG240">
            <v>1139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O240">
            <v>1139</v>
          </cell>
          <cell r="CP240">
            <v>0</v>
          </cell>
          <cell r="CQ240">
            <v>1139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Y240">
            <v>1139</v>
          </cell>
          <cell r="CZ240">
            <v>0</v>
          </cell>
          <cell r="DA240">
            <v>1139</v>
          </cell>
          <cell r="DB240">
            <v>0</v>
          </cell>
          <cell r="DC240">
            <v>0</v>
          </cell>
          <cell r="DD240">
            <v>0</v>
          </cell>
          <cell r="DE240">
            <v>0</v>
          </cell>
          <cell r="DF240">
            <v>0</v>
          </cell>
          <cell r="DG240">
            <v>0</v>
          </cell>
          <cell r="DI240">
            <v>7818</v>
          </cell>
          <cell r="DJ240">
            <v>11073</v>
          </cell>
          <cell r="DK240">
            <v>0</v>
          </cell>
          <cell r="DL240">
            <v>11073</v>
          </cell>
          <cell r="DM240">
            <v>11073</v>
          </cell>
          <cell r="DN240">
            <v>0</v>
          </cell>
          <cell r="DO240">
            <v>11073</v>
          </cell>
          <cell r="DP240">
            <v>0</v>
          </cell>
          <cell r="DQ240">
            <v>0</v>
          </cell>
          <cell r="DR240">
            <v>0</v>
          </cell>
          <cell r="DS240">
            <v>0</v>
          </cell>
          <cell r="DT240">
            <v>22146</v>
          </cell>
          <cell r="DU240">
            <v>0</v>
          </cell>
          <cell r="DW240">
            <v>0</v>
          </cell>
          <cell r="DX240">
            <v>0</v>
          </cell>
          <cell r="DY240">
            <v>9932</v>
          </cell>
          <cell r="DZ240">
            <v>12046</v>
          </cell>
          <cell r="EA240">
            <v>14222</v>
          </cell>
          <cell r="EB240">
            <v>16398</v>
          </cell>
          <cell r="EC240">
            <v>18574</v>
          </cell>
          <cell r="ED240">
            <v>20852</v>
          </cell>
          <cell r="EE240">
            <v>23130</v>
          </cell>
          <cell r="EF240">
            <v>25408</v>
          </cell>
          <cell r="EG240">
            <v>27686</v>
          </cell>
          <cell r="EH240">
            <v>29964</v>
          </cell>
          <cell r="EI240">
            <v>198212</v>
          </cell>
          <cell r="EK240">
            <v>0</v>
          </cell>
          <cell r="EL240">
            <v>0</v>
          </cell>
          <cell r="EM240">
            <v>66.213333333333324</v>
          </cell>
          <cell r="EN240">
            <v>80.306666666666658</v>
          </cell>
          <cell r="EO240">
            <v>94.813333333333333</v>
          </cell>
          <cell r="EP240">
            <v>109.32</v>
          </cell>
          <cell r="EQ240">
            <v>123.82666666666667</v>
          </cell>
          <cell r="ER240">
            <v>139.01333333333335</v>
          </cell>
          <cell r="ES240">
            <v>165.76500000000001</v>
          </cell>
          <cell r="ET240">
            <v>182.09066666666664</v>
          </cell>
          <cell r="EU240">
            <v>198.41633333333331</v>
          </cell>
          <cell r="EV240">
            <v>214.74199999999999</v>
          </cell>
          <cell r="EW240">
            <v>1374.5073333333332</v>
          </cell>
          <cell r="EY240">
            <v>92024</v>
          </cell>
          <cell r="EZ240">
            <v>8</v>
          </cell>
          <cell r="FA240">
            <v>613.49333333333334</v>
          </cell>
          <cell r="FB240">
            <v>106188</v>
          </cell>
          <cell r="FC240">
            <v>8.6</v>
          </cell>
          <cell r="FD240">
            <v>761.01400000000001</v>
          </cell>
          <cell r="FE240">
            <v>1374.5073333333335</v>
          </cell>
          <cell r="FF240">
            <v>31339</v>
          </cell>
          <cell r="FH240">
            <v>31339</v>
          </cell>
        </row>
        <row r="241">
          <cell r="B241">
            <v>9461</v>
          </cell>
          <cell r="C241" t="str">
            <v>24.05.2007</v>
          </cell>
          <cell r="D241" t="str">
            <v>Tejale Vicky Satish</v>
          </cell>
          <cell r="F241">
            <v>7035</v>
          </cell>
          <cell r="H241">
            <v>4295</v>
          </cell>
          <cell r="I241">
            <v>4295</v>
          </cell>
          <cell r="J241">
            <v>8590</v>
          </cell>
          <cell r="K241">
            <v>1555</v>
          </cell>
          <cell r="M241">
            <v>1057</v>
          </cell>
          <cell r="N241">
            <v>0</v>
          </cell>
          <cell r="O241">
            <v>1057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W241">
            <v>1057</v>
          </cell>
          <cell r="X241">
            <v>0</v>
          </cell>
          <cell r="Y241">
            <v>1057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G241">
            <v>1088</v>
          </cell>
          <cell r="AH241">
            <v>0</v>
          </cell>
          <cell r="AI241">
            <v>1088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Q241">
            <v>1088</v>
          </cell>
          <cell r="AR241">
            <v>0</v>
          </cell>
          <cell r="AS241">
            <v>1088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BA241">
            <v>1088</v>
          </cell>
          <cell r="BB241">
            <v>0</v>
          </cell>
          <cell r="BC241">
            <v>1088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K241">
            <v>1139</v>
          </cell>
          <cell r="BL241">
            <v>0</v>
          </cell>
          <cell r="BM241">
            <v>1139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U241">
            <v>1139</v>
          </cell>
          <cell r="BV241">
            <v>0</v>
          </cell>
          <cell r="BW241">
            <v>1139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0</v>
          </cell>
          <cell r="CE241">
            <v>1139</v>
          </cell>
          <cell r="CF241">
            <v>0</v>
          </cell>
          <cell r="CG241">
            <v>1139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O241">
            <v>1139</v>
          </cell>
          <cell r="CP241">
            <v>0</v>
          </cell>
          <cell r="CQ241">
            <v>1139</v>
          </cell>
          <cell r="CR241">
            <v>0</v>
          </cell>
          <cell r="CS241">
            <v>0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Y241">
            <v>1139</v>
          </cell>
          <cell r="CZ241">
            <v>0</v>
          </cell>
          <cell r="DA241">
            <v>1139</v>
          </cell>
          <cell r="DB241">
            <v>0</v>
          </cell>
          <cell r="DC241">
            <v>0</v>
          </cell>
          <cell r="DD241">
            <v>0</v>
          </cell>
          <cell r="DE241">
            <v>0</v>
          </cell>
          <cell r="DF241">
            <v>0</v>
          </cell>
          <cell r="DG241">
            <v>0</v>
          </cell>
          <cell r="DI241">
            <v>8590</v>
          </cell>
          <cell r="DJ241">
            <v>11073</v>
          </cell>
          <cell r="DK241">
            <v>0</v>
          </cell>
          <cell r="DL241">
            <v>11073</v>
          </cell>
          <cell r="DM241">
            <v>11073</v>
          </cell>
          <cell r="DN241">
            <v>0</v>
          </cell>
          <cell r="DO241">
            <v>11073</v>
          </cell>
          <cell r="DP241">
            <v>0</v>
          </cell>
          <cell r="DQ241">
            <v>0</v>
          </cell>
          <cell r="DR241">
            <v>0</v>
          </cell>
          <cell r="DS241">
            <v>0</v>
          </cell>
          <cell r="DT241">
            <v>22146</v>
          </cell>
          <cell r="DU241">
            <v>0</v>
          </cell>
          <cell r="DW241">
            <v>0</v>
          </cell>
          <cell r="DX241">
            <v>0</v>
          </cell>
          <cell r="DY241">
            <v>10704</v>
          </cell>
          <cell r="DZ241">
            <v>12818</v>
          </cell>
          <cell r="EA241">
            <v>14994</v>
          </cell>
          <cell r="EB241">
            <v>17170</v>
          </cell>
          <cell r="EC241">
            <v>19346</v>
          </cell>
          <cell r="ED241">
            <v>21624</v>
          </cell>
          <cell r="EE241">
            <v>23902</v>
          </cell>
          <cell r="EF241">
            <v>26180</v>
          </cell>
          <cell r="EG241">
            <v>28458</v>
          </cell>
          <cell r="EH241">
            <v>30736</v>
          </cell>
          <cell r="EI241">
            <v>205932</v>
          </cell>
          <cell r="EK241">
            <v>0</v>
          </cell>
          <cell r="EL241">
            <v>0</v>
          </cell>
          <cell r="EM241">
            <v>71.36</v>
          </cell>
          <cell r="EN241">
            <v>85.453333333333333</v>
          </cell>
          <cell r="EO241">
            <v>99.96</v>
          </cell>
          <cell r="EP241">
            <v>114.46666666666665</v>
          </cell>
          <cell r="EQ241">
            <v>128.97333333333333</v>
          </cell>
          <cell r="ER241">
            <v>144.16</v>
          </cell>
          <cell r="ES241">
            <v>171.29766666666663</v>
          </cell>
          <cell r="ET241">
            <v>187.62333333333333</v>
          </cell>
          <cell r="EU241">
            <v>203.94899999999998</v>
          </cell>
          <cell r="EV241">
            <v>220.27466666666666</v>
          </cell>
          <cell r="EW241">
            <v>1427.5179999999998</v>
          </cell>
          <cell r="EY241">
            <v>96656</v>
          </cell>
          <cell r="EZ241">
            <v>8</v>
          </cell>
          <cell r="FA241">
            <v>644.37333333333333</v>
          </cell>
          <cell r="FB241">
            <v>109276</v>
          </cell>
          <cell r="FC241">
            <v>8.6</v>
          </cell>
          <cell r="FD241">
            <v>783.14466666666658</v>
          </cell>
          <cell r="FE241">
            <v>1427.518</v>
          </cell>
          <cell r="FF241">
            <v>32164</v>
          </cell>
          <cell r="FH241">
            <v>32164</v>
          </cell>
        </row>
        <row r="242">
          <cell r="B242">
            <v>9423</v>
          </cell>
          <cell r="C242" t="str">
            <v>28.05.2007</v>
          </cell>
          <cell r="D242" t="str">
            <v>Bagul Raghunath Narayan</v>
          </cell>
          <cell r="F242">
            <v>7035</v>
          </cell>
          <cell r="G242">
            <v>20369</v>
          </cell>
          <cell r="H242">
            <v>6295</v>
          </cell>
          <cell r="I242">
            <v>6295</v>
          </cell>
          <cell r="J242">
            <v>12590</v>
          </cell>
          <cell r="K242">
            <v>5555</v>
          </cell>
          <cell r="M242">
            <v>1057</v>
          </cell>
          <cell r="N242">
            <v>0</v>
          </cell>
          <cell r="O242">
            <v>1057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W242">
            <v>1057</v>
          </cell>
          <cell r="X242">
            <v>0</v>
          </cell>
          <cell r="Y242">
            <v>1057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G242">
            <v>1088</v>
          </cell>
          <cell r="AH242">
            <v>0</v>
          </cell>
          <cell r="AI242">
            <v>1088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Q242">
            <v>1088</v>
          </cell>
          <cell r="AR242">
            <v>0</v>
          </cell>
          <cell r="AS242">
            <v>1088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BA242">
            <v>1088</v>
          </cell>
          <cell r="BB242">
            <v>0</v>
          </cell>
          <cell r="BC242">
            <v>1088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K242">
            <v>1139</v>
          </cell>
          <cell r="BL242">
            <v>0</v>
          </cell>
          <cell r="BM242">
            <v>1139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U242">
            <v>1139</v>
          </cell>
          <cell r="BV242">
            <v>0</v>
          </cell>
          <cell r="BW242">
            <v>1139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E242">
            <v>1139</v>
          </cell>
          <cell r="CF242">
            <v>0</v>
          </cell>
          <cell r="CG242">
            <v>1139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  <cell r="CL242">
            <v>0</v>
          </cell>
          <cell r="CM242">
            <v>0</v>
          </cell>
          <cell r="CO242">
            <v>1139</v>
          </cell>
          <cell r="CP242">
            <v>0</v>
          </cell>
          <cell r="CQ242">
            <v>1139</v>
          </cell>
          <cell r="CR242">
            <v>0</v>
          </cell>
          <cell r="CS242">
            <v>0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Y242">
            <v>1139</v>
          </cell>
          <cell r="CZ242">
            <v>0</v>
          </cell>
          <cell r="DA242">
            <v>1139</v>
          </cell>
          <cell r="DB242">
            <v>0</v>
          </cell>
          <cell r="DC242">
            <v>0</v>
          </cell>
          <cell r="DD242">
            <v>0</v>
          </cell>
          <cell r="DE242">
            <v>0</v>
          </cell>
          <cell r="DF242">
            <v>0</v>
          </cell>
          <cell r="DG242">
            <v>0</v>
          </cell>
          <cell r="DI242">
            <v>12590</v>
          </cell>
          <cell r="DJ242">
            <v>11073</v>
          </cell>
          <cell r="DK242">
            <v>0</v>
          </cell>
          <cell r="DL242">
            <v>11073</v>
          </cell>
          <cell r="DM242">
            <v>11073</v>
          </cell>
          <cell r="DN242">
            <v>0</v>
          </cell>
          <cell r="DO242">
            <v>11073</v>
          </cell>
          <cell r="DP242">
            <v>0</v>
          </cell>
          <cell r="DQ242">
            <v>0</v>
          </cell>
          <cell r="DR242">
            <v>0</v>
          </cell>
          <cell r="DS242">
            <v>0</v>
          </cell>
          <cell r="DT242">
            <v>22146</v>
          </cell>
          <cell r="DU242">
            <v>0</v>
          </cell>
          <cell r="DW242">
            <v>0</v>
          </cell>
          <cell r="DX242">
            <v>0</v>
          </cell>
          <cell r="DY242">
            <v>14704</v>
          </cell>
          <cell r="DZ242">
            <v>16818</v>
          </cell>
          <cell r="EA242">
            <v>18994</v>
          </cell>
          <cell r="EB242">
            <v>21170</v>
          </cell>
          <cell r="EC242">
            <v>23346</v>
          </cell>
          <cell r="ED242">
            <v>25624</v>
          </cell>
          <cell r="EE242">
            <v>27902</v>
          </cell>
          <cell r="EF242">
            <v>30180</v>
          </cell>
          <cell r="EG242">
            <v>32458</v>
          </cell>
          <cell r="EH242">
            <v>34736</v>
          </cell>
          <cell r="EI242">
            <v>245932</v>
          </cell>
          <cell r="EK242">
            <v>0</v>
          </cell>
          <cell r="EL242">
            <v>0</v>
          </cell>
          <cell r="EM242">
            <v>98.026666666666657</v>
          </cell>
          <cell r="EN242">
            <v>112.12</v>
          </cell>
          <cell r="EO242">
            <v>126.62666666666667</v>
          </cell>
          <cell r="EP242">
            <v>141.13333333333333</v>
          </cell>
          <cell r="EQ242">
            <v>155.64000000000001</v>
          </cell>
          <cell r="ER242">
            <v>170.82666666666668</v>
          </cell>
          <cell r="ES242">
            <v>199.96433333333331</v>
          </cell>
          <cell r="ET242">
            <v>216.29</v>
          </cell>
          <cell r="EU242">
            <v>232.61566666666667</v>
          </cell>
          <cell r="EV242">
            <v>248.94133333333332</v>
          </cell>
          <cell r="EW242">
            <v>1702.1846666666665</v>
          </cell>
          <cell r="EY242">
            <v>120656</v>
          </cell>
          <cell r="EZ242">
            <v>8</v>
          </cell>
          <cell r="FA242">
            <v>804.37333333333333</v>
          </cell>
          <cell r="FB242">
            <v>125276</v>
          </cell>
          <cell r="FC242">
            <v>8.6</v>
          </cell>
          <cell r="FD242">
            <v>897.81133333333321</v>
          </cell>
          <cell r="FE242">
            <v>1702.1846666666665</v>
          </cell>
          <cell r="FF242">
            <v>36438</v>
          </cell>
          <cell r="FH242">
            <v>36438</v>
          </cell>
        </row>
        <row r="243">
          <cell r="B243">
            <v>9462</v>
          </cell>
          <cell r="C243" t="str">
            <v>28.05.2007</v>
          </cell>
          <cell r="D243" t="str">
            <v>Pawar Dipak Ashok</v>
          </cell>
          <cell r="F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  <cell r="BZ243">
            <v>0</v>
          </cell>
          <cell r="CA243">
            <v>0</v>
          </cell>
          <cell r="CB243">
            <v>0</v>
          </cell>
          <cell r="CC243">
            <v>0</v>
          </cell>
          <cell r="CE243">
            <v>0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>
            <v>0</v>
          </cell>
          <cell r="CK243">
            <v>0</v>
          </cell>
          <cell r="CL243">
            <v>0</v>
          </cell>
          <cell r="CM243">
            <v>0</v>
          </cell>
          <cell r="CO243">
            <v>0</v>
          </cell>
          <cell r="CP243">
            <v>0</v>
          </cell>
          <cell r="CQ243">
            <v>0</v>
          </cell>
          <cell r="CR243">
            <v>0</v>
          </cell>
          <cell r="CS243">
            <v>0</v>
          </cell>
          <cell r="CT243">
            <v>0</v>
          </cell>
          <cell r="CU243">
            <v>0</v>
          </cell>
          <cell r="CV243">
            <v>0</v>
          </cell>
          <cell r="CW243">
            <v>0</v>
          </cell>
          <cell r="CY243">
            <v>0</v>
          </cell>
          <cell r="CZ243">
            <v>0</v>
          </cell>
          <cell r="DA243">
            <v>0</v>
          </cell>
          <cell r="DB243">
            <v>0</v>
          </cell>
          <cell r="DC243">
            <v>0</v>
          </cell>
          <cell r="DD243">
            <v>0</v>
          </cell>
          <cell r="DE243">
            <v>0</v>
          </cell>
          <cell r="DF243">
            <v>0</v>
          </cell>
          <cell r="DG243">
            <v>0</v>
          </cell>
          <cell r="DI243">
            <v>0</v>
          </cell>
          <cell r="DJ243">
            <v>0</v>
          </cell>
          <cell r="DK243">
            <v>0</v>
          </cell>
          <cell r="DL243">
            <v>0</v>
          </cell>
          <cell r="DM243">
            <v>0</v>
          </cell>
          <cell r="DN243">
            <v>0</v>
          </cell>
          <cell r="DO243">
            <v>0</v>
          </cell>
          <cell r="DP243">
            <v>0</v>
          </cell>
          <cell r="DQ243">
            <v>0</v>
          </cell>
          <cell r="DR243">
            <v>0</v>
          </cell>
          <cell r="DS243">
            <v>0</v>
          </cell>
          <cell r="DT243">
            <v>0</v>
          </cell>
          <cell r="DU243">
            <v>0</v>
          </cell>
          <cell r="DW243">
            <v>0</v>
          </cell>
          <cell r="DX243">
            <v>0</v>
          </cell>
          <cell r="DY243">
            <v>0</v>
          </cell>
          <cell r="DZ243">
            <v>0</v>
          </cell>
          <cell r="EA243">
            <v>0</v>
          </cell>
          <cell r="EB243">
            <v>0</v>
          </cell>
          <cell r="EC243">
            <v>0</v>
          </cell>
          <cell r="ED243">
            <v>0</v>
          </cell>
          <cell r="EE243">
            <v>0</v>
          </cell>
          <cell r="EF243">
            <v>0</v>
          </cell>
          <cell r="EG243">
            <v>0</v>
          </cell>
          <cell r="EH243">
            <v>0</v>
          </cell>
          <cell r="EI243">
            <v>0</v>
          </cell>
          <cell r="EK243">
            <v>0</v>
          </cell>
          <cell r="EL243">
            <v>0</v>
          </cell>
          <cell r="EM243">
            <v>0</v>
          </cell>
          <cell r="EN243">
            <v>0</v>
          </cell>
          <cell r="EO243">
            <v>0</v>
          </cell>
          <cell r="EP243">
            <v>0</v>
          </cell>
          <cell r="EQ243">
            <v>0</v>
          </cell>
          <cell r="ER243">
            <v>0</v>
          </cell>
          <cell r="ES243">
            <v>0</v>
          </cell>
          <cell r="ET243">
            <v>0</v>
          </cell>
          <cell r="EU243">
            <v>0</v>
          </cell>
          <cell r="EV243">
            <v>0</v>
          </cell>
          <cell r="EW243">
            <v>0</v>
          </cell>
          <cell r="EY243">
            <v>0</v>
          </cell>
          <cell r="EZ243">
            <v>8</v>
          </cell>
          <cell r="FA243">
            <v>0</v>
          </cell>
          <cell r="FB243">
            <v>0</v>
          </cell>
          <cell r="FC243">
            <v>8.6</v>
          </cell>
          <cell r="FD243">
            <v>0</v>
          </cell>
          <cell r="FE243">
            <v>0</v>
          </cell>
          <cell r="FF243">
            <v>0</v>
          </cell>
          <cell r="FH243">
            <v>0</v>
          </cell>
        </row>
        <row r="244">
          <cell r="B244">
            <v>9464</v>
          </cell>
          <cell r="C244" t="str">
            <v>28.05.2007</v>
          </cell>
          <cell r="D244" t="str">
            <v>Bhoye Prakash Madhukar</v>
          </cell>
          <cell r="F244">
            <v>9960</v>
          </cell>
          <cell r="G244">
            <v>25263</v>
          </cell>
          <cell r="H244">
            <v>4260</v>
          </cell>
          <cell r="I244">
            <v>4260</v>
          </cell>
          <cell r="J244">
            <v>8520</v>
          </cell>
          <cell r="K244">
            <v>-1440</v>
          </cell>
          <cell r="M244">
            <v>1496</v>
          </cell>
          <cell r="N244">
            <v>0</v>
          </cell>
          <cell r="O244">
            <v>1496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W244">
            <v>1496</v>
          </cell>
          <cell r="X244">
            <v>0</v>
          </cell>
          <cell r="Y244">
            <v>1496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G244">
            <v>1541</v>
          </cell>
          <cell r="AH244">
            <v>0</v>
          </cell>
          <cell r="AI244">
            <v>1541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Q244">
            <v>1541</v>
          </cell>
          <cell r="AR244">
            <v>0</v>
          </cell>
          <cell r="AS244">
            <v>1541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BA244">
            <v>1541</v>
          </cell>
          <cell r="BB244">
            <v>0</v>
          </cell>
          <cell r="BC244">
            <v>1541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K244">
            <v>1613</v>
          </cell>
          <cell r="BL244">
            <v>0</v>
          </cell>
          <cell r="BM244">
            <v>1613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U244">
            <v>1613</v>
          </cell>
          <cell r="BV244">
            <v>0</v>
          </cell>
          <cell r="BW244">
            <v>1613</v>
          </cell>
          <cell r="BX244">
            <v>0</v>
          </cell>
          <cell r="BY244">
            <v>0</v>
          </cell>
          <cell r="BZ244">
            <v>0</v>
          </cell>
          <cell r="CA244">
            <v>0</v>
          </cell>
          <cell r="CB244">
            <v>0</v>
          </cell>
          <cell r="CC244">
            <v>0</v>
          </cell>
          <cell r="CE244">
            <v>1613</v>
          </cell>
          <cell r="CF244">
            <v>0</v>
          </cell>
          <cell r="CG244">
            <v>1613</v>
          </cell>
          <cell r="CH244">
            <v>0</v>
          </cell>
          <cell r="CI244">
            <v>0</v>
          </cell>
          <cell r="CJ244">
            <v>0</v>
          </cell>
          <cell r="CK244">
            <v>0</v>
          </cell>
          <cell r="CL244">
            <v>0</v>
          </cell>
          <cell r="CM244">
            <v>0</v>
          </cell>
          <cell r="CO244">
            <v>1613</v>
          </cell>
          <cell r="CP244">
            <v>0</v>
          </cell>
          <cell r="CQ244">
            <v>1613</v>
          </cell>
          <cell r="CR244">
            <v>0</v>
          </cell>
          <cell r="CS244">
            <v>0</v>
          </cell>
          <cell r="CT244">
            <v>0</v>
          </cell>
          <cell r="CU244">
            <v>0</v>
          </cell>
          <cell r="CV244">
            <v>0</v>
          </cell>
          <cell r="CW244">
            <v>0</v>
          </cell>
          <cell r="CY244">
            <v>1613</v>
          </cell>
          <cell r="CZ244">
            <v>0</v>
          </cell>
          <cell r="DA244">
            <v>1613</v>
          </cell>
          <cell r="DB244">
            <v>0</v>
          </cell>
          <cell r="DC244">
            <v>0</v>
          </cell>
          <cell r="DD244">
            <v>0</v>
          </cell>
          <cell r="DE244">
            <v>0</v>
          </cell>
          <cell r="DF244">
            <v>0</v>
          </cell>
          <cell r="DG244">
            <v>0</v>
          </cell>
          <cell r="DI244">
            <v>8520</v>
          </cell>
          <cell r="DJ244">
            <v>15680</v>
          </cell>
          <cell r="DK244">
            <v>0</v>
          </cell>
          <cell r="DL244">
            <v>15680</v>
          </cell>
          <cell r="DM244">
            <v>15680</v>
          </cell>
          <cell r="DN244">
            <v>0</v>
          </cell>
          <cell r="DO244">
            <v>15680</v>
          </cell>
          <cell r="DP244">
            <v>0</v>
          </cell>
          <cell r="DQ244">
            <v>0</v>
          </cell>
          <cell r="DR244">
            <v>0</v>
          </cell>
          <cell r="DS244">
            <v>0</v>
          </cell>
          <cell r="DT244">
            <v>31360</v>
          </cell>
          <cell r="DU244">
            <v>0</v>
          </cell>
          <cell r="DW244">
            <v>0</v>
          </cell>
          <cell r="DX244">
            <v>0</v>
          </cell>
          <cell r="DY244">
            <v>11512</v>
          </cell>
          <cell r="DZ244">
            <v>14504</v>
          </cell>
          <cell r="EA244">
            <v>17586</v>
          </cell>
          <cell r="EB244">
            <v>20668</v>
          </cell>
          <cell r="EC244">
            <v>23750</v>
          </cell>
          <cell r="ED244">
            <v>26976</v>
          </cell>
          <cell r="EE244">
            <v>30202</v>
          </cell>
          <cell r="EF244">
            <v>33428</v>
          </cell>
          <cell r="EG244">
            <v>36654</v>
          </cell>
          <cell r="EH244">
            <v>39880</v>
          </cell>
          <cell r="EI244">
            <v>255160</v>
          </cell>
          <cell r="EK244">
            <v>0</v>
          </cell>
          <cell r="EL244">
            <v>0</v>
          </cell>
          <cell r="EM244">
            <v>76.74666666666667</v>
          </cell>
          <cell r="EN244">
            <v>96.693333333333328</v>
          </cell>
          <cell r="EO244">
            <v>117.24000000000001</v>
          </cell>
          <cell r="EP244">
            <v>137.78666666666666</v>
          </cell>
          <cell r="EQ244">
            <v>158.33333333333334</v>
          </cell>
          <cell r="ER244">
            <v>179.84</v>
          </cell>
          <cell r="ES244">
            <v>216.44766666666666</v>
          </cell>
          <cell r="ET244">
            <v>239.56733333333332</v>
          </cell>
          <cell r="EU244">
            <v>262.68699999999995</v>
          </cell>
          <cell r="EV244">
            <v>285.80666666666667</v>
          </cell>
          <cell r="EW244">
            <v>1771.1486666666667</v>
          </cell>
          <cell r="EY244">
            <v>114996</v>
          </cell>
          <cell r="EZ244">
            <v>8</v>
          </cell>
          <cell r="FA244">
            <v>766.64</v>
          </cell>
          <cell r="FB244">
            <v>140164</v>
          </cell>
          <cell r="FC244">
            <v>8.6</v>
          </cell>
          <cell r="FD244">
            <v>1004.5086666666666</v>
          </cell>
          <cell r="FE244">
            <v>1771.1486666666665</v>
          </cell>
          <cell r="FF244">
            <v>41651</v>
          </cell>
          <cell r="FH244">
            <v>41651</v>
          </cell>
        </row>
        <row r="245">
          <cell r="B245">
            <v>9465</v>
          </cell>
          <cell r="C245" t="str">
            <v>28.05.2007</v>
          </cell>
          <cell r="D245" t="str">
            <v>Kedare Prakash Bhaskar</v>
          </cell>
          <cell r="F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  <cell r="BZ245">
            <v>0</v>
          </cell>
          <cell r="CA245">
            <v>0</v>
          </cell>
          <cell r="CB245">
            <v>0</v>
          </cell>
          <cell r="CC245">
            <v>0</v>
          </cell>
          <cell r="CE245">
            <v>0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>
            <v>0</v>
          </cell>
          <cell r="CK245">
            <v>0</v>
          </cell>
          <cell r="CL245">
            <v>0</v>
          </cell>
          <cell r="CM245">
            <v>0</v>
          </cell>
          <cell r="CO245">
            <v>0</v>
          </cell>
          <cell r="CP245">
            <v>0</v>
          </cell>
          <cell r="CQ245">
            <v>0</v>
          </cell>
          <cell r="CR245">
            <v>0</v>
          </cell>
          <cell r="CS245">
            <v>0</v>
          </cell>
          <cell r="CT245">
            <v>0</v>
          </cell>
          <cell r="CU245">
            <v>0</v>
          </cell>
          <cell r="CV245">
            <v>0</v>
          </cell>
          <cell r="CW245">
            <v>0</v>
          </cell>
          <cell r="CY245">
            <v>0</v>
          </cell>
          <cell r="CZ245">
            <v>0</v>
          </cell>
          <cell r="DA245">
            <v>0</v>
          </cell>
          <cell r="DB245">
            <v>0</v>
          </cell>
          <cell r="DC245">
            <v>0</v>
          </cell>
          <cell r="DD245">
            <v>0</v>
          </cell>
          <cell r="DE245">
            <v>0</v>
          </cell>
          <cell r="DF245">
            <v>0</v>
          </cell>
          <cell r="DG245">
            <v>0</v>
          </cell>
          <cell r="DI245">
            <v>0</v>
          </cell>
          <cell r="DJ245">
            <v>0</v>
          </cell>
          <cell r="DK245">
            <v>0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  <cell r="DP245">
            <v>0</v>
          </cell>
          <cell r="DQ245">
            <v>0</v>
          </cell>
          <cell r="DR245">
            <v>0</v>
          </cell>
          <cell r="DS245">
            <v>0</v>
          </cell>
          <cell r="DT245">
            <v>0</v>
          </cell>
          <cell r="DU245">
            <v>0</v>
          </cell>
          <cell r="DW245">
            <v>0</v>
          </cell>
          <cell r="DX245">
            <v>0</v>
          </cell>
          <cell r="DY245">
            <v>0</v>
          </cell>
          <cell r="DZ245">
            <v>0</v>
          </cell>
          <cell r="EA245">
            <v>0</v>
          </cell>
          <cell r="EB245">
            <v>0</v>
          </cell>
          <cell r="EC245">
            <v>0</v>
          </cell>
          <cell r="ED245">
            <v>0</v>
          </cell>
          <cell r="EE245">
            <v>0</v>
          </cell>
          <cell r="EF245">
            <v>0</v>
          </cell>
          <cell r="EG245">
            <v>0</v>
          </cell>
          <cell r="EH245">
            <v>0</v>
          </cell>
          <cell r="EI245">
            <v>0</v>
          </cell>
          <cell r="EK245">
            <v>0</v>
          </cell>
          <cell r="EL245">
            <v>0</v>
          </cell>
          <cell r="EM245">
            <v>0</v>
          </cell>
          <cell r="EN245">
            <v>0</v>
          </cell>
          <cell r="EO245">
            <v>0</v>
          </cell>
          <cell r="EP245">
            <v>0</v>
          </cell>
          <cell r="EQ245">
            <v>0</v>
          </cell>
          <cell r="ER245">
            <v>0</v>
          </cell>
          <cell r="ES245">
            <v>0</v>
          </cell>
          <cell r="ET245">
            <v>0</v>
          </cell>
          <cell r="EU245">
            <v>0</v>
          </cell>
          <cell r="EV245">
            <v>0</v>
          </cell>
          <cell r="EW245">
            <v>0</v>
          </cell>
          <cell r="EY245">
            <v>0</v>
          </cell>
          <cell r="EZ245">
            <v>8</v>
          </cell>
          <cell r="FA245">
            <v>0</v>
          </cell>
          <cell r="FB245">
            <v>0</v>
          </cell>
          <cell r="FC245">
            <v>8.6</v>
          </cell>
          <cell r="FD245">
            <v>0</v>
          </cell>
          <cell r="FE245">
            <v>0</v>
          </cell>
          <cell r="FF245">
            <v>0</v>
          </cell>
          <cell r="FH245">
            <v>0</v>
          </cell>
        </row>
        <row r="246">
          <cell r="B246">
            <v>9466</v>
          </cell>
          <cell r="C246" t="str">
            <v>28.05.2007</v>
          </cell>
          <cell r="D246" t="str">
            <v>Vasave Uday Sadu</v>
          </cell>
          <cell r="F246">
            <v>13504</v>
          </cell>
          <cell r="H246">
            <v>8335</v>
          </cell>
          <cell r="I246">
            <v>8335</v>
          </cell>
          <cell r="J246">
            <v>16670</v>
          </cell>
          <cell r="K246">
            <v>3166</v>
          </cell>
          <cell r="M246">
            <v>2038</v>
          </cell>
          <cell r="N246">
            <v>0</v>
          </cell>
          <cell r="O246">
            <v>2038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W246">
            <v>2038</v>
          </cell>
          <cell r="X246">
            <v>0</v>
          </cell>
          <cell r="Y246">
            <v>2038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G246">
            <v>2100</v>
          </cell>
          <cell r="AH246">
            <v>0</v>
          </cell>
          <cell r="AI246">
            <v>2100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Q246">
            <v>2100</v>
          </cell>
          <cell r="AR246">
            <v>0</v>
          </cell>
          <cell r="AS246">
            <v>2100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BA246">
            <v>2100</v>
          </cell>
          <cell r="BB246">
            <v>0</v>
          </cell>
          <cell r="BC246">
            <v>2100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K246">
            <v>2197</v>
          </cell>
          <cell r="BL246">
            <v>0</v>
          </cell>
          <cell r="BM246">
            <v>2197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U246">
            <v>2197</v>
          </cell>
          <cell r="BV246">
            <v>0</v>
          </cell>
          <cell r="BW246">
            <v>2197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E246">
            <v>2197</v>
          </cell>
          <cell r="CF246">
            <v>0</v>
          </cell>
          <cell r="CG246">
            <v>2197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O246">
            <v>2197</v>
          </cell>
          <cell r="CP246">
            <v>0</v>
          </cell>
          <cell r="CQ246">
            <v>2197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Y246">
            <v>2197</v>
          </cell>
          <cell r="CZ246">
            <v>0</v>
          </cell>
          <cell r="DA246">
            <v>2197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I246">
            <v>16670</v>
          </cell>
          <cell r="DJ246">
            <v>21361</v>
          </cell>
          <cell r="DK246">
            <v>0</v>
          </cell>
          <cell r="DL246">
            <v>21361</v>
          </cell>
          <cell r="DM246">
            <v>21361</v>
          </cell>
          <cell r="DN246">
            <v>0</v>
          </cell>
          <cell r="DO246">
            <v>21361</v>
          </cell>
          <cell r="DP246">
            <v>0</v>
          </cell>
          <cell r="DQ246">
            <v>0</v>
          </cell>
          <cell r="DR246">
            <v>0</v>
          </cell>
          <cell r="DS246">
            <v>0</v>
          </cell>
          <cell r="DT246">
            <v>42722</v>
          </cell>
          <cell r="DU246">
            <v>0</v>
          </cell>
          <cell r="DW246">
            <v>0</v>
          </cell>
          <cell r="DX246">
            <v>0</v>
          </cell>
          <cell r="DY246">
            <v>20746</v>
          </cell>
          <cell r="DZ246">
            <v>24822</v>
          </cell>
          <cell r="EA246">
            <v>29022</v>
          </cell>
          <cell r="EB246">
            <v>33222</v>
          </cell>
          <cell r="EC246">
            <v>37422</v>
          </cell>
          <cell r="ED246">
            <v>41816</v>
          </cell>
          <cell r="EE246">
            <v>46210</v>
          </cell>
          <cell r="EF246">
            <v>50604</v>
          </cell>
          <cell r="EG246">
            <v>54998</v>
          </cell>
          <cell r="EH246">
            <v>59392</v>
          </cell>
          <cell r="EI246">
            <v>398254</v>
          </cell>
          <cell r="EK246">
            <v>0</v>
          </cell>
          <cell r="EL246">
            <v>0</v>
          </cell>
          <cell r="EM246">
            <v>138.30666666666667</v>
          </cell>
          <cell r="EN246">
            <v>165.48</v>
          </cell>
          <cell r="EO246">
            <v>193.48000000000002</v>
          </cell>
          <cell r="EP246">
            <v>221.48000000000002</v>
          </cell>
          <cell r="EQ246">
            <v>249.48000000000002</v>
          </cell>
          <cell r="ER246">
            <v>278.77333333333337</v>
          </cell>
          <cell r="ES246">
            <v>331.17166666666668</v>
          </cell>
          <cell r="ET246">
            <v>362.66199999999998</v>
          </cell>
          <cell r="EU246">
            <v>394.15233333333327</v>
          </cell>
          <cell r="EV246">
            <v>425.64266666666663</v>
          </cell>
          <cell r="EW246">
            <v>2760.6286666666665</v>
          </cell>
          <cell r="EY246">
            <v>187050</v>
          </cell>
          <cell r="EZ246">
            <v>8</v>
          </cell>
          <cell r="FA246">
            <v>1247</v>
          </cell>
          <cell r="FB246">
            <v>211204</v>
          </cell>
          <cell r="FC246">
            <v>8.6</v>
          </cell>
          <cell r="FD246">
            <v>1513.6286666666665</v>
          </cell>
          <cell r="FE246">
            <v>2760.6286666666665</v>
          </cell>
          <cell r="FF246">
            <v>62153</v>
          </cell>
          <cell r="FH246">
            <v>62153</v>
          </cell>
        </row>
        <row r="247">
          <cell r="B247">
            <v>9485</v>
          </cell>
          <cell r="C247" t="str">
            <v>28.05.2007</v>
          </cell>
          <cell r="D247" t="str">
            <v>Thakare Mangala Balu (Pawar)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  <cell r="EF247">
            <v>0</v>
          </cell>
          <cell r="EG247">
            <v>0</v>
          </cell>
          <cell r="EH247">
            <v>0</v>
          </cell>
          <cell r="EI247">
            <v>0</v>
          </cell>
          <cell r="EK247">
            <v>0</v>
          </cell>
          <cell r="EL247">
            <v>0</v>
          </cell>
          <cell r="EM247">
            <v>0</v>
          </cell>
          <cell r="EN247">
            <v>0</v>
          </cell>
          <cell r="EO247">
            <v>0</v>
          </cell>
          <cell r="EP247">
            <v>0</v>
          </cell>
          <cell r="EQ247">
            <v>0</v>
          </cell>
          <cell r="ER247">
            <v>0</v>
          </cell>
          <cell r="ES247">
            <v>0</v>
          </cell>
          <cell r="ET247">
            <v>0</v>
          </cell>
          <cell r="EU247">
            <v>0</v>
          </cell>
          <cell r="EV247">
            <v>0</v>
          </cell>
          <cell r="EW247">
            <v>0</v>
          </cell>
          <cell r="EY247">
            <v>0</v>
          </cell>
          <cell r="EZ247">
            <v>8</v>
          </cell>
          <cell r="FA247">
            <v>0</v>
          </cell>
          <cell r="FB247">
            <v>0</v>
          </cell>
          <cell r="FC247">
            <v>8.6</v>
          </cell>
          <cell r="FD247">
            <v>0</v>
          </cell>
          <cell r="FE247">
            <v>0</v>
          </cell>
          <cell r="FF247">
            <v>0</v>
          </cell>
          <cell r="FH247">
            <v>0</v>
          </cell>
        </row>
        <row r="248">
          <cell r="B248">
            <v>9507</v>
          </cell>
          <cell r="C248" t="str">
            <v>28.05.2007</v>
          </cell>
          <cell r="D248" t="str">
            <v>Potinde Bakula kisan</v>
          </cell>
          <cell r="F248">
            <v>4060</v>
          </cell>
          <cell r="H248">
            <v>2909</v>
          </cell>
          <cell r="I248">
            <v>2909</v>
          </cell>
          <cell r="J248">
            <v>5818</v>
          </cell>
          <cell r="K248">
            <v>1758</v>
          </cell>
          <cell r="M248">
            <v>1057</v>
          </cell>
          <cell r="N248">
            <v>0</v>
          </cell>
          <cell r="O248">
            <v>1057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W248">
            <v>1057</v>
          </cell>
          <cell r="X248">
            <v>0</v>
          </cell>
          <cell r="Y248">
            <v>1057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G248">
            <v>1088</v>
          </cell>
          <cell r="AH248">
            <v>0</v>
          </cell>
          <cell r="AI248">
            <v>1088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Q248">
            <v>1088</v>
          </cell>
          <cell r="AR248">
            <v>0</v>
          </cell>
          <cell r="AS248">
            <v>1088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BA248">
            <v>1088</v>
          </cell>
          <cell r="BB248">
            <v>0</v>
          </cell>
          <cell r="BC248">
            <v>1088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K248">
            <v>1139</v>
          </cell>
          <cell r="BL248">
            <v>0</v>
          </cell>
          <cell r="BM248">
            <v>1139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U248">
            <v>1139</v>
          </cell>
          <cell r="BV248">
            <v>0</v>
          </cell>
          <cell r="BW248">
            <v>1139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E248">
            <v>1139</v>
          </cell>
          <cell r="CF248">
            <v>0</v>
          </cell>
          <cell r="CG248">
            <v>1139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  <cell r="CL248">
            <v>0</v>
          </cell>
          <cell r="CM248">
            <v>0</v>
          </cell>
          <cell r="CO248">
            <v>1139</v>
          </cell>
          <cell r="CP248">
            <v>0</v>
          </cell>
          <cell r="CQ248">
            <v>1139</v>
          </cell>
          <cell r="CR248">
            <v>0</v>
          </cell>
          <cell r="CS248">
            <v>0</v>
          </cell>
          <cell r="CT248">
            <v>0</v>
          </cell>
          <cell r="CU248">
            <v>0</v>
          </cell>
          <cell r="CV248">
            <v>0</v>
          </cell>
          <cell r="CW248">
            <v>0</v>
          </cell>
          <cell r="CY248">
            <v>1139</v>
          </cell>
          <cell r="CZ248">
            <v>0</v>
          </cell>
          <cell r="DA248">
            <v>1139</v>
          </cell>
          <cell r="DB248">
            <v>0</v>
          </cell>
          <cell r="DC248">
            <v>0</v>
          </cell>
          <cell r="DD248">
            <v>0</v>
          </cell>
          <cell r="DE248">
            <v>0</v>
          </cell>
          <cell r="DF248">
            <v>0</v>
          </cell>
          <cell r="DG248">
            <v>0</v>
          </cell>
          <cell r="DI248">
            <v>5818</v>
          </cell>
          <cell r="DJ248">
            <v>11073</v>
          </cell>
          <cell r="DK248">
            <v>0</v>
          </cell>
          <cell r="DL248">
            <v>11073</v>
          </cell>
          <cell r="DM248">
            <v>11073</v>
          </cell>
          <cell r="DN248">
            <v>0</v>
          </cell>
          <cell r="DO248">
            <v>11073</v>
          </cell>
          <cell r="DP248">
            <v>0</v>
          </cell>
          <cell r="DQ248">
            <v>0</v>
          </cell>
          <cell r="DR248">
            <v>0</v>
          </cell>
          <cell r="DS248">
            <v>0</v>
          </cell>
          <cell r="DT248">
            <v>22146</v>
          </cell>
          <cell r="DU248">
            <v>0</v>
          </cell>
          <cell r="DW248">
            <v>0</v>
          </cell>
          <cell r="DX248">
            <v>0</v>
          </cell>
          <cell r="DY248">
            <v>7932</v>
          </cell>
          <cell r="DZ248">
            <v>10046</v>
          </cell>
          <cell r="EA248">
            <v>12222</v>
          </cell>
          <cell r="EB248">
            <v>14398</v>
          </cell>
          <cell r="EC248">
            <v>16574</v>
          </cell>
          <cell r="ED248">
            <v>18852</v>
          </cell>
          <cell r="EE248">
            <v>21130</v>
          </cell>
          <cell r="EF248">
            <v>23408</v>
          </cell>
          <cell r="EG248">
            <v>25686</v>
          </cell>
          <cell r="EH248">
            <v>27964</v>
          </cell>
          <cell r="EI248">
            <v>178212</v>
          </cell>
          <cell r="EK248">
            <v>0</v>
          </cell>
          <cell r="EL248">
            <v>0</v>
          </cell>
          <cell r="EM248">
            <v>52.879999999999995</v>
          </cell>
          <cell r="EN248">
            <v>66.973333333333329</v>
          </cell>
          <cell r="EO248">
            <v>81.48</v>
          </cell>
          <cell r="EP248">
            <v>95.986666666666665</v>
          </cell>
          <cell r="EQ248">
            <v>110.49333333333334</v>
          </cell>
          <cell r="ER248">
            <v>125.68</v>
          </cell>
          <cell r="ES248">
            <v>151.43166666666667</v>
          </cell>
          <cell r="ET248">
            <v>167.75733333333332</v>
          </cell>
          <cell r="EU248">
            <v>184.08299999999997</v>
          </cell>
          <cell r="EV248">
            <v>200.40866666666668</v>
          </cell>
          <cell r="EW248">
            <v>1237.174</v>
          </cell>
          <cell r="EY248">
            <v>80024</v>
          </cell>
          <cell r="EZ248">
            <v>8</v>
          </cell>
          <cell r="FA248">
            <v>533.49333333333334</v>
          </cell>
          <cell r="FB248">
            <v>98188</v>
          </cell>
          <cell r="FC248">
            <v>8.6</v>
          </cell>
          <cell r="FD248">
            <v>703.68066666666664</v>
          </cell>
          <cell r="FE248">
            <v>1237.174</v>
          </cell>
          <cell r="FF248">
            <v>29201</v>
          </cell>
          <cell r="FH248">
            <v>29201</v>
          </cell>
        </row>
        <row r="249">
          <cell r="B249">
            <v>9538</v>
          </cell>
          <cell r="C249" t="str">
            <v>28.05.2007</v>
          </cell>
          <cell r="D249" t="str">
            <v>Suryawanshi Chhoti Gangaram</v>
          </cell>
          <cell r="F249">
            <v>1015</v>
          </cell>
          <cell r="H249">
            <v>450</v>
          </cell>
          <cell r="I249">
            <v>450</v>
          </cell>
          <cell r="J249">
            <v>900</v>
          </cell>
          <cell r="K249">
            <v>-115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Q249">
            <v>1088</v>
          </cell>
          <cell r="AR249">
            <v>0</v>
          </cell>
          <cell r="AS249">
            <v>1088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BA249">
            <v>1088</v>
          </cell>
          <cell r="BB249">
            <v>0</v>
          </cell>
          <cell r="BC249">
            <v>1088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K249">
            <v>1139</v>
          </cell>
          <cell r="BL249">
            <v>0</v>
          </cell>
          <cell r="BM249">
            <v>1139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U249">
            <v>1139</v>
          </cell>
          <cell r="BV249">
            <v>0</v>
          </cell>
          <cell r="BW249">
            <v>1139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E249">
            <v>1139</v>
          </cell>
          <cell r="CF249">
            <v>0</v>
          </cell>
          <cell r="CG249">
            <v>1139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O249">
            <v>1139</v>
          </cell>
          <cell r="CP249">
            <v>0</v>
          </cell>
          <cell r="CQ249">
            <v>1139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0</v>
          </cell>
          <cell r="CW249">
            <v>0</v>
          </cell>
          <cell r="CY249">
            <v>1139</v>
          </cell>
          <cell r="CZ249">
            <v>0</v>
          </cell>
          <cell r="DA249">
            <v>1139</v>
          </cell>
          <cell r="DB249">
            <v>0</v>
          </cell>
          <cell r="DC249">
            <v>0</v>
          </cell>
          <cell r="DD249">
            <v>0</v>
          </cell>
          <cell r="DE249">
            <v>0</v>
          </cell>
          <cell r="DF249">
            <v>0</v>
          </cell>
          <cell r="DG249">
            <v>0</v>
          </cell>
          <cell r="DI249">
            <v>900</v>
          </cell>
          <cell r="DJ249">
            <v>7871</v>
          </cell>
          <cell r="DK249">
            <v>0</v>
          </cell>
          <cell r="DL249">
            <v>7871</v>
          </cell>
          <cell r="DM249">
            <v>7871</v>
          </cell>
          <cell r="DN249">
            <v>0</v>
          </cell>
          <cell r="DO249">
            <v>7871</v>
          </cell>
          <cell r="DP249">
            <v>0</v>
          </cell>
          <cell r="DQ249">
            <v>0</v>
          </cell>
          <cell r="DR249">
            <v>0</v>
          </cell>
          <cell r="DS249">
            <v>0</v>
          </cell>
          <cell r="DT249">
            <v>15742</v>
          </cell>
          <cell r="DU249">
            <v>0</v>
          </cell>
          <cell r="DW249">
            <v>0</v>
          </cell>
          <cell r="DX249">
            <v>0</v>
          </cell>
          <cell r="DY249">
            <v>900</v>
          </cell>
          <cell r="DZ249">
            <v>900</v>
          </cell>
          <cell r="EA249">
            <v>900</v>
          </cell>
          <cell r="EB249">
            <v>3076</v>
          </cell>
          <cell r="EC249">
            <v>5252</v>
          </cell>
          <cell r="ED249">
            <v>7530</v>
          </cell>
          <cell r="EE249">
            <v>9808</v>
          </cell>
          <cell r="EF249">
            <v>12086</v>
          </cell>
          <cell r="EG249">
            <v>14364</v>
          </cell>
          <cell r="EH249">
            <v>16642</v>
          </cell>
          <cell r="EI249">
            <v>71458</v>
          </cell>
          <cell r="EK249">
            <v>0</v>
          </cell>
          <cell r="EL249">
            <v>0</v>
          </cell>
          <cell r="EM249">
            <v>6</v>
          </cell>
          <cell r="EN249">
            <v>6</v>
          </cell>
          <cell r="EO249">
            <v>6</v>
          </cell>
          <cell r="EP249">
            <v>20.506666666666668</v>
          </cell>
          <cell r="EQ249">
            <v>35.013333333333335</v>
          </cell>
          <cell r="ER249">
            <v>50.199999999999996</v>
          </cell>
          <cell r="ES249">
            <v>70.290666666666667</v>
          </cell>
          <cell r="ET249">
            <v>86.61633333333333</v>
          </cell>
          <cell r="EU249">
            <v>102.94199999999999</v>
          </cell>
          <cell r="EV249">
            <v>119.26766666666664</v>
          </cell>
          <cell r="EW249">
            <v>502.83666666666664</v>
          </cell>
          <cell r="EY249">
            <v>18558</v>
          </cell>
          <cell r="EZ249">
            <v>8</v>
          </cell>
          <cell r="FA249">
            <v>123.72000000000001</v>
          </cell>
          <cell r="FB249">
            <v>52900</v>
          </cell>
          <cell r="FC249">
            <v>8.6</v>
          </cell>
          <cell r="FD249">
            <v>379.11666666666662</v>
          </cell>
          <cell r="FE249">
            <v>502.83666666666664</v>
          </cell>
          <cell r="FF249">
            <v>17145</v>
          </cell>
          <cell r="FH249">
            <v>17145</v>
          </cell>
        </row>
        <row r="250">
          <cell r="B250">
            <v>9411</v>
          </cell>
          <cell r="C250" t="str">
            <v>29.05.2007</v>
          </cell>
          <cell r="D250" t="str">
            <v>Kale Sangita Parashram</v>
          </cell>
          <cell r="F250">
            <v>7980</v>
          </cell>
          <cell r="G250">
            <v>22023</v>
          </cell>
          <cell r="H250">
            <v>3663</v>
          </cell>
          <cell r="I250">
            <v>3663</v>
          </cell>
          <cell r="J250">
            <v>7326</v>
          </cell>
          <cell r="K250">
            <v>-654</v>
          </cell>
          <cell r="M250">
            <v>1057</v>
          </cell>
          <cell r="N250">
            <v>0</v>
          </cell>
          <cell r="O250">
            <v>1057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W250">
            <v>1057</v>
          </cell>
          <cell r="X250">
            <v>0</v>
          </cell>
          <cell r="Y250">
            <v>1057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G250">
            <v>1088</v>
          </cell>
          <cell r="AH250">
            <v>0</v>
          </cell>
          <cell r="AI250">
            <v>1088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Q250">
            <v>1088</v>
          </cell>
          <cell r="AR250">
            <v>0</v>
          </cell>
          <cell r="AS250">
            <v>1088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BA250">
            <v>1088</v>
          </cell>
          <cell r="BB250">
            <v>0</v>
          </cell>
          <cell r="BC250">
            <v>1088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K250">
            <v>1139</v>
          </cell>
          <cell r="BL250">
            <v>0</v>
          </cell>
          <cell r="BM250">
            <v>1139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U250">
            <v>1139</v>
          </cell>
          <cell r="BV250">
            <v>0</v>
          </cell>
          <cell r="BW250">
            <v>1139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E250">
            <v>1139</v>
          </cell>
          <cell r="CF250">
            <v>0</v>
          </cell>
          <cell r="CG250">
            <v>1139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O250">
            <v>1139</v>
          </cell>
          <cell r="CP250">
            <v>0</v>
          </cell>
          <cell r="CQ250">
            <v>1139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Y250">
            <v>1139</v>
          </cell>
          <cell r="CZ250">
            <v>0</v>
          </cell>
          <cell r="DA250">
            <v>1139</v>
          </cell>
          <cell r="DB250">
            <v>0</v>
          </cell>
          <cell r="DC250">
            <v>0</v>
          </cell>
          <cell r="DD250">
            <v>0</v>
          </cell>
          <cell r="DE250">
            <v>0</v>
          </cell>
          <cell r="DF250">
            <v>0</v>
          </cell>
          <cell r="DG250">
            <v>0</v>
          </cell>
          <cell r="DI250">
            <v>7326</v>
          </cell>
          <cell r="DJ250">
            <v>11073</v>
          </cell>
          <cell r="DK250">
            <v>0</v>
          </cell>
          <cell r="DL250">
            <v>11073</v>
          </cell>
          <cell r="DM250">
            <v>11073</v>
          </cell>
          <cell r="DN250">
            <v>0</v>
          </cell>
          <cell r="DO250">
            <v>11073</v>
          </cell>
          <cell r="DP250">
            <v>0</v>
          </cell>
          <cell r="DQ250">
            <v>0</v>
          </cell>
          <cell r="DR250">
            <v>0</v>
          </cell>
          <cell r="DS250">
            <v>0</v>
          </cell>
          <cell r="DT250">
            <v>22146</v>
          </cell>
          <cell r="DU250">
            <v>0</v>
          </cell>
          <cell r="DW250">
            <v>0</v>
          </cell>
          <cell r="DX250">
            <v>0</v>
          </cell>
          <cell r="DY250">
            <v>9440</v>
          </cell>
          <cell r="DZ250">
            <v>11554</v>
          </cell>
          <cell r="EA250">
            <v>13730</v>
          </cell>
          <cell r="EB250">
            <v>15906</v>
          </cell>
          <cell r="EC250">
            <v>18082</v>
          </cell>
          <cell r="ED250">
            <v>20360</v>
          </cell>
          <cell r="EE250">
            <v>22638</v>
          </cell>
          <cell r="EF250">
            <v>24916</v>
          </cell>
          <cell r="EG250">
            <v>27194</v>
          </cell>
          <cell r="EH250">
            <v>29472</v>
          </cell>
          <cell r="EI250">
            <v>193292</v>
          </cell>
          <cell r="EK250">
            <v>0</v>
          </cell>
          <cell r="EL250">
            <v>0</v>
          </cell>
          <cell r="EM250">
            <v>62.933333333333337</v>
          </cell>
          <cell r="EN250">
            <v>77.026666666666671</v>
          </cell>
          <cell r="EO250">
            <v>91.533333333333346</v>
          </cell>
          <cell r="EP250">
            <v>106.04</v>
          </cell>
          <cell r="EQ250">
            <v>120.54666666666667</v>
          </cell>
          <cell r="ER250">
            <v>135.73333333333332</v>
          </cell>
          <cell r="ES250">
            <v>162.239</v>
          </cell>
          <cell r="ET250">
            <v>178.56466666666665</v>
          </cell>
          <cell r="EU250">
            <v>194.8903333333333</v>
          </cell>
          <cell r="EV250">
            <v>211.21599999999998</v>
          </cell>
          <cell r="EW250">
            <v>1340.7233333333334</v>
          </cell>
          <cell r="EY250">
            <v>89072</v>
          </cell>
          <cell r="EZ250">
            <v>8</v>
          </cell>
          <cell r="FA250">
            <v>593.81333333333339</v>
          </cell>
          <cell r="FB250">
            <v>104220</v>
          </cell>
          <cell r="FC250">
            <v>8.6</v>
          </cell>
          <cell r="FD250">
            <v>746.91</v>
          </cell>
          <cell r="FE250">
            <v>1340.7233333333334</v>
          </cell>
          <cell r="FF250">
            <v>30813</v>
          </cell>
          <cell r="FH250">
            <v>30813</v>
          </cell>
        </row>
        <row r="251">
          <cell r="B251">
            <v>9412</v>
          </cell>
          <cell r="C251" t="str">
            <v>29.05.2007</v>
          </cell>
          <cell r="D251" t="str">
            <v>Revar Manju Bhikamdas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O251">
            <v>0</v>
          </cell>
          <cell r="CP251">
            <v>0</v>
          </cell>
          <cell r="CQ251">
            <v>0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Y251">
            <v>0</v>
          </cell>
          <cell r="CZ251">
            <v>0</v>
          </cell>
          <cell r="DA251">
            <v>0</v>
          </cell>
          <cell r="DB251">
            <v>0</v>
          </cell>
          <cell r="DC251">
            <v>0</v>
          </cell>
          <cell r="DD251">
            <v>0</v>
          </cell>
          <cell r="DE251">
            <v>0</v>
          </cell>
          <cell r="DF251">
            <v>0</v>
          </cell>
          <cell r="DG251">
            <v>0</v>
          </cell>
          <cell r="DI251">
            <v>0</v>
          </cell>
          <cell r="DJ251">
            <v>0</v>
          </cell>
          <cell r="DK251">
            <v>0</v>
          </cell>
          <cell r="DL251">
            <v>0</v>
          </cell>
          <cell r="DM251">
            <v>0</v>
          </cell>
          <cell r="DN251">
            <v>0</v>
          </cell>
          <cell r="DO251">
            <v>0</v>
          </cell>
          <cell r="DP251">
            <v>0</v>
          </cell>
          <cell r="DQ251">
            <v>0</v>
          </cell>
          <cell r="DR251">
            <v>0</v>
          </cell>
          <cell r="DS251">
            <v>0</v>
          </cell>
          <cell r="DT251">
            <v>0</v>
          </cell>
          <cell r="DU251">
            <v>0</v>
          </cell>
          <cell r="DW251">
            <v>0</v>
          </cell>
          <cell r="DX251">
            <v>0</v>
          </cell>
          <cell r="DY251">
            <v>0</v>
          </cell>
          <cell r="DZ251">
            <v>0</v>
          </cell>
          <cell r="EA251">
            <v>0</v>
          </cell>
          <cell r="EB251">
            <v>0</v>
          </cell>
          <cell r="EC251">
            <v>0</v>
          </cell>
          <cell r="ED251">
            <v>0</v>
          </cell>
          <cell r="EE251">
            <v>0</v>
          </cell>
          <cell r="EF251">
            <v>0</v>
          </cell>
          <cell r="EG251">
            <v>0</v>
          </cell>
          <cell r="EH251">
            <v>0</v>
          </cell>
          <cell r="EI251">
            <v>0</v>
          </cell>
          <cell r="EK251">
            <v>0</v>
          </cell>
          <cell r="EL251">
            <v>0</v>
          </cell>
          <cell r="EM251">
            <v>0</v>
          </cell>
          <cell r="EN251">
            <v>0</v>
          </cell>
          <cell r="EO251">
            <v>0</v>
          </cell>
          <cell r="EP251">
            <v>0</v>
          </cell>
          <cell r="EQ251">
            <v>0</v>
          </cell>
          <cell r="ER251">
            <v>0</v>
          </cell>
          <cell r="ES251">
            <v>0</v>
          </cell>
          <cell r="ET251">
            <v>0</v>
          </cell>
          <cell r="EU251">
            <v>0</v>
          </cell>
          <cell r="EV251">
            <v>0</v>
          </cell>
          <cell r="EW251">
            <v>0</v>
          </cell>
          <cell r="EY251">
            <v>0</v>
          </cell>
          <cell r="EZ251">
            <v>8</v>
          </cell>
          <cell r="FA251">
            <v>0</v>
          </cell>
          <cell r="FB251">
            <v>0</v>
          </cell>
          <cell r="FC251">
            <v>8.6</v>
          </cell>
          <cell r="FD251">
            <v>0</v>
          </cell>
          <cell r="FE251">
            <v>0</v>
          </cell>
          <cell r="FF251">
            <v>0</v>
          </cell>
          <cell r="FH251">
            <v>0</v>
          </cell>
        </row>
        <row r="252">
          <cell r="B252">
            <v>9498</v>
          </cell>
          <cell r="C252" t="str">
            <v>29.05.2007</v>
          </cell>
          <cell r="D252" t="str">
            <v>Chavan Praveen Vasant</v>
          </cell>
          <cell r="F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O252">
            <v>0</v>
          </cell>
          <cell r="CP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Y252">
            <v>0</v>
          </cell>
          <cell r="CZ252">
            <v>0</v>
          </cell>
          <cell r="DA252">
            <v>0</v>
          </cell>
          <cell r="DB252">
            <v>0</v>
          </cell>
          <cell r="DC252">
            <v>0</v>
          </cell>
          <cell r="DD252">
            <v>0</v>
          </cell>
          <cell r="DE252">
            <v>0</v>
          </cell>
          <cell r="DF252">
            <v>0</v>
          </cell>
          <cell r="DG252">
            <v>0</v>
          </cell>
          <cell r="DI252">
            <v>0</v>
          </cell>
          <cell r="DJ252">
            <v>0</v>
          </cell>
          <cell r="DK252">
            <v>0</v>
          </cell>
          <cell r="DL252">
            <v>0</v>
          </cell>
          <cell r="DM252">
            <v>0</v>
          </cell>
          <cell r="DN252">
            <v>0</v>
          </cell>
          <cell r="DO252">
            <v>0</v>
          </cell>
          <cell r="DP252">
            <v>0</v>
          </cell>
          <cell r="DQ252">
            <v>0</v>
          </cell>
          <cell r="DR252">
            <v>0</v>
          </cell>
          <cell r="DS252">
            <v>0</v>
          </cell>
          <cell r="DT252">
            <v>0</v>
          </cell>
          <cell r="DU252">
            <v>0</v>
          </cell>
          <cell r="DW252">
            <v>0</v>
          </cell>
          <cell r="DX252">
            <v>0</v>
          </cell>
          <cell r="DY252">
            <v>0</v>
          </cell>
          <cell r="DZ252">
            <v>0</v>
          </cell>
          <cell r="EA252">
            <v>0</v>
          </cell>
          <cell r="EB252">
            <v>0</v>
          </cell>
          <cell r="EC252">
            <v>0</v>
          </cell>
          <cell r="ED252">
            <v>0</v>
          </cell>
          <cell r="EE252">
            <v>0</v>
          </cell>
          <cell r="EF252">
            <v>0</v>
          </cell>
          <cell r="EG252">
            <v>0</v>
          </cell>
          <cell r="EH252">
            <v>0</v>
          </cell>
          <cell r="EI252">
            <v>0</v>
          </cell>
          <cell r="EK252">
            <v>0</v>
          </cell>
          <cell r="EL252">
            <v>0</v>
          </cell>
          <cell r="EM252">
            <v>0</v>
          </cell>
          <cell r="EN252">
            <v>0</v>
          </cell>
          <cell r="EO252">
            <v>0</v>
          </cell>
          <cell r="EP252">
            <v>0</v>
          </cell>
          <cell r="EQ252">
            <v>0</v>
          </cell>
          <cell r="ER252">
            <v>0</v>
          </cell>
          <cell r="ES252">
            <v>0</v>
          </cell>
          <cell r="ET252">
            <v>0</v>
          </cell>
          <cell r="EU252">
            <v>0</v>
          </cell>
          <cell r="EV252">
            <v>0</v>
          </cell>
          <cell r="EW252">
            <v>0</v>
          </cell>
          <cell r="EY252">
            <v>0</v>
          </cell>
          <cell r="EZ252">
            <v>8</v>
          </cell>
          <cell r="FA252">
            <v>0</v>
          </cell>
          <cell r="FB252">
            <v>0</v>
          </cell>
          <cell r="FC252">
            <v>8.6</v>
          </cell>
          <cell r="FD252">
            <v>0</v>
          </cell>
          <cell r="FE252">
            <v>0</v>
          </cell>
          <cell r="FF252">
            <v>0</v>
          </cell>
          <cell r="FH252">
            <v>0</v>
          </cell>
        </row>
        <row r="253">
          <cell r="B253">
            <v>9514</v>
          </cell>
          <cell r="C253" t="str">
            <v>30.05.2007</v>
          </cell>
          <cell r="D253" t="str">
            <v>Shinde Sandip Raju</v>
          </cell>
          <cell r="F253">
            <v>3045</v>
          </cell>
          <cell r="H253">
            <v>1353</v>
          </cell>
          <cell r="I253">
            <v>1353</v>
          </cell>
          <cell r="J253">
            <v>2706</v>
          </cell>
          <cell r="K253">
            <v>-339</v>
          </cell>
          <cell r="M253">
            <v>1057</v>
          </cell>
          <cell r="N253">
            <v>0</v>
          </cell>
          <cell r="O253">
            <v>1057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W253">
            <v>1057</v>
          </cell>
          <cell r="X253">
            <v>0</v>
          </cell>
          <cell r="Y253">
            <v>1057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G253">
            <v>1088</v>
          </cell>
          <cell r="AH253">
            <v>0</v>
          </cell>
          <cell r="AI253">
            <v>1088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Q253">
            <v>1088</v>
          </cell>
          <cell r="AR253">
            <v>0</v>
          </cell>
          <cell r="AS253">
            <v>1088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BA253">
            <v>1088</v>
          </cell>
          <cell r="BB253">
            <v>0</v>
          </cell>
          <cell r="BC253">
            <v>1088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K253">
            <v>1139</v>
          </cell>
          <cell r="BL253">
            <v>0</v>
          </cell>
          <cell r="BM253">
            <v>1139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U253">
            <v>1139</v>
          </cell>
          <cell r="BV253">
            <v>0</v>
          </cell>
          <cell r="BW253">
            <v>1139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E253">
            <v>1139</v>
          </cell>
          <cell r="CF253">
            <v>0</v>
          </cell>
          <cell r="CG253">
            <v>1139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O253">
            <v>1139</v>
          </cell>
          <cell r="CP253">
            <v>0</v>
          </cell>
          <cell r="CQ253">
            <v>1139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Y253">
            <v>1139</v>
          </cell>
          <cell r="CZ253">
            <v>0</v>
          </cell>
          <cell r="DA253">
            <v>1139</v>
          </cell>
          <cell r="DB253">
            <v>0</v>
          </cell>
          <cell r="DC253">
            <v>0</v>
          </cell>
          <cell r="DD253">
            <v>0</v>
          </cell>
          <cell r="DE253">
            <v>0</v>
          </cell>
          <cell r="DF253">
            <v>0</v>
          </cell>
          <cell r="DG253">
            <v>0</v>
          </cell>
          <cell r="DI253">
            <v>2706</v>
          </cell>
          <cell r="DJ253">
            <v>11073</v>
          </cell>
          <cell r="DK253">
            <v>0</v>
          </cell>
          <cell r="DL253">
            <v>11073</v>
          </cell>
          <cell r="DM253">
            <v>11073</v>
          </cell>
          <cell r="DN253">
            <v>0</v>
          </cell>
          <cell r="DO253">
            <v>11073</v>
          </cell>
          <cell r="DP253">
            <v>0</v>
          </cell>
          <cell r="DQ253">
            <v>0</v>
          </cell>
          <cell r="DR253">
            <v>0</v>
          </cell>
          <cell r="DS253">
            <v>0</v>
          </cell>
          <cell r="DT253">
            <v>22146</v>
          </cell>
          <cell r="DU253">
            <v>0</v>
          </cell>
          <cell r="DW253">
            <v>0</v>
          </cell>
          <cell r="DX253">
            <v>0</v>
          </cell>
          <cell r="DY253">
            <v>4820</v>
          </cell>
          <cell r="DZ253">
            <v>6934</v>
          </cell>
          <cell r="EA253">
            <v>9110</v>
          </cell>
          <cell r="EB253">
            <v>11286</v>
          </cell>
          <cell r="EC253">
            <v>13462</v>
          </cell>
          <cell r="ED253">
            <v>15740</v>
          </cell>
          <cell r="EE253">
            <v>18018</v>
          </cell>
          <cell r="EF253">
            <v>20296</v>
          </cell>
          <cell r="EG253">
            <v>22574</v>
          </cell>
          <cell r="EH253">
            <v>24852</v>
          </cell>
          <cell r="EI253">
            <v>147092</v>
          </cell>
          <cell r="EK253">
            <v>0</v>
          </cell>
          <cell r="EL253">
            <v>0</v>
          </cell>
          <cell r="EM253">
            <v>32.133333333333333</v>
          </cell>
          <cell r="EN253">
            <v>46.226666666666667</v>
          </cell>
          <cell r="EO253">
            <v>60.733333333333327</v>
          </cell>
          <cell r="EP253">
            <v>75.239999999999995</v>
          </cell>
          <cell r="EQ253">
            <v>89.74666666666667</v>
          </cell>
          <cell r="ER253">
            <v>104.93333333333334</v>
          </cell>
          <cell r="ES253">
            <v>129.12899999999999</v>
          </cell>
          <cell r="ET253">
            <v>145.45466666666667</v>
          </cell>
          <cell r="EU253">
            <v>161.78033333333335</v>
          </cell>
          <cell r="EV253">
            <v>178.10599999999999</v>
          </cell>
          <cell r="EW253">
            <v>1023.4833333333333</v>
          </cell>
          <cell r="EY253">
            <v>61352</v>
          </cell>
          <cell r="EZ253">
            <v>8</v>
          </cell>
          <cell r="FA253">
            <v>409.01333333333332</v>
          </cell>
          <cell r="FB253">
            <v>85740</v>
          </cell>
          <cell r="FC253">
            <v>8.6</v>
          </cell>
          <cell r="FD253">
            <v>614.47</v>
          </cell>
          <cell r="FE253">
            <v>1023.4833333333333</v>
          </cell>
          <cell r="FF253">
            <v>25875</v>
          </cell>
          <cell r="FH253">
            <v>25875</v>
          </cell>
        </row>
        <row r="254">
          <cell r="B254">
            <v>9254</v>
          </cell>
          <cell r="C254" t="str">
            <v>06.06.2007</v>
          </cell>
          <cell r="D254" t="str">
            <v>Gite Mohan Vijayrao</v>
          </cell>
          <cell r="F254">
            <v>32384</v>
          </cell>
          <cell r="H254">
            <v>6534</v>
          </cell>
          <cell r="I254">
            <v>6534</v>
          </cell>
          <cell r="J254">
            <v>13068</v>
          </cell>
          <cell r="K254">
            <v>-19316</v>
          </cell>
          <cell r="M254">
            <v>2228</v>
          </cell>
          <cell r="N254">
            <v>0</v>
          </cell>
          <cell r="O254">
            <v>2228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W254">
            <v>2228</v>
          </cell>
          <cell r="X254">
            <v>0</v>
          </cell>
          <cell r="Y254">
            <v>2228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G254">
            <v>2296</v>
          </cell>
          <cell r="AH254">
            <v>0</v>
          </cell>
          <cell r="AI254">
            <v>2296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Q254">
            <v>2296</v>
          </cell>
          <cell r="AR254">
            <v>0</v>
          </cell>
          <cell r="AS254">
            <v>2296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BA254">
            <v>2296</v>
          </cell>
          <cell r="BB254">
            <v>0</v>
          </cell>
          <cell r="BC254">
            <v>2296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K254">
            <v>2403</v>
          </cell>
          <cell r="BL254">
            <v>0</v>
          </cell>
          <cell r="BM254">
            <v>2403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U254">
            <v>2403</v>
          </cell>
          <cell r="BV254">
            <v>0</v>
          </cell>
          <cell r="BW254">
            <v>2403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E254">
            <v>2403</v>
          </cell>
          <cell r="CF254">
            <v>0</v>
          </cell>
          <cell r="CG254">
            <v>2403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O254">
            <v>2403</v>
          </cell>
          <cell r="CP254">
            <v>0</v>
          </cell>
          <cell r="CQ254">
            <v>2403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Y254">
            <v>2403</v>
          </cell>
          <cell r="CZ254">
            <v>0</v>
          </cell>
          <cell r="DA254">
            <v>2403</v>
          </cell>
          <cell r="DB254">
            <v>0</v>
          </cell>
          <cell r="DC254">
            <v>0</v>
          </cell>
          <cell r="DD254">
            <v>0</v>
          </cell>
          <cell r="DE254">
            <v>0</v>
          </cell>
          <cell r="DF254">
            <v>0</v>
          </cell>
          <cell r="DG254">
            <v>0</v>
          </cell>
          <cell r="DI254">
            <v>13068</v>
          </cell>
          <cell r="DJ254">
            <v>23359</v>
          </cell>
          <cell r="DK254">
            <v>0</v>
          </cell>
          <cell r="DL254">
            <v>23359</v>
          </cell>
          <cell r="DM254">
            <v>23359</v>
          </cell>
          <cell r="DN254">
            <v>0</v>
          </cell>
          <cell r="DO254">
            <v>23359</v>
          </cell>
          <cell r="DP254">
            <v>0</v>
          </cell>
          <cell r="DQ254">
            <v>0</v>
          </cell>
          <cell r="DR254">
            <v>0</v>
          </cell>
          <cell r="DS254">
            <v>0</v>
          </cell>
          <cell r="DT254">
            <v>46718</v>
          </cell>
          <cell r="DU254">
            <v>0</v>
          </cell>
          <cell r="DW254">
            <v>0</v>
          </cell>
          <cell r="DX254">
            <v>0</v>
          </cell>
          <cell r="DY254">
            <v>17524</v>
          </cell>
          <cell r="DZ254">
            <v>21980</v>
          </cell>
          <cell r="EA254">
            <v>26572</v>
          </cell>
          <cell r="EB254">
            <v>31164</v>
          </cell>
          <cell r="EC254">
            <v>35756</v>
          </cell>
          <cell r="ED254">
            <v>40562</v>
          </cell>
          <cell r="EE254">
            <v>45368</v>
          </cell>
          <cell r="EF254">
            <v>50174</v>
          </cell>
          <cell r="EG254">
            <v>54980</v>
          </cell>
          <cell r="EH254">
            <v>59786</v>
          </cell>
          <cell r="EI254">
            <v>383866</v>
          </cell>
          <cell r="EK254">
            <v>0</v>
          </cell>
          <cell r="EL254">
            <v>0</v>
          </cell>
          <cell r="EM254">
            <v>116.82666666666667</v>
          </cell>
          <cell r="EN254">
            <v>146.53333333333333</v>
          </cell>
          <cell r="EO254">
            <v>177.14666666666668</v>
          </cell>
          <cell r="EP254">
            <v>207.76</v>
          </cell>
          <cell r="EQ254">
            <v>238.37333333333333</v>
          </cell>
          <cell r="ER254">
            <v>270.41333333333336</v>
          </cell>
          <cell r="ES254">
            <v>325.13733333333329</v>
          </cell>
          <cell r="ET254">
            <v>359.58033333333333</v>
          </cell>
          <cell r="EU254">
            <v>394.02333333333331</v>
          </cell>
          <cell r="EV254">
            <v>428.4663333333333</v>
          </cell>
          <cell r="EW254">
            <v>2664.2606666666666</v>
          </cell>
          <cell r="EY254">
            <v>173558</v>
          </cell>
          <cell r="EZ254">
            <v>8</v>
          </cell>
          <cell r="FA254">
            <v>1157.0533333333333</v>
          </cell>
          <cell r="FB254">
            <v>210308</v>
          </cell>
          <cell r="FC254">
            <v>8.6</v>
          </cell>
          <cell r="FD254">
            <v>1507.2073333333331</v>
          </cell>
          <cell r="FE254">
            <v>2664.2606666666661</v>
          </cell>
          <cell r="FF254">
            <v>62450</v>
          </cell>
          <cell r="FH254">
            <v>62450</v>
          </cell>
        </row>
        <row r="255">
          <cell r="B255">
            <v>9255</v>
          </cell>
          <cell r="C255" t="str">
            <v>06.06.2007</v>
          </cell>
          <cell r="D255" t="str">
            <v>Mahajan Ganesh Trambak (Death) Dt.17-01-2013</v>
          </cell>
          <cell r="F255">
            <v>27440</v>
          </cell>
          <cell r="G255">
            <v>0</v>
          </cell>
          <cell r="H255">
            <v>41395</v>
          </cell>
          <cell r="I255">
            <v>41395</v>
          </cell>
          <cell r="J255">
            <v>82790</v>
          </cell>
          <cell r="K255">
            <v>55350</v>
          </cell>
          <cell r="M255">
            <v>837</v>
          </cell>
          <cell r="N255">
            <v>0</v>
          </cell>
          <cell r="O255">
            <v>837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W255">
            <v>837</v>
          </cell>
          <cell r="X255">
            <v>0</v>
          </cell>
          <cell r="Y255">
            <v>837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G255">
            <v>837</v>
          </cell>
          <cell r="AH255">
            <v>0</v>
          </cell>
          <cell r="AI255">
            <v>837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Q255">
            <v>2331</v>
          </cell>
          <cell r="AR255">
            <v>0</v>
          </cell>
          <cell r="AS255">
            <v>2331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BA255">
            <v>2331</v>
          </cell>
          <cell r="BB255">
            <v>0</v>
          </cell>
          <cell r="BC255">
            <v>2331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K255">
            <v>2332</v>
          </cell>
          <cell r="BL255">
            <v>0</v>
          </cell>
          <cell r="BM255">
            <v>2332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U255">
            <v>2332</v>
          </cell>
          <cell r="BV255">
            <v>0</v>
          </cell>
          <cell r="BW255">
            <v>2332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E255">
            <v>2332</v>
          </cell>
          <cell r="CF255">
            <v>0</v>
          </cell>
          <cell r="CG255">
            <v>2332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  <cell r="CL255">
            <v>0</v>
          </cell>
          <cell r="CM255">
            <v>0</v>
          </cell>
          <cell r="CO255">
            <v>2332</v>
          </cell>
          <cell r="CP255">
            <v>0</v>
          </cell>
          <cell r="CQ255">
            <v>2332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Y255">
            <v>2332</v>
          </cell>
          <cell r="CZ255">
            <v>0</v>
          </cell>
          <cell r="DA255">
            <v>2332</v>
          </cell>
          <cell r="DB255">
            <v>0</v>
          </cell>
          <cell r="DC255">
            <v>0</v>
          </cell>
          <cell r="DD255">
            <v>0</v>
          </cell>
          <cell r="DE255">
            <v>0</v>
          </cell>
          <cell r="DF255">
            <v>0</v>
          </cell>
          <cell r="DG255">
            <v>0</v>
          </cell>
          <cell r="DI255">
            <v>82790</v>
          </cell>
          <cell r="DJ255">
            <v>18833</v>
          </cell>
          <cell r="DK255">
            <v>0</v>
          </cell>
          <cell r="DL255">
            <v>18833</v>
          </cell>
          <cell r="DM255">
            <v>18833</v>
          </cell>
          <cell r="DN255">
            <v>0</v>
          </cell>
          <cell r="DO255">
            <v>18833</v>
          </cell>
          <cell r="DP255">
            <v>0</v>
          </cell>
          <cell r="DQ255">
            <v>0</v>
          </cell>
          <cell r="DR255">
            <v>0</v>
          </cell>
          <cell r="DS255">
            <v>0</v>
          </cell>
          <cell r="DT255">
            <v>37666</v>
          </cell>
          <cell r="DU255">
            <v>0</v>
          </cell>
          <cell r="DW255">
            <v>0</v>
          </cell>
          <cell r="DX255">
            <v>0</v>
          </cell>
          <cell r="DY255">
            <v>84464</v>
          </cell>
          <cell r="DZ255">
            <v>86138</v>
          </cell>
          <cell r="EA255">
            <v>87812</v>
          </cell>
          <cell r="EB255">
            <v>92474</v>
          </cell>
          <cell r="EC255">
            <v>97136</v>
          </cell>
          <cell r="ED255">
            <v>101800</v>
          </cell>
          <cell r="EE255">
            <v>106464</v>
          </cell>
          <cell r="EF255">
            <v>111128</v>
          </cell>
          <cell r="EG255">
            <v>115792</v>
          </cell>
          <cell r="EH255">
            <v>120456</v>
          </cell>
          <cell r="EI255">
            <v>1003664</v>
          </cell>
          <cell r="EK255">
            <v>0</v>
          </cell>
          <cell r="EL255">
            <v>0</v>
          </cell>
          <cell r="EM255">
            <v>563.09333333333336</v>
          </cell>
          <cell r="EN255">
            <v>574.25333333333333</v>
          </cell>
          <cell r="EO255">
            <v>585.4133333333333</v>
          </cell>
          <cell r="EP255">
            <v>616.49333333333334</v>
          </cell>
          <cell r="EQ255">
            <v>647.57333333333338</v>
          </cell>
          <cell r="ER255">
            <v>678.66666666666663</v>
          </cell>
          <cell r="ES255">
            <v>762.99199999999985</v>
          </cell>
          <cell r="ET255">
            <v>796.41733333333332</v>
          </cell>
          <cell r="EU255">
            <v>829.84266666666656</v>
          </cell>
          <cell r="EV255">
            <v>863.26800000000003</v>
          </cell>
          <cell r="EW255">
            <v>6918.0133333333333</v>
          </cell>
          <cell r="EY255">
            <v>549824</v>
          </cell>
          <cell r="EZ255">
            <v>8</v>
          </cell>
          <cell r="FA255">
            <v>3665.4933333333333</v>
          </cell>
          <cell r="FB255">
            <v>453840</v>
          </cell>
          <cell r="FC255">
            <v>8.6</v>
          </cell>
          <cell r="FD255">
            <v>3252.52</v>
          </cell>
          <cell r="FE255">
            <v>6918.0133333333333</v>
          </cell>
          <cell r="FF255">
            <v>127374</v>
          </cell>
          <cell r="FH255">
            <v>127374</v>
          </cell>
        </row>
        <row r="256">
          <cell r="B256">
            <v>9256</v>
          </cell>
          <cell r="C256" t="str">
            <v>06.06.2007</v>
          </cell>
          <cell r="D256" t="str">
            <v>Kumar Sudhir Kumar</v>
          </cell>
          <cell r="F256">
            <v>29832</v>
          </cell>
          <cell r="H256">
            <v>13872</v>
          </cell>
          <cell r="I256">
            <v>13872</v>
          </cell>
          <cell r="J256">
            <v>27744</v>
          </cell>
          <cell r="K256">
            <v>-2088</v>
          </cell>
          <cell r="M256">
            <v>1642</v>
          </cell>
          <cell r="N256">
            <v>0</v>
          </cell>
          <cell r="O256">
            <v>1642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W256">
            <v>1642</v>
          </cell>
          <cell r="X256">
            <v>0</v>
          </cell>
          <cell r="Y256">
            <v>1642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G256">
            <v>1692</v>
          </cell>
          <cell r="AH256">
            <v>0</v>
          </cell>
          <cell r="AI256">
            <v>1692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Q256">
            <v>1692</v>
          </cell>
          <cell r="AR256">
            <v>0</v>
          </cell>
          <cell r="AS256">
            <v>1692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BA256">
            <v>1692</v>
          </cell>
          <cell r="BB256">
            <v>0</v>
          </cell>
          <cell r="BC256">
            <v>1692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K256">
            <v>1771</v>
          </cell>
          <cell r="BL256">
            <v>0</v>
          </cell>
          <cell r="BM256">
            <v>1771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U256">
            <v>1771</v>
          </cell>
          <cell r="BV256">
            <v>0</v>
          </cell>
          <cell r="BW256">
            <v>1771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E256">
            <v>1771</v>
          </cell>
          <cell r="CF256">
            <v>0</v>
          </cell>
          <cell r="CG256">
            <v>1771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O256">
            <v>1771</v>
          </cell>
          <cell r="CP256">
            <v>0</v>
          </cell>
          <cell r="CQ256">
            <v>1771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Y256">
            <v>1771</v>
          </cell>
          <cell r="CZ256">
            <v>0</v>
          </cell>
          <cell r="DA256">
            <v>1771</v>
          </cell>
          <cell r="DB256">
            <v>0</v>
          </cell>
          <cell r="DC256">
            <v>0</v>
          </cell>
          <cell r="DD256">
            <v>0</v>
          </cell>
          <cell r="DE256">
            <v>0</v>
          </cell>
          <cell r="DF256">
            <v>0</v>
          </cell>
          <cell r="DG256">
            <v>0</v>
          </cell>
          <cell r="DI256">
            <v>27744</v>
          </cell>
          <cell r="DJ256">
            <v>17215</v>
          </cell>
          <cell r="DK256">
            <v>0</v>
          </cell>
          <cell r="DL256">
            <v>17215</v>
          </cell>
          <cell r="DM256">
            <v>17215</v>
          </cell>
          <cell r="DN256">
            <v>0</v>
          </cell>
          <cell r="DO256">
            <v>17215</v>
          </cell>
          <cell r="DP256">
            <v>0</v>
          </cell>
          <cell r="DQ256">
            <v>0</v>
          </cell>
          <cell r="DR256">
            <v>0</v>
          </cell>
          <cell r="DS256">
            <v>0</v>
          </cell>
          <cell r="DT256">
            <v>34430</v>
          </cell>
          <cell r="DU256">
            <v>0</v>
          </cell>
          <cell r="DW256">
            <v>0</v>
          </cell>
          <cell r="DX256">
            <v>0</v>
          </cell>
          <cell r="DY256">
            <v>31028</v>
          </cell>
          <cell r="DZ256">
            <v>34312</v>
          </cell>
          <cell r="EA256">
            <v>37696</v>
          </cell>
          <cell r="EB256">
            <v>41080</v>
          </cell>
          <cell r="EC256">
            <v>44464</v>
          </cell>
          <cell r="ED256">
            <v>48006</v>
          </cell>
          <cell r="EE256">
            <v>51548</v>
          </cell>
          <cell r="EF256">
            <v>55090</v>
          </cell>
          <cell r="EG256">
            <v>58632</v>
          </cell>
          <cell r="EH256">
            <v>62174</v>
          </cell>
          <cell r="EI256">
            <v>464030</v>
          </cell>
          <cell r="EK256">
            <v>0</v>
          </cell>
          <cell r="EL256">
            <v>0</v>
          </cell>
          <cell r="EM256">
            <v>206.85333333333332</v>
          </cell>
          <cell r="EN256">
            <v>228.74666666666667</v>
          </cell>
          <cell r="EO256">
            <v>251.30666666666664</v>
          </cell>
          <cell r="EP256">
            <v>273.86666666666667</v>
          </cell>
          <cell r="EQ256">
            <v>296.42666666666668</v>
          </cell>
          <cell r="ER256">
            <v>320.04000000000002</v>
          </cell>
          <cell r="ES256">
            <v>369.42733333333331</v>
          </cell>
          <cell r="ET256">
            <v>394.81166666666667</v>
          </cell>
          <cell r="EU256">
            <v>420.19599999999997</v>
          </cell>
          <cell r="EV256">
            <v>445.58033333333333</v>
          </cell>
          <cell r="EW256">
            <v>3207.2553333333331</v>
          </cell>
          <cell r="EY256">
            <v>236586</v>
          </cell>
          <cell r="EZ256">
            <v>8</v>
          </cell>
          <cell r="FA256">
            <v>1577.24</v>
          </cell>
          <cell r="FB256">
            <v>227444</v>
          </cell>
          <cell r="FC256">
            <v>8.6</v>
          </cell>
          <cell r="FD256">
            <v>1630.015333333333</v>
          </cell>
          <cell r="FE256">
            <v>3207.2553333333331</v>
          </cell>
          <cell r="FF256">
            <v>65381</v>
          </cell>
          <cell r="FH256">
            <v>65381</v>
          </cell>
        </row>
        <row r="257">
          <cell r="B257">
            <v>9257</v>
          </cell>
          <cell r="C257" t="str">
            <v>06.06.2007</v>
          </cell>
          <cell r="D257" t="str">
            <v>Devare Shivsing Dalpat</v>
          </cell>
          <cell r="F257">
            <v>29739</v>
          </cell>
          <cell r="H257">
            <v>5808</v>
          </cell>
          <cell r="I257">
            <v>5808</v>
          </cell>
          <cell r="J257">
            <v>11616</v>
          </cell>
          <cell r="K257">
            <v>-18123</v>
          </cell>
          <cell r="M257">
            <v>1642</v>
          </cell>
          <cell r="N257">
            <v>0</v>
          </cell>
          <cell r="O257">
            <v>1642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W257">
            <v>1642</v>
          </cell>
          <cell r="X257">
            <v>0</v>
          </cell>
          <cell r="Y257">
            <v>1642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G257">
            <v>1692</v>
          </cell>
          <cell r="AH257">
            <v>0</v>
          </cell>
          <cell r="AI257">
            <v>1692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Q257">
            <v>1692</v>
          </cell>
          <cell r="AR257">
            <v>0</v>
          </cell>
          <cell r="AS257">
            <v>1692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BA257">
            <v>1692</v>
          </cell>
          <cell r="BB257">
            <v>0</v>
          </cell>
          <cell r="BC257">
            <v>1692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K257">
            <v>1771</v>
          </cell>
          <cell r="BL257">
            <v>0</v>
          </cell>
          <cell r="BM257">
            <v>1771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U257">
            <v>1771</v>
          </cell>
          <cell r="BV257">
            <v>0</v>
          </cell>
          <cell r="BW257">
            <v>1771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E257">
            <v>1771</v>
          </cell>
          <cell r="CF257">
            <v>0</v>
          </cell>
          <cell r="CG257">
            <v>1771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O257">
            <v>1771</v>
          </cell>
          <cell r="CP257">
            <v>0</v>
          </cell>
          <cell r="CQ257">
            <v>1771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Y257">
            <v>1771</v>
          </cell>
          <cell r="CZ257">
            <v>0</v>
          </cell>
          <cell r="DA257">
            <v>1771</v>
          </cell>
          <cell r="DB257">
            <v>0</v>
          </cell>
          <cell r="DC257">
            <v>0</v>
          </cell>
          <cell r="DD257">
            <v>0</v>
          </cell>
          <cell r="DE257">
            <v>0</v>
          </cell>
          <cell r="DF257">
            <v>0</v>
          </cell>
          <cell r="DG257">
            <v>0</v>
          </cell>
          <cell r="DI257">
            <v>11616</v>
          </cell>
          <cell r="DJ257">
            <v>17215</v>
          </cell>
          <cell r="DK257">
            <v>0</v>
          </cell>
          <cell r="DL257">
            <v>17215</v>
          </cell>
          <cell r="DM257">
            <v>17215</v>
          </cell>
          <cell r="DN257">
            <v>0</v>
          </cell>
          <cell r="DO257">
            <v>17215</v>
          </cell>
          <cell r="DP257">
            <v>0</v>
          </cell>
          <cell r="DQ257">
            <v>0</v>
          </cell>
          <cell r="DR257">
            <v>0</v>
          </cell>
          <cell r="DS257">
            <v>0</v>
          </cell>
          <cell r="DT257">
            <v>34430</v>
          </cell>
          <cell r="DU257">
            <v>0</v>
          </cell>
          <cell r="DW257">
            <v>0</v>
          </cell>
          <cell r="DX257">
            <v>0</v>
          </cell>
          <cell r="DY257">
            <v>14900</v>
          </cell>
          <cell r="DZ257">
            <v>18184</v>
          </cell>
          <cell r="EA257">
            <v>21568</v>
          </cell>
          <cell r="EB257">
            <v>24952</v>
          </cell>
          <cell r="EC257">
            <v>28336</v>
          </cell>
          <cell r="ED257">
            <v>31878</v>
          </cell>
          <cell r="EE257">
            <v>35420</v>
          </cell>
          <cell r="EF257">
            <v>38962</v>
          </cell>
          <cell r="EG257">
            <v>42504</v>
          </cell>
          <cell r="EH257">
            <v>46046</v>
          </cell>
          <cell r="EI257">
            <v>302750</v>
          </cell>
          <cell r="EK257">
            <v>0</v>
          </cell>
          <cell r="EL257">
            <v>0</v>
          </cell>
          <cell r="EM257">
            <v>99.333333333333329</v>
          </cell>
          <cell r="EN257">
            <v>121.22666666666667</v>
          </cell>
          <cell r="EO257">
            <v>143.78666666666666</v>
          </cell>
          <cell r="EP257">
            <v>166.34666666666666</v>
          </cell>
          <cell r="EQ257">
            <v>188.90666666666667</v>
          </cell>
          <cell r="ER257">
            <v>212.51999999999998</v>
          </cell>
          <cell r="ES257">
            <v>253.84333333333333</v>
          </cell>
          <cell r="ET257">
            <v>279.22766666666666</v>
          </cell>
          <cell r="EU257">
            <v>304.61199999999997</v>
          </cell>
          <cell r="EV257">
            <v>329.99633333333333</v>
          </cell>
          <cell r="EW257">
            <v>2099.7993333333334</v>
          </cell>
          <cell r="EY257">
            <v>139818</v>
          </cell>
          <cell r="EZ257">
            <v>8</v>
          </cell>
          <cell r="FA257">
            <v>932.12</v>
          </cell>
          <cell r="FB257">
            <v>162932</v>
          </cell>
          <cell r="FC257">
            <v>8.6</v>
          </cell>
          <cell r="FD257">
            <v>1167.6793333333333</v>
          </cell>
          <cell r="FE257">
            <v>2099.7993333333334</v>
          </cell>
          <cell r="FF257">
            <v>48146</v>
          </cell>
          <cell r="FH257">
            <v>48146</v>
          </cell>
        </row>
        <row r="258">
          <cell r="B258">
            <v>9258</v>
          </cell>
          <cell r="C258" t="str">
            <v>06.06.2007</v>
          </cell>
          <cell r="D258" t="str">
            <v>Borase Gajamal Daulat</v>
          </cell>
          <cell r="F258">
            <v>29279</v>
          </cell>
          <cell r="H258">
            <v>5808</v>
          </cell>
          <cell r="I258">
            <v>5808</v>
          </cell>
          <cell r="J258">
            <v>11616</v>
          </cell>
          <cell r="K258">
            <v>-17663</v>
          </cell>
          <cell r="M258">
            <v>1642</v>
          </cell>
          <cell r="N258">
            <v>0</v>
          </cell>
          <cell r="O258">
            <v>1642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W258">
            <v>1642</v>
          </cell>
          <cell r="X258">
            <v>0</v>
          </cell>
          <cell r="Y258">
            <v>1642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G258">
            <v>1692</v>
          </cell>
          <cell r="AH258">
            <v>0</v>
          </cell>
          <cell r="AI258">
            <v>1692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Q258">
            <v>1692</v>
          </cell>
          <cell r="AR258">
            <v>0</v>
          </cell>
          <cell r="AS258">
            <v>1692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BA258">
            <v>1692</v>
          </cell>
          <cell r="BB258">
            <v>0</v>
          </cell>
          <cell r="BC258">
            <v>1692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K258">
            <v>1771</v>
          </cell>
          <cell r="BL258">
            <v>0</v>
          </cell>
          <cell r="BM258">
            <v>1771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U258">
            <v>1771</v>
          </cell>
          <cell r="BV258">
            <v>0</v>
          </cell>
          <cell r="BW258">
            <v>1771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E258">
            <v>1771</v>
          </cell>
          <cell r="CF258">
            <v>0</v>
          </cell>
          <cell r="CG258">
            <v>1771</v>
          </cell>
          <cell r="CH258">
            <v>0</v>
          </cell>
          <cell r="CI258">
            <v>0</v>
          </cell>
          <cell r="CJ258">
            <v>0</v>
          </cell>
          <cell r="CK258">
            <v>0</v>
          </cell>
          <cell r="CL258">
            <v>0</v>
          </cell>
          <cell r="CM258">
            <v>0</v>
          </cell>
          <cell r="CO258">
            <v>1771</v>
          </cell>
          <cell r="CP258">
            <v>0</v>
          </cell>
          <cell r="CQ258">
            <v>1771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CW258">
            <v>0</v>
          </cell>
          <cell r="CY258">
            <v>1771</v>
          </cell>
          <cell r="CZ258">
            <v>0</v>
          </cell>
          <cell r="DA258">
            <v>1771</v>
          </cell>
          <cell r="DB258">
            <v>0</v>
          </cell>
          <cell r="DC258">
            <v>0</v>
          </cell>
          <cell r="DD258">
            <v>0</v>
          </cell>
          <cell r="DE258">
            <v>0</v>
          </cell>
          <cell r="DF258">
            <v>0</v>
          </cell>
          <cell r="DG258">
            <v>0</v>
          </cell>
          <cell r="DI258">
            <v>11616</v>
          </cell>
          <cell r="DJ258">
            <v>17215</v>
          </cell>
          <cell r="DK258">
            <v>0</v>
          </cell>
          <cell r="DL258">
            <v>17215</v>
          </cell>
          <cell r="DM258">
            <v>17215</v>
          </cell>
          <cell r="DN258">
            <v>0</v>
          </cell>
          <cell r="DO258">
            <v>17215</v>
          </cell>
          <cell r="DP258">
            <v>0</v>
          </cell>
          <cell r="DQ258">
            <v>0</v>
          </cell>
          <cell r="DR258">
            <v>0</v>
          </cell>
          <cell r="DS258">
            <v>0</v>
          </cell>
          <cell r="DT258">
            <v>34430</v>
          </cell>
          <cell r="DU258">
            <v>0</v>
          </cell>
          <cell r="DW258">
            <v>0</v>
          </cell>
          <cell r="DX258">
            <v>0</v>
          </cell>
          <cell r="DY258">
            <v>14900</v>
          </cell>
          <cell r="DZ258">
            <v>18184</v>
          </cell>
          <cell r="EA258">
            <v>21568</v>
          </cell>
          <cell r="EB258">
            <v>24952</v>
          </cell>
          <cell r="EC258">
            <v>28336</v>
          </cell>
          <cell r="ED258">
            <v>31878</v>
          </cell>
          <cell r="EE258">
            <v>35420</v>
          </cell>
          <cell r="EF258">
            <v>38962</v>
          </cell>
          <cell r="EG258">
            <v>42504</v>
          </cell>
          <cell r="EH258">
            <v>46046</v>
          </cell>
          <cell r="EI258">
            <v>302750</v>
          </cell>
          <cell r="EK258">
            <v>0</v>
          </cell>
          <cell r="EL258">
            <v>0</v>
          </cell>
          <cell r="EM258">
            <v>99.333333333333329</v>
          </cell>
          <cell r="EN258">
            <v>121.22666666666667</v>
          </cell>
          <cell r="EO258">
            <v>143.78666666666666</v>
          </cell>
          <cell r="EP258">
            <v>166.34666666666666</v>
          </cell>
          <cell r="EQ258">
            <v>188.90666666666667</v>
          </cell>
          <cell r="ER258">
            <v>212.51999999999998</v>
          </cell>
          <cell r="ES258">
            <v>253.84333333333333</v>
          </cell>
          <cell r="ET258">
            <v>279.22766666666666</v>
          </cell>
          <cell r="EU258">
            <v>304.61199999999997</v>
          </cell>
          <cell r="EV258">
            <v>329.99633333333333</v>
          </cell>
          <cell r="EW258">
            <v>2099.7993333333334</v>
          </cell>
          <cell r="EY258">
            <v>139818</v>
          </cell>
          <cell r="EZ258">
            <v>8</v>
          </cell>
          <cell r="FA258">
            <v>932.12</v>
          </cell>
          <cell r="FB258">
            <v>162932</v>
          </cell>
          <cell r="FC258">
            <v>8.6</v>
          </cell>
          <cell r="FD258">
            <v>1167.6793333333333</v>
          </cell>
          <cell r="FE258">
            <v>2099.7993333333334</v>
          </cell>
          <cell r="FF258">
            <v>48146</v>
          </cell>
          <cell r="FH258">
            <v>48146</v>
          </cell>
        </row>
        <row r="259">
          <cell r="B259">
            <v>9259</v>
          </cell>
          <cell r="C259" t="str">
            <v>06.06.2007</v>
          </cell>
          <cell r="D259" t="str">
            <v>Gharte Raju (Rajendra) Barku</v>
          </cell>
          <cell r="F259">
            <v>29197</v>
          </cell>
          <cell r="H259">
            <v>13872</v>
          </cell>
          <cell r="I259">
            <v>13872</v>
          </cell>
          <cell r="J259">
            <v>27744</v>
          </cell>
          <cell r="K259">
            <v>-1453</v>
          </cell>
          <cell r="M259">
            <v>1642</v>
          </cell>
          <cell r="N259">
            <v>0</v>
          </cell>
          <cell r="O259">
            <v>1642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W259">
            <v>1642</v>
          </cell>
          <cell r="X259">
            <v>0</v>
          </cell>
          <cell r="Y259">
            <v>1642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G259">
            <v>1692</v>
          </cell>
          <cell r="AH259">
            <v>0</v>
          </cell>
          <cell r="AI259">
            <v>1692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Q259">
            <v>1692</v>
          </cell>
          <cell r="AR259">
            <v>0</v>
          </cell>
          <cell r="AS259">
            <v>1692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BA259">
            <v>1692</v>
          </cell>
          <cell r="BB259">
            <v>0</v>
          </cell>
          <cell r="BC259">
            <v>1692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K259">
            <v>1771</v>
          </cell>
          <cell r="BL259">
            <v>0</v>
          </cell>
          <cell r="BM259">
            <v>1771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U259">
            <v>1771</v>
          </cell>
          <cell r="BV259">
            <v>0</v>
          </cell>
          <cell r="BW259">
            <v>1771</v>
          </cell>
          <cell r="BX259">
            <v>0</v>
          </cell>
          <cell r="BY259">
            <v>0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E259">
            <v>1771</v>
          </cell>
          <cell r="CF259">
            <v>0</v>
          </cell>
          <cell r="CG259">
            <v>1771</v>
          </cell>
          <cell r="CH259">
            <v>0</v>
          </cell>
          <cell r="CI259">
            <v>0</v>
          </cell>
          <cell r="CJ259">
            <v>0</v>
          </cell>
          <cell r="CK259">
            <v>0</v>
          </cell>
          <cell r="CL259">
            <v>0</v>
          </cell>
          <cell r="CM259">
            <v>0</v>
          </cell>
          <cell r="CO259">
            <v>1771</v>
          </cell>
          <cell r="CP259">
            <v>0</v>
          </cell>
          <cell r="CQ259">
            <v>1771</v>
          </cell>
          <cell r="CR259">
            <v>0</v>
          </cell>
          <cell r="CS259">
            <v>0</v>
          </cell>
          <cell r="CT259">
            <v>0</v>
          </cell>
          <cell r="CU259">
            <v>0</v>
          </cell>
          <cell r="CV259">
            <v>0</v>
          </cell>
          <cell r="CW259">
            <v>0</v>
          </cell>
          <cell r="CY259">
            <v>1771</v>
          </cell>
          <cell r="CZ259">
            <v>0</v>
          </cell>
          <cell r="DA259">
            <v>1771</v>
          </cell>
          <cell r="DB259">
            <v>0</v>
          </cell>
          <cell r="DC259">
            <v>0</v>
          </cell>
          <cell r="DD259">
            <v>0</v>
          </cell>
          <cell r="DE259">
            <v>0</v>
          </cell>
          <cell r="DF259">
            <v>0</v>
          </cell>
          <cell r="DG259">
            <v>0</v>
          </cell>
          <cell r="DI259">
            <v>27744</v>
          </cell>
          <cell r="DJ259">
            <v>17215</v>
          </cell>
          <cell r="DK259">
            <v>0</v>
          </cell>
          <cell r="DL259">
            <v>17215</v>
          </cell>
          <cell r="DM259">
            <v>17215</v>
          </cell>
          <cell r="DN259">
            <v>0</v>
          </cell>
          <cell r="DO259">
            <v>17215</v>
          </cell>
          <cell r="DP259">
            <v>0</v>
          </cell>
          <cell r="DQ259">
            <v>0</v>
          </cell>
          <cell r="DR259">
            <v>0</v>
          </cell>
          <cell r="DS259">
            <v>0</v>
          </cell>
          <cell r="DT259">
            <v>34430</v>
          </cell>
          <cell r="DU259">
            <v>0</v>
          </cell>
          <cell r="DW259">
            <v>0</v>
          </cell>
          <cell r="DX259">
            <v>0</v>
          </cell>
          <cell r="DY259">
            <v>31028</v>
          </cell>
          <cell r="DZ259">
            <v>34312</v>
          </cell>
          <cell r="EA259">
            <v>37696</v>
          </cell>
          <cell r="EB259">
            <v>41080</v>
          </cell>
          <cell r="EC259">
            <v>44464</v>
          </cell>
          <cell r="ED259">
            <v>48006</v>
          </cell>
          <cell r="EE259">
            <v>51548</v>
          </cell>
          <cell r="EF259">
            <v>55090</v>
          </cell>
          <cell r="EG259">
            <v>58632</v>
          </cell>
          <cell r="EH259">
            <v>62174</v>
          </cell>
          <cell r="EI259">
            <v>464030</v>
          </cell>
          <cell r="EK259">
            <v>0</v>
          </cell>
          <cell r="EL259">
            <v>0</v>
          </cell>
          <cell r="EM259">
            <v>206.85333333333332</v>
          </cell>
          <cell r="EN259">
            <v>228.74666666666667</v>
          </cell>
          <cell r="EO259">
            <v>251.30666666666664</v>
          </cell>
          <cell r="EP259">
            <v>273.86666666666667</v>
          </cell>
          <cell r="EQ259">
            <v>296.42666666666668</v>
          </cell>
          <cell r="ER259">
            <v>320.04000000000002</v>
          </cell>
          <cell r="ES259">
            <v>369.42733333333331</v>
          </cell>
          <cell r="ET259">
            <v>394.81166666666667</v>
          </cell>
          <cell r="EU259">
            <v>420.19599999999997</v>
          </cell>
          <cell r="EV259">
            <v>445.58033333333333</v>
          </cell>
          <cell r="EW259">
            <v>3207.2553333333331</v>
          </cell>
          <cell r="EY259">
            <v>236586</v>
          </cell>
          <cell r="EZ259">
            <v>8</v>
          </cell>
          <cell r="FA259">
            <v>1577.24</v>
          </cell>
          <cell r="FB259">
            <v>227444</v>
          </cell>
          <cell r="FC259">
            <v>8.6</v>
          </cell>
          <cell r="FD259">
            <v>1630.015333333333</v>
          </cell>
          <cell r="FE259">
            <v>3207.2553333333331</v>
          </cell>
          <cell r="FF259">
            <v>65381</v>
          </cell>
          <cell r="FH259">
            <v>65381</v>
          </cell>
        </row>
        <row r="260">
          <cell r="B260">
            <v>9260</v>
          </cell>
          <cell r="C260" t="str">
            <v>06.06.2007</v>
          </cell>
          <cell r="D260" t="str">
            <v>Vanmali Manish Nimbaji</v>
          </cell>
          <cell r="F260">
            <v>28675</v>
          </cell>
          <cell r="H260">
            <v>13872</v>
          </cell>
          <cell r="I260">
            <v>13872</v>
          </cell>
          <cell r="J260">
            <v>27744</v>
          </cell>
          <cell r="K260">
            <v>-931</v>
          </cell>
          <cell r="M260">
            <v>1642</v>
          </cell>
          <cell r="N260">
            <v>0</v>
          </cell>
          <cell r="O260">
            <v>1642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W260">
            <v>1642</v>
          </cell>
          <cell r="X260">
            <v>0</v>
          </cell>
          <cell r="Y260">
            <v>1642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G260">
            <v>1692</v>
          </cell>
          <cell r="AH260">
            <v>0</v>
          </cell>
          <cell r="AI260">
            <v>1692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Q260">
            <v>1692</v>
          </cell>
          <cell r="AR260">
            <v>0</v>
          </cell>
          <cell r="AS260">
            <v>1692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BA260">
            <v>1692</v>
          </cell>
          <cell r="BB260">
            <v>0</v>
          </cell>
          <cell r="BC260">
            <v>1692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K260">
            <v>1771</v>
          </cell>
          <cell r="BL260">
            <v>0</v>
          </cell>
          <cell r="BM260">
            <v>1771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S260">
            <v>0</v>
          </cell>
          <cell r="BU260">
            <v>1771</v>
          </cell>
          <cell r="BV260">
            <v>0</v>
          </cell>
          <cell r="BW260">
            <v>1771</v>
          </cell>
          <cell r="BX260">
            <v>0</v>
          </cell>
          <cell r="BY260">
            <v>0</v>
          </cell>
          <cell r="BZ260">
            <v>0</v>
          </cell>
          <cell r="CA260">
            <v>0</v>
          </cell>
          <cell r="CB260">
            <v>0</v>
          </cell>
          <cell r="CC260">
            <v>0</v>
          </cell>
          <cell r="CE260">
            <v>1771</v>
          </cell>
          <cell r="CF260">
            <v>0</v>
          </cell>
          <cell r="CG260">
            <v>1771</v>
          </cell>
          <cell r="CH260">
            <v>0</v>
          </cell>
          <cell r="CI260">
            <v>0</v>
          </cell>
          <cell r="CJ260">
            <v>0</v>
          </cell>
          <cell r="CK260">
            <v>0</v>
          </cell>
          <cell r="CL260">
            <v>0</v>
          </cell>
          <cell r="CM260">
            <v>0</v>
          </cell>
          <cell r="CO260">
            <v>1771</v>
          </cell>
          <cell r="CP260">
            <v>0</v>
          </cell>
          <cell r="CQ260">
            <v>1771</v>
          </cell>
          <cell r="CR260">
            <v>0</v>
          </cell>
          <cell r="CS260">
            <v>0</v>
          </cell>
          <cell r="CT260">
            <v>0</v>
          </cell>
          <cell r="CU260">
            <v>0</v>
          </cell>
          <cell r="CV260">
            <v>0</v>
          </cell>
          <cell r="CW260">
            <v>0</v>
          </cell>
          <cell r="CY260">
            <v>1771</v>
          </cell>
          <cell r="CZ260">
            <v>0</v>
          </cell>
          <cell r="DA260">
            <v>1771</v>
          </cell>
          <cell r="DB260">
            <v>0</v>
          </cell>
          <cell r="DC260">
            <v>0</v>
          </cell>
          <cell r="DD260">
            <v>0</v>
          </cell>
          <cell r="DE260">
            <v>0</v>
          </cell>
          <cell r="DF260">
            <v>0</v>
          </cell>
          <cell r="DG260">
            <v>0</v>
          </cell>
          <cell r="DI260">
            <v>27744</v>
          </cell>
          <cell r="DJ260">
            <v>17215</v>
          </cell>
          <cell r="DK260">
            <v>0</v>
          </cell>
          <cell r="DL260">
            <v>17215</v>
          </cell>
          <cell r="DM260">
            <v>17215</v>
          </cell>
          <cell r="DN260">
            <v>0</v>
          </cell>
          <cell r="DO260">
            <v>17215</v>
          </cell>
          <cell r="DP260">
            <v>0</v>
          </cell>
          <cell r="DQ260">
            <v>0</v>
          </cell>
          <cell r="DR260">
            <v>0</v>
          </cell>
          <cell r="DS260">
            <v>0</v>
          </cell>
          <cell r="DT260">
            <v>34430</v>
          </cell>
          <cell r="DU260">
            <v>0</v>
          </cell>
          <cell r="DW260">
            <v>0</v>
          </cell>
          <cell r="DX260">
            <v>0</v>
          </cell>
          <cell r="DY260">
            <v>31028</v>
          </cell>
          <cell r="DZ260">
            <v>34312</v>
          </cell>
          <cell r="EA260">
            <v>37696</v>
          </cell>
          <cell r="EB260">
            <v>41080</v>
          </cell>
          <cell r="EC260">
            <v>44464</v>
          </cell>
          <cell r="ED260">
            <v>48006</v>
          </cell>
          <cell r="EE260">
            <v>51548</v>
          </cell>
          <cell r="EF260">
            <v>55090</v>
          </cell>
          <cell r="EG260">
            <v>58632</v>
          </cell>
          <cell r="EH260">
            <v>62174</v>
          </cell>
          <cell r="EI260">
            <v>464030</v>
          </cell>
          <cell r="EK260">
            <v>0</v>
          </cell>
          <cell r="EL260">
            <v>0</v>
          </cell>
          <cell r="EM260">
            <v>206.85333333333332</v>
          </cell>
          <cell r="EN260">
            <v>228.74666666666667</v>
          </cell>
          <cell r="EO260">
            <v>251.30666666666664</v>
          </cell>
          <cell r="EP260">
            <v>273.86666666666667</v>
          </cell>
          <cell r="EQ260">
            <v>296.42666666666668</v>
          </cell>
          <cell r="ER260">
            <v>320.04000000000002</v>
          </cell>
          <cell r="ES260">
            <v>369.42733333333331</v>
          </cell>
          <cell r="ET260">
            <v>394.81166666666667</v>
          </cell>
          <cell r="EU260">
            <v>420.19599999999997</v>
          </cell>
          <cell r="EV260">
            <v>445.58033333333333</v>
          </cell>
          <cell r="EW260">
            <v>3207.2553333333331</v>
          </cell>
          <cell r="EY260">
            <v>236586</v>
          </cell>
          <cell r="EZ260">
            <v>8</v>
          </cell>
          <cell r="FA260">
            <v>1577.24</v>
          </cell>
          <cell r="FB260">
            <v>227444</v>
          </cell>
          <cell r="FC260">
            <v>8.6</v>
          </cell>
          <cell r="FD260">
            <v>1630.015333333333</v>
          </cell>
          <cell r="FE260">
            <v>3207.2553333333331</v>
          </cell>
          <cell r="FF260">
            <v>65381</v>
          </cell>
          <cell r="FH260">
            <v>65381</v>
          </cell>
        </row>
        <row r="261">
          <cell r="B261">
            <v>9261</v>
          </cell>
          <cell r="C261" t="str">
            <v>06.06.2007</v>
          </cell>
          <cell r="D261" t="str">
            <v>Sapkal Rajendra Deuba</v>
          </cell>
          <cell r="F261">
            <v>27834</v>
          </cell>
          <cell r="H261">
            <v>13872</v>
          </cell>
          <cell r="I261">
            <v>13872</v>
          </cell>
          <cell r="J261">
            <v>27744</v>
          </cell>
          <cell r="K261">
            <v>-90</v>
          </cell>
          <cell r="M261">
            <v>1642</v>
          </cell>
          <cell r="N261">
            <v>0</v>
          </cell>
          <cell r="O261">
            <v>1642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W261">
            <v>1642</v>
          </cell>
          <cell r="X261">
            <v>0</v>
          </cell>
          <cell r="Y261">
            <v>1642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G261">
            <v>1692</v>
          </cell>
          <cell r="AH261">
            <v>0</v>
          </cell>
          <cell r="AI261">
            <v>1692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Q261">
            <v>1692</v>
          </cell>
          <cell r="AR261">
            <v>0</v>
          </cell>
          <cell r="AS261">
            <v>1692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BA261">
            <v>1692</v>
          </cell>
          <cell r="BB261">
            <v>0</v>
          </cell>
          <cell r="BC261">
            <v>1692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K261">
            <v>1771</v>
          </cell>
          <cell r="BL261">
            <v>0</v>
          </cell>
          <cell r="BM261">
            <v>1771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U261">
            <v>1771</v>
          </cell>
          <cell r="BV261">
            <v>0</v>
          </cell>
          <cell r="BW261">
            <v>1771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E261">
            <v>1771</v>
          </cell>
          <cell r="CF261">
            <v>0</v>
          </cell>
          <cell r="CG261">
            <v>1771</v>
          </cell>
          <cell r="CH261">
            <v>0</v>
          </cell>
          <cell r="CI261">
            <v>0</v>
          </cell>
          <cell r="CJ261">
            <v>0</v>
          </cell>
          <cell r="CK261">
            <v>0</v>
          </cell>
          <cell r="CL261">
            <v>0</v>
          </cell>
          <cell r="CM261">
            <v>0</v>
          </cell>
          <cell r="CO261">
            <v>1771</v>
          </cell>
          <cell r="CP261">
            <v>0</v>
          </cell>
          <cell r="CQ261">
            <v>1771</v>
          </cell>
          <cell r="CR261">
            <v>0</v>
          </cell>
          <cell r="CS261">
            <v>0</v>
          </cell>
          <cell r="CT261">
            <v>0</v>
          </cell>
          <cell r="CU261">
            <v>0</v>
          </cell>
          <cell r="CV261">
            <v>0</v>
          </cell>
          <cell r="CW261">
            <v>0</v>
          </cell>
          <cell r="CY261">
            <v>1771</v>
          </cell>
          <cell r="CZ261">
            <v>0</v>
          </cell>
          <cell r="DA261">
            <v>1771</v>
          </cell>
          <cell r="DB261">
            <v>0</v>
          </cell>
          <cell r="DC261">
            <v>0</v>
          </cell>
          <cell r="DD261">
            <v>0</v>
          </cell>
          <cell r="DE261">
            <v>0</v>
          </cell>
          <cell r="DF261">
            <v>0</v>
          </cell>
          <cell r="DG261">
            <v>0</v>
          </cell>
          <cell r="DI261">
            <v>27744</v>
          </cell>
          <cell r="DJ261">
            <v>17215</v>
          </cell>
          <cell r="DK261">
            <v>0</v>
          </cell>
          <cell r="DL261">
            <v>17215</v>
          </cell>
          <cell r="DM261">
            <v>17215</v>
          </cell>
          <cell r="DN261">
            <v>0</v>
          </cell>
          <cell r="DO261">
            <v>17215</v>
          </cell>
          <cell r="DP261">
            <v>0</v>
          </cell>
          <cell r="DQ261">
            <v>0</v>
          </cell>
          <cell r="DR261">
            <v>0</v>
          </cell>
          <cell r="DS261">
            <v>0</v>
          </cell>
          <cell r="DT261">
            <v>34430</v>
          </cell>
          <cell r="DU261">
            <v>0</v>
          </cell>
          <cell r="DW261">
            <v>0</v>
          </cell>
          <cell r="DX261">
            <v>0</v>
          </cell>
          <cell r="DY261">
            <v>31028</v>
          </cell>
          <cell r="DZ261">
            <v>34312</v>
          </cell>
          <cell r="EA261">
            <v>37696</v>
          </cell>
          <cell r="EB261">
            <v>41080</v>
          </cell>
          <cell r="EC261">
            <v>44464</v>
          </cell>
          <cell r="ED261">
            <v>48006</v>
          </cell>
          <cell r="EE261">
            <v>51548</v>
          </cell>
          <cell r="EF261">
            <v>55090</v>
          </cell>
          <cell r="EG261">
            <v>58632</v>
          </cell>
          <cell r="EH261">
            <v>62174</v>
          </cell>
          <cell r="EI261">
            <v>464030</v>
          </cell>
          <cell r="EK261">
            <v>0</v>
          </cell>
          <cell r="EL261">
            <v>0</v>
          </cell>
          <cell r="EM261">
            <v>206.85333333333332</v>
          </cell>
          <cell r="EN261">
            <v>228.74666666666667</v>
          </cell>
          <cell r="EO261">
            <v>251.30666666666664</v>
          </cell>
          <cell r="EP261">
            <v>273.86666666666667</v>
          </cell>
          <cell r="EQ261">
            <v>296.42666666666668</v>
          </cell>
          <cell r="ER261">
            <v>320.04000000000002</v>
          </cell>
          <cell r="ES261">
            <v>369.42733333333331</v>
          </cell>
          <cell r="ET261">
            <v>394.81166666666667</v>
          </cell>
          <cell r="EU261">
            <v>420.19599999999997</v>
          </cell>
          <cell r="EV261">
            <v>445.58033333333333</v>
          </cell>
          <cell r="EW261">
            <v>3207.2553333333331</v>
          </cell>
          <cell r="EY261">
            <v>236586</v>
          </cell>
          <cell r="EZ261">
            <v>8</v>
          </cell>
          <cell r="FA261">
            <v>1577.24</v>
          </cell>
          <cell r="FB261">
            <v>227444</v>
          </cell>
          <cell r="FC261">
            <v>8.6</v>
          </cell>
          <cell r="FD261">
            <v>1630.015333333333</v>
          </cell>
          <cell r="FE261">
            <v>3207.2553333333331</v>
          </cell>
          <cell r="FF261">
            <v>65381</v>
          </cell>
          <cell r="FH261">
            <v>65381</v>
          </cell>
        </row>
        <row r="262">
          <cell r="B262">
            <v>9262</v>
          </cell>
          <cell r="C262" t="str">
            <v>06.06.2007</v>
          </cell>
          <cell r="D262" t="str">
            <v>Sapkal Nana Deuba</v>
          </cell>
          <cell r="F262">
            <v>29719</v>
          </cell>
          <cell r="H262">
            <v>13872</v>
          </cell>
          <cell r="I262">
            <v>13872</v>
          </cell>
          <cell r="J262">
            <v>27744</v>
          </cell>
          <cell r="K262">
            <v>-1975</v>
          </cell>
          <cell r="M262">
            <v>1642</v>
          </cell>
          <cell r="N262">
            <v>0</v>
          </cell>
          <cell r="O262">
            <v>1642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W262">
            <v>1642</v>
          </cell>
          <cell r="X262">
            <v>0</v>
          </cell>
          <cell r="Y262">
            <v>1642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G262">
            <v>1692</v>
          </cell>
          <cell r="AH262">
            <v>0</v>
          </cell>
          <cell r="AI262">
            <v>1692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Q262">
            <v>1692</v>
          </cell>
          <cell r="AR262">
            <v>0</v>
          </cell>
          <cell r="AS262">
            <v>1692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BA262">
            <v>1692</v>
          </cell>
          <cell r="BB262">
            <v>0</v>
          </cell>
          <cell r="BC262">
            <v>1692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K262">
            <v>1771</v>
          </cell>
          <cell r="BL262">
            <v>0</v>
          </cell>
          <cell r="BM262">
            <v>1771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U262">
            <v>1771</v>
          </cell>
          <cell r="BV262">
            <v>0</v>
          </cell>
          <cell r="BW262">
            <v>1771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E262">
            <v>1771</v>
          </cell>
          <cell r="CF262">
            <v>0</v>
          </cell>
          <cell r="CG262">
            <v>1771</v>
          </cell>
          <cell r="CH262">
            <v>0</v>
          </cell>
          <cell r="CI262">
            <v>0</v>
          </cell>
          <cell r="CJ262">
            <v>0</v>
          </cell>
          <cell r="CK262">
            <v>0</v>
          </cell>
          <cell r="CL262">
            <v>0</v>
          </cell>
          <cell r="CM262">
            <v>0</v>
          </cell>
          <cell r="CO262">
            <v>1771</v>
          </cell>
          <cell r="CP262">
            <v>0</v>
          </cell>
          <cell r="CQ262">
            <v>1771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  <cell r="CV262">
            <v>0</v>
          </cell>
          <cell r="CW262">
            <v>0</v>
          </cell>
          <cell r="CY262">
            <v>1771</v>
          </cell>
          <cell r="CZ262">
            <v>0</v>
          </cell>
          <cell r="DA262">
            <v>1771</v>
          </cell>
          <cell r="DB262">
            <v>0</v>
          </cell>
          <cell r="DC262">
            <v>0</v>
          </cell>
          <cell r="DD262">
            <v>0</v>
          </cell>
          <cell r="DE262">
            <v>0</v>
          </cell>
          <cell r="DF262">
            <v>0</v>
          </cell>
          <cell r="DG262">
            <v>0</v>
          </cell>
          <cell r="DI262">
            <v>27744</v>
          </cell>
          <cell r="DJ262">
            <v>17215</v>
          </cell>
          <cell r="DK262">
            <v>0</v>
          </cell>
          <cell r="DL262">
            <v>17215</v>
          </cell>
          <cell r="DM262">
            <v>17215</v>
          </cell>
          <cell r="DN262">
            <v>0</v>
          </cell>
          <cell r="DO262">
            <v>17215</v>
          </cell>
          <cell r="DP262">
            <v>0</v>
          </cell>
          <cell r="DQ262">
            <v>0</v>
          </cell>
          <cell r="DR262">
            <v>0</v>
          </cell>
          <cell r="DS262">
            <v>0</v>
          </cell>
          <cell r="DT262">
            <v>34430</v>
          </cell>
          <cell r="DU262">
            <v>0</v>
          </cell>
          <cell r="DW262">
            <v>0</v>
          </cell>
          <cell r="DX262">
            <v>0</v>
          </cell>
          <cell r="DY262">
            <v>31028</v>
          </cell>
          <cell r="DZ262">
            <v>34312</v>
          </cell>
          <cell r="EA262">
            <v>37696</v>
          </cell>
          <cell r="EB262">
            <v>41080</v>
          </cell>
          <cell r="EC262">
            <v>44464</v>
          </cell>
          <cell r="ED262">
            <v>48006</v>
          </cell>
          <cell r="EE262">
            <v>51548</v>
          </cell>
          <cell r="EF262">
            <v>55090</v>
          </cell>
          <cell r="EG262">
            <v>58632</v>
          </cell>
          <cell r="EH262">
            <v>62174</v>
          </cell>
          <cell r="EI262">
            <v>464030</v>
          </cell>
          <cell r="EK262">
            <v>0</v>
          </cell>
          <cell r="EL262">
            <v>0</v>
          </cell>
          <cell r="EM262">
            <v>206.85333333333332</v>
          </cell>
          <cell r="EN262">
            <v>228.74666666666667</v>
          </cell>
          <cell r="EO262">
            <v>251.30666666666664</v>
          </cell>
          <cell r="EP262">
            <v>273.86666666666667</v>
          </cell>
          <cell r="EQ262">
            <v>296.42666666666668</v>
          </cell>
          <cell r="ER262">
            <v>320.04000000000002</v>
          </cell>
          <cell r="ES262">
            <v>369.42733333333331</v>
          </cell>
          <cell r="ET262">
            <v>394.81166666666667</v>
          </cell>
          <cell r="EU262">
            <v>420.19599999999997</v>
          </cell>
          <cell r="EV262">
            <v>445.58033333333333</v>
          </cell>
          <cell r="EW262">
            <v>3207.2553333333331</v>
          </cell>
          <cell r="EY262">
            <v>236586</v>
          </cell>
          <cell r="EZ262">
            <v>8</v>
          </cell>
          <cell r="FA262">
            <v>1577.24</v>
          </cell>
          <cell r="FB262">
            <v>227444</v>
          </cell>
          <cell r="FC262">
            <v>8.6</v>
          </cell>
          <cell r="FD262">
            <v>1630.015333333333</v>
          </cell>
          <cell r="FE262">
            <v>3207.2553333333331</v>
          </cell>
          <cell r="FF262">
            <v>65381</v>
          </cell>
          <cell r="FH262">
            <v>65381</v>
          </cell>
        </row>
        <row r="263">
          <cell r="B263">
            <v>9264</v>
          </cell>
          <cell r="C263" t="str">
            <v>06.06.2007</v>
          </cell>
          <cell r="D263" t="str">
            <v>Wagh Mangesh Ramdas</v>
          </cell>
          <cell r="F263">
            <v>28675</v>
          </cell>
          <cell r="H263">
            <v>5808</v>
          </cell>
          <cell r="I263">
            <v>5808</v>
          </cell>
          <cell r="J263">
            <v>11616</v>
          </cell>
          <cell r="K263">
            <v>-17059</v>
          </cell>
          <cell r="M263">
            <v>1642</v>
          </cell>
          <cell r="N263">
            <v>0</v>
          </cell>
          <cell r="O263">
            <v>1642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W263">
            <v>1642</v>
          </cell>
          <cell r="X263">
            <v>0</v>
          </cell>
          <cell r="Y263">
            <v>1642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G263">
            <v>1692</v>
          </cell>
          <cell r="AH263">
            <v>0</v>
          </cell>
          <cell r="AI263">
            <v>1692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Q263">
            <v>1692</v>
          </cell>
          <cell r="AR263">
            <v>0</v>
          </cell>
          <cell r="AS263">
            <v>1692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BA263">
            <v>1692</v>
          </cell>
          <cell r="BB263">
            <v>0</v>
          </cell>
          <cell r="BC263">
            <v>1692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K263">
            <v>1771</v>
          </cell>
          <cell r="BL263">
            <v>0</v>
          </cell>
          <cell r="BM263">
            <v>1771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U263">
            <v>17771</v>
          </cell>
          <cell r="BV263">
            <v>0</v>
          </cell>
          <cell r="BW263">
            <v>17771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E263">
            <v>1771</v>
          </cell>
          <cell r="CF263">
            <v>0</v>
          </cell>
          <cell r="CG263">
            <v>1771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O263">
            <v>1771</v>
          </cell>
          <cell r="CP263">
            <v>0</v>
          </cell>
          <cell r="CQ263">
            <v>1771</v>
          </cell>
          <cell r="CR263">
            <v>0</v>
          </cell>
          <cell r="CS263">
            <v>0</v>
          </cell>
          <cell r="CT263">
            <v>0</v>
          </cell>
          <cell r="CU263">
            <v>0</v>
          </cell>
          <cell r="CV263">
            <v>0</v>
          </cell>
          <cell r="CW263">
            <v>0</v>
          </cell>
          <cell r="CY263">
            <v>1771</v>
          </cell>
          <cell r="CZ263">
            <v>0</v>
          </cell>
          <cell r="DA263">
            <v>1771</v>
          </cell>
          <cell r="DB263">
            <v>0</v>
          </cell>
          <cell r="DC263">
            <v>0</v>
          </cell>
          <cell r="DD263">
            <v>0</v>
          </cell>
          <cell r="DE263">
            <v>0</v>
          </cell>
          <cell r="DF263">
            <v>0</v>
          </cell>
          <cell r="DG263">
            <v>0</v>
          </cell>
          <cell r="DI263">
            <v>11616</v>
          </cell>
          <cell r="DJ263">
            <v>33215</v>
          </cell>
          <cell r="DK263">
            <v>0</v>
          </cell>
          <cell r="DL263">
            <v>33215</v>
          </cell>
          <cell r="DM263">
            <v>33215</v>
          </cell>
          <cell r="DN263">
            <v>0</v>
          </cell>
          <cell r="DO263">
            <v>33215</v>
          </cell>
          <cell r="DP263">
            <v>0</v>
          </cell>
          <cell r="DQ263">
            <v>0</v>
          </cell>
          <cell r="DR263">
            <v>0</v>
          </cell>
          <cell r="DS263">
            <v>0</v>
          </cell>
          <cell r="DT263">
            <v>66430</v>
          </cell>
          <cell r="DU263">
            <v>0</v>
          </cell>
          <cell r="DW263">
            <v>0</v>
          </cell>
          <cell r="DX263">
            <v>0</v>
          </cell>
          <cell r="DY263">
            <v>14900</v>
          </cell>
          <cell r="DZ263">
            <v>18184</v>
          </cell>
          <cell r="EA263">
            <v>21568</v>
          </cell>
          <cell r="EB263">
            <v>24952</v>
          </cell>
          <cell r="EC263">
            <v>28336</v>
          </cell>
          <cell r="ED263">
            <v>31878</v>
          </cell>
          <cell r="EE263">
            <v>67420</v>
          </cell>
          <cell r="EF263">
            <v>70962</v>
          </cell>
          <cell r="EG263">
            <v>74504</v>
          </cell>
          <cell r="EH263">
            <v>78046</v>
          </cell>
          <cell r="EI263">
            <v>430750</v>
          </cell>
          <cell r="EK263">
            <v>0</v>
          </cell>
          <cell r="EL263">
            <v>0</v>
          </cell>
          <cell r="EM263">
            <v>99.333333333333329</v>
          </cell>
          <cell r="EN263">
            <v>121.22666666666667</v>
          </cell>
          <cell r="EO263">
            <v>143.78666666666666</v>
          </cell>
          <cell r="EP263">
            <v>166.34666666666666</v>
          </cell>
          <cell r="EQ263">
            <v>188.90666666666667</v>
          </cell>
          <cell r="ER263">
            <v>212.51999999999998</v>
          </cell>
          <cell r="ES263">
            <v>483.17666666666668</v>
          </cell>
          <cell r="ET263">
            <v>508.56099999999998</v>
          </cell>
          <cell r="EU263">
            <v>533.94533333333334</v>
          </cell>
          <cell r="EV263">
            <v>559.32966666666664</v>
          </cell>
          <cell r="EW263">
            <v>3017.1326666666664</v>
          </cell>
          <cell r="EY263">
            <v>139818</v>
          </cell>
          <cell r="EZ263">
            <v>8</v>
          </cell>
          <cell r="FA263">
            <v>932.12</v>
          </cell>
          <cell r="FB263">
            <v>290932</v>
          </cell>
          <cell r="FC263">
            <v>8.6</v>
          </cell>
          <cell r="FD263">
            <v>2085.0126666666665</v>
          </cell>
          <cell r="FE263">
            <v>3017.1326666666664</v>
          </cell>
          <cell r="FF263">
            <v>81063</v>
          </cell>
          <cell r="FH263">
            <v>81063</v>
          </cell>
        </row>
        <row r="264">
          <cell r="B264">
            <v>9265</v>
          </cell>
          <cell r="C264" t="str">
            <v>06.06.2007</v>
          </cell>
          <cell r="D264" t="str">
            <v>Gite Subhash Bhivaji</v>
          </cell>
          <cell r="F264">
            <v>29197</v>
          </cell>
          <cell r="H264">
            <v>13872</v>
          </cell>
          <cell r="I264">
            <v>13872</v>
          </cell>
          <cell r="J264">
            <v>27744</v>
          </cell>
          <cell r="K264">
            <v>-1453</v>
          </cell>
          <cell r="M264">
            <v>1642</v>
          </cell>
          <cell r="N264">
            <v>0</v>
          </cell>
          <cell r="O264">
            <v>1642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W264">
            <v>1642</v>
          </cell>
          <cell r="X264">
            <v>0</v>
          </cell>
          <cell r="Y264">
            <v>1642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G264">
            <v>1692</v>
          </cell>
          <cell r="AH264">
            <v>0</v>
          </cell>
          <cell r="AI264">
            <v>1692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Q264">
            <v>1692</v>
          </cell>
          <cell r="AR264">
            <v>0</v>
          </cell>
          <cell r="AS264">
            <v>1692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BA264">
            <v>1692</v>
          </cell>
          <cell r="BB264">
            <v>0</v>
          </cell>
          <cell r="BC264">
            <v>1692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K264">
            <v>1771</v>
          </cell>
          <cell r="BL264">
            <v>0</v>
          </cell>
          <cell r="BM264">
            <v>1771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U264">
            <v>1771</v>
          </cell>
          <cell r="BV264">
            <v>0</v>
          </cell>
          <cell r="BW264">
            <v>1771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E264">
            <v>1771</v>
          </cell>
          <cell r="CF264">
            <v>0</v>
          </cell>
          <cell r="CG264">
            <v>1771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  <cell r="CL264">
            <v>0</v>
          </cell>
          <cell r="CM264">
            <v>0</v>
          </cell>
          <cell r="CO264">
            <v>1771</v>
          </cell>
          <cell r="CP264">
            <v>0</v>
          </cell>
          <cell r="CQ264">
            <v>1771</v>
          </cell>
          <cell r="CR264">
            <v>0</v>
          </cell>
          <cell r="CS264">
            <v>0</v>
          </cell>
          <cell r="CT264">
            <v>0</v>
          </cell>
          <cell r="CU264">
            <v>0</v>
          </cell>
          <cell r="CV264">
            <v>0</v>
          </cell>
          <cell r="CW264">
            <v>0</v>
          </cell>
          <cell r="CY264">
            <v>1771</v>
          </cell>
          <cell r="CZ264">
            <v>0</v>
          </cell>
          <cell r="DA264">
            <v>1771</v>
          </cell>
          <cell r="DB264">
            <v>0</v>
          </cell>
          <cell r="DC264">
            <v>0</v>
          </cell>
          <cell r="DD264">
            <v>0</v>
          </cell>
          <cell r="DE264">
            <v>0</v>
          </cell>
          <cell r="DF264">
            <v>0</v>
          </cell>
          <cell r="DG264">
            <v>0</v>
          </cell>
          <cell r="DI264">
            <v>27744</v>
          </cell>
          <cell r="DJ264">
            <v>17215</v>
          </cell>
          <cell r="DK264">
            <v>0</v>
          </cell>
          <cell r="DL264">
            <v>17215</v>
          </cell>
          <cell r="DM264">
            <v>17215</v>
          </cell>
          <cell r="DN264">
            <v>0</v>
          </cell>
          <cell r="DO264">
            <v>17215</v>
          </cell>
          <cell r="DP264">
            <v>0</v>
          </cell>
          <cell r="DQ264">
            <v>0</v>
          </cell>
          <cell r="DR264">
            <v>0</v>
          </cell>
          <cell r="DS264">
            <v>0</v>
          </cell>
          <cell r="DT264">
            <v>34430</v>
          </cell>
          <cell r="DU264">
            <v>0</v>
          </cell>
          <cell r="DW264">
            <v>0</v>
          </cell>
          <cell r="DX264">
            <v>0</v>
          </cell>
          <cell r="DY264">
            <v>31028</v>
          </cell>
          <cell r="DZ264">
            <v>34312</v>
          </cell>
          <cell r="EA264">
            <v>37696</v>
          </cell>
          <cell r="EB264">
            <v>41080</v>
          </cell>
          <cell r="EC264">
            <v>44464</v>
          </cell>
          <cell r="ED264">
            <v>48006</v>
          </cell>
          <cell r="EE264">
            <v>51548</v>
          </cell>
          <cell r="EF264">
            <v>55090</v>
          </cell>
          <cell r="EG264">
            <v>58632</v>
          </cell>
          <cell r="EH264">
            <v>62174</v>
          </cell>
          <cell r="EI264">
            <v>464030</v>
          </cell>
          <cell r="EK264">
            <v>0</v>
          </cell>
          <cell r="EL264">
            <v>0</v>
          </cell>
          <cell r="EM264">
            <v>206.85333333333332</v>
          </cell>
          <cell r="EN264">
            <v>228.74666666666667</v>
          </cell>
          <cell r="EO264">
            <v>251.30666666666664</v>
          </cell>
          <cell r="EP264">
            <v>273.86666666666667</v>
          </cell>
          <cell r="EQ264">
            <v>296.42666666666668</v>
          </cell>
          <cell r="ER264">
            <v>320.04000000000002</v>
          </cell>
          <cell r="ES264">
            <v>369.42733333333331</v>
          </cell>
          <cell r="ET264">
            <v>394.81166666666667</v>
          </cell>
          <cell r="EU264">
            <v>420.19599999999997</v>
          </cell>
          <cell r="EV264">
            <v>445.58033333333333</v>
          </cell>
          <cell r="EW264">
            <v>3207.2553333333331</v>
          </cell>
          <cell r="EY264">
            <v>236586</v>
          </cell>
          <cell r="EZ264">
            <v>8</v>
          </cell>
          <cell r="FA264">
            <v>1577.24</v>
          </cell>
          <cell r="FB264">
            <v>227444</v>
          </cell>
          <cell r="FC264">
            <v>8.6</v>
          </cell>
          <cell r="FD264">
            <v>1630.015333333333</v>
          </cell>
          <cell r="FE264">
            <v>3207.2553333333331</v>
          </cell>
          <cell r="FF264">
            <v>65381</v>
          </cell>
          <cell r="FH264">
            <v>65381</v>
          </cell>
        </row>
        <row r="265">
          <cell r="B265">
            <v>9266</v>
          </cell>
          <cell r="C265" t="str">
            <v>06.06.2007</v>
          </cell>
          <cell r="D265" t="str">
            <v>Shivde Namdev Tukaram</v>
          </cell>
          <cell r="F265">
            <v>16759</v>
          </cell>
          <cell r="H265">
            <v>4356</v>
          </cell>
          <cell r="I265">
            <v>4356</v>
          </cell>
          <cell r="J265">
            <v>8712</v>
          </cell>
          <cell r="K265">
            <v>-8047</v>
          </cell>
          <cell r="M265">
            <v>510</v>
          </cell>
          <cell r="N265">
            <v>0</v>
          </cell>
          <cell r="O265">
            <v>510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W265">
            <v>510</v>
          </cell>
          <cell r="X265">
            <v>0</v>
          </cell>
          <cell r="Y265">
            <v>510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G265">
            <v>510</v>
          </cell>
          <cell r="AH265">
            <v>0</v>
          </cell>
          <cell r="AI265">
            <v>510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Q265">
            <v>1282</v>
          </cell>
          <cell r="AR265">
            <v>0</v>
          </cell>
          <cell r="AS265">
            <v>1282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BA265">
            <v>1282</v>
          </cell>
          <cell r="BB265">
            <v>0</v>
          </cell>
          <cell r="BC265">
            <v>1282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K265">
            <v>1282</v>
          </cell>
          <cell r="BL265">
            <v>0</v>
          </cell>
          <cell r="BM265">
            <v>1282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U265">
            <v>1246</v>
          </cell>
          <cell r="BV265">
            <v>0</v>
          </cell>
          <cell r="BW265">
            <v>1246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E265">
            <v>1246</v>
          </cell>
          <cell r="CF265">
            <v>0</v>
          </cell>
          <cell r="CG265">
            <v>1246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O265">
            <v>1246</v>
          </cell>
          <cell r="CP265">
            <v>0</v>
          </cell>
          <cell r="CQ265">
            <v>1246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CW265">
            <v>0</v>
          </cell>
          <cell r="CY265">
            <v>1246</v>
          </cell>
          <cell r="CZ265">
            <v>0</v>
          </cell>
          <cell r="DA265">
            <v>1246</v>
          </cell>
          <cell r="DB265">
            <v>0</v>
          </cell>
          <cell r="DC265">
            <v>0</v>
          </cell>
          <cell r="DD265">
            <v>0</v>
          </cell>
          <cell r="DE265">
            <v>0</v>
          </cell>
          <cell r="DF265">
            <v>0</v>
          </cell>
          <cell r="DG265">
            <v>0</v>
          </cell>
          <cell r="DI265">
            <v>8712</v>
          </cell>
          <cell r="DJ265">
            <v>10360</v>
          </cell>
          <cell r="DK265">
            <v>0</v>
          </cell>
          <cell r="DL265">
            <v>10360</v>
          </cell>
          <cell r="DM265">
            <v>10360</v>
          </cell>
          <cell r="DN265">
            <v>0</v>
          </cell>
          <cell r="DO265">
            <v>10360</v>
          </cell>
          <cell r="DP265">
            <v>0</v>
          </cell>
          <cell r="DQ265">
            <v>0</v>
          </cell>
          <cell r="DR265">
            <v>0</v>
          </cell>
          <cell r="DS265">
            <v>0</v>
          </cell>
          <cell r="DT265">
            <v>20720</v>
          </cell>
          <cell r="DU265">
            <v>0</v>
          </cell>
          <cell r="DW265">
            <v>0</v>
          </cell>
          <cell r="DX265">
            <v>0</v>
          </cell>
          <cell r="DY265">
            <v>9732</v>
          </cell>
          <cell r="DZ265">
            <v>10752</v>
          </cell>
          <cell r="EA265">
            <v>11772</v>
          </cell>
          <cell r="EB265">
            <v>14336</v>
          </cell>
          <cell r="EC265">
            <v>16900</v>
          </cell>
          <cell r="ED265">
            <v>19464</v>
          </cell>
          <cell r="EE265">
            <v>21956</v>
          </cell>
          <cell r="EF265">
            <v>24448</v>
          </cell>
          <cell r="EG265">
            <v>26940</v>
          </cell>
          <cell r="EH265">
            <v>29432</v>
          </cell>
          <cell r="EI265">
            <v>185732</v>
          </cell>
          <cell r="EK265">
            <v>0</v>
          </cell>
          <cell r="EL265">
            <v>0</v>
          </cell>
          <cell r="EM265">
            <v>64.88</v>
          </cell>
          <cell r="EN265">
            <v>71.679999999999993</v>
          </cell>
          <cell r="EO265">
            <v>78.48</v>
          </cell>
          <cell r="EP265">
            <v>95.573333333333338</v>
          </cell>
          <cell r="EQ265">
            <v>112.66666666666667</v>
          </cell>
          <cell r="ER265">
            <v>129.76</v>
          </cell>
          <cell r="ES265">
            <v>157.35133333333334</v>
          </cell>
          <cell r="ET265">
            <v>175.21066666666664</v>
          </cell>
          <cell r="EU265">
            <v>193.07000000000002</v>
          </cell>
          <cell r="EV265">
            <v>210.92933333333335</v>
          </cell>
          <cell r="EW265">
            <v>1289.6013333333331</v>
          </cell>
          <cell r="EY265">
            <v>82956</v>
          </cell>
          <cell r="EZ265">
            <v>8</v>
          </cell>
          <cell r="FA265">
            <v>553.04</v>
          </cell>
          <cell r="FB265">
            <v>102776</v>
          </cell>
          <cell r="FC265">
            <v>8.6</v>
          </cell>
          <cell r="FD265">
            <v>736.56133333333321</v>
          </cell>
          <cell r="FE265">
            <v>1289.6013333333331</v>
          </cell>
          <cell r="FF265">
            <v>30722</v>
          </cell>
          <cell r="FH265">
            <v>30722</v>
          </cell>
        </row>
        <row r="266">
          <cell r="B266">
            <v>9268</v>
          </cell>
          <cell r="C266" t="str">
            <v>06.06.2007</v>
          </cell>
          <cell r="D266" t="str">
            <v>Thakur Rajesh Mahadev</v>
          </cell>
          <cell r="F266">
            <v>19898</v>
          </cell>
          <cell r="H266">
            <v>4356</v>
          </cell>
          <cell r="I266">
            <v>4356</v>
          </cell>
          <cell r="J266">
            <v>8712</v>
          </cell>
          <cell r="K266">
            <v>-11186</v>
          </cell>
          <cell r="M266">
            <v>1156</v>
          </cell>
          <cell r="N266">
            <v>0</v>
          </cell>
          <cell r="O266">
            <v>1156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W266">
            <v>1156</v>
          </cell>
          <cell r="X266">
            <v>0</v>
          </cell>
          <cell r="Y266">
            <v>1156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G266">
            <v>1191</v>
          </cell>
          <cell r="AH266">
            <v>0</v>
          </cell>
          <cell r="AI266">
            <v>1191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Q266">
            <v>1191</v>
          </cell>
          <cell r="AR266">
            <v>0</v>
          </cell>
          <cell r="AS266">
            <v>1191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BA266">
            <v>1191</v>
          </cell>
          <cell r="BB266">
            <v>0</v>
          </cell>
          <cell r="BC266">
            <v>1191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K266">
            <v>1246</v>
          </cell>
          <cell r="BL266">
            <v>0</v>
          </cell>
          <cell r="BM266">
            <v>1246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U266">
            <v>1246</v>
          </cell>
          <cell r="BV266">
            <v>0</v>
          </cell>
          <cell r="BW266">
            <v>1246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E266">
            <v>1246</v>
          </cell>
          <cell r="CF266">
            <v>0</v>
          </cell>
          <cell r="CG266">
            <v>1246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O266">
            <v>1246</v>
          </cell>
          <cell r="CP266">
            <v>0</v>
          </cell>
          <cell r="CQ266">
            <v>1246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Y266">
            <v>1246</v>
          </cell>
          <cell r="CZ266">
            <v>0</v>
          </cell>
          <cell r="DA266">
            <v>1246</v>
          </cell>
          <cell r="DB266">
            <v>0</v>
          </cell>
          <cell r="DC266">
            <v>0</v>
          </cell>
          <cell r="DD266">
            <v>0</v>
          </cell>
          <cell r="DE266">
            <v>0</v>
          </cell>
          <cell r="DF266">
            <v>0</v>
          </cell>
          <cell r="DG266">
            <v>0</v>
          </cell>
          <cell r="DI266">
            <v>8712</v>
          </cell>
          <cell r="DJ266">
            <v>12115</v>
          </cell>
          <cell r="DK266">
            <v>0</v>
          </cell>
          <cell r="DL266">
            <v>12115</v>
          </cell>
          <cell r="DM266">
            <v>12115</v>
          </cell>
          <cell r="DN266">
            <v>0</v>
          </cell>
          <cell r="DO266">
            <v>12115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24230</v>
          </cell>
          <cell r="DU266">
            <v>0</v>
          </cell>
          <cell r="DW266">
            <v>0</v>
          </cell>
          <cell r="DX266">
            <v>0</v>
          </cell>
          <cell r="DY266">
            <v>11024</v>
          </cell>
          <cell r="DZ266">
            <v>13336</v>
          </cell>
          <cell r="EA266">
            <v>15718</v>
          </cell>
          <cell r="EB266">
            <v>18100</v>
          </cell>
          <cell r="EC266">
            <v>20482</v>
          </cell>
          <cell r="ED266">
            <v>22974</v>
          </cell>
          <cell r="EE266">
            <v>25466</v>
          </cell>
          <cell r="EF266">
            <v>27958</v>
          </cell>
          <cell r="EG266">
            <v>30450</v>
          </cell>
          <cell r="EH266">
            <v>32942</v>
          </cell>
          <cell r="EI266">
            <v>218450</v>
          </cell>
          <cell r="EK266">
            <v>0</v>
          </cell>
          <cell r="EL266">
            <v>0</v>
          </cell>
          <cell r="EM266">
            <v>73.493333333333325</v>
          </cell>
          <cell r="EN266">
            <v>88.90666666666668</v>
          </cell>
          <cell r="EO266">
            <v>104.78666666666668</v>
          </cell>
          <cell r="EP266">
            <v>120.66666666666667</v>
          </cell>
          <cell r="EQ266">
            <v>136.54666666666665</v>
          </cell>
          <cell r="ER266">
            <v>153.16</v>
          </cell>
          <cell r="ES266">
            <v>182.50633333333329</v>
          </cell>
          <cell r="ET266">
            <v>200.36566666666667</v>
          </cell>
          <cell r="EU266">
            <v>218.22499999999999</v>
          </cell>
          <cell r="EV266">
            <v>236.08433333333335</v>
          </cell>
          <cell r="EW266">
            <v>1514.7413333333329</v>
          </cell>
          <cell r="EY266">
            <v>101634</v>
          </cell>
          <cell r="EZ266">
            <v>8</v>
          </cell>
          <cell r="FA266">
            <v>677.56000000000006</v>
          </cell>
          <cell r="FB266">
            <v>116816</v>
          </cell>
          <cell r="FC266">
            <v>8.6</v>
          </cell>
          <cell r="FD266">
            <v>837.18133333333333</v>
          </cell>
          <cell r="FE266">
            <v>1514.7413333333334</v>
          </cell>
          <cell r="FF266">
            <v>34457</v>
          </cell>
          <cell r="FH266">
            <v>34457</v>
          </cell>
        </row>
        <row r="267">
          <cell r="B267">
            <v>9269</v>
          </cell>
          <cell r="C267" t="str">
            <v>06.06.2007</v>
          </cell>
          <cell r="D267" t="str">
            <v>Sonar Ravindra Parshuram</v>
          </cell>
          <cell r="F267">
            <v>19898</v>
          </cell>
          <cell r="H267">
            <v>4356</v>
          </cell>
          <cell r="I267">
            <v>4356</v>
          </cell>
          <cell r="J267">
            <v>8712</v>
          </cell>
          <cell r="K267">
            <v>-11186</v>
          </cell>
          <cell r="M267">
            <v>1156</v>
          </cell>
          <cell r="N267">
            <v>0</v>
          </cell>
          <cell r="O267">
            <v>1156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W267">
            <v>1156</v>
          </cell>
          <cell r="X267">
            <v>0</v>
          </cell>
          <cell r="Y267">
            <v>1156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G267">
            <v>1191</v>
          </cell>
          <cell r="AH267">
            <v>0</v>
          </cell>
          <cell r="AI267">
            <v>1191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Q267">
            <v>1191</v>
          </cell>
          <cell r="AR267">
            <v>0</v>
          </cell>
          <cell r="AS267">
            <v>1191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BA267">
            <v>1191</v>
          </cell>
          <cell r="BB267">
            <v>0</v>
          </cell>
          <cell r="BC267">
            <v>1191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K267">
            <v>1246</v>
          </cell>
          <cell r="BL267">
            <v>0</v>
          </cell>
          <cell r="BM267">
            <v>1246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U267">
            <v>1246</v>
          </cell>
          <cell r="BV267">
            <v>0</v>
          </cell>
          <cell r="BW267">
            <v>1246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E267">
            <v>1246</v>
          </cell>
          <cell r="CF267">
            <v>0</v>
          </cell>
          <cell r="CG267">
            <v>1246</v>
          </cell>
          <cell r="CH267">
            <v>0</v>
          </cell>
          <cell r="CI267">
            <v>0</v>
          </cell>
          <cell r="CJ267">
            <v>0</v>
          </cell>
          <cell r="CK267">
            <v>0</v>
          </cell>
          <cell r="CL267">
            <v>0</v>
          </cell>
          <cell r="CM267">
            <v>0</v>
          </cell>
          <cell r="CO267">
            <v>1246</v>
          </cell>
          <cell r="CP267">
            <v>0</v>
          </cell>
          <cell r="CQ267">
            <v>1246</v>
          </cell>
          <cell r="CR267">
            <v>0</v>
          </cell>
          <cell r="CS267">
            <v>0</v>
          </cell>
          <cell r="CT267">
            <v>0</v>
          </cell>
          <cell r="CU267">
            <v>0</v>
          </cell>
          <cell r="CV267">
            <v>0</v>
          </cell>
          <cell r="CW267">
            <v>0</v>
          </cell>
          <cell r="CY267">
            <v>1246</v>
          </cell>
          <cell r="CZ267">
            <v>0</v>
          </cell>
          <cell r="DA267">
            <v>1246</v>
          </cell>
          <cell r="DB267">
            <v>0</v>
          </cell>
          <cell r="DC267">
            <v>0</v>
          </cell>
          <cell r="DD267">
            <v>0</v>
          </cell>
          <cell r="DE267">
            <v>0</v>
          </cell>
          <cell r="DF267">
            <v>0</v>
          </cell>
          <cell r="DG267">
            <v>0</v>
          </cell>
          <cell r="DI267">
            <v>8712</v>
          </cell>
          <cell r="DJ267">
            <v>12115</v>
          </cell>
          <cell r="DK267">
            <v>0</v>
          </cell>
          <cell r="DL267">
            <v>12115</v>
          </cell>
          <cell r="DM267">
            <v>12115</v>
          </cell>
          <cell r="DN267">
            <v>0</v>
          </cell>
          <cell r="DO267">
            <v>12115</v>
          </cell>
          <cell r="DP267">
            <v>0</v>
          </cell>
          <cell r="DQ267">
            <v>0</v>
          </cell>
          <cell r="DR267">
            <v>0</v>
          </cell>
          <cell r="DS267">
            <v>0</v>
          </cell>
          <cell r="DT267">
            <v>24230</v>
          </cell>
          <cell r="DU267">
            <v>0</v>
          </cell>
          <cell r="DW267">
            <v>0</v>
          </cell>
          <cell r="DX267">
            <v>0</v>
          </cell>
          <cell r="DY267">
            <v>11024</v>
          </cell>
          <cell r="DZ267">
            <v>13336</v>
          </cell>
          <cell r="EA267">
            <v>15718</v>
          </cell>
          <cell r="EB267">
            <v>18100</v>
          </cell>
          <cell r="EC267">
            <v>20482</v>
          </cell>
          <cell r="ED267">
            <v>22974</v>
          </cell>
          <cell r="EE267">
            <v>25466</v>
          </cell>
          <cell r="EF267">
            <v>27958</v>
          </cell>
          <cell r="EG267">
            <v>30450</v>
          </cell>
          <cell r="EH267">
            <v>32942</v>
          </cell>
          <cell r="EI267">
            <v>218450</v>
          </cell>
          <cell r="EK267">
            <v>0</v>
          </cell>
          <cell r="EL267">
            <v>0</v>
          </cell>
          <cell r="EM267">
            <v>73.493333333333325</v>
          </cell>
          <cell r="EN267">
            <v>88.90666666666668</v>
          </cell>
          <cell r="EO267">
            <v>104.78666666666668</v>
          </cell>
          <cell r="EP267">
            <v>120.66666666666667</v>
          </cell>
          <cell r="EQ267">
            <v>136.54666666666665</v>
          </cell>
          <cell r="ER267">
            <v>153.16</v>
          </cell>
          <cell r="ES267">
            <v>182.50633333333329</v>
          </cell>
          <cell r="ET267">
            <v>200.36566666666667</v>
          </cell>
          <cell r="EU267">
            <v>218.22499999999999</v>
          </cell>
          <cell r="EV267">
            <v>236.08433333333335</v>
          </cell>
          <cell r="EW267">
            <v>1514.7413333333329</v>
          </cell>
          <cell r="EY267">
            <v>101634</v>
          </cell>
          <cell r="EZ267">
            <v>8</v>
          </cell>
          <cell r="FA267">
            <v>677.56000000000006</v>
          </cell>
          <cell r="FB267">
            <v>116816</v>
          </cell>
          <cell r="FC267">
            <v>8.6</v>
          </cell>
          <cell r="FD267">
            <v>837.18133333333333</v>
          </cell>
          <cell r="FE267">
            <v>1514.7413333333334</v>
          </cell>
          <cell r="FF267">
            <v>34457</v>
          </cell>
          <cell r="FH267">
            <v>34457</v>
          </cell>
        </row>
        <row r="268">
          <cell r="B268">
            <v>9270</v>
          </cell>
          <cell r="C268" t="str">
            <v>06.06.2007</v>
          </cell>
          <cell r="D268" t="str">
            <v>Patil Sampat Genu</v>
          </cell>
          <cell r="F268">
            <v>19898</v>
          </cell>
          <cell r="H268">
            <v>4356</v>
          </cell>
          <cell r="I268">
            <v>4356</v>
          </cell>
          <cell r="J268">
            <v>8712</v>
          </cell>
          <cell r="K268">
            <v>-11186</v>
          </cell>
          <cell r="M268">
            <v>1156</v>
          </cell>
          <cell r="N268">
            <v>0</v>
          </cell>
          <cell r="O268">
            <v>1156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W268">
            <v>1156</v>
          </cell>
          <cell r="X268">
            <v>0</v>
          </cell>
          <cell r="Y268">
            <v>1156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G268">
            <v>1191</v>
          </cell>
          <cell r="AH268">
            <v>0</v>
          </cell>
          <cell r="AI268">
            <v>1191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Q268">
            <v>1191</v>
          </cell>
          <cell r="AR268">
            <v>0</v>
          </cell>
          <cell r="AS268">
            <v>1191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BA268">
            <v>1191</v>
          </cell>
          <cell r="BB268">
            <v>0</v>
          </cell>
          <cell r="BC268">
            <v>1191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K268">
            <v>1246</v>
          </cell>
          <cell r="BL268">
            <v>0</v>
          </cell>
          <cell r="BM268">
            <v>1246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U268">
            <v>1246</v>
          </cell>
          <cell r="BV268">
            <v>0</v>
          </cell>
          <cell r="BW268">
            <v>1246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E268">
            <v>1246</v>
          </cell>
          <cell r="CF268">
            <v>0</v>
          </cell>
          <cell r="CG268">
            <v>1246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  <cell r="CO268">
            <v>1246</v>
          </cell>
          <cell r="CP268">
            <v>0</v>
          </cell>
          <cell r="CQ268">
            <v>1246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Y268">
            <v>1246</v>
          </cell>
          <cell r="CZ268">
            <v>0</v>
          </cell>
          <cell r="DA268">
            <v>1246</v>
          </cell>
          <cell r="DB268">
            <v>0</v>
          </cell>
          <cell r="DC268">
            <v>0</v>
          </cell>
          <cell r="DD268">
            <v>0</v>
          </cell>
          <cell r="DE268">
            <v>0</v>
          </cell>
          <cell r="DF268">
            <v>0</v>
          </cell>
          <cell r="DG268">
            <v>0</v>
          </cell>
          <cell r="DI268">
            <v>8712</v>
          </cell>
          <cell r="DJ268">
            <v>12115</v>
          </cell>
          <cell r="DK268">
            <v>0</v>
          </cell>
          <cell r="DL268">
            <v>12115</v>
          </cell>
          <cell r="DM268">
            <v>12115</v>
          </cell>
          <cell r="DN268">
            <v>0</v>
          </cell>
          <cell r="DO268">
            <v>12115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24230</v>
          </cell>
          <cell r="DU268">
            <v>0</v>
          </cell>
          <cell r="DW268">
            <v>0</v>
          </cell>
          <cell r="DX268">
            <v>0</v>
          </cell>
          <cell r="DY268">
            <v>11024</v>
          </cell>
          <cell r="DZ268">
            <v>13336</v>
          </cell>
          <cell r="EA268">
            <v>15718</v>
          </cell>
          <cell r="EB268">
            <v>18100</v>
          </cell>
          <cell r="EC268">
            <v>20482</v>
          </cell>
          <cell r="ED268">
            <v>22974</v>
          </cell>
          <cell r="EE268">
            <v>25466</v>
          </cell>
          <cell r="EF268">
            <v>27958</v>
          </cell>
          <cell r="EG268">
            <v>30450</v>
          </cell>
          <cell r="EH268">
            <v>32942</v>
          </cell>
          <cell r="EI268">
            <v>218450</v>
          </cell>
          <cell r="EK268">
            <v>0</v>
          </cell>
          <cell r="EL268">
            <v>0</v>
          </cell>
          <cell r="EM268">
            <v>73.493333333333325</v>
          </cell>
          <cell r="EN268">
            <v>88.90666666666668</v>
          </cell>
          <cell r="EO268">
            <v>104.78666666666668</v>
          </cell>
          <cell r="EP268">
            <v>120.66666666666667</v>
          </cell>
          <cell r="EQ268">
            <v>136.54666666666665</v>
          </cell>
          <cell r="ER268">
            <v>153.16</v>
          </cell>
          <cell r="ES268">
            <v>182.50633333333329</v>
          </cell>
          <cell r="ET268">
            <v>200.36566666666667</v>
          </cell>
          <cell r="EU268">
            <v>218.22499999999999</v>
          </cell>
          <cell r="EV268">
            <v>236.08433333333335</v>
          </cell>
          <cell r="EW268">
            <v>1514.7413333333329</v>
          </cell>
          <cell r="EY268">
            <v>101634</v>
          </cell>
          <cell r="EZ268">
            <v>8</v>
          </cell>
          <cell r="FA268">
            <v>677.56000000000006</v>
          </cell>
          <cell r="FB268">
            <v>116816</v>
          </cell>
          <cell r="FC268">
            <v>8.6</v>
          </cell>
          <cell r="FD268">
            <v>837.18133333333333</v>
          </cell>
          <cell r="FE268">
            <v>1514.7413333333334</v>
          </cell>
          <cell r="FF268">
            <v>34457</v>
          </cell>
          <cell r="FH268">
            <v>34457</v>
          </cell>
        </row>
        <row r="269">
          <cell r="B269">
            <v>9415</v>
          </cell>
          <cell r="C269" t="str">
            <v>11.06.2007</v>
          </cell>
          <cell r="D269" t="str">
            <v>Kharat Devicharan Bhagwan</v>
          </cell>
          <cell r="F269">
            <v>11217</v>
          </cell>
          <cell r="H269">
            <v>7684</v>
          </cell>
          <cell r="I269">
            <v>7684</v>
          </cell>
          <cell r="J269">
            <v>15368</v>
          </cell>
          <cell r="K269">
            <v>4151</v>
          </cell>
          <cell r="M269">
            <v>1496</v>
          </cell>
          <cell r="N269">
            <v>0</v>
          </cell>
          <cell r="O269">
            <v>1496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W269">
            <v>1496</v>
          </cell>
          <cell r="X269">
            <v>0</v>
          </cell>
          <cell r="Y269">
            <v>1496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G269">
            <v>1541</v>
          </cell>
          <cell r="AH269">
            <v>0</v>
          </cell>
          <cell r="AI269">
            <v>1541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Q269">
            <v>1541</v>
          </cell>
          <cell r="AR269">
            <v>0</v>
          </cell>
          <cell r="AS269">
            <v>1541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BA269">
            <v>1541</v>
          </cell>
          <cell r="BB269">
            <v>0</v>
          </cell>
          <cell r="BC269">
            <v>1541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K269">
            <v>1613</v>
          </cell>
          <cell r="BL269">
            <v>0</v>
          </cell>
          <cell r="BM269">
            <v>1613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U269">
            <v>1613</v>
          </cell>
          <cell r="BV269">
            <v>0</v>
          </cell>
          <cell r="BW269">
            <v>1613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E269">
            <v>1613</v>
          </cell>
          <cell r="CF269">
            <v>0</v>
          </cell>
          <cell r="CG269">
            <v>1613</v>
          </cell>
          <cell r="CH269">
            <v>0</v>
          </cell>
          <cell r="CI269">
            <v>0</v>
          </cell>
          <cell r="CJ269">
            <v>0</v>
          </cell>
          <cell r="CK269">
            <v>0</v>
          </cell>
          <cell r="CL269">
            <v>0</v>
          </cell>
          <cell r="CM269">
            <v>0</v>
          </cell>
          <cell r="CO269">
            <v>1613</v>
          </cell>
          <cell r="CP269">
            <v>0</v>
          </cell>
          <cell r="CQ269">
            <v>1613</v>
          </cell>
          <cell r="CR269">
            <v>0</v>
          </cell>
          <cell r="CS269">
            <v>0</v>
          </cell>
          <cell r="CT269">
            <v>0</v>
          </cell>
          <cell r="CU269">
            <v>0</v>
          </cell>
          <cell r="CV269">
            <v>0</v>
          </cell>
          <cell r="CW269">
            <v>0</v>
          </cell>
          <cell r="CY269">
            <v>1613</v>
          </cell>
          <cell r="CZ269">
            <v>0</v>
          </cell>
          <cell r="DA269">
            <v>1613</v>
          </cell>
          <cell r="DB269">
            <v>0</v>
          </cell>
          <cell r="DC269">
            <v>0</v>
          </cell>
          <cell r="DD269">
            <v>0</v>
          </cell>
          <cell r="DE269">
            <v>0</v>
          </cell>
          <cell r="DF269">
            <v>0</v>
          </cell>
          <cell r="DG269">
            <v>0</v>
          </cell>
          <cell r="DI269">
            <v>15368</v>
          </cell>
          <cell r="DJ269">
            <v>15680</v>
          </cell>
          <cell r="DK269">
            <v>0</v>
          </cell>
          <cell r="DL269">
            <v>15680</v>
          </cell>
          <cell r="DM269">
            <v>15680</v>
          </cell>
          <cell r="DN269">
            <v>0</v>
          </cell>
          <cell r="DO269">
            <v>15680</v>
          </cell>
          <cell r="DP269">
            <v>0</v>
          </cell>
          <cell r="DQ269">
            <v>0</v>
          </cell>
          <cell r="DR269">
            <v>0</v>
          </cell>
          <cell r="DS269">
            <v>0</v>
          </cell>
          <cell r="DT269">
            <v>31360</v>
          </cell>
          <cell r="DU269">
            <v>0</v>
          </cell>
          <cell r="DW269">
            <v>0</v>
          </cell>
          <cell r="DX269">
            <v>0</v>
          </cell>
          <cell r="DY269">
            <v>18360</v>
          </cell>
          <cell r="DZ269">
            <v>21352</v>
          </cell>
          <cell r="EA269">
            <v>24434</v>
          </cell>
          <cell r="EB269">
            <v>27516</v>
          </cell>
          <cell r="EC269">
            <v>30598</v>
          </cell>
          <cell r="ED269">
            <v>33824</v>
          </cell>
          <cell r="EE269">
            <v>37050</v>
          </cell>
          <cell r="EF269">
            <v>40276</v>
          </cell>
          <cell r="EG269">
            <v>43502</v>
          </cell>
          <cell r="EH269">
            <v>46728</v>
          </cell>
          <cell r="EI269">
            <v>323640</v>
          </cell>
          <cell r="EK269">
            <v>0</v>
          </cell>
          <cell r="EL269">
            <v>0</v>
          </cell>
          <cell r="EM269">
            <v>122.39999999999999</v>
          </cell>
          <cell r="EN269">
            <v>142.34666666666666</v>
          </cell>
          <cell r="EO269">
            <v>162.89333333333335</v>
          </cell>
          <cell r="EP269">
            <v>183.44000000000003</v>
          </cell>
          <cell r="EQ269">
            <v>203.98666666666668</v>
          </cell>
          <cell r="ER269">
            <v>225.49333333333334</v>
          </cell>
          <cell r="ES269">
            <v>265.52500000000003</v>
          </cell>
          <cell r="ET269">
            <v>288.64466666666664</v>
          </cell>
          <cell r="EU269">
            <v>311.76433333333335</v>
          </cell>
          <cell r="EV269">
            <v>334.88399999999996</v>
          </cell>
          <cell r="EW269">
            <v>2241.3779999999997</v>
          </cell>
          <cell r="EY269">
            <v>156084</v>
          </cell>
          <cell r="EZ269">
            <v>8</v>
          </cell>
          <cell r="FA269">
            <v>1040.56</v>
          </cell>
          <cell r="FB269">
            <v>167556</v>
          </cell>
          <cell r="FC269">
            <v>8.6</v>
          </cell>
          <cell r="FD269">
            <v>1200.818</v>
          </cell>
          <cell r="FE269">
            <v>2241.3779999999997</v>
          </cell>
          <cell r="FF269">
            <v>48969</v>
          </cell>
          <cell r="FH269">
            <v>48969</v>
          </cell>
        </row>
        <row r="270">
          <cell r="B270">
            <v>9416</v>
          </cell>
          <cell r="C270" t="str">
            <v>11.06.2007</v>
          </cell>
          <cell r="D270" t="str">
            <v>Dhore Sharad Ramesh</v>
          </cell>
          <cell r="F270">
            <v>11217</v>
          </cell>
          <cell r="H270">
            <v>7684</v>
          </cell>
          <cell r="I270">
            <v>7684</v>
          </cell>
          <cell r="J270">
            <v>15368</v>
          </cell>
          <cell r="K270">
            <v>4151</v>
          </cell>
          <cell r="M270">
            <v>1496</v>
          </cell>
          <cell r="N270">
            <v>0</v>
          </cell>
          <cell r="O270">
            <v>1496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W270">
            <v>1496</v>
          </cell>
          <cell r="X270">
            <v>0</v>
          </cell>
          <cell r="Y270">
            <v>1496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G270">
            <v>1541</v>
          </cell>
          <cell r="AH270">
            <v>0</v>
          </cell>
          <cell r="AI270">
            <v>1541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Q270">
            <v>1541</v>
          </cell>
          <cell r="AR270">
            <v>0</v>
          </cell>
          <cell r="AS270">
            <v>1541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BA270">
            <v>1541</v>
          </cell>
          <cell r="BB270">
            <v>0</v>
          </cell>
          <cell r="BC270">
            <v>1541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K270">
            <v>1613</v>
          </cell>
          <cell r="BL270">
            <v>0</v>
          </cell>
          <cell r="BM270">
            <v>1613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U270">
            <v>1613</v>
          </cell>
          <cell r="BV270">
            <v>0</v>
          </cell>
          <cell r="BW270">
            <v>1613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E270">
            <v>1613</v>
          </cell>
          <cell r="CF270">
            <v>0</v>
          </cell>
          <cell r="CG270">
            <v>1613</v>
          </cell>
          <cell r="CH270">
            <v>0</v>
          </cell>
          <cell r="CI270">
            <v>0</v>
          </cell>
          <cell r="CJ270">
            <v>0</v>
          </cell>
          <cell r="CK270">
            <v>0</v>
          </cell>
          <cell r="CL270">
            <v>0</v>
          </cell>
          <cell r="CM270">
            <v>0</v>
          </cell>
          <cell r="CO270">
            <v>1613</v>
          </cell>
          <cell r="CP270">
            <v>0</v>
          </cell>
          <cell r="CQ270">
            <v>1613</v>
          </cell>
          <cell r="CR270">
            <v>0</v>
          </cell>
          <cell r="CS270">
            <v>0</v>
          </cell>
          <cell r="CT270">
            <v>0</v>
          </cell>
          <cell r="CU270">
            <v>0</v>
          </cell>
          <cell r="CV270">
            <v>0</v>
          </cell>
          <cell r="CW270">
            <v>0</v>
          </cell>
          <cell r="CY270">
            <v>1613</v>
          </cell>
          <cell r="CZ270">
            <v>0</v>
          </cell>
          <cell r="DA270">
            <v>1613</v>
          </cell>
          <cell r="DB270">
            <v>0</v>
          </cell>
          <cell r="DC270">
            <v>0</v>
          </cell>
          <cell r="DD270">
            <v>0</v>
          </cell>
          <cell r="DE270">
            <v>0</v>
          </cell>
          <cell r="DF270">
            <v>0</v>
          </cell>
          <cell r="DG270">
            <v>0</v>
          </cell>
          <cell r="DI270">
            <v>15368</v>
          </cell>
          <cell r="DJ270">
            <v>15680</v>
          </cell>
          <cell r="DK270">
            <v>0</v>
          </cell>
          <cell r="DL270">
            <v>15680</v>
          </cell>
          <cell r="DM270">
            <v>15680</v>
          </cell>
          <cell r="DN270">
            <v>0</v>
          </cell>
          <cell r="DO270">
            <v>15680</v>
          </cell>
          <cell r="DP270">
            <v>0</v>
          </cell>
          <cell r="DQ270">
            <v>0</v>
          </cell>
          <cell r="DR270">
            <v>0</v>
          </cell>
          <cell r="DS270">
            <v>0</v>
          </cell>
          <cell r="DT270">
            <v>31360</v>
          </cell>
          <cell r="DU270">
            <v>0</v>
          </cell>
          <cell r="DW270">
            <v>0</v>
          </cell>
          <cell r="DX270">
            <v>0</v>
          </cell>
          <cell r="DY270">
            <v>18360</v>
          </cell>
          <cell r="DZ270">
            <v>21352</v>
          </cell>
          <cell r="EA270">
            <v>24434</v>
          </cell>
          <cell r="EB270">
            <v>27516</v>
          </cell>
          <cell r="EC270">
            <v>30598</v>
          </cell>
          <cell r="ED270">
            <v>33824</v>
          </cell>
          <cell r="EE270">
            <v>37050</v>
          </cell>
          <cell r="EF270">
            <v>40276</v>
          </cell>
          <cell r="EG270">
            <v>43502</v>
          </cell>
          <cell r="EH270">
            <v>46728</v>
          </cell>
          <cell r="EI270">
            <v>323640</v>
          </cell>
          <cell r="EK270">
            <v>0</v>
          </cell>
          <cell r="EL270">
            <v>0</v>
          </cell>
          <cell r="EM270">
            <v>122.39999999999999</v>
          </cell>
          <cell r="EN270">
            <v>142.34666666666666</v>
          </cell>
          <cell r="EO270">
            <v>162.89333333333335</v>
          </cell>
          <cell r="EP270">
            <v>183.44000000000003</v>
          </cell>
          <cell r="EQ270">
            <v>203.98666666666668</v>
          </cell>
          <cell r="ER270">
            <v>225.49333333333334</v>
          </cell>
          <cell r="ES270">
            <v>265.52500000000003</v>
          </cell>
          <cell r="ET270">
            <v>288.64466666666664</v>
          </cell>
          <cell r="EU270">
            <v>311.76433333333335</v>
          </cell>
          <cell r="EV270">
            <v>334.88399999999996</v>
          </cell>
          <cell r="EW270">
            <v>2241.3779999999997</v>
          </cell>
          <cell r="EY270">
            <v>156084</v>
          </cell>
          <cell r="EZ270">
            <v>8</v>
          </cell>
          <cell r="FA270">
            <v>1040.56</v>
          </cell>
          <cell r="FB270">
            <v>167556</v>
          </cell>
          <cell r="FC270">
            <v>8.6</v>
          </cell>
          <cell r="FD270">
            <v>1200.818</v>
          </cell>
          <cell r="FE270">
            <v>2241.3779999999997</v>
          </cell>
          <cell r="FF270">
            <v>48969</v>
          </cell>
          <cell r="FH270">
            <v>48969</v>
          </cell>
        </row>
        <row r="271">
          <cell r="B271">
            <v>9417</v>
          </cell>
          <cell r="C271" t="str">
            <v>11.06.2007</v>
          </cell>
          <cell r="D271" t="str">
            <v>Pawar Ramdas Dharma</v>
          </cell>
          <cell r="F271">
            <v>11217</v>
          </cell>
          <cell r="H271">
            <v>5684</v>
          </cell>
          <cell r="I271">
            <v>5684</v>
          </cell>
          <cell r="J271">
            <v>11368</v>
          </cell>
          <cell r="K271">
            <v>151</v>
          </cell>
          <cell r="M271">
            <v>1496</v>
          </cell>
          <cell r="N271">
            <v>0</v>
          </cell>
          <cell r="O271">
            <v>1496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W271">
            <v>1496</v>
          </cell>
          <cell r="X271">
            <v>0</v>
          </cell>
          <cell r="Y271">
            <v>1496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G271">
            <v>1541</v>
          </cell>
          <cell r="AH271">
            <v>0</v>
          </cell>
          <cell r="AI271">
            <v>1541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Q271">
            <v>1541</v>
          </cell>
          <cell r="AR271">
            <v>0</v>
          </cell>
          <cell r="AS271">
            <v>1541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BA271">
            <v>1541</v>
          </cell>
          <cell r="BB271">
            <v>0</v>
          </cell>
          <cell r="BC271">
            <v>1541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K271">
            <v>1613</v>
          </cell>
          <cell r="BL271">
            <v>0</v>
          </cell>
          <cell r="BM271">
            <v>1613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U271">
            <v>1613</v>
          </cell>
          <cell r="BV271">
            <v>0</v>
          </cell>
          <cell r="BW271">
            <v>1613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E271">
            <v>1613</v>
          </cell>
          <cell r="CF271">
            <v>0</v>
          </cell>
          <cell r="CG271">
            <v>1613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  <cell r="CL271">
            <v>0</v>
          </cell>
          <cell r="CM271">
            <v>0</v>
          </cell>
          <cell r="CO271">
            <v>1613</v>
          </cell>
          <cell r="CP271">
            <v>0</v>
          </cell>
          <cell r="CQ271">
            <v>1613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CW271">
            <v>0</v>
          </cell>
          <cell r="CY271">
            <v>1613</v>
          </cell>
          <cell r="CZ271">
            <v>0</v>
          </cell>
          <cell r="DA271">
            <v>1613</v>
          </cell>
          <cell r="DB271">
            <v>0</v>
          </cell>
          <cell r="DC271">
            <v>0</v>
          </cell>
          <cell r="DD271">
            <v>0</v>
          </cell>
          <cell r="DE271">
            <v>0</v>
          </cell>
          <cell r="DF271">
            <v>0</v>
          </cell>
          <cell r="DG271">
            <v>0</v>
          </cell>
          <cell r="DI271">
            <v>11368</v>
          </cell>
          <cell r="DJ271">
            <v>15680</v>
          </cell>
          <cell r="DK271">
            <v>0</v>
          </cell>
          <cell r="DL271">
            <v>15680</v>
          </cell>
          <cell r="DM271">
            <v>15680</v>
          </cell>
          <cell r="DN271">
            <v>0</v>
          </cell>
          <cell r="DO271">
            <v>15680</v>
          </cell>
          <cell r="DP271">
            <v>0</v>
          </cell>
          <cell r="DQ271">
            <v>0</v>
          </cell>
          <cell r="DR271">
            <v>0</v>
          </cell>
          <cell r="DS271">
            <v>0</v>
          </cell>
          <cell r="DT271">
            <v>31360</v>
          </cell>
          <cell r="DU271">
            <v>0</v>
          </cell>
          <cell r="DW271">
            <v>0</v>
          </cell>
          <cell r="DX271">
            <v>0</v>
          </cell>
          <cell r="DY271">
            <v>14360</v>
          </cell>
          <cell r="DZ271">
            <v>17352</v>
          </cell>
          <cell r="EA271">
            <v>20434</v>
          </cell>
          <cell r="EB271">
            <v>23516</v>
          </cell>
          <cell r="EC271">
            <v>26598</v>
          </cell>
          <cell r="ED271">
            <v>29824</v>
          </cell>
          <cell r="EE271">
            <v>33050</v>
          </cell>
          <cell r="EF271">
            <v>36276</v>
          </cell>
          <cell r="EG271">
            <v>39502</v>
          </cell>
          <cell r="EH271">
            <v>42728</v>
          </cell>
          <cell r="EI271">
            <v>283640</v>
          </cell>
          <cell r="EK271">
            <v>0</v>
          </cell>
          <cell r="EL271">
            <v>0</v>
          </cell>
          <cell r="EM271">
            <v>95.733333333333334</v>
          </cell>
          <cell r="EN271">
            <v>115.68</v>
          </cell>
          <cell r="EO271">
            <v>136.22666666666666</v>
          </cell>
          <cell r="EP271">
            <v>156.77333333333334</v>
          </cell>
          <cell r="EQ271">
            <v>177.32000000000002</v>
          </cell>
          <cell r="ER271">
            <v>198.82666666666668</v>
          </cell>
          <cell r="ES271">
            <v>236.85833333333335</v>
          </cell>
          <cell r="ET271">
            <v>259.97800000000001</v>
          </cell>
          <cell r="EU271">
            <v>283.09766666666667</v>
          </cell>
          <cell r="EV271">
            <v>306.21733333333333</v>
          </cell>
          <cell r="EW271">
            <v>1966.7113333333334</v>
          </cell>
          <cell r="EY271">
            <v>132084</v>
          </cell>
          <cell r="EZ271">
            <v>8</v>
          </cell>
          <cell r="FA271">
            <v>880.56</v>
          </cell>
          <cell r="FB271">
            <v>151556</v>
          </cell>
          <cell r="FC271">
            <v>8.6</v>
          </cell>
          <cell r="FD271">
            <v>1086.1513333333332</v>
          </cell>
          <cell r="FE271">
            <v>1966.7113333333332</v>
          </cell>
          <cell r="FF271">
            <v>44695</v>
          </cell>
          <cell r="FH271">
            <v>44695</v>
          </cell>
        </row>
        <row r="272">
          <cell r="B272">
            <v>9424</v>
          </cell>
          <cell r="C272" t="str">
            <v>11.06.2007</v>
          </cell>
          <cell r="D272" t="str">
            <v>Kumavat Sanjay Laxman</v>
          </cell>
          <cell r="F272">
            <v>7035</v>
          </cell>
          <cell r="G272">
            <v>20400</v>
          </cell>
          <cell r="H272">
            <v>4295</v>
          </cell>
          <cell r="I272">
            <v>4295</v>
          </cell>
          <cell r="J272">
            <v>8590</v>
          </cell>
          <cell r="K272">
            <v>1555</v>
          </cell>
          <cell r="M272">
            <v>1057</v>
          </cell>
          <cell r="N272">
            <v>0</v>
          </cell>
          <cell r="O272">
            <v>1057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W272">
            <v>1057</v>
          </cell>
          <cell r="X272">
            <v>0</v>
          </cell>
          <cell r="Y272">
            <v>1057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G272">
            <v>1088</v>
          </cell>
          <cell r="AH272">
            <v>0</v>
          </cell>
          <cell r="AI272">
            <v>1088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Q272">
            <v>1088</v>
          </cell>
          <cell r="AR272">
            <v>0</v>
          </cell>
          <cell r="AS272">
            <v>1088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BA272">
            <v>1088</v>
          </cell>
          <cell r="BB272">
            <v>0</v>
          </cell>
          <cell r="BC272">
            <v>1088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K272">
            <v>1139</v>
          </cell>
          <cell r="BL272">
            <v>0</v>
          </cell>
          <cell r="BM272">
            <v>1139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U272">
            <v>1139</v>
          </cell>
          <cell r="BV272">
            <v>0</v>
          </cell>
          <cell r="BW272">
            <v>1139</v>
          </cell>
          <cell r="BX272">
            <v>0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C272">
            <v>0</v>
          </cell>
          <cell r="CE272">
            <v>1139</v>
          </cell>
          <cell r="CF272">
            <v>0</v>
          </cell>
          <cell r="CG272">
            <v>1139</v>
          </cell>
          <cell r="CH272">
            <v>0</v>
          </cell>
          <cell r="CI272">
            <v>0</v>
          </cell>
          <cell r="CJ272">
            <v>0</v>
          </cell>
          <cell r="CK272">
            <v>0</v>
          </cell>
          <cell r="CL272">
            <v>0</v>
          </cell>
          <cell r="CM272">
            <v>0</v>
          </cell>
          <cell r="CO272">
            <v>1139</v>
          </cell>
          <cell r="CP272">
            <v>0</v>
          </cell>
          <cell r="CQ272">
            <v>1139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Y272">
            <v>1139</v>
          </cell>
          <cell r="CZ272">
            <v>0</v>
          </cell>
          <cell r="DA272">
            <v>1139</v>
          </cell>
          <cell r="DB272">
            <v>0</v>
          </cell>
          <cell r="DC272">
            <v>0</v>
          </cell>
          <cell r="DD272">
            <v>0</v>
          </cell>
          <cell r="DE272">
            <v>0</v>
          </cell>
          <cell r="DF272">
            <v>0</v>
          </cell>
          <cell r="DG272">
            <v>0</v>
          </cell>
          <cell r="DI272">
            <v>8590</v>
          </cell>
          <cell r="DJ272">
            <v>11073</v>
          </cell>
          <cell r="DK272">
            <v>0</v>
          </cell>
          <cell r="DL272">
            <v>11073</v>
          </cell>
          <cell r="DM272">
            <v>11073</v>
          </cell>
          <cell r="DN272">
            <v>0</v>
          </cell>
          <cell r="DO272">
            <v>11073</v>
          </cell>
          <cell r="DP272">
            <v>0</v>
          </cell>
          <cell r="DQ272">
            <v>0</v>
          </cell>
          <cell r="DR272">
            <v>0</v>
          </cell>
          <cell r="DS272">
            <v>0</v>
          </cell>
          <cell r="DT272">
            <v>22146</v>
          </cell>
          <cell r="DU272">
            <v>0</v>
          </cell>
          <cell r="DW272">
            <v>0</v>
          </cell>
          <cell r="DX272">
            <v>0</v>
          </cell>
          <cell r="DY272">
            <v>10704</v>
          </cell>
          <cell r="DZ272">
            <v>12818</v>
          </cell>
          <cell r="EA272">
            <v>14994</v>
          </cell>
          <cell r="EB272">
            <v>17170</v>
          </cell>
          <cell r="EC272">
            <v>19346</v>
          </cell>
          <cell r="ED272">
            <v>21624</v>
          </cell>
          <cell r="EE272">
            <v>23902</v>
          </cell>
          <cell r="EF272">
            <v>26180</v>
          </cell>
          <cell r="EG272">
            <v>28458</v>
          </cell>
          <cell r="EH272">
            <v>30736</v>
          </cell>
          <cell r="EI272">
            <v>205932</v>
          </cell>
          <cell r="EK272">
            <v>0</v>
          </cell>
          <cell r="EL272">
            <v>0</v>
          </cell>
          <cell r="EM272">
            <v>71.36</v>
          </cell>
          <cell r="EN272">
            <v>85.453333333333333</v>
          </cell>
          <cell r="EO272">
            <v>99.96</v>
          </cell>
          <cell r="EP272">
            <v>114.46666666666665</v>
          </cell>
          <cell r="EQ272">
            <v>128.97333333333333</v>
          </cell>
          <cell r="ER272">
            <v>144.16</v>
          </cell>
          <cell r="ES272">
            <v>171.29766666666663</v>
          </cell>
          <cell r="ET272">
            <v>187.62333333333333</v>
          </cell>
          <cell r="EU272">
            <v>203.94899999999998</v>
          </cell>
          <cell r="EV272">
            <v>220.27466666666666</v>
          </cell>
          <cell r="EW272">
            <v>1427.5179999999998</v>
          </cell>
          <cell r="EY272">
            <v>96656</v>
          </cell>
          <cell r="EZ272">
            <v>8</v>
          </cell>
          <cell r="FA272">
            <v>644.37333333333333</v>
          </cell>
          <cell r="FB272">
            <v>109276</v>
          </cell>
          <cell r="FC272">
            <v>8.6</v>
          </cell>
          <cell r="FD272">
            <v>783.14466666666658</v>
          </cell>
          <cell r="FE272">
            <v>1427.518</v>
          </cell>
          <cell r="FF272">
            <v>32164</v>
          </cell>
          <cell r="FH272">
            <v>32164</v>
          </cell>
        </row>
        <row r="273">
          <cell r="B273">
            <v>9429</v>
          </cell>
          <cell r="C273" t="str">
            <v>11.06.2007</v>
          </cell>
          <cell r="D273" t="str">
            <v>Gavande Hemant Laxman</v>
          </cell>
          <cell r="F273">
            <v>7565</v>
          </cell>
          <cell r="G273">
            <v>18362</v>
          </cell>
          <cell r="H273">
            <v>3195</v>
          </cell>
          <cell r="I273">
            <v>3195</v>
          </cell>
          <cell r="J273">
            <v>6390</v>
          </cell>
          <cell r="K273">
            <v>-1175</v>
          </cell>
          <cell r="M273">
            <v>1167</v>
          </cell>
          <cell r="N273">
            <v>0</v>
          </cell>
          <cell r="O273">
            <v>1167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W273">
            <v>1167</v>
          </cell>
          <cell r="X273">
            <v>0</v>
          </cell>
          <cell r="Y273">
            <v>1167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G273">
            <v>1203</v>
          </cell>
          <cell r="AH273">
            <v>0</v>
          </cell>
          <cell r="AI273">
            <v>1203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Q273">
            <v>1203</v>
          </cell>
          <cell r="AR273">
            <v>0</v>
          </cell>
          <cell r="AS273">
            <v>1203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BA273">
            <v>1203</v>
          </cell>
          <cell r="BB273">
            <v>0</v>
          </cell>
          <cell r="BC273">
            <v>1203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K273">
            <v>1259</v>
          </cell>
          <cell r="BL273">
            <v>0</v>
          </cell>
          <cell r="BM273">
            <v>1259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U273">
            <v>1259</v>
          </cell>
          <cell r="BV273">
            <v>0</v>
          </cell>
          <cell r="BW273">
            <v>1259</v>
          </cell>
          <cell r="BX273">
            <v>0</v>
          </cell>
          <cell r="BY273">
            <v>0</v>
          </cell>
          <cell r="BZ273">
            <v>0</v>
          </cell>
          <cell r="CA273">
            <v>0</v>
          </cell>
          <cell r="CB273">
            <v>0</v>
          </cell>
          <cell r="CC273">
            <v>0</v>
          </cell>
          <cell r="CE273">
            <v>1259</v>
          </cell>
          <cell r="CF273">
            <v>0</v>
          </cell>
          <cell r="CG273">
            <v>1259</v>
          </cell>
          <cell r="CH273">
            <v>0</v>
          </cell>
          <cell r="CI273">
            <v>0</v>
          </cell>
          <cell r="CJ273">
            <v>0</v>
          </cell>
          <cell r="CK273">
            <v>0</v>
          </cell>
          <cell r="CL273">
            <v>0</v>
          </cell>
          <cell r="CM273">
            <v>0</v>
          </cell>
          <cell r="CO273">
            <v>1259</v>
          </cell>
          <cell r="CP273">
            <v>0</v>
          </cell>
          <cell r="CQ273">
            <v>1259</v>
          </cell>
          <cell r="CR273">
            <v>0</v>
          </cell>
          <cell r="CS273">
            <v>0</v>
          </cell>
          <cell r="CT273">
            <v>0</v>
          </cell>
          <cell r="CU273">
            <v>0</v>
          </cell>
          <cell r="CV273">
            <v>0</v>
          </cell>
          <cell r="CW273">
            <v>0</v>
          </cell>
          <cell r="CY273">
            <v>1259</v>
          </cell>
          <cell r="CZ273">
            <v>0</v>
          </cell>
          <cell r="DA273">
            <v>1259</v>
          </cell>
          <cell r="DB273">
            <v>0</v>
          </cell>
          <cell r="DC273">
            <v>0</v>
          </cell>
          <cell r="DD273">
            <v>0</v>
          </cell>
          <cell r="DE273">
            <v>0</v>
          </cell>
          <cell r="DF273">
            <v>0</v>
          </cell>
          <cell r="DG273">
            <v>0</v>
          </cell>
          <cell r="DI273">
            <v>6390</v>
          </cell>
          <cell r="DJ273">
            <v>12238</v>
          </cell>
          <cell r="DK273">
            <v>0</v>
          </cell>
          <cell r="DL273">
            <v>12238</v>
          </cell>
          <cell r="DM273">
            <v>12238</v>
          </cell>
          <cell r="DN273">
            <v>0</v>
          </cell>
          <cell r="DO273">
            <v>12238</v>
          </cell>
          <cell r="DP273">
            <v>0</v>
          </cell>
          <cell r="DQ273">
            <v>0</v>
          </cell>
          <cell r="DR273">
            <v>0</v>
          </cell>
          <cell r="DS273">
            <v>0</v>
          </cell>
          <cell r="DT273">
            <v>24476</v>
          </cell>
          <cell r="DU273">
            <v>0</v>
          </cell>
          <cell r="DW273">
            <v>0</v>
          </cell>
          <cell r="DX273">
            <v>0</v>
          </cell>
          <cell r="DY273">
            <v>8724</v>
          </cell>
          <cell r="DZ273">
            <v>11058</v>
          </cell>
          <cell r="EA273">
            <v>13464</v>
          </cell>
          <cell r="EB273">
            <v>15870</v>
          </cell>
          <cell r="EC273">
            <v>18276</v>
          </cell>
          <cell r="ED273">
            <v>20794</v>
          </cell>
          <cell r="EE273">
            <v>23312</v>
          </cell>
          <cell r="EF273">
            <v>25830</v>
          </cell>
          <cell r="EG273">
            <v>28348</v>
          </cell>
          <cell r="EH273">
            <v>30866</v>
          </cell>
          <cell r="EI273">
            <v>196542</v>
          </cell>
          <cell r="EK273">
            <v>0</v>
          </cell>
          <cell r="EL273">
            <v>0</v>
          </cell>
          <cell r="EM273">
            <v>58.16</v>
          </cell>
          <cell r="EN273">
            <v>73.72</v>
          </cell>
          <cell r="EO273">
            <v>89.759999999999991</v>
          </cell>
          <cell r="EP273">
            <v>105.8</v>
          </cell>
          <cell r="EQ273">
            <v>121.83999999999999</v>
          </cell>
          <cell r="ER273">
            <v>138.62666666666667</v>
          </cell>
          <cell r="ES273">
            <v>167.06933333333333</v>
          </cell>
          <cell r="ET273">
            <v>185.11500000000001</v>
          </cell>
          <cell r="EU273">
            <v>203.16066666666666</v>
          </cell>
          <cell r="EV273">
            <v>221.2063333333333</v>
          </cell>
          <cell r="EW273">
            <v>1364.4579999999999</v>
          </cell>
          <cell r="EY273">
            <v>88186</v>
          </cell>
          <cell r="EZ273">
            <v>8</v>
          </cell>
          <cell r="FA273">
            <v>587.90666666666664</v>
          </cell>
          <cell r="FB273">
            <v>108356</v>
          </cell>
          <cell r="FC273">
            <v>8.6</v>
          </cell>
          <cell r="FD273">
            <v>776.55133333333333</v>
          </cell>
          <cell r="FE273">
            <v>1364.4580000000001</v>
          </cell>
          <cell r="FF273">
            <v>32230</v>
          </cell>
          <cell r="FH273">
            <v>32230</v>
          </cell>
        </row>
        <row r="274">
          <cell r="B274">
            <v>9430</v>
          </cell>
          <cell r="C274" t="str">
            <v>11.06.2007</v>
          </cell>
          <cell r="D274" t="str">
            <v>Bendre Laxmikant Pratap</v>
          </cell>
          <cell r="F274">
            <v>7565</v>
          </cell>
          <cell r="G274">
            <v>18362</v>
          </cell>
          <cell r="H274">
            <v>3195</v>
          </cell>
          <cell r="I274">
            <v>3195</v>
          </cell>
          <cell r="J274">
            <v>6390</v>
          </cell>
          <cell r="K274">
            <v>-1175</v>
          </cell>
          <cell r="M274">
            <v>1167</v>
          </cell>
          <cell r="N274">
            <v>0</v>
          </cell>
          <cell r="O274">
            <v>1167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W274">
            <v>1167</v>
          </cell>
          <cell r="X274">
            <v>0</v>
          </cell>
          <cell r="Y274">
            <v>1167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G274">
            <v>1203</v>
          </cell>
          <cell r="AH274">
            <v>0</v>
          </cell>
          <cell r="AI274">
            <v>1203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Q274">
            <v>1203</v>
          </cell>
          <cell r="AR274">
            <v>0</v>
          </cell>
          <cell r="AS274">
            <v>1203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BA274">
            <v>1203</v>
          </cell>
          <cell r="BB274">
            <v>0</v>
          </cell>
          <cell r="BC274">
            <v>1203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K274">
            <v>1259</v>
          </cell>
          <cell r="BL274">
            <v>0</v>
          </cell>
          <cell r="BM274">
            <v>1259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U274">
            <v>1259</v>
          </cell>
          <cell r="BV274">
            <v>0</v>
          </cell>
          <cell r="BW274">
            <v>1259</v>
          </cell>
          <cell r="BX274">
            <v>0</v>
          </cell>
          <cell r="BY274">
            <v>0</v>
          </cell>
          <cell r="BZ274">
            <v>0</v>
          </cell>
          <cell r="CA274">
            <v>0</v>
          </cell>
          <cell r="CB274">
            <v>0</v>
          </cell>
          <cell r="CC274">
            <v>0</v>
          </cell>
          <cell r="CE274">
            <v>1259</v>
          </cell>
          <cell r="CF274">
            <v>0</v>
          </cell>
          <cell r="CG274">
            <v>1259</v>
          </cell>
          <cell r="CH274">
            <v>0</v>
          </cell>
          <cell r="CI274">
            <v>0</v>
          </cell>
          <cell r="CJ274">
            <v>0</v>
          </cell>
          <cell r="CK274">
            <v>0</v>
          </cell>
          <cell r="CL274">
            <v>0</v>
          </cell>
          <cell r="CM274">
            <v>0</v>
          </cell>
          <cell r="CO274">
            <v>1259</v>
          </cell>
          <cell r="CP274">
            <v>0</v>
          </cell>
          <cell r="CQ274">
            <v>1259</v>
          </cell>
          <cell r="CR274">
            <v>0</v>
          </cell>
          <cell r="CS274">
            <v>0</v>
          </cell>
          <cell r="CT274">
            <v>0</v>
          </cell>
          <cell r="CU274">
            <v>0</v>
          </cell>
          <cell r="CV274">
            <v>0</v>
          </cell>
          <cell r="CW274">
            <v>0</v>
          </cell>
          <cell r="CY274">
            <v>1259</v>
          </cell>
          <cell r="CZ274">
            <v>0</v>
          </cell>
          <cell r="DA274">
            <v>1259</v>
          </cell>
          <cell r="DB274">
            <v>0</v>
          </cell>
          <cell r="DC274">
            <v>0</v>
          </cell>
          <cell r="DD274">
            <v>0</v>
          </cell>
          <cell r="DE274">
            <v>0</v>
          </cell>
          <cell r="DF274">
            <v>0</v>
          </cell>
          <cell r="DG274">
            <v>0</v>
          </cell>
          <cell r="DI274">
            <v>6390</v>
          </cell>
          <cell r="DJ274">
            <v>12238</v>
          </cell>
          <cell r="DK274">
            <v>0</v>
          </cell>
          <cell r="DL274">
            <v>12238</v>
          </cell>
          <cell r="DM274">
            <v>12238</v>
          </cell>
          <cell r="DN274">
            <v>0</v>
          </cell>
          <cell r="DO274">
            <v>12238</v>
          </cell>
          <cell r="DP274">
            <v>0</v>
          </cell>
          <cell r="DQ274">
            <v>0</v>
          </cell>
          <cell r="DR274">
            <v>0</v>
          </cell>
          <cell r="DS274">
            <v>0</v>
          </cell>
          <cell r="DT274">
            <v>24476</v>
          </cell>
          <cell r="DU274">
            <v>0</v>
          </cell>
          <cell r="DW274">
            <v>0</v>
          </cell>
          <cell r="DX274">
            <v>0</v>
          </cell>
          <cell r="DY274">
            <v>8724</v>
          </cell>
          <cell r="DZ274">
            <v>11058</v>
          </cell>
          <cell r="EA274">
            <v>13464</v>
          </cell>
          <cell r="EB274">
            <v>15870</v>
          </cell>
          <cell r="EC274">
            <v>18276</v>
          </cell>
          <cell r="ED274">
            <v>20794</v>
          </cell>
          <cell r="EE274">
            <v>23312</v>
          </cell>
          <cell r="EF274">
            <v>25830</v>
          </cell>
          <cell r="EG274">
            <v>28348</v>
          </cell>
          <cell r="EH274">
            <v>30866</v>
          </cell>
          <cell r="EI274">
            <v>196542</v>
          </cell>
          <cell r="EK274">
            <v>0</v>
          </cell>
          <cell r="EL274">
            <v>0</v>
          </cell>
          <cell r="EM274">
            <v>58.16</v>
          </cell>
          <cell r="EN274">
            <v>73.72</v>
          </cell>
          <cell r="EO274">
            <v>89.759999999999991</v>
          </cell>
          <cell r="EP274">
            <v>105.8</v>
          </cell>
          <cell r="EQ274">
            <v>121.83999999999999</v>
          </cell>
          <cell r="ER274">
            <v>138.62666666666667</v>
          </cell>
          <cell r="ES274">
            <v>167.06933333333333</v>
          </cell>
          <cell r="ET274">
            <v>185.11500000000001</v>
          </cell>
          <cell r="EU274">
            <v>203.16066666666666</v>
          </cell>
          <cell r="EV274">
            <v>221.2063333333333</v>
          </cell>
          <cell r="EW274">
            <v>1364.4579999999999</v>
          </cell>
          <cell r="EY274">
            <v>88186</v>
          </cell>
          <cell r="EZ274">
            <v>8</v>
          </cell>
          <cell r="FA274">
            <v>587.90666666666664</v>
          </cell>
          <cell r="FB274">
            <v>108356</v>
          </cell>
          <cell r="FC274">
            <v>8.6</v>
          </cell>
          <cell r="FD274">
            <v>776.55133333333333</v>
          </cell>
          <cell r="FE274">
            <v>1364.4580000000001</v>
          </cell>
          <cell r="FF274">
            <v>32230</v>
          </cell>
          <cell r="FH274">
            <v>32230</v>
          </cell>
        </row>
        <row r="275">
          <cell r="B275">
            <v>9431</v>
          </cell>
          <cell r="C275" t="str">
            <v>11.06.2007</v>
          </cell>
          <cell r="D275" t="str">
            <v>Raut Parvata Kashiram</v>
          </cell>
          <cell r="F275">
            <v>7035</v>
          </cell>
          <cell r="G275">
            <v>16356</v>
          </cell>
          <cell r="H275">
            <v>5295</v>
          </cell>
          <cell r="I275">
            <v>5295</v>
          </cell>
          <cell r="J275">
            <v>10590</v>
          </cell>
          <cell r="K275">
            <v>3555</v>
          </cell>
          <cell r="M275">
            <v>1057</v>
          </cell>
          <cell r="N275">
            <v>0</v>
          </cell>
          <cell r="O275">
            <v>1057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W275">
            <v>1167</v>
          </cell>
          <cell r="X275">
            <v>0</v>
          </cell>
          <cell r="Y275">
            <v>1167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G275">
            <v>1203</v>
          </cell>
          <cell r="AH275">
            <v>0</v>
          </cell>
          <cell r="AI275">
            <v>1203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Q275">
            <v>1203</v>
          </cell>
          <cell r="AR275">
            <v>0</v>
          </cell>
          <cell r="AS275">
            <v>1203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BA275">
            <v>1203</v>
          </cell>
          <cell r="BB275">
            <v>0</v>
          </cell>
          <cell r="BC275">
            <v>1203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K275">
            <v>1259</v>
          </cell>
          <cell r="BL275">
            <v>0</v>
          </cell>
          <cell r="BM275">
            <v>1259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U275">
            <v>1259</v>
          </cell>
          <cell r="BV275">
            <v>0</v>
          </cell>
          <cell r="BW275">
            <v>1259</v>
          </cell>
          <cell r="BX275">
            <v>0</v>
          </cell>
          <cell r="BY275">
            <v>0</v>
          </cell>
          <cell r="BZ275">
            <v>0</v>
          </cell>
          <cell r="CA275">
            <v>0</v>
          </cell>
          <cell r="CB275">
            <v>0</v>
          </cell>
          <cell r="CC275">
            <v>0</v>
          </cell>
          <cell r="CE275">
            <v>1259</v>
          </cell>
          <cell r="CF275">
            <v>0</v>
          </cell>
          <cell r="CG275">
            <v>1259</v>
          </cell>
          <cell r="CH275">
            <v>0</v>
          </cell>
          <cell r="CI275">
            <v>0</v>
          </cell>
          <cell r="CJ275">
            <v>0</v>
          </cell>
          <cell r="CK275">
            <v>0</v>
          </cell>
          <cell r="CL275">
            <v>0</v>
          </cell>
          <cell r="CM275">
            <v>0</v>
          </cell>
          <cell r="CO275">
            <v>1259</v>
          </cell>
          <cell r="CP275">
            <v>0</v>
          </cell>
          <cell r="CQ275">
            <v>1259</v>
          </cell>
          <cell r="CR275">
            <v>0</v>
          </cell>
          <cell r="CS275">
            <v>0</v>
          </cell>
          <cell r="CT275">
            <v>0</v>
          </cell>
          <cell r="CU275">
            <v>0</v>
          </cell>
          <cell r="CV275">
            <v>0</v>
          </cell>
          <cell r="CW275">
            <v>0</v>
          </cell>
          <cell r="CY275">
            <v>1259</v>
          </cell>
          <cell r="CZ275">
            <v>0</v>
          </cell>
          <cell r="DA275">
            <v>1259</v>
          </cell>
          <cell r="DB275">
            <v>0</v>
          </cell>
          <cell r="DC275">
            <v>0</v>
          </cell>
          <cell r="DD275">
            <v>0</v>
          </cell>
          <cell r="DE275">
            <v>0</v>
          </cell>
          <cell r="DF275">
            <v>0</v>
          </cell>
          <cell r="DG275">
            <v>0</v>
          </cell>
          <cell r="DI275">
            <v>10590</v>
          </cell>
          <cell r="DJ275">
            <v>12128</v>
          </cell>
          <cell r="DK275">
            <v>0</v>
          </cell>
          <cell r="DL275">
            <v>12128</v>
          </cell>
          <cell r="DM275">
            <v>12128</v>
          </cell>
          <cell r="DN275">
            <v>0</v>
          </cell>
          <cell r="DO275">
            <v>12128</v>
          </cell>
          <cell r="DP275">
            <v>0</v>
          </cell>
          <cell r="DQ275">
            <v>0</v>
          </cell>
          <cell r="DR275">
            <v>0</v>
          </cell>
          <cell r="DS275">
            <v>0</v>
          </cell>
          <cell r="DT275">
            <v>24256</v>
          </cell>
          <cell r="DU275">
            <v>0</v>
          </cell>
          <cell r="DW275">
            <v>0</v>
          </cell>
          <cell r="DX275">
            <v>0</v>
          </cell>
          <cell r="DY275">
            <v>12704</v>
          </cell>
          <cell r="DZ275">
            <v>15038</v>
          </cell>
          <cell r="EA275">
            <v>17444</v>
          </cell>
          <cell r="EB275">
            <v>19850</v>
          </cell>
          <cell r="EC275">
            <v>22256</v>
          </cell>
          <cell r="ED275">
            <v>24774</v>
          </cell>
          <cell r="EE275">
            <v>27292</v>
          </cell>
          <cell r="EF275">
            <v>29810</v>
          </cell>
          <cell r="EG275">
            <v>32328</v>
          </cell>
          <cell r="EH275">
            <v>34846</v>
          </cell>
          <cell r="EI275">
            <v>236342</v>
          </cell>
          <cell r="EK275">
            <v>0</v>
          </cell>
          <cell r="EL275">
            <v>0</v>
          </cell>
          <cell r="EM275">
            <v>84.693333333333342</v>
          </cell>
          <cell r="EN275">
            <v>100.25333333333333</v>
          </cell>
          <cell r="EO275">
            <v>116.29333333333334</v>
          </cell>
          <cell r="EP275">
            <v>132.33333333333334</v>
          </cell>
          <cell r="EQ275">
            <v>148.37333333333333</v>
          </cell>
          <cell r="ER275">
            <v>165.16</v>
          </cell>
          <cell r="ES275">
            <v>195.59266666666664</v>
          </cell>
          <cell r="ET275">
            <v>213.63833333333332</v>
          </cell>
          <cell r="EU275">
            <v>231.684</v>
          </cell>
          <cell r="EV275">
            <v>249.72966666666665</v>
          </cell>
          <cell r="EW275">
            <v>1637.7513333333334</v>
          </cell>
          <cell r="EY275">
            <v>112066</v>
          </cell>
          <cell r="EZ275">
            <v>8</v>
          </cell>
          <cell r="FA275">
            <v>747.10666666666668</v>
          </cell>
          <cell r="FB275">
            <v>124276</v>
          </cell>
          <cell r="FC275">
            <v>8.6</v>
          </cell>
          <cell r="FD275">
            <v>890.64466666666658</v>
          </cell>
          <cell r="FE275">
            <v>1637.7513333333332</v>
          </cell>
          <cell r="FF275">
            <v>36484</v>
          </cell>
          <cell r="FH275">
            <v>36484</v>
          </cell>
        </row>
        <row r="276">
          <cell r="B276">
            <v>9434</v>
          </cell>
          <cell r="C276" t="str">
            <v>11.06.2007</v>
          </cell>
          <cell r="D276" t="str">
            <v>Wagh Ajay Babanrao</v>
          </cell>
          <cell r="F276">
            <v>7035</v>
          </cell>
          <cell r="H276">
            <v>5295</v>
          </cell>
          <cell r="I276">
            <v>5295</v>
          </cell>
          <cell r="J276">
            <v>10590</v>
          </cell>
          <cell r="K276">
            <v>3555</v>
          </cell>
          <cell r="M276">
            <v>1057</v>
          </cell>
          <cell r="N276">
            <v>0</v>
          </cell>
          <cell r="O276">
            <v>1057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W276">
            <v>1057</v>
          </cell>
          <cell r="X276">
            <v>0</v>
          </cell>
          <cell r="Y276">
            <v>1057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G276">
            <v>1088</v>
          </cell>
          <cell r="AH276">
            <v>0</v>
          </cell>
          <cell r="AI276">
            <v>1088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Q276">
            <v>1088</v>
          </cell>
          <cell r="AR276">
            <v>0</v>
          </cell>
          <cell r="AS276">
            <v>1088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BA276">
            <v>1088</v>
          </cell>
          <cell r="BB276">
            <v>0</v>
          </cell>
          <cell r="BC276">
            <v>1088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K276">
            <v>1139</v>
          </cell>
          <cell r="BL276">
            <v>0</v>
          </cell>
          <cell r="BM276">
            <v>1139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U276">
            <v>1139</v>
          </cell>
          <cell r="BV276">
            <v>0</v>
          </cell>
          <cell r="BW276">
            <v>1139</v>
          </cell>
          <cell r="BX276">
            <v>0</v>
          </cell>
          <cell r="BY276">
            <v>0</v>
          </cell>
          <cell r="BZ276">
            <v>0</v>
          </cell>
          <cell r="CA276">
            <v>0</v>
          </cell>
          <cell r="CB276">
            <v>0</v>
          </cell>
          <cell r="CC276">
            <v>0</v>
          </cell>
          <cell r="CE276">
            <v>1139</v>
          </cell>
          <cell r="CF276">
            <v>0</v>
          </cell>
          <cell r="CG276">
            <v>1139</v>
          </cell>
          <cell r="CH276">
            <v>0</v>
          </cell>
          <cell r="CI276">
            <v>0</v>
          </cell>
          <cell r="CJ276">
            <v>0</v>
          </cell>
          <cell r="CK276">
            <v>0</v>
          </cell>
          <cell r="CL276">
            <v>0</v>
          </cell>
          <cell r="CM276">
            <v>0</v>
          </cell>
          <cell r="CO276">
            <v>1139</v>
          </cell>
          <cell r="CP276">
            <v>0</v>
          </cell>
          <cell r="CQ276">
            <v>1139</v>
          </cell>
          <cell r="CR276">
            <v>0</v>
          </cell>
          <cell r="CS276">
            <v>0</v>
          </cell>
          <cell r="CT276">
            <v>0</v>
          </cell>
          <cell r="CU276">
            <v>0</v>
          </cell>
          <cell r="CV276">
            <v>0</v>
          </cell>
          <cell r="CW276">
            <v>0</v>
          </cell>
          <cell r="CY276">
            <v>1139</v>
          </cell>
          <cell r="CZ276">
            <v>0</v>
          </cell>
          <cell r="DA276">
            <v>1139</v>
          </cell>
          <cell r="DB276">
            <v>0</v>
          </cell>
          <cell r="DC276">
            <v>0</v>
          </cell>
          <cell r="DD276">
            <v>0</v>
          </cell>
          <cell r="DE276">
            <v>0</v>
          </cell>
          <cell r="DF276">
            <v>0</v>
          </cell>
          <cell r="DG276">
            <v>0</v>
          </cell>
          <cell r="DI276">
            <v>10590</v>
          </cell>
          <cell r="DJ276">
            <v>11073</v>
          </cell>
          <cell r="DK276">
            <v>0</v>
          </cell>
          <cell r="DL276">
            <v>11073</v>
          </cell>
          <cell r="DM276">
            <v>11073</v>
          </cell>
          <cell r="DN276">
            <v>0</v>
          </cell>
          <cell r="DO276">
            <v>11073</v>
          </cell>
          <cell r="DP276">
            <v>0</v>
          </cell>
          <cell r="DQ276">
            <v>0</v>
          </cell>
          <cell r="DR276">
            <v>0</v>
          </cell>
          <cell r="DS276">
            <v>0</v>
          </cell>
          <cell r="DT276">
            <v>22146</v>
          </cell>
          <cell r="DU276">
            <v>0</v>
          </cell>
          <cell r="DW276">
            <v>0</v>
          </cell>
          <cell r="DX276">
            <v>0</v>
          </cell>
          <cell r="DY276">
            <v>12704</v>
          </cell>
          <cell r="DZ276">
            <v>14818</v>
          </cell>
          <cell r="EA276">
            <v>16994</v>
          </cell>
          <cell r="EB276">
            <v>19170</v>
          </cell>
          <cell r="EC276">
            <v>21346</v>
          </cell>
          <cell r="ED276">
            <v>23624</v>
          </cell>
          <cell r="EE276">
            <v>25902</v>
          </cell>
          <cell r="EF276">
            <v>28180</v>
          </cell>
          <cell r="EG276">
            <v>30458</v>
          </cell>
          <cell r="EH276">
            <v>32736</v>
          </cell>
          <cell r="EI276">
            <v>225932</v>
          </cell>
          <cell r="EK276">
            <v>0</v>
          </cell>
          <cell r="EL276">
            <v>0</v>
          </cell>
          <cell r="EM276">
            <v>84.693333333333342</v>
          </cell>
          <cell r="EN276">
            <v>98.786666666666676</v>
          </cell>
          <cell r="EO276">
            <v>113.29333333333334</v>
          </cell>
          <cell r="EP276">
            <v>127.8</v>
          </cell>
          <cell r="EQ276">
            <v>142.30666666666667</v>
          </cell>
          <cell r="ER276">
            <v>157.49333333333334</v>
          </cell>
          <cell r="ES276">
            <v>185.63099999999997</v>
          </cell>
          <cell r="ET276">
            <v>201.95666666666668</v>
          </cell>
          <cell r="EU276">
            <v>218.28233333333333</v>
          </cell>
          <cell r="EV276">
            <v>234.60799999999998</v>
          </cell>
          <cell r="EW276">
            <v>1564.8513333333333</v>
          </cell>
          <cell r="EY276">
            <v>108656</v>
          </cell>
          <cell r="EZ276">
            <v>8</v>
          </cell>
          <cell r="FA276">
            <v>724.37333333333333</v>
          </cell>
          <cell r="FB276">
            <v>117276</v>
          </cell>
          <cell r="FC276">
            <v>8.6</v>
          </cell>
          <cell r="FD276">
            <v>840.47799999999995</v>
          </cell>
          <cell r="FE276">
            <v>1564.8513333333333</v>
          </cell>
          <cell r="FF276">
            <v>34301</v>
          </cell>
          <cell r="FH276">
            <v>34301</v>
          </cell>
        </row>
        <row r="277">
          <cell r="B277">
            <v>9435</v>
          </cell>
          <cell r="C277" t="str">
            <v>11.06.2007</v>
          </cell>
          <cell r="D277" t="str">
            <v>Khairnar Gokul Dhudaku (Death On 24-02-2014)</v>
          </cell>
          <cell r="F277">
            <v>7035</v>
          </cell>
          <cell r="H277">
            <v>6295</v>
          </cell>
          <cell r="I277">
            <v>6295</v>
          </cell>
          <cell r="J277">
            <v>12590</v>
          </cell>
          <cell r="K277">
            <v>5555</v>
          </cell>
          <cell r="M277">
            <v>1057</v>
          </cell>
          <cell r="N277">
            <v>0</v>
          </cell>
          <cell r="O277">
            <v>1057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W277">
            <v>1057</v>
          </cell>
          <cell r="X277">
            <v>0</v>
          </cell>
          <cell r="Y277">
            <v>1057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G277">
            <v>1088</v>
          </cell>
          <cell r="AH277">
            <v>0</v>
          </cell>
          <cell r="AI277">
            <v>1088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Q277">
            <v>1088</v>
          </cell>
          <cell r="AR277">
            <v>0</v>
          </cell>
          <cell r="AS277">
            <v>1088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BA277">
            <v>1088</v>
          </cell>
          <cell r="BB277">
            <v>0</v>
          </cell>
          <cell r="BC277">
            <v>1088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K277">
            <v>1139</v>
          </cell>
          <cell r="BL277">
            <v>0</v>
          </cell>
          <cell r="BM277">
            <v>1139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U277">
            <v>1139</v>
          </cell>
          <cell r="BV277">
            <v>0</v>
          </cell>
          <cell r="BW277">
            <v>1139</v>
          </cell>
          <cell r="BX277">
            <v>0</v>
          </cell>
          <cell r="BY277">
            <v>0</v>
          </cell>
          <cell r="BZ277">
            <v>0</v>
          </cell>
          <cell r="CA277">
            <v>0</v>
          </cell>
          <cell r="CB277">
            <v>0</v>
          </cell>
          <cell r="CC277">
            <v>0</v>
          </cell>
          <cell r="CE277">
            <v>1139</v>
          </cell>
          <cell r="CF277">
            <v>0</v>
          </cell>
          <cell r="CG277">
            <v>1139</v>
          </cell>
          <cell r="CH277">
            <v>0</v>
          </cell>
          <cell r="CI277">
            <v>0</v>
          </cell>
          <cell r="CJ277">
            <v>0</v>
          </cell>
          <cell r="CK277">
            <v>0</v>
          </cell>
          <cell r="CL277">
            <v>0</v>
          </cell>
          <cell r="CM277">
            <v>0</v>
          </cell>
          <cell r="CO277">
            <v>1139</v>
          </cell>
          <cell r="CP277">
            <v>0</v>
          </cell>
          <cell r="CQ277">
            <v>1139</v>
          </cell>
          <cell r="CR277">
            <v>0</v>
          </cell>
          <cell r="CS277">
            <v>0</v>
          </cell>
          <cell r="CT277">
            <v>0</v>
          </cell>
          <cell r="CU277">
            <v>0</v>
          </cell>
          <cell r="CV277">
            <v>0</v>
          </cell>
          <cell r="CW277">
            <v>0</v>
          </cell>
          <cell r="CY277">
            <v>1139</v>
          </cell>
          <cell r="CZ277">
            <v>0</v>
          </cell>
          <cell r="DA277">
            <v>1139</v>
          </cell>
          <cell r="DB277">
            <v>0</v>
          </cell>
          <cell r="DC277">
            <v>0</v>
          </cell>
          <cell r="DD277">
            <v>0</v>
          </cell>
          <cell r="DE277">
            <v>0</v>
          </cell>
          <cell r="DF277">
            <v>0</v>
          </cell>
          <cell r="DG277">
            <v>0</v>
          </cell>
          <cell r="DI277">
            <v>12590</v>
          </cell>
          <cell r="DJ277">
            <v>11073</v>
          </cell>
          <cell r="DK277">
            <v>0</v>
          </cell>
          <cell r="DL277">
            <v>11073</v>
          </cell>
          <cell r="DM277">
            <v>11073</v>
          </cell>
          <cell r="DN277">
            <v>0</v>
          </cell>
          <cell r="DO277">
            <v>11073</v>
          </cell>
          <cell r="DP277">
            <v>0</v>
          </cell>
          <cell r="DQ277">
            <v>0</v>
          </cell>
          <cell r="DR277">
            <v>0</v>
          </cell>
          <cell r="DS277">
            <v>0</v>
          </cell>
          <cell r="DT277">
            <v>22146</v>
          </cell>
          <cell r="DU277">
            <v>0</v>
          </cell>
          <cell r="DW277">
            <v>0</v>
          </cell>
          <cell r="DX277">
            <v>0</v>
          </cell>
          <cell r="DY277">
            <v>14704</v>
          </cell>
          <cell r="DZ277">
            <v>16818</v>
          </cell>
          <cell r="EA277">
            <v>18994</v>
          </cell>
          <cell r="EB277">
            <v>21170</v>
          </cell>
          <cell r="EC277">
            <v>23346</v>
          </cell>
          <cell r="ED277">
            <v>25624</v>
          </cell>
          <cell r="EE277">
            <v>27902</v>
          </cell>
          <cell r="EF277">
            <v>30180</v>
          </cell>
          <cell r="EG277">
            <v>32458</v>
          </cell>
          <cell r="EH277">
            <v>34736</v>
          </cell>
          <cell r="EI277">
            <v>245932</v>
          </cell>
          <cell r="EK277">
            <v>0</v>
          </cell>
          <cell r="EL277">
            <v>0</v>
          </cell>
          <cell r="EM277">
            <v>98.026666666666657</v>
          </cell>
          <cell r="EN277">
            <v>112.12</v>
          </cell>
          <cell r="EO277">
            <v>126.62666666666667</v>
          </cell>
          <cell r="EP277">
            <v>141.13333333333333</v>
          </cell>
          <cell r="EQ277">
            <v>155.64000000000001</v>
          </cell>
          <cell r="ER277">
            <v>170.82666666666668</v>
          </cell>
          <cell r="ES277">
            <v>199.96433333333331</v>
          </cell>
          <cell r="ET277">
            <v>216.29</v>
          </cell>
          <cell r="EU277">
            <v>232.61566666666667</v>
          </cell>
          <cell r="EV277">
            <v>248.94133333333332</v>
          </cell>
          <cell r="EW277">
            <v>1702.1846666666665</v>
          </cell>
          <cell r="EY277">
            <v>120656</v>
          </cell>
          <cell r="EZ277">
            <v>8</v>
          </cell>
          <cell r="FA277">
            <v>804.37333333333333</v>
          </cell>
          <cell r="FB277">
            <v>125276</v>
          </cell>
          <cell r="FC277">
            <v>8.6</v>
          </cell>
          <cell r="FD277">
            <v>897.81133333333321</v>
          </cell>
          <cell r="FE277">
            <v>1702.1846666666665</v>
          </cell>
          <cell r="FF277">
            <v>36438</v>
          </cell>
          <cell r="FH277">
            <v>36438</v>
          </cell>
        </row>
        <row r="278">
          <cell r="B278">
            <v>9438</v>
          </cell>
          <cell r="C278" t="str">
            <v>11.06.2007</v>
          </cell>
          <cell r="D278" t="str">
            <v>Bacchav Bapu Popat</v>
          </cell>
          <cell r="F278">
            <v>9567</v>
          </cell>
          <cell r="G278">
            <v>25212</v>
          </cell>
          <cell r="H278">
            <v>3195</v>
          </cell>
          <cell r="I278">
            <v>3195</v>
          </cell>
          <cell r="J278">
            <v>6390</v>
          </cell>
          <cell r="K278">
            <v>-3177</v>
          </cell>
          <cell r="M278">
            <v>1496</v>
          </cell>
          <cell r="N278">
            <v>0</v>
          </cell>
          <cell r="O278">
            <v>1496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W278">
            <v>1496</v>
          </cell>
          <cell r="X278">
            <v>0</v>
          </cell>
          <cell r="Y278">
            <v>1496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G278">
            <v>1541</v>
          </cell>
          <cell r="AH278">
            <v>0</v>
          </cell>
          <cell r="AI278">
            <v>1541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Q278">
            <v>1541</v>
          </cell>
          <cell r="AR278">
            <v>0</v>
          </cell>
          <cell r="AS278">
            <v>1541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BA278">
            <v>1541</v>
          </cell>
          <cell r="BB278">
            <v>0</v>
          </cell>
          <cell r="BC278">
            <v>1541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K278">
            <v>1613</v>
          </cell>
          <cell r="BL278">
            <v>0</v>
          </cell>
          <cell r="BM278">
            <v>1613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U278">
            <v>1613</v>
          </cell>
          <cell r="BV278">
            <v>0</v>
          </cell>
          <cell r="BW278">
            <v>1613</v>
          </cell>
          <cell r="BX278">
            <v>0</v>
          </cell>
          <cell r="BY278">
            <v>0</v>
          </cell>
          <cell r="BZ278">
            <v>0</v>
          </cell>
          <cell r="CA278">
            <v>0</v>
          </cell>
          <cell r="CB278">
            <v>0</v>
          </cell>
          <cell r="CC278">
            <v>0</v>
          </cell>
          <cell r="CE278">
            <v>1613</v>
          </cell>
          <cell r="CF278">
            <v>0</v>
          </cell>
          <cell r="CG278">
            <v>1613</v>
          </cell>
          <cell r="CH278">
            <v>0</v>
          </cell>
          <cell r="CI278">
            <v>0</v>
          </cell>
          <cell r="CJ278">
            <v>0</v>
          </cell>
          <cell r="CK278">
            <v>0</v>
          </cell>
          <cell r="CL278">
            <v>0</v>
          </cell>
          <cell r="CM278">
            <v>0</v>
          </cell>
          <cell r="CO278">
            <v>1613</v>
          </cell>
          <cell r="CP278">
            <v>0</v>
          </cell>
          <cell r="CQ278">
            <v>1613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  <cell r="CV278">
            <v>0</v>
          </cell>
          <cell r="CW278">
            <v>0</v>
          </cell>
          <cell r="CY278">
            <v>1613</v>
          </cell>
          <cell r="CZ278">
            <v>0</v>
          </cell>
          <cell r="DA278">
            <v>1613</v>
          </cell>
          <cell r="DB278">
            <v>0</v>
          </cell>
          <cell r="DC278">
            <v>0</v>
          </cell>
          <cell r="DD278">
            <v>0</v>
          </cell>
          <cell r="DE278">
            <v>0</v>
          </cell>
          <cell r="DF278">
            <v>0</v>
          </cell>
          <cell r="DG278">
            <v>0</v>
          </cell>
          <cell r="DI278">
            <v>6390</v>
          </cell>
          <cell r="DJ278">
            <v>15680</v>
          </cell>
          <cell r="DK278">
            <v>0</v>
          </cell>
          <cell r="DL278">
            <v>15680</v>
          </cell>
          <cell r="DM278">
            <v>15680</v>
          </cell>
          <cell r="DN278">
            <v>0</v>
          </cell>
          <cell r="DO278">
            <v>15680</v>
          </cell>
          <cell r="DP278">
            <v>0</v>
          </cell>
          <cell r="DQ278">
            <v>0</v>
          </cell>
          <cell r="DR278">
            <v>0</v>
          </cell>
          <cell r="DS278">
            <v>0</v>
          </cell>
          <cell r="DT278">
            <v>31360</v>
          </cell>
          <cell r="DU278">
            <v>0</v>
          </cell>
          <cell r="DW278">
            <v>0</v>
          </cell>
          <cell r="DX278">
            <v>0</v>
          </cell>
          <cell r="DY278">
            <v>9382</v>
          </cell>
          <cell r="DZ278">
            <v>12374</v>
          </cell>
          <cell r="EA278">
            <v>15456</v>
          </cell>
          <cell r="EB278">
            <v>18538</v>
          </cell>
          <cell r="EC278">
            <v>21620</v>
          </cell>
          <cell r="ED278">
            <v>24846</v>
          </cell>
          <cell r="EE278">
            <v>28072</v>
          </cell>
          <cell r="EF278">
            <v>31298</v>
          </cell>
          <cell r="EG278">
            <v>34524</v>
          </cell>
          <cell r="EH278">
            <v>37750</v>
          </cell>
          <cell r="EI278">
            <v>233860</v>
          </cell>
          <cell r="EK278">
            <v>0</v>
          </cell>
          <cell r="EL278">
            <v>0</v>
          </cell>
          <cell r="EM278">
            <v>62.54666666666666</v>
          </cell>
          <cell r="EN278">
            <v>82.493333333333325</v>
          </cell>
          <cell r="EO278">
            <v>103.04</v>
          </cell>
          <cell r="EP278">
            <v>123.58666666666666</v>
          </cell>
          <cell r="EQ278">
            <v>144.13333333333333</v>
          </cell>
          <cell r="ER278">
            <v>165.64000000000001</v>
          </cell>
          <cell r="ES278">
            <v>201.18266666666668</v>
          </cell>
          <cell r="ET278">
            <v>224.30233333333331</v>
          </cell>
          <cell r="EU278">
            <v>247.422</v>
          </cell>
          <cell r="EV278">
            <v>270.54166666666669</v>
          </cell>
          <cell r="EW278">
            <v>1624.8886666666667</v>
          </cell>
          <cell r="EY278">
            <v>102216</v>
          </cell>
          <cell r="EZ278">
            <v>8</v>
          </cell>
          <cell r="FA278">
            <v>681.43999999999994</v>
          </cell>
          <cell r="FB278">
            <v>131644</v>
          </cell>
          <cell r="FC278">
            <v>8.6</v>
          </cell>
          <cell r="FD278">
            <v>943.44866666666655</v>
          </cell>
          <cell r="FE278">
            <v>1624.8886666666665</v>
          </cell>
          <cell r="FF278">
            <v>39375</v>
          </cell>
          <cell r="FH278">
            <v>39375</v>
          </cell>
        </row>
        <row r="279">
          <cell r="B279">
            <v>9439</v>
          </cell>
          <cell r="C279" t="str">
            <v>11.06.2007</v>
          </cell>
          <cell r="D279" t="str">
            <v>Sonawane Vinod Laxman</v>
          </cell>
          <cell r="F279">
            <v>9567</v>
          </cell>
          <cell r="G279">
            <v>25212</v>
          </cell>
          <cell r="H279">
            <v>6295</v>
          </cell>
          <cell r="I279">
            <v>6295</v>
          </cell>
          <cell r="J279">
            <v>12590</v>
          </cell>
          <cell r="K279">
            <v>3023</v>
          </cell>
          <cell r="M279">
            <v>1496</v>
          </cell>
          <cell r="N279">
            <v>0</v>
          </cell>
          <cell r="O279">
            <v>1496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W279">
            <v>1496</v>
          </cell>
          <cell r="X279">
            <v>0</v>
          </cell>
          <cell r="Y279">
            <v>1496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G279">
            <v>1541</v>
          </cell>
          <cell r="AH279">
            <v>0</v>
          </cell>
          <cell r="AI279">
            <v>1541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Q279">
            <v>1541</v>
          </cell>
          <cell r="AR279">
            <v>0</v>
          </cell>
          <cell r="AS279">
            <v>1541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BA279">
            <v>1541</v>
          </cell>
          <cell r="BB279">
            <v>0</v>
          </cell>
          <cell r="BC279">
            <v>1541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K279">
            <v>1613</v>
          </cell>
          <cell r="BL279">
            <v>0</v>
          </cell>
          <cell r="BM279">
            <v>1613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  <cell r="BS279">
            <v>0</v>
          </cell>
          <cell r="BU279">
            <v>1613</v>
          </cell>
          <cell r="BV279">
            <v>0</v>
          </cell>
          <cell r="BW279">
            <v>1613</v>
          </cell>
          <cell r="BX279">
            <v>0</v>
          </cell>
          <cell r="BY279">
            <v>0</v>
          </cell>
          <cell r="BZ279">
            <v>0</v>
          </cell>
          <cell r="CA279">
            <v>0</v>
          </cell>
          <cell r="CB279">
            <v>0</v>
          </cell>
          <cell r="CC279">
            <v>0</v>
          </cell>
          <cell r="CE279">
            <v>1613</v>
          </cell>
          <cell r="CF279">
            <v>0</v>
          </cell>
          <cell r="CG279">
            <v>1613</v>
          </cell>
          <cell r="CH279">
            <v>0</v>
          </cell>
          <cell r="CI279">
            <v>0</v>
          </cell>
          <cell r="CJ279">
            <v>0</v>
          </cell>
          <cell r="CK279">
            <v>0</v>
          </cell>
          <cell r="CL279">
            <v>0</v>
          </cell>
          <cell r="CM279">
            <v>0</v>
          </cell>
          <cell r="CO279">
            <v>1613</v>
          </cell>
          <cell r="CP279">
            <v>0</v>
          </cell>
          <cell r="CQ279">
            <v>1613</v>
          </cell>
          <cell r="CR279">
            <v>0</v>
          </cell>
          <cell r="CS279">
            <v>0</v>
          </cell>
          <cell r="CT279">
            <v>0</v>
          </cell>
          <cell r="CU279">
            <v>0</v>
          </cell>
          <cell r="CV279">
            <v>0</v>
          </cell>
          <cell r="CW279">
            <v>0</v>
          </cell>
          <cell r="CY279">
            <v>1613</v>
          </cell>
          <cell r="CZ279">
            <v>0</v>
          </cell>
          <cell r="DA279">
            <v>1613</v>
          </cell>
          <cell r="DB279">
            <v>0</v>
          </cell>
          <cell r="DC279">
            <v>0</v>
          </cell>
          <cell r="DD279">
            <v>0</v>
          </cell>
          <cell r="DE279">
            <v>0</v>
          </cell>
          <cell r="DF279">
            <v>0</v>
          </cell>
          <cell r="DG279">
            <v>0</v>
          </cell>
          <cell r="DI279">
            <v>12590</v>
          </cell>
          <cell r="DJ279">
            <v>15680</v>
          </cell>
          <cell r="DK279">
            <v>0</v>
          </cell>
          <cell r="DL279">
            <v>15680</v>
          </cell>
          <cell r="DM279">
            <v>15680</v>
          </cell>
          <cell r="DN279">
            <v>0</v>
          </cell>
          <cell r="DO279">
            <v>15680</v>
          </cell>
          <cell r="DP279">
            <v>0</v>
          </cell>
          <cell r="DQ279">
            <v>0</v>
          </cell>
          <cell r="DR279">
            <v>0</v>
          </cell>
          <cell r="DS279">
            <v>0</v>
          </cell>
          <cell r="DT279">
            <v>31360</v>
          </cell>
          <cell r="DU279">
            <v>0</v>
          </cell>
          <cell r="DW279">
            <v>0</v>
          </cell>
          <cell r="DX279">
            <v>0</v>
          </cell>
          <cell r="DY279">
            <v>15582</v>
          </cell>
          <cell r="DZ279">
            <v>18574</v>
          </cell>
          <cell r="EA279">
            <v>21656</v>
          </cell>
          <cell r="EB279">
            <v>24738</v>
          </cell>
          <cell r="EC279">
            <v>27820</v>
          </cell>
          <cell r="ED279">
            <v>31046</v>
          </cell>
          <cell r="EE279">
            <v>34272</v>
          </cell>
          <cell r="EF279">
            <v>37498</v>
          </cell>
          <cell r="EG279">
            <v>40724</v>
          </cell>
          <cell r="EH279">
            <v>43950</v>
          </cell>
          <cell r="EI279">
            <v>295860</v>
          </cell>
          <cell r="EK279">
            <v>0</v>
          </cell>
          <cell r="EL279">
            <v>0</v>
          </cell>
          <cell r="EM279">
            <v>103.88</v>
          </cell>
          <cell r="EN279">
            <v>123.82666666666667</v>
          </cell>
          <cell r="EO279">
            <v>144.37333333333333</v>
          </cell>
          <cell r="EP279">
            <v>164.92</v>
          </cell>
          <cell r="EQ279">
            <v>185.46666666666667</v>
          </cell>
          <cell r="ER279">
            <v>206.97333333333333</v>
          </cell>
          <cell r="ES279">
            <v>245.61600000000001</v>
          </cell>
          <cell r="ET279">
            <v>268.73566666666665</v>
          </cell>
          <cell r="EU279">
            <v>291.85533333333331</v>
          </cell>
          <cell r="EV279">
            <v>314.97499999999997</v>
          </cell>
          <cell r="EW279">
            <v>2050.6219999999998</v>
          </cell>
          <cell r="EY279">
            <v>139416</v>
          </cell>
          <cell r="EZ279">
            <v>8</v>
          </cell>
          <cell r="FA279">
            <v>929.44</v>
          </cell>
          <cell r="FB279">
            <v>156444</v>
          </cell>
          <cell r="FC279">
            <v>8.6</v>
          </cell>
          <cell r="FD279">
            <v>1121.182</v>
          </cell>
          <cell r="FE279">
            <v>2050.6220000000003</v>
          </cell>
          <cell r="FF279">
            <v>46001</v>
          </cell>
          <cell r="FH279">
            <v>46001</v>
          </cell>
        </row>
        <row r="280">
          <cell r="B280">
            <v>9440</v>
          </cell>
          <cell r="C280" t="str">
            <v>11.06.2007</v>
          </cell>
          <cell r="D280" t="str">
            <v>Jadhav Purushottam Vitthal</v>
          </cell>
          <cell r="F280">
            <v>7035</v>
          </cell>
          <cell r="H280">
            <v>4495</v>
          </cell>
          <cell r="I280">
            <v>4495</v>
          </cell>
          <cell r="J280">
            <v>8990</v>
          </cell>
          <cell r="K280">
            <v>1955</v>
          </cell>
          <cell r="M280">
            <v>1057</v>
          </cell>
          <cell r="N280">
            <v>0</v>
          </cell>
          <cell r="O280">
            <v>1057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W280">
            <v>1057</v>
          </cell>
          <cell r="X280">
            <v>0</v>
          </cell>
          <cell r="Y280">
            <v>1057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G280">
            <v>1088</v>
          </cell>
          <cell r="AH280">
            <v>0</v>
          </cell>
          <cell r="AI280">
            <v>1088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Q280">
            <v>1088</v>
          </cell>
          <cell r="AR280">
            <v>0</v>
          </cell>
          <cell r="AS280">
            <v>1088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BA280">
            <v>1088</v>
          </cell>
          <cell r="BB280">
            <v>0</v>
          </cell>
          <cell r="BC280">
            <v>1088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K280">
            <v>1139</v>
          </cell>
          <cell r="BL280">
            <v>0</v>
          </cell>
          <cell r="BM280">
            <v>1139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S280">
            <v>0</v>
          </cell>
          <cell r="BU280">
            <v>1139</v>
          </cell>
          <cell r="BV280">
            <v>0</v>
          </cell>
          <cell r="BW280">
            <v>1139</v>
          </cell>
          <cell r="BX280">
            <v>0</v>
          </cell>
          <cell r="BY280">
            <v>0</v>
          </cell>
          <cell r="BZ280">
            <v>0</v>
          </cell>
          <cell r="CA280">
            <v>0</v>
          </cell>
          <cell r="CB280">
            <v>0</v>
          </cell>
          <cell r="CC280">
            <v>0</v>
          </cell>
          <cell r="CE280">
            <v>1139</v>
          </cell>
          <cell r="CF280">
            <v>0</v>
          </cell>
          <cell r="CG280">
            <v>1139</v>
          </cell>
          <cell r="CH280">
            <v>0</v>
          </cell>
          <cell r="CI280">
            <v>0</v>
          </cell>
          <cell r="CJ280">
            <v>0</v>
          </cell>
          <cell r="CK280">
            <v>0</v>
          </cell>
          <cell r="CL280">
            <v>0</v>
          </cell>
          <cell r="CM280">
            <v>0</v>
          </cell>
          <cell r="CO280">
            <v>1139</v>
          </cell>
          <cell r="CP280">
            <v>0</v>
          </cell>
          <cell r="CQ280">
            <v>1139</v>
          </cell>
          <cell r="CR280">
            <v>0</v>
          </cell>
          <cell r="CS280">
            <v>0</v>
          </cell>
          <cell r="CT280">
            <v>0</v>
          </cell>
          <cell r="CU280">
            <v>0</v>
          </cell>
          <cell r="CV280">
            <v>0</v>
          </cell>
          <cell r="CW280">
            <v>0</v>
          </cell>
          <cell r="CY280">
            <v>1139</v>
          </cell>
          <cell r="CZ280">
            <v>0</v>
          </cell>
          <cell r="DA280">
            <v>1139</v>
          </cell>
          <cell r="DB280">
            <v>0</v>
          </cell>
          <cell r="DC280">
            <v>0</v>
          </cell>
          <cell r="DD280">
            <v>0</v>
          </cell>
          <cell r="DE280">
            <v>0</v>
          </cell>
          <cell r="DF280">
            <v>0</v>
          </cell>
          <cell r="DG280">
            <v>0</v>
          </cell>
          <cell r="DI280">
            <v>8990</v>
          </cell>
          <cell r="DJ280">
            <v>11073</v>
          </cell>
          <cell r="DK280">
            <v>0</v>
          </cell>
          <cell r="DL280">
            <v>11073</v>
          </cell>
          <cell r="DM280">
            <v>11073</v>
          </cell>
          <cell r="DN280">
            <v>0</v>
          </cell>
          <cell r="DO280">
            <v>11073</v>
          </cell>
          <cell r="DP280">
            <v>0</v>
          </cell>
          <cell r="DQ280">
            <v>0</v>
          </cell>
          <cell r="DR280">
            <v>0</v>
          </cell>
          <cell r="DS280">
            <v>0</v>
          </cell>
          <cell r="DT280">
            <v>22146</v>
          </cell>
          <cell r="DU280">
            <v>0</v>
          </cell>
          <cell r="DW280">
            <v>0</v>
          </cell>
          <cell r="DX280">
            <v>0</v>
          </cell>
          <cell r="DY280">
            <v>11104</v>
          </cell>
          <cell r="DZ280">
            <v>13218</v>
          </cell>
          <cell r="EA280">
            <v>15394</v>
          </cell>
          <cell r="EB280">
            <v>17570</v>
          </cell>
          <cell r="EC280">
            <v>19746</v>
          </cell>
          <cell r="ED280">
            <v>22024</v>
          </cell>
          <cell r="EE280">
            <v>24302</v>
          </cell>
          <cell r="EF280">
            <v>26580</v>
          </cell>
          <cell r="EG280">
            <v>28858</v>
          </cell>
          <cell r="EH280">
            <v>31136</v>
          </cell>
          <cell r="EI280">
            <v>209932</v>
          </cell>
          <cell r="EK280">
            <v>0</v>
          </cell>
          <cell r="EL280">
            <v>0</v>
          </cell>
          <cell r="EM280">
            <v>74.026666666666671</v>
          </cell>
          <cell r="EN280">
            <v>88.12</v>
          </cell>
          <cell r="EO280">
            <v>102.62666666666667</v>
          </cell>
          <cell r="EP280">
            <v>117.13333333333333</v>
          </cell>
          <cell r="EQ280">
            <v>131.64000000000001</v>
          </cell>
          <cell r="ER280">
            <v>146.82666666666668</v>
          </cell>
          <cell r="ES280">
            <v>174.1643333333333</v>
          </cell>
          <cell r="ET280">
            <v>190.49</v>
          </cell>
          <cell r="EU280">
            <v>206.81566666666666</v>
          </cell>
          <cell r="EV280">
            <v>223.14133333333334</v>
          </cell>
          <cell r="EW280">
            <v>1454.9846666666665</v>
          </cell>
          <cell r="EY280">
            <v>99056</v>
          </cell>
          <cell r="EZ280">
            <v>8</v>
          </cell>
          <cell r="FA280">
            <v>660.37333333333333</v>
          </cell>
          <cell r="FB280">
            <v>110876</v>
          </cell>
          <cell r="FC280">
            <v>8.6</v>
          </cell>
          <cell r="FD280">
            <v>794.61133333333328</v>
          </cell>
          <cell r="FE280">
            <v>1454.9846666666667</v>
          </cell>
          <cell r="FF280">
            <v>32591</v>
          </cell>
          <cell r="FH280">
            <v>32591</v>
          </cell>
        </row>
        <row r="281">
          <cell r="B281">
            <v>9441</v>
          </cell>
          <cell r="C281" t="str">
            <v>11.06.2007</v>
          </cell>
          <cell r="D281" t="str">
            <v>Dhakane Manoj Balu</v>
          </cell>
          <cell r="F281">
            <v>7035</v>
          </cell>
          <cell r="H281">
            <v>6295</v>
          </cell>
          <cell r="I281">
            <v>6295</v>
          </cell>
          <cell r="J281">
            <v>12590</v>
          </cell>
          <cell r="K281">
            <v>5555</v>
          </cell>
          <cell r="M281">
            <v>1057</v>
          </cell>
          <cell r="N281">
            <v>0</v>
          </cell>
          <cell r="O281">
            <v>1057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W281">
            <v>1057</v>
          </cell>
          <cell r="X281">
            <v>0</v>
          </cell>
          <cell r="Y281">
            <v>1057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G281">
            <v>1088</v>
          </cell>
          <cell r="AH281">
            <v>0</v>
          </cell>
          <cell r="AI281">
            <v>1088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Q281">
            <v>1088</v>
          </cell>
          <cell r="AR281">
            <v>0</v>
          </cell>
          <cell r="AS281">
            <v>1088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BA281">
            <v>1088</v>
          </cell>
          <cell r="BB281">
            <v>0</v>
          </cell>
          <cell r="BC281">
            <v>1088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K281">
            <v>1139</v>
          </cell>
          <cell r="BL281">
            <v>0</v>
          </cell>
          <cell r="BM281">
            <v>1139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U281">
            <v>1139</v>
          </cell>
          <cell r="BV281">
            <v>0</v>
          </cell>
          <cell r="BW281">
            <v>1139</v>
          </cell>
          <cell r="BX281">
            <v>0</v>
          </cell>
          <cell r="BY281">
            <v>0</v>
          </cell>
          <cell r="BZ281">
            <v>0</v>
          </cell>
          <cell r="CA281">
            <v>0</v>
          </cell>
          <cell r="CB281">
            <v>0</v>
          </cell>
          <cell r="CC281">
            <v>0</v>
          </cell>
          <cell r="CE281">
            <v>1139</v>
          </cell>
          <cell r="CF281">
            <v>0</v>
          </cell>
          <cell r="CG281">
            <v>1139</v>
          </cell>
          <cell r="CH281">
            <v>0</v>
          </cell>
          <cell r="CI281">
            <v>0</v>
          </cell>
          <cell r="CJ281">
            <v>0</v>
          </cell>
          <cell r="CK281">
            <v>0</v>
          </cell>
          <cell r="CL281">
            <v>0</v>
          </cell>
          <cell r="CM281">
            <v>0</v>
          </cell>
          <cell r="CO281">
            <v>1139</v>
          </cell>
          <cell r="CP281">
            <v>0</v>
          </cell>
          <cell r="CQ281">
            <v>1139</v>
          </cell>
          <cell r="CR281">
            <v>0</v>
          </cell>
          <cell r="CS281">
            <v>0</v>
          </cell>
          <cell r="CT281">
            <v>0</v>
          </cell>
          <cell r="CU281">
            <v>0</v>
          </cell>
          <cell r="CV281">
            <v>0</v>
          </cell>
          <cell r="CW281">
            <v>0</v>
          </cell>
          <cell r="CY281">
            <v>1139</v>
          </cell>
          <cell r="CZ281">
            <v>0</v>
          </cell>
          <cell r="DA281">
            <v>1139</v>
          </cell>
          <cell r="DB281">
            <v>0</v>
          </cell>
          <cell r="DC281">
            <v>0</v>
          </cell>
          <cell r="DD281">
            <v>0</v>
          </cell>
          <cell r="DE281">
            <v>0</v>
          </cell>
          <cell r="DF281">
            <v>0</v>
          </cell>
          <cell r="DG281">
            <v>0</v>
          </cell>
          <cell r="DI281">
            <v>12590</v>
          </cell>
          <cell r="DJ281">
            <v>11073</v>
          </cell>
          <cell r="DK281">
            <v>0</v>
          </cell>
          <cell r="DL281">
            <v>11073</v>
          </cell>
          <cell r="DM281">
            <v>11073</v>
          </cell>
          <cell r="DN281">
            <v>0</v>
          </cell>
          <cell r="DO281">
            <v>11073</v>
          </cell>
          <cell r="DP281">
            <v>0</v>
          </cell>
          <cell r="DQ281">
            <v>0</v>
          </cell>
          <cell r="DR281">
            <v>0</v>
          </cell>
          <cell r="DS281">
            <v>0</v>
          </cell>
          <cell r="DT281">
            <v>22146</v>
          </cell>
          <cell r="DU281">
            <v>0</v>
          </cell>
          <cell r="DW281">
            <v>0</v>
          </cell>
          <cell r="DX281">
            <v>0</v>
          </cell>
          <cell r="DY281">
            <v>14704</v>
          </cell>
          <cell r="DZ281">
            <v>16818</v>
          </cell>
          <cell r="EA281">
            <v>18994</v>
          </cell>
          <cell r="EB281">
            <v>21170</v>
          </cell>
          <cell r="EC281">
            <v>23346</v>
          </cell>
          <cell r="ED281">
            <v>25624</v>
          </cell>
          <cell r="EE281">
            <v>27902</v>
          </cell>
          <cell r="EF281">
            <v>30180</v>
          </cell>
          <cell r="EG281">
            <v>32458</v>
          </cell>
          <cell r="EH281">
            <v>34736</v>
          </cell>
          <cell r="EI281">
            <v>245932</v>
          </cell>
          <cell r="EK281">
            <v>0</v>
          </cell>
          <cell r="EL281">
            <v>0</v>
          </cell>
          <cell r="EM281">
            <v>98.026666666666657</v>
          </cell>
          <cell r="EN281">
            <v>112.12</v>
          </cell>
          <cell r="EO281">
            <v>126.62666666666667</v>
          </cell>
          <cell r="EP281">
            <v>141.13333333333333</v>
          </cell>
          <cell r="EQ281">
            <v>155.64000000000001</v>
          </cell>
          <cell r="ER281">
            <v>170.82666666666668</v>
          </cell>
          <cell r="ES281">
            <v>199.96433333333331</v>
          </cell>
          <cell r="ET281">
            <v>216.29</v>
          </cell>
          <cell r="EU281">
            <v>232.61566666666667</v>
          </cell>
          <cell r="EV281">
            <v>248.94133333333332</v>
          </cell>
          <cell r="EW281">
            <v>1702.1846666666665</v>
          </cell>
          <cell r="EY281">
            <v>120656</v>
          </cell>
          <cell r="EZ281">
            <v>8</v>
          </cell>
          <cell r="FA281">
            <v>804.37333333333333</v>
          </cell>
          <cell r="FB281">
            <v>125276</v>
          </cell>
          <cell r="FC281">
            <v>8.6</v>
          </cell>
          <cell r="FD281">
            <v>897.81133333333321</v>
          </cell>
          <cell r="FE281">
            <v>1702.1846666666665</v>
          </cell>
          <cell r="FF281">
            <v>36438</v>
          </cell>
          <cell r="FH281">
            <v>36438</v>
          </cell>
        </row>
        <row r="282">
          <cell r="B282">
            <v>9443</v>
          </cell>
          <cell r="C282" t="str">
            <v>11.06.2007</v>
          </cell>
          <cell r="D282" t="str">
            <v>Bharti Sunil Balasaheb</v>
          </cell>
          <cell r="F282">
            <v>7035</v>
          </cell>
          <cell r="G282">
            <v>20715</v>
          </cell>
          <cell r="H282">
            <v>4295</v>
          </cell>
          <cell r="I282">
            <v>4295</v>
          </cell>
          <cell r="J282">
            <v>8590</v>
          </cell>
          <cell r="K282">
            <v>1555</v>
          </cell>
          <cell r="M282">
            <v>1057</v>
          </cell>
          <cell r="N282">
            <v>0</v>
          </cell>
          <cell r="O282">
            <v>1057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W282">
            <v>1057</v>
          </cell>
          <cell r="X282">
            <v>0</v>
          </cell>
          <cell r="Y282">
            <v>1057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G282">
            <v>1088</v>
          </cell>
          <cell r="AH282">
            <v>0</v>
          </cell>
          <cell r="AI282">
            <v>1088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Q282">
            <v>1088</v>
          </cell>
          <cell r="AR282">
            <v>0</v>
          </cell>
          <cell r="AS282">
            <v>1088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BA282">
            <v>1088</v>
          </cell>
          <cell r="BB282">
            <v>0</v>
          </cell>
          <cell r="BC282">
            <v>1088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K282">
            <v>1139</v>
          </cell>
          <cell r="BL282">
            <v>0</v>
          </cell>
          <cell r="BM282">
            <v>1139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U282">
            <v>1139</v>
          </cell>
          <cell r="BV282">
            <v>0</v>
          </cell>
          <cell r="BW282">
            <v>1139</v>
          </cell>
          <cell r="BX282">
            <v>0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0</v>
          </cell>
          <cell r="CE282">
            <v>1139</v>
          </cell>
          <cell r="CF282">
            <v>0</v>
          </cell>
          <cell r="CG282">
            <v>1139</v>
          </cell>
          <cell r="CH282">
            <v>0</v>
          </cell>
          <cell r="CI282">
            <v>0</v>
          </cell>
          <cell r="CJ282">
            <v>0</v>
          </cell>
          <cell r="CK282">
            <v>0</v>
          </cell>
          <cell r="CL282">
            <v>0</v>
          </cell>
          <cell r="CM282">
            <v>0</v>
          </cell>
          <cell r="CO282">
            <v>1139</v>
          </cell>
          <cell r="CP282">
            <v>0</v>
          </cell>
          <cell r="CQ282">
            <v>1139</v>
          </cell>
          <cell r="CR282">
            <v>0</v>
          </cell>
          <cell r="CS282">
            <v>0</v>
          </cell>
          <cell r="CT282">
            <v>0</v>
          </cell>
          <cell r="CU282">
            <v>0</v>
          </cell>
          <cell r="CV282">
            <v>0</v>
          </cell>
          <cell r="CW282">
            <v>0</v>
          </cell>
          <cell r="CY282">
            <v>1139</v>
          </cell>
          <cell r="CZ282">
            <v>0</v>
          </cell>
          <cell r="DA282">
            <v>1139</v>
          </cell>
          <cell r="DB282">
            <v>0</v>
          </cell>
          <cell r="DC282">
            <v>0</v>
          </cell>
          <cell r="DD282">
            <v>0</v>
          </cell>
          <cell r="DE282">
            <v>0</v>
          </cell>
          <cell r="DF282">
            <v>0</v>
          </cell>
          <cell r="DG282">
            <v>0</v>
          </cell>
          <cell r="DI282">
            <v>8590</v>
          </cell>
          <cell r="DJ282">
            <v>11073</v>
          </cell>
          <cell r="DK282">
            <v>0</v>
          </cell>
          <cell r="DL282">
            <v>11073</v>
          </cell>
          <cell r="DM282">
            <v>11073</v>
          </cell>
          <cell r="DN282">
            <v>0</v>
          </cell>
          <cell r="DO282">
            <v>11073</v>
          </cell>
          <cell r="DP282">
            <v>0</v>
          </cell>
          <cell r="DQ282">
            <v>0</v>
          </cell>
          <cell r="DR282">
            <v>0</v>
          </cell>
          <cell r="DS282">
            <v>0</v>
          </cell>
          <cell r="DT282">
            <v>22146</v>
          </cell>
          <cell r="DU282">
            <v>0</v>
          </cell>
          <cell r="DW282">
            <v>0</v>
          </cell>
          <cell r="DX282">
            <v>0</v>
          </cell>
          <cell r="DY282">
            <v>10704</v>
          </cell>
          <cell r="DZ282">
            <v>12818</v>
          </cell>
          <cell r="EA282">
            <v>14994</v>
          </cell>
          <cell r="EB282">
            <v>17170</v>
          </cell>
          <cell r="EC282">
            <v>19346</v>
          </cell>
          <cell r="ED282">
            <v>21624</v>
          </cell>
          <cell r="EE282">
            <v>23902</v>
          </cell>
          <cell r="EF282">
            <v>26180</v>
          </cell>
          <cell r="EG282">
            <v>28458</v>
          </cell>
          <cell r="EH282">
            <v>30736</v>
          </cell>
          <cell r="EI282">
            <v>205932</v>
          </cell>
          <cell r="EK282">
            <v>0</v>
          </cell>
          <cell r="EL282">
            <v>0</v>
          </cell>
          <cell r="EM282">
            <v>71.36</v>
          </cell>
          <cell r="EN282">
            <v>85.453333333333333</v>
          </cell>
          <cell r="EO282">
            <v>99.96</v>
          </cell>
          <cell r="EP282">
            <v>114.46666666666665</v>
          </cell>
          <cell r="EQ282">
            <v>128.97333333333333</v>
          </cell>
          <cell r="ER282">
            <v>144.16</v>
          </cell>
          <cell r="ES282">
            <v>171.29766666666663</v>
          </cell>
          <cell r="ET282">
            <v>187.62333333333333</v>
          </cell>
          <cell r="EU282">
            <v>203.94899999999998</v>
          </cell>
          <cell r="EV282">
            <v>220.27466666666666</v>
          </cell>
          <cell r="EW282">
            <v>1427.5179999999998</v>
          </cell>
          <cell r="EY282">
            <v>96656</v>
          </cell>
          <cell r="EZ282">
            <v>8</v>
          </cell>
          <cell r="FA282">
            <v>644.37333333333333</v>
          </cell>
          <cell r="FB282">
            <v>109276</v>
          </cell>
          <cell r="FC282">
            <v>8.6</v>
          </cell>
          <cell r="FD282">
            <v>783.14466666666658</v>
          </cell>
          <cell r="FE282">
            <v>1427.518</v>
          </cell>
          <cell r="FF282">
            <v>32164</v>
          </cell>
          <cell r="FH282">
            <v>32164</v>
          </cell>
        </row>
        <row r="283">
          <cell r="B283">
            <v>9445</v>
          </cell>
          <cell r="C283" t="str">
            <v>11.06.2007</v>
          </cell>
          <cell r="D283" t="str">
            <v>Gore Sachin Eknath</v>
          </cell>
          <cell r="F283">
            <v>7035</v>
          </cell>
          <cell r="G283">
            <v>20715</v>
          </cell>
          <cell r="H283">
            <v>3195</v>
          </cell>
          <cell r="I283">
            <v>3195</v>
          </cell>
          <cell r="J283">
            <v>6390</v>
          </cell>
          <cell r="K283">
            <v>-645</v>
          </cell>
          <cell r="M283">
            <v>1057</v>
          </cell>
          <cell r="N283">
            <v>0</v>
          </cell>
          <cell r="O283">
            <v>1057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W283">
            <v>1057</v>
          </cell>
          <cell r="X283">
            <v>0</v>
          </cell>
          <cell r="Y283">
            <v>1057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G283">
            <v>1088</v>
          </cell>
          <cell r="AH283">
            <v>0</v>
          </cell>
          <cell r="AI283">
            <v>1088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Q283">
            <v>1088</v>
          </cell>
          <cell r="AR283">
            <v>0</v>
          </cell>
          <cell r="AS283">
            <v>1088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BA283">
            <v>1088</v>
          </cell>
          <cell r="BB283">
            <v>0</v>
          </cell>
          <cell r="BC283">
            <v>1088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K283">
            <v>1139</v>
          </cell>
          <cell r="BL283">
            <v>0</v>
          </cell>
          <cell r="BM283">
            <v>1139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U283">
            <v>1139</v>
          </cell>
          <cell r="BV283">
            <v>0</v>
          </cell>
          <cell r="BW283">
            <v>1139</v>
          </cell>
          <cell r="BX283">
            <v>0</v>
          </cell>
          <cell r="BY283">
            <v>0</v>
          </cell>
          <cell r="BZ283">
            <v>0</v>
          </cell>
          <cell r="CA283">
            <v>0</v>
          </cell>
          <cell r="CB283">
            <v>0</v>
          </cell>
          <cell r="CC283">
            <v>0</v>
          </cell>
          <cell r="CE283">
            <v>1139</v>
          </cell>
          <cell r="CF283">
            <v>0</v>
          </cell>
          <cell r="CG283">
            <v>1139</v>
          </cell>
          <cell r="CH283">
            <v>0</v>
          </cell>
          <cell r="CI283">
            <v>0</v>
          </cell>
          <cell r="CJ283">
            <v>0</v>
          </cell>
          <cell r="CK283">
            <v>0</v>
          </cell>
          <cell r="CL283">
            <v>0</v>
          </cell>
          <cell r="CM283">
            <v>0</v>
          </cell>
          <cell r="CO283">
            <v>1139</v>
          </cell>
          <cell r="CP283">
            <v>0</v>
          </cell>
          <cell r="CQ283">
            <v>1139</v>
          </cell>
          <cell r="CR283">
            <v>0</v>
          </cell>
          <cell r="CS283">
            <v>0</v>
          </cell>
          <cell r="CT283">
            <v>0</v>
          </cell>
          <cell r="CU283">
            <v>0</v>
          </cell>
          <cell r="CV283">
            <v>0</v>
          </cell>
          <cell r="CW283">
            <v>0</v>
          </cell>
          <cell r="CY283">
            <v>1139</v>
          </cell>
          <cell r="CZ283">
            <v>0</v>
          </cell>
          <cell r="DA283">
            <v>1139</v>
          </cell>
          <cell r="DB283">
            <v>0</v>
          </cell>
          <cell r="DC283">
            <v>0</v>
          </cell>
          <cell r="DD283">
            <v>0</v>
          </cell>
          <cell r="DE283">
            <v>0</v>
          </cell>
          <cell r="DF283">
            <v>0</v>
          </cell>
          <cell r="DG283">
            <v>0</v>
          </cell>
          <cell r="DI283">
            <v>6390</v>
          </cell>
          <cell r="DJ283">
            <v>11073</v>
          </cell>
          <cell r="DK283">
            <v>0</v>
          </cell>
          <cell r="DL283">
            <v>11073</v>
          </cell>
          <cell r="DM283">
            <v>11073</v>
          </cell>
          <cell r="DN283">
            <v>0</v>
          </cell>
          <cell r="DO283">
            <v>11073</v>
          </cell>
          <cell r="DP283">
            <v>0</v>
          </cell>
          <cell r="DQ283">
            <v>0</v>
          </cell>
          <cell r="DR283">
            <v>0</v>
          </cell>
          <cell r="DS283">
            <v>0</v>
          </cell>
          <cell r="DT283">
            <v>22146</v>
          </cell>
          <cell r="DU283">
            <v>0</v>
          </cell>
          <cell r="DW283">
            <v>0</v>
          </cell>
          <cell r="DX283">
            <v>0</v>
          </cell>
          <cell r="DY283">
            <v>8504</v>
          </cell>
          <cell r="DZ283">
            <v>10618</v>
          </cell>
          <cell r="EA283">
            <v>12794</v>
          </cell>
          <cell r="EB283">
            <v>14970</v>
          </cell>
          <cell r="EC283">
            <v>17146</v>
          </cell>
          <cell r="ED283">
            <v>19424</v>
          </cell>
          <cell r="EE283">
            <v>21702</v>
          </cell>
          <cell r="EF283">
            <v>23980</v>
          </cell>
          <cell r="EG283">
            <v>26258</v>
          </cell>
          <cell r="EH283">
            <v>28536</v>
          </cell>
          <cell r="EI283">
            <v>183932</v>
          </cell>
          <cell r="EK283">
            <v>0</v>
          </cell>
          <cell r="EL283">
            <v>0</v>
          </cell>
          <cell r="EM283">
            <v>56.693333333333335</v>
          </cell>
          <cell r="EN283">
            <v>70.786666666666676</v>
          </cell>
          <cell r="EO283">
            <v>85.293333333333337</v>
          </cell>
          <cell r="EP283">
            <v>99.8</v>
          </cell>
          <cell r="EQ283">
            <v>114.30666666666667</v>
          </cell>
          <cell r="ER283">
            <v>129.49333333333334</v>
          </cell>
          <cell r="ES283">
            <v>155.53099999999998</v>
          </cell>
          <cell r="ET283">
            <v>171.85666666666668</v>
          </cell>
          <cell r="EU283">
            <v>188.18233333333333</v>
          </cell>
          <cell r="EV283">
            <v>204.50799999999995</v>
          </cell>
          <cell r="EW283">
            <v>1276.4513333333334</v>
          </cell>
          <cell r="EY283">
            <v>83456</v>
          </cell>
          <cell r="EZ283">
            <v>8</v>
          </cell>
          <cell r="FA283">
            <v>556.37333333333333</v>
          </cell>
          <cell r="FB283">
            <v>100476</v>
          </cell>
          <cell r="FC283">
            <v>8.6</v>
          </cell>
          <cell r="FD283">
            <v>720.07799999999997</v>
          </cell>
          <cell r="FE283">
            <v>1276.4513333333334</v>
          </cell>
          <cell r="FF283">
            <v>29812</v>
          </cell>
          <cell r="FH283">
            <v>29812</v>
          </cell>
        </row>
        <row r="284">
          <cell r="B284">
            <v>9446</v>
          </cell>
          <cell r="C284" t="str">
            <v>11.06.2007</v>
          </cell>
          <cell r="D284" t="str">
            <v>Shinde Pradip Dattatray</v>
          </cell>
          <cell r="F284">
            <v>7035</v>
          </cell>
          <cell r="G284">
            <v>20715</v>
          </cell>
          <cell r="H284">
            <v>3195</v>
          </cell>
          <cell r="I284">
            <v>3195</v>
          </cell>
          <cell r="J284">
            <v>6390</v>
          </cell>
          <cell r="K284">
            <v>-645</v>
          </cell>
          <cell r="M284">
            <v>1057</v>
          </cell>
          <cell r="N284">
            <v>0</v>
          </cell>
          <cell r="O284">
            <v>1057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W284">
            <v>1057</v>
          </cell>
          <cell r="X284">
            <v>0</v>
          </cell>
          <cell r="Y284">
            <v>1057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G284">
            <v>1088</v>
          </cell>
          <cell r="AH284">
            <v>0</v>
          </cell>
          <cell r="AI284">
            <v>1088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Q284">
            <v>1088</v>
          </cell>
          <cell r="AR284">
            <v>0</v>
          </cell>
          <cell r="AS284">
            <v>1088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BA284">
            <v>1088</v>
          </cell>
          <cell r="BB284">
            <v>0</v>
          </cell>
          <cell r="BC284">
            <v>1088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K284">
            <v>1139</v>
          </cell>
          <cell r="BL284">
            <v>0</v>
          </cell>
          <cell r="BM284">
            <v>1139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U284">
            <v>1139</v>
          </cell>
          <cell r="BV284">
            <v>0</v>
          </cell>
          <cell r="BW284">
            <v>1139</v>
          </cell>
          <cell r="BX284">
            <v>0</v>
          </cell>
          <cell r="BY284">
            <v>0</v>
          </cell>
          <cell r="BZ284">
            <v>0</v>
          </cell>
          <cell r="CA284">
            <v>0</v>
          </cell>
          <cell r="CB284">
            <v>0</v>
          </cell>
          <cell r="CC284">
            <v>0</v>
          </cell>
          <cell r="CE284">
            <v>1139</v>
          </cell>
          <cell r="CF284">
            <v>0</v>
          </cell>
          <cell r="CG284">
            <v>1139</v>
          </cell>
          <cell r="CH284">
            <v>0</v>
          </cell>
          <cell r="CI284">
            <v>0</v>
          </cell>
          <cell r="CJ284">
            <v>0</v>
          </cell>
          <cell r="CK284">
            <v>0</v>
          </cell>
          <cell r="CL284">
            <v>0</v>
          </cell>
          <cell r="CM284">
            <v>0</v>
          </cell>
          <cell r="CO284">
            <v>1139</v>
          </cell>
          <cell r="CP284">
            <v>0</v>
          </cell>
          <cell r="CQ284">
            <v>1139</v>
          </cell>
          <cell r="CR284">
            <v>0</v>
          </cell>
          <cell r="CS284">
            <v>0</v>
          </cell>
          <cell r="CT284">
            <v>0</v>
          </cell>
          <cell r="CU284">
            <v>0</v>
          </cell>
          <cell r="CV284">
            <v>0</v>
          </cell>
          <cell r="CW284">
            <v>0</v>
          </cell>
          <cell r="CY284">
            <v>1139</v>
          </cell>
          <cell r="CZ284">
            <v>0</v>
          </cell>
          <cell r="DA284">
            <v>1139</v>
          </cell>
          <cell r="DB284">
            <v>0</v>
          </cell>
          <cell r="DC284">
            <v>0</v>
          </cell>
          <cell r="DD284">
            <v>0</v>
          </cell>
          <cell r="DE284">
            <v>0</v>
          </cell>
          <cell r="DF284">
            <v>0</v>
          </cell>
          <cell r="DG284">
            <v>0</v>
          </cell>
          <cell r="DI284">
            <v>6390</v>
          </cell>
          <cell r="DJ284">
            <v>11073</v>
          </cell>
          <cell r="DK284">
            <v>0</v>
          </cell>
          <cell r="DL284">
            <v>11073</v>
          </cell>
          <cell r="DM284">
            <v>11073</v>
          </cell>
          <cell r="DN284">
            <v>0</v>
          </cell>
          <cell r="DO284">
            <v>11073</v>
          </cell>
          <cell r="DP284">
            <v>0</v>
          </cell>
          <cell r="DQ284">
            <v>0</v>
          </cell>
          <cell r="DR284">
            <v>0</v>
          </cell>
          <cell r="DS284">
            <v>0</v>
          </cell>
          <cell r="DT284">
            <v>22146</v>
          </cell>
          <cell r="DU284">
            <v>0</v>
          </cell>
          <cell r="DW284">
            <v>0</v>
          </cell>
          <cell r="DX284">
            <v>0</v>
          </cell>
          <cell r="DY284">
            <v>8504</v>
          </cell>
          <cell r="DZ284">
            <v>10618</v>
          </cell>
          <cell r="EA284">
            <v>12794</v>
          </cell>
          <cell r="EB284">
            <v>14970</v>
          </cell>
          <cell r="EC284">
            <v>17146</v>
          </cell>
          <cell r="ED284">
            <v>19424</v>
          </cell>
          <cell r="EE284">
            <v>21702</v>
          </cell>
          <cell r="EF284">
            <v>23980</v>
          </cell>
          <cell r="EG284">
            <v>26258</v>
          </cell>
          <cell r="EH284">
            <v>28536</v>
          </cell>
          <cell r="EI284">
            <v>183932</v>
          </cell>
          <cell r="EK284">
            <v>0</v>
          </cell>
          <cell r="EL284">
            <v>0</v>
          </cell>
          <cell r="EM284">
            <v>56.693333333333335</v>
          </cell>
          <cell r="EN284">
            <v>70.786666666666676</v>
          </cell>
          <cell r="EO284">
            <v>85.293333333333337</v>
          </cell>
          <cell r="EP284">
            <v>99.8</v>
          </cell>
          <cell r="EQ284">
            <v>114.30666666666667</v>
          </cell>
          <cell r="ER284">
            <v>129.49333333333334</v>
          </cell>
          <cell r="ES284">
            <v>155.53099999999998</v>
          </cell>
          <cell r="ET284">
            <v>171.85666666666668</v>
          </cell>
          <cell r="EU284">
            <v>188.18233333333333</v>
          </cell>
          <cell r="EV284">
            <v>204.50799999999995</v>
          </cell>
          <cell r="EW284">
            <v>1276.4513333333334</v>
          </cell>
          <cell r="EY284">
            <v>83456</v>
          </cell>
          <cell r="EZ284">
            <v>8</v>
          </cell>
          <cell r="FA284">
            <v>556.37333333333333</v>
          </cell>
          <cell r="FB284">
            <v>100476</v>
          </cell>
          <cell r="FC284">
            <v>8.6</v>
          </cell>
          <cell r="FD284">
            <v>720.07799999999997</v>
          </cell>
          <cell r="FE284">
            <v>1276.4513333333334</v>
          </cell>
          <cell r="FF284">
            <v>29812</v>
          </cell>
          <cell r="FH284">
            <v>29812</v>
          </cell>
        </row>
        <row r="285">
          <cell r="B285">
            <v>9447</v>
          </cell>
          <cell r="C285" t="str">
            <v>11.06.2007</v>
          </cell>
          <cell r="D285" t="str">
            <v>Jadhav Nitin Prabhakar</v>
          </cell>
          <cell r="F285">
            <v>7035</v>
          </cell>
          <cell r="G285">
            <v>20715</v>
          </cell>
          <cell r="H285">
            <v>4295</v>
          </cell>
          <cell r="I285">
            <v>4295</v>
          </cell>
          <cell r="J285">
            <v>8590</v>
          </cell>
          <cell r="K285">
            <v>1555</v>
          </cell>
          <cell r="M285">
            <v>1057</v>
          </cell>
          <cell r="N285">
            <v>0</v>
          </cell>
          <cell r="O285">
            <v>1057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W285">
            <v>1057</v>
          </cell>
          <cell r="X285">
            <v>0</v>
          </cell>
          <cell r="Y285">
            <v>1057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G285">
            <v>1088</v>
          </cell>
          <cell r="AH285">
            <v>0</v>
          </cell>
          <cell r="AI285">
            <v>1088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Q285">
            <v>1088</v>
          </cell>
          <cell r="AR285">
            <v>0</v>
          </cell>
          <cell r="AS285">
            <v>1088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BA285">
            <v>1088</v>
          </cell>
          <cell r="BB285">
            <v>0</v>
          </cell>
          <cell r="BC285">
            <v>1088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K285">
            <v>1139</v>
          </cell>
          <cell r="BL285">
            <v>0</v>
          </cell>
          <cell r="BM285">
            <v>1139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U285">
            <v>1139</v>
          </cell>
          <cell r="BV285">
            <v>0</v>
          </cell>
          <cell r="BW285">
            <v>1139</v>
          </cell>
          <cell r="BX285">
            <v>0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0</v>
          </cell>
          <cell r="CE285">
            <v>1139</v>
          </cell>
          <cell r="CF285">
            <v>0</v>
          </cell>
          <cell r="CG285">
            <v>1139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  <cell r="CL285">
            <v>0</v>
          </cell>
          <cell r="CM285">
            <v>0</v>
          </cell>
          <cell r="CO285">
            <v>1139</v>
          </cell>
          <cell r="CP285">
            <v>0</v>
          </cell>
          <cell r="CQ285">
            <v>1139</v>
          </cell>
          <cell r="CR285">
            <v>0</v>
          </cell>
          <cell r="CS285">
            <v>0</v>
          </cell>
          <cell r="CT285">
            <v>0</v>
          </cell>
          <cell r="CU285">
            <v>0</v>
          </cell>
          <cell r="CV285">
            <v>0</v>
          </cell>
          <cell r="CW285">
            <v>0</v>
          </cell>
          <cell r="CY285">
            <v>1139</v>
          </cell>
          <cell r="CZ285">
            <v>0</v>
          </cell>
          <cell r="DA285">
            <v>1139</v>
          </cell>
          <cell r="DB285">
            <v>0</v>
          </cell>
          <cell r="DC285">
            <v>0</v>
          </cell>
          <cell r="DD285">
            <v>0</v>
          </cell>
          <cell r="DE285">
            <v>0</v>
          </cell>
          <cell r="DF285">
            <v>0</v>
          </cell>
          <cell r="DG285">
            <v>0</v>
          </cell>
          <cell r="DI285">
            <v>8590</v>
          </cell>
          <cell r="DJ285">
            <v>11073</v>
          </cell>
          <cell r="DK285">
            <v>0</v>
          </cell>
          <cell r="DL285">
            <v>11073</v>
          </cell>
          <cell r="DM285">
            <v>11073</v>
          </cell>
          <cell r="DN285">
            <v>0</v>
          </cell>
          <cell r="DO285">
            <v>11073</v>
          </cell>
          <cell r="DP285">
            <v>0</v>
          </cell>
          <cell r="DQ285">
            <v>0</v>
          </cell>
          <cell r="DR285">
            <v>0</v>
          </cell>
          <cell r="DS285">
            <v>0</v>
          </cell>
          <cell r="DT285">
            <v>22146</v>
          </cell>
          <cell r="DU285">
            <v>0</v>
          </cell>
          <cell r="DW285">
            <v>0</v>
          </cell>
          <cell r="DX285">
            <v>0</v>
          </cell>
          <cell r="DY285">
            <v>10704</v>
          </cell>
          <cell r="DZ285">
            <v>12818</v>
          </cell>
          <cell r="EA285">
            <v>14994</v>
          </cell>
          <cell r="EB285">
            <v>17170</v>
          </cell>
          <cell r="EC285">
            <v>19346</v>
          </cell>
          <cell r="ED285">
            <v>21624</v>
          </cell>
          <cell r="EE285">
            <v>23902</v>
          </cell>
          <cell r="EF285">
            <v>26180</v>
          </cell>
          <cell r="EG285">
            <v>28458</v>
          </cell>
          <cell r="EH285">
            <v>30736</v>
          </cell>
          <cell r="EI285">
            <v>205932</v>
          </cell>
          <cell r="EK285">
            <v>0</v>
          </cell>
          <cell r="EL285">
            <v>0</v>
          </cell>
          <cell r="EM285">
            <v>71.36</v>
          </cell>
          <cell r="EN285">
            <v>85.453333333333333</v>
          </cell>
          <cell r="EO285">
            <v>99.96</v>
          </cell>
          <cell r="EP285">
            <v>114.46666666666665</v>
          </cell>
          <cell r="EQ285">
            <v>128.97333333333333</v>
          </cell>
          <cell r="ER285">
            <v>144.16</v>
          </cell>
          <cell r="ES285">
            <v>171.29766666666663</v>
          </cell>
          <cell r="ET285">
            <v>187.62333333333333</v>
          </cell>
          <cell r="EU285">
            <v>203.94899999999998</v>
          </cell>
          <cell r="EV285">
            <v>220.27466666666666</v>
          </cell>
          <cell r="EW285">
            <v>1427.5179999999998</v>
          </cell>
          <cell r="EY285">
            <v>96656</v>
          </cell>
          <cell r="EZ285">
            <v>8</v>
          </cell>
          <cell r="FA285">
            <v>644.37333333333333</v>
          </cell>
          <cell r="FB285">
            <v>109276</v>
          </cell>
          <cell r="FC285">
            <v>8.6</v>
          </cell>
          <cell r="FD285">
            <v>783.14466666666658</v>
          </cell>
          <cell r="FE285">
            <v>1427.518</v>
          </cell>
          <cell r="FF285">
            <v>32164</v>
          </cell>
          <cell r="FH285">
            <v>32164</v>
          </cell>
        </row>
        <row r="286">
          <cell r="B286">
            <v>9448</v>
          </cell>
          <cell r="C286" t="str">
            <v>11.06.2007</v>
          </cell>
          <cell r="D286" t="str">
            <v>Gaikwad Deelip Shivram</v>
          </cell>
          <cell r="F286">
            <v>7035</v>
          </cell>
          <cell r="G286">
            <v>20715</v>
          </cell>
          <cell r="H286">
            <v>4295</v>
          </cell>
          <cell r="I286">
            <v>4295</v>
          </cell>
          <cell r="J286">
            <v>8590</v>
          </cell>
          <cell r="K286">
            <v>1555</v>
          </cell>
          <cell r="M286">
            <v>1057</v>
          </cell>
          <cell r="N286">
            <v>0</v>
          </cell>
          <cell r="O286">
            <v>1057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W286">
            <v>1057</v>
          </cell>
          <cell r="X286">
            <v>0</v>
          </cell>
          <cell r="Y286">
            <v>1057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G286">
            <v>1088</v>
          </cell>
          <cell r="AH286">
            <v>0</v>
          </cell>
          <cell r="AI286">
            <v>1088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Q286">
            <v>1088</v>
          </cell>
          <cell r="AR286">
            <v>0</v>
          </cell>
          <cell r="AS286">
            <v>1088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BA286">
            <v>1088</v>
          </cell>
          <cell r="BB286">
            <v>0</v>
          </cell>
          <cell r="BC286">
            <v>1088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K286">
            <v>1139</v>
          </cell>
          <cell r="BL286">
            <v>0</v>
          </cell>
          <cell r="BM286">
            <v>1139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U286">
            <v>1139</v>
          </cell>
          <cell r="BV286">
            <v>0</v>
          </cell>
          <cell r="BW286">
            <v>1139</v>
          </cell>
          <cell r="BX286">
            <v>0</v>
          </cell>
          <cell r="BY286">
            <v>0</v>
          </cell>
          <cell r="BZ286">
            <v>0</v>
          </cell>
          <cell r="CA286">
            <v>0</v>
          </cell>
          <cell r="CB286">
            <v>0</v>
          </cell>
          <cell r="CC286">
            <v>0</v>
          </cell>
          <cell r="CE286">
            <v>1139</v>
          </cell>
          <cell r="CF286">
            <v>0</v>
          </cell>
          <cell r="CG286">
            <v>1139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O286">
            <v>1139</v>
          </cell>
          <cell r="CP286">
            <v>0</v>
          </cell>
          <cell r="CQ286">
            <v>1139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Y286">
            <v>1139</v>
          </cell>
          <cell r="CZ286">
            <v>0</v>
          </cell>
          <cell r="DA286">
            <v>1139</v>
          </cell>
          <cell r="DB286">
            <v>0</v>
          </cell>
          <cell r="DC286">
            <v>0</v>
          </cell>
          <cell r="DD286">
            <v>0</v>
          </cell>
          <cell r="DE286">
            <v>0</v>
          </cell>
          <cell r="DF286">
            <v>0</v>
          </cell>
          <cell r="DG286">
            <v>0</v>
          </cell>
          <cell r="DI286">
            <v>8590</v>
          </cell>
          <cell r="DJ286">
            <v>11073</v>
          </cell>
          <cell r="DK286">
            <v>0</v>
          </cell>
          <cell r="DL286">
            <v>11073</v>
          </cell>
          <cell r="DM286">
            <v>11073</v>
          </cell>
          <cell r="DN286">
            <v>0</v>
          </cell>
          <cell r="DO286">
            <v>11073</v>
          </cell>
          <cell r="DP286">
            <v>0</v>
          </cell>
          <cell r="DQ286">
            <v>0</v>
          </cell>
          <cell r="DR286">
            <v>0</v>
          </cell>
          <cell r="DS286">
            <v>0</v>
          </cell>
          <cell r="DT286">
            <v>22146</v>
          </cell>
          <cell r="DU286">
            <v>0</v>
          </cell>
          <cell r="DW286">
            <v>0</v>
          </cell>
          <cell r="DX286">
            <v>0</v>
          </cell>
          <cell r="DY286">
            <v>10704</v>
          </cell>
          <cell r="DZ286">
            <v>12818</v>
          </cell>
          <cell r="EA286">
            <v>14994</v>
          </cell>
          <cell r="EB286">
            <v>17170</v>
          </cell>
          <cell r="EC286">
            <v>19346</v>
          </cell>
          <cell r="ED286">
            <v>21624</v>
          </cell>
          <cell r="EE286">
            <v>23902</v>
          </cell>
          <cell r="EF286">
            <v>26180</v>
          </cell>
          <cell r="EG286">
            <v>28458</v>
          </cell>
          <cell r="EH286">
            <v>30736</v>
          </cell>
          <cell r="EI286">
            <v>205932</v>
          </cell>
          <cell r="EK286">
            <v>0</v>
          </cell>
          <cell r="EL286">
            <v>0</v>
          </cell>
          <cell r="EM286">
            <v>71.36</v>
          </cell>
          <cell r="EN286">
            <v>85.453333333333333</v>
          </cell>
          <cell r="EO286">
            <v>99.96</v>
          </cell>
          <cell r="EP286">
            <v>114.46666666666665</v>
          </cell>
          <cell r="EQ286">
            <v>128.97333333333333</v>
          </cell>
          <cell r="ER286">
            <v>144.16</v>
          </cell>
          <cell r="ES286">
            <v>171.29766666666663</v>
          </cell>
          <cell r="ET286">
            <v>187.62333333333333</v>
          </cell>
          <cell r="EU286">
            <v>203.94899999999998</v>
          </cell>
          <cell r="EV286">
            <v>220.27466666666666</v>
          </cell>
          <cell r="EW286">
            <v>1427.5179999999998</v>
          </cell>
          <cell r="EY286">
            <v>96656</v>
          </cell>
          <cell r="EZ286">
            <v>8</v>
          </cell>
          <cell r="FA286">
            <v>644.37333333333333</v>
          </cell>
          <cell r="FB286">
            <v>109276</v>
          </cell>
          <cell r="FC286">
            <v>8.6</v>
          </cell>
          <cell r="FD286">
            <v>783.14466666666658</v>
          </cell>
          <cell r="FE286">
            <v>1427.518</v>
          </cell>
          <cell r="FF286">
            <v>32164</v>
          </cell>
          <cell r="FH286">
            <v>32164</v>
          </cell>
        </row>
        <row r="287">
          <cell r="B287">
            <v>9449</v>
          </cell>
          <cell r="C287" t="str">
            <v>11.06.2007</v>
          </cell>
          <cell r="D287" t="str">
            <v>Jadhav Balu Sudhakar</v>
          </cell>
          <cell r="F287">
            <v>7035</v>
          </cell>
          <cell r="G287">
            <v>20715</v>
          </cell>
          <cell r="H287">
            <v>4295</v>
          </cell>
          <cell r="I287">
            <v>4295</v>
          </cell>
          <cell r="J287">
            <v>8590</v>
          </cell>
          <cell r="K287">
            <v>1555</v>
          </cell>
          <cell r="M287">
            <v>1057</v>
          </cell>
          <cell r="N287">
            <v>0</v>
          </cell>
          <cell r="O287">
            <v>1057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W287">
            <v>1057</v>
          </cell>
          <cell r="X287">
            <v>0</v>
          </cell>
          <cell r="Y287">
            <v>1057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G287">
            <v>1088</v>
          </cell>
          <cell r="AH287">
            <v>0</v>
          </cell>
          <cell r="AI287">
            <v>1088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Q287">
            <v>1088</v>
          </cell>
          <cell r="AR287">
            <v>0</v>
          </cell>
          <cell r="AS287">
            <v>1088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BA287">
            <v>1088</v>
          </cell>
          <cell r="BB287">
            <v>0</v>
          </cell>
          <cell r="BC287">
            <v>1088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K287">
            <v>1139</v>
          </cell>
          <cell r="BL287">
            <v>0</v>
          </cell>
          <cell r="BM287">
            <v>1139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U287">
            <v>1139</v>
          </cell>
          <cell r="BV287">
            <v>0</v>
          </cell>
          <cell r="BW287">
            <v>1139</v>
          </cell>
          <cell r="BX287">
            <v>0</v>
          </cell>
          <cell r="BY287">
            <v>0</v>
          </cell>
          <cell r="BZ287">
            <v>0</v>
          </cell>
          <cell r="CA287">
            <v>0</v>
          </cell>
          <cell r="CB287">
            <v>0</v>
          </cell>
          <cell r="CC287">
            <v>0</v>
          </cell>
          <cell r="CE287">
            <v>1139</v>
          </cell>
          <cell r="CF287">
            <v>0</v>
          </cell>
          <cell r="CG287">
            <v>1139</v>
          </cell>
          <cell r="CH287">
            <v>0</v>
          </cell>
          <cell r="CI287">
            <v>0</v>
          </cell>
          <cell r="CJ287">
            <v>0</v>
          </cell>
          <cell r="CK287">
            <v>0</v>
          </cell>
          <cell r="CL287">
            <v>0</v>
          </cell>
          <cell r="CM287">
            <v>0</v>
          </cell>
          <cell r="CO287">
            <v>1139</v>
          </cell>
          <cell r="CP287">
            <v>0</v>
          </cell>
          <cell r="CQ287">
            <v>1139</v>
          </cell>
          <cell r="CR287">
            <v>0</v>
          </cell>
          <cell r="CS287">
            <v>0</v>
          </cell>
          <cell r="CT287">
            <v>0</v>
          </cell>
          <cell r="CU287">
            <v>0</v>
          </cell>
          <cell r="CV287">
            <v>0</v>
          </cell>
          <cell r="CW287">
            <v>0</v>
          </cell>
          <cell r="CY287">
            <v>1139</v>
          </cell>
          <cell r="CZ287">
            <v>0</v>
          </cell>
          <cell r="DA287">
            <v>1139</v>
          </cell>
          <cell r="DB287">
            <v>0</v>
          </cell>
          <cell r="DC287">
            <v>0</v>
          </cell>
          <cell r="DD287">
            <v>0</v>
          </cell>
          <cell r="DE287">
            <v>0</v>
          </cell>
          <cell r="DF287">
            <v>0</v>
          </cell>
          <cell r="DG287">
            <v>0</v>
          </cell>
          <cell r="DI287">
            <v>8590</v>
          </cell>
          <cell r="DJ287">
            <v>11073</v>
          </cell>
          <cell r="DK287">
            <v>0</v>
          </cell>
          <cell r="DL287">
            <v>11073</v>
          </cell>
          <cell r="DM287">
            <v>11073</v>
          </cell>
          <cell r="DN287">
            <v>0</v>
          </cell>
          <cell r="DO287">
            <v>11073</v>
          </cell>
          <cell r="DP287">
            <v>0</v>
          </cell>
          <cell r="DQ287">
            <v>0</v>
          </cell>
          <cell r="DR287">
            <v>0</v>
          </cell>
          <cell r="DS287">
            <v>0</v>
          </cell>
          <cell r="DT287">
            <v>22146</v>
          </cell>
          <cell r="DU287">
            <v>0</v>
          </cell>
          <cell r="DW287">
            <v>0</v>
          </cell>
          <cell r="DX287">
            <v>0</v>
          </cell>
          <cell r="DY287">
            <v>10704</v>
          </cell>
          <cell r="DZ287">
            <v>12818</v>
          </cell>
          <cell r="EA287">
            <v>14994</v>
          </cell>
          <cell r="EB287">
            <v>17170</v>
          </cell>
          <cell r="EC287">
            <v>19346</v>
          </cell>
          <cell r="ED287">
            <v>21624</v>
          </cell>
          <cell r="EE287">
            <v>23902</v>
          </cell>
          <cell r="EF287">
            <v>26180</v>
          </cell>
          <cell r="EG287">
            <v>28458</v>
          </cell>
          <cell r="EH287">
            <v>30736</v>
          </cell>
          <cell r="EI287">
            <v>205932</v>
          </cell>
          <cell r="EK287">
            <v>0</v>
          </cell>
          <cell r="EL287">
            <v>0</v>
          </cell>
          <cell r="EM287">
            <v>71.36</v>
          </cell>
          <cell r="EN287">
            <v>85.453333333333333</v>
          </cell>
          <cell r="EO287">
            <v>99.96</v>
          </cell>
          <cell r="EP287">
            <v>114.46666666666665</v>
          </cell>
          <cell r="EQ287">
            <v>128.97333333333333</v>
          </cell>
          <cell r="ER287">
            <v>144.16</v>
          </cell>
          <cell r="ES287">
            <v>171.29766666666663</v>
          </cell>
          <cell r="ET287">
            <v>187.62333333333333</v>
          </cell>
          <cell r="EU287">
            <v>203.94899999999998</v>
          </cell>
          <cell r="EV287">
            <v>220.27466666666666</v>
          </cell>
          <cell r="EW287">
            <v>1427.5179999999998</v>
          </cell>
          <cell r="EY287">
            <v>96656</v>
          </cell>
          <cell r="EZ287">
            <v>8</v>
          </cell>
          <cell r="FA287">
            <v>644.37333333333333</v>
          </cell>
          <cell r="FB287">
            <v>109276</v>
          </cell>
          <cell r="FC287">
            <v>8.6</v>
          </cell>
          <cell r="FD287">
            <v>783.14466666666658</v>
          </cell>
          <cell r="FE287">
            <v>1427.518</v>
          </cell>
          <cell r="FF287">
            <v>32164</v>
          </cell>
          <cell r="FH287">
            <v>32164</v>
          </cell>
        </row>
        <row r="288">
          <cell r="B288">
            <v>9453</v>
          </cell>
          <cell r="C288" t="str">
            <v>11.06.2007</v>
          </cell>
          <cell r="D288" t="str">
            <v>Shinde Sachin Dilip</v>
          </cell>
          <cell r="F288">
            <v>7035</v>
          </cell>
          <cell r="G288">
            <v>21527</v>
          </cell>
          <cell r="H288">
            <v>3195</v>
          </cell>
          <cell r="I288">
            <v>3195</v>
          </cell>
          <cell r="J288">
            <v>6390</v>
          </cell>
          <cell r="K288">
            <v>-645</v>
          </cell>
          <cell r="M288">
            <v>1057</v>
          </cell>
          <cell r="N288">
            <v>0</v>
          </cell>
          <cell r="O288">
            <v>1057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W288">
            <v>1057</v>
          </cell>
          <cell r="X288">
            <v>0</v>
          </cell>
          <cell r="Y288">
            <v>1057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G288">
            <v>1088</v>
          </cell>
          <cell r="AH288">
            <v>0</v>
          </cell>
          <cell r="AI288">
            <v>1088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Q288">
            <v>1088</v>
          </cell>
          <cell r="AR288">
            <v>0</v>
          </cell>
          <cell r="AS288">
            <v>1088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BA288">
            <v>1088</v>
          </cell>
          <cell r="BB288">
            <v>0</v>
          </cell>
          <cell r="BC288">
            <v>1088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K288">
            <v>1139</v>
          </cell>
          <cell r="BL288">
            <v>0</v>
          </cell>
          <cell r="BM288">
            <v>1139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U288">
            <v>1139</v>
          </cell>
          <cell r="BV288">
            <v>0</v>
          </cell>
          <cell r="BW288">
            <v>1139</v>
          </cell>
          <cell r="BX288">
            <v>0</v>
          </cell>
          <cell r="BY288">
            <v>0</v>
          </cell>
          <cell r="BZ288">
            <v>0</v>
          </cell>
          <cell r="CA288">
            <v>0</v>
          </cell>
          <cell r="CB288">
            <v>0</v>
          </cell>
          <cell r="CC288">
            <v>0</v>
          </cell>
          <cell r="CE288">
            <v>1139</v>
          </cell>
          <cell r="CF288">
            <v>0</v>
          </cell>
          <cell r="CG288">
            <v>1139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  <cell r="CL288">
            <v>0</v>
          </cell>
          <cell r="CM288">
            <v>0</v>
          </cell>
          <cell r="CO288">
            <v>1139</v>
          </cell>
          <cell r="CP288">
            <v>0</v>
          </cell>
          <cell r="CQ288">
            <v>1139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Y288">
            <v>1139</v>
          </cell>
          <cell r="CZ288">
            <v>0</v>
          </cell>
          <cell r="DA288">
            <v>1139</v>
          </cell>
          <cell r="DB288">
            <v>0</v>
          </cell>
          <cell r="DC288">
            <v>0</v>
          </cell>
          <cell r="DD288">
            <v>0</v>
          </cell>
          <cell r="DE288">
            <v>0</v>
          </cell>
          <cell r="DF288">
            <v>0</v>
          </cell>
          <cell r="DG288">
            <v>0</v>
          </cell>
          <cell r="DI288">
            <v>6390</v>
          </cell>
          <cell r="DJ288">
            <v>11073</v>
          </cell>
          <cell r="DK288">
            <v>0</v>
          </cell>
          <cell r="DL288">
            <v>11073</v>
          </cell>
          <cell r="DM288">
            <v>11073</v>
          </cell>
          <cell r="DN288">
            <v>0</v>
          </cell>
          <cell r="DO288">
            <v>11073</v>
          </cell>
          <cell r="DP288">
            <v>0</v>
          </cell>
          <cell r="DQ288">
            <v>0</v>
          </cell>
          <cell r="DR288">
            <v>0</v>
          </cell>
          <cell r="DS288">
            <v>0</v>
          </cell>
          <cell r="DT288">
            <v>22146</v>
          </cell>
          <cell r="DU288">
            <v>0</v>
          </cell>
          <cell r="DW288">
            <v>0</v>
          </cell>
          <cell r="DX288">
            <v>0</v>
          </cell>
          <cell r="DY288">
            <v>8504</v>
          </cell>
          <cell r="DZ288">
            <v>10618</v>
          </cell>
          <cell r="EA288">
            <v>12794</v>
          </cell>
          <cell r="EB288">
            <v>14970</v>
          </cell>
          <cell r="EC288">
            <v>17146</v>
          </cell>
          <cell r="ED288">
            <v>19424</v>
          </cell>
          <cell r="EE288">
            <v>21702</v>
          </cell>
          <cell r="EF288">
            <v>23980</v>
          </cell>
          <cell r="EG288">
            <v>26258</v>
          </cell>
          <cell r="EH288">
            <v>28536</v>
          </cell>
          <cell r="EI288">
            <v>183932</v>
          </cell>
          <cell r="EK288">
            <v>0</v>
          </cell>
          <cell r="EL288">
            <v>0</v>
          </cell>
          <cell r="EM288">
            <v>56.693333333333335</v>
          </cell>
          <cell r="EN288">
            <v>70.786666666666676</v>
          </cell>
          <cell r="EO288">
            <v>85.293333333333337</v>
          </cell>
          <cell r="EP288">
            <v>99.8</v>
          </cell>
          <cell r="EQ288">
            <v>114.30666666666667</v>
          </cell>
          <cell r="ER288">
            <v>129.49333333333334</v>
          </cell>
          <cell r="ES288">
            <v>155.53099999999998</v>
          </cell>
          <cell r="ET288">
            <v>171.85666666666668</v>
          </cell>
          <cell r="EU288">
            <v>188.18233333333333</v>
          </cell>
          <cell r="EV288">
            <v>204.50799999999995</v>
          </cell>
          <cell r="EW288">
            <v>1276.4513333333334</v>
          </cell>
          <cell r="EY288">
            <v>83456</v>
          </cell>
          <cell r="EZ288">
            <v>8</v>
          </cell>
          <cell r="FA288">
            <v>556.37333333333333</v>
          </cell>
          <cell r="FB288">
            <v>100476</v>
          </cell>
          <cell r="FC288">
            <v>8.6</v>
          </cell>
          <cell r="FD288">
            <v>720.07799999999997</v>
          </cell>
          <cell r="FE288">
            <v>1276.4513333333334</v>
          </cell>
          <cell r="FF288">
            <v>29812</v>
          </cell>
          <cell r="FH288">
            <v>29812</v>
          </cell>
        </row>
        <row r="289">
          <cell r="B289">
            <v>9455</v>
          </cell>
          <cell r="C289" t="str">
            <v>11.06.2007</v>
          </cell>
          <cell r="D289" t="str">
            <v>Satpute Vasant Nivrutti</v>
          </cell>
          <cell r="F289">
            <v>7035</v>
          </cell>
          <cell r="G289">
            <v>17276</v>
          </cell>
          <cell r="H289">
            <v>3195</v>
          </cell>
          <cell r="I289">
            <v>3195</v>
          </cell>
          <cell r="J289">
            <v>6390</v>
          </cell>
          <cell r="K289">
            <v>-645</v>
          </cell>
          <cell r="M289">
            <v>1057</v>
          </cell>
          <cell r="N289">
            <v>0</v>
          </cell>
          <cell r="O289">
            <v>1057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W289">
            <v>1057</v>
          </cell>
          <cell r="X289">
            <v>0</v>
          </cell>
          <cell r="Y289">
            <v>1057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G289">
            <v>1088</v>
          </cell>
          <cell r="AH289">
            <v>0</v>
          </cell>
          <cell r="AI289">
            <v>1088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Q289">
            <v>1088</v>
          </cell>
          <cell r="AR289">
            <v>0</v>
          </cell>
          <cell r="AS289">
            <v>1088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BA289">
            <v>1088</v>
          </cell>
          <cell r="BB289">
            <v>0</v>
          </cell>
          <cell r="BC289">
            <v>1088</v>
          </cell>
          <cell r="BD289">
            <v>0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K289">
            <v>1139</v>
          </cell>
          <cell r="BL289">
            <v>0</v>
          </cell>
          <cell r="BM289">
            <v>1139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U289">
            <v>1139</v>
          </cell>
          <cell r="BV289">
            <v>0</v>
          </cell>
          <cell r="BW289">
            <v>1139</v>
          </cell>
          <cell r="BX289">
            <v>0</v>
          </cell>
          <cell r="BY289">
            <v>0</v>
          </cell>
          <cell r="BZ289">
            <v>0</v>
          </cell>
          <cell r="CA289">
            <v>0</v>
          </cell>
          <cell r="CB289">
            <v>0</v>
          </cell>
          <cell r="CC289">
            <v>0</v>
          </cell>
          <cell r="CE289">
            <v>1139</v>
          </cell>
          <cell r="CF289">
            <v>0</v>
          </cell>
          <cell r="CG289">
            <v>1139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  <cell r="CL289">
            <v>0</v>
          </cell>
          <cell r="CM289">
            <v>0</v>
          </cell>
          <cell r="CO289">
            <v>1139</v>
          </cell>
          <cell r="CP289">
            <v>0</v>
          </cell>
          <cell r="CQ289">
            <v>1139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Y289">
            <v>1139</v>
          </cell>
          <cell r="CZ289">
            <v>0</v>
          </cell>
          <cell r="DA289">
            <v>1139</v>
          </cell>
          <cell r="DB289">
            <v>0</v>
          </cell>
          <cell r="DC289">
            <v>0</v>
          </cell>
          <cell r="DD289">
            <v>0</v>
          </cell>
          <cell r="DE289">
            <v>0</v>
          </cell>
          <cell r="DF289">
            <v>0</v>
          </cell>
          <cell r="DG289">
            <v>0</v>
          </cell>
          <cell r="DI289">
            <v>6390</v>
          </cell>
          <cell r="DJ289">
            <v>11073</v>
          </cell>
          <cell r="DK289">
            <v>0</v>
          </cell>
          <cell r="DL289">
            <v>11073</v>
          </cell>
          <cell r="DM289">
            <v>11073</v>
          </cell>
          <cell r="DN289">
            <v>0</v>
          </cell>
          <cell r="DO289">
            <v>11073</v>
          </cell>
          <cell r="DP289">
            <v>0</v>
          </cell>
          <cell r="DQ289">
            <v>0</v>
          </cell>
          <cell r="DR289">
            <v>0</v>
          </cell>
          <cell r="DS289">
            <v>0</v>
          </cell>
          <cell r="DT289">
            <v>22146</v>
          </cell>
          <cell r="DU289">
            <v>0</v>
          </cell>
          <cell r="DW289">
            <v>0</v>
          </cell>
          <cell r="DX289">
            <v>0</v>
          </cell>
          <cell r="DY289">
            <v>8504</v>
          </cell>
          <cell r="DZ289">
            <v>10618</v>
          </cell>
          <cell r="EA289">
            <v>12794</v>
          </cell>
          <cell r="EB289">
            <v>14970</v>
          </cell>
          <cell r="EC289">
            <v>17146</v>
          </cell>
          <cell r="ED289">
            <v>19424</v>
          </cell>
          <cell r="EE289">
            <v>21702</v>
          </cell>
          <cell r="EF289">
            <v>23980</v>
          </cell>
          <cell r="EG289">
            <v>26258</v>
          </cell>
          <cell r="EH289">
            <v>28536</v>
          </cell>
          <cell r="EI289">
            <v>183932</v>
          </cell>
          <cell r="EK289">
            <v>0</v>
          </cell>
          <cell r="EL289">
            <v>0</v>
          </cell>
          <cell r="EM289">
            <v>56.693333333333335</v>
          </cell>
          <cell r="EN289">
            <v>70.786666666666676</v>
          </cell>
          <cell r="EO289">
            <v>85.293333333333337</v>
          </cell>
          <cell r="EP289">
            <v>99.8</v>
          </cell>
          <cell r="EQ289">
            <v>114.30666666666667</v>
          </cell>
          <cell r="ER289">
            <v>129.49333333333334</v>
          </cell>
          <cell r="ES289">
            <v>155.53099999999998</v>
          </cell>
          <cell r="ET289">
            <v>171.85666666666668</v>
          </cell>
          <cell r="EU289">
            <v>188.18233333333333</v>
          </cell>
          <cell r="EV289">
            <v>204.50799999999995</v>
          </cell>
          <cell r="EW289">
            <v>1276.4513333333334</v>
          </cell>
          <cell r="EY289">
            <v>83456</v>
          </cell>
          <cell r="EZ289">
            <v>8</v>
          </cell>
          <cell r="FA289">
            <v>556.37333333333333</v>
          </cell>
          <cell r="FB289">
            <v>100476</v>
          </cell>
          <cell r="FC289">
            <v>8.6</v>
          </cell>
          <cell r="FD289">
            <v>720.07799999999997</v>
          </cell>
          <cell r="FE289">
            <v>1276.4513333333334</v>
          </cell>
          <cell r="FF289">
            <v>29812</v>
          </cell>
          <cell r="FH289">
            <v>29812</v>
          </cell>
        </row>
        <row r="290">
          <cell r="B290">
            <v>9459</v>
          </cell>
          <cell r="C290" t="str">
            <v>11.06.2007</v>
          </cell>
          <cell r="D290" t="str">
            <v>Gambhire Nitin Nivrutti</v>
          </cell>
          <cell r="F290">
            <v>7035</v>
          </cell>
          <cell r="G290">
            <v>20715</v>
          </cell>
          <cell r="H290">
            <v>4295</v>
          </cell>
          <cell r="I290">
            <v>4295</v>
          </cell>
          <cell r="J290">
            <v>8590</v>
          </cell>
          <cell r="K290">
            <v>1555</v>
          </cell>
          <cell r="M290">
            <v>1057</v>
          </cell>
          <cell r="N290">
            <v>0</v>
          </cell>
          <cell r="O290">
            <v>1057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W290">
            <v>1057</v>
          </cell>
          <cell r="X290">
            <v>0</v>
          </cell>
          <cell r="Y290">
            <v>1057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G290">
            <v>1088</v>
          </cell>
          <cell r="AH290">
            <v>0</v>
          </cell>
          <cell r="AI290">
            <v>1088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Q290">
            <v>1088</v>
          </cell>
          <cell r="AR290">
            <v>0</v>
          </cell>
          <cell r="AS290">
            <v>1088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BA290">
            <v>1088</v>
          </cell>
          <cell r="BB290">
            <v>0</v>
          </cell>
          <cell r="BC290">
            <v>1088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K290">
            <v>1139</v>
          </cell>
          <cell r="BL290">
            <v>0</v>
          </cell>
          <cell r="BM290">
            <v>1139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U290">
            <v>1139</v>
          </cell>
          <cell r="BV290">
            <v>0</v>
          </cell>
          <cell r="BW290">
            <v>1139</v>
          </cell>
          <cell r="BX290">
            <v>0</v>
          </cell>
          <cell r="BY290">
            <v>0</v>
          </cell>
          <cell r="BZ290">
            <v>0</v>
          </cell>
          <cell r="CA290">
            <v>0</v>
          </cell>
          <cell r="CB290">
            <v>0</v>
          </cell>
          <cell r="CC290">
            <v>0</v>
          </cell>
          <cell r="CE290">
            <v>1139</v>
          </cell>
          <cell r="CF290">
            <v>0</v>
          </cell>
          <cell r="CG290">
            <v>1139</v>
          </cell>
          <cell r="CH290">
            <v>0</v>
          </cell>
          <cell r="CI290">
            <v>0</v>
          </cell>
          <cell r="CJ290">
            <v>0</v>
          </cell>
          <cell r="CK290">
            <v>0</v>
          </cell>
          <cell r="CL290">
            <v>0</v>
          </cell>
          <cell r="CM290">
            <v>0</v>
          </cell>
          <cell r="CO290">
            <v>1139</v>
          </cell>
          <cell r="CP290">
            <v>0</v>
          </cell>
          <cell r="CQ290">
            <v>1139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Y290">
            <v>1139</v>
          </cell>
          <cell r="CZ290">
            <v>0</v>
          </cell>
          <cell r="DA290">
            <v>1139</v>
          </cell>
          <cell r="DB290">
            <v>0</v>
          </cell>
          <cell r="DC290">
            <v>0</v>
          </cell>
          <cell r="DD290">
            <v>0</v>
          </cell>
          <cell r="DE290">
            <v>0</v>
          </cell>
          <cell r="DF290">
            <v>0</v>
          </cell>
          <cell r="DG290">
            <v>0</v>
          </cell>
          <cell r="DI290">
            <v>8590</v>
          </cell>
          <cell r="DJ290">
            <v>11073</v>
          </cell>
          <cell r="DK290">
            <v>0</v>
          </cell>
          <cell r="DL290">
            <v>11073</v>
          </cell>
          <cell r="DM290">
            <v>11073</v>
          </cell>
          <cell r="DN290">
            <v>0</v>
          </cell>
          <cell r="DO290">
            <v>11073</v>
          </cell>
          <cell r="DP290">
            <v>0</v>
          </cell>
          <cell r="DQ290">
            <v>0</v>
          </cell>
          <cell r="DR290">
            <v>0</v>
          </cell>
          <cell r="DS290">
            <v>0</v>
          </cell>
          <cell r="DT290">
            <v>22146</v>
          </cell>
          <cell r="DU290">
            <v>0</v>
          </cell>
          <cell r="DW290">
            <v>0</v>
          </cell>
          <cell r="DX290">
            <v>0</v>
          </cell>
          <cell r="DY290">
            <v>10704</v>
          </cell>
          <cell r="DZ290">
            <v>12818</v>
          </cell>
          <cell r="EA290">
            <v>14994</v>
          </cell>
          <cell r="EB290">
            <v>17170</v>
          </cell>
          <cell r="EC290">
            <v>19346</v>
          </cell>
          <cell r="ED290">
            <v>21624</v>
          </cell>
          <cell r="EE290">
            <v>23902</v>
          </cell>
          <cell r="EF290">
            <v>26180</v>
          </cell>
          <cell r="EG290">
            <v>28458</v>
          </cell>
          <cell r="EH290">
            <v>30736</v>
          </cell>
          <cell r="EI290">
            <v>205932</v>
          </cell>
          <cell r="EK290">
            <v>0</v>
          </cell>
          <cell r="EL290">
            <v>0</v>
          </cell>
          <cell r="EM290">
            <v>71.36</v>
          </cell>
          <cell r="EN290">
            <v>85.453333333333333</v>
          </cell>
          <cell r="EO290">
            <v>99.96</v>
          </cell>
          <cell r="EP290">
            <v>114.46666666666665</v>
          </cell>
          <cell r="EQ290">
            <v>128.97333333333333</v>
          </cell>
          <cell r="ER290">
            <v>144.16</v>
          </cell>
          <cell r="ES290">
            <v>171.29766666666663</v>
          </cell>
          <cell r="ET290">
            <v>187.62333333333333</v>
          </cell>
          <cell r="EU290">
            <v>203.94899999999998</v>
          </cell>
          <cell r="EV290">
            <v>220.27466666666666</v>
          </cell>
          <cell r="EW290">
            <v>1427.5179999999998</v>
          </cell>
          <cell r="EY290">
            <v>96656</v>
          </cell>
          <cell r="EZ290">
            <v>8</v>
          </cell>
          <cell r="FA290">
            <v>644.37333333333333</v>
          </cell>
          <cell r="FB290">
            <v>109276</v>
          </cell>
          <cell r="FC290">
            <v>8.6</v>
          </cell>
          <cell r="FD290">
            <v>783.14466666666658</v>
          </cell>
          <cell r="FE290">
            <v>1427.518</v>
          </cell>
          <cell r="FF290">
            <v>32164</v>
          </cell>
          <cell r="FH290">
            <v>32164</v>
          </cell>
        </row>
        <row r="291">
          <cell r="B291">
            <v>9463</v>
          </cell>
          <cell r="C291" t="str">
            <v>11.06.2007</v>
          </cell>
          <cell r="D291" t="str">
            <v>Kumavat Mangal Dodhu</v>
          </cell>
          <cell r="F291">
            <v>9960</v>
          </cell>
          <cell r="G291">
            <v>24297</v>
          </cell>
          <cell r="H291">
            <v>7060</v>
          </cell>
          <cell r="I291">
            <v>7060</v>
          </cell>
          <cell r="J291">
            <v>14120</v>
          </cell>
          <cell r="K291">
            <v>4160</v>
          </cell>
          <cell r="M291">
            <v>1496</v>
          </cell>
          <cell r="N291">
            <v>0</v>
          </cell>
          <cell r="O291">
            <v>1496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W291">
            <v>1496</v>
          </cell>
          <cell r="X291">
            <v>0</v>
          </cell>
          <cell r="Y291">
            <v>1496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G291">
            <v>1541</v>
          </cell>
          <cell r="AH291">
            <v>0</v>
          </cell>
          <cell r="AI291">
            <v>1541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Q291">
            <v>1541</v>
          </cell>
          <cell r="AR291">
            <v>0</v>
          </cell>
          <cell r="AS291">
            <v>1541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BA291">
            <v>1541</v>
          </cell>
          <cell r="BB291">
            <v>0</v>
          </cell>
          <cell r="BC291">
            <v>1541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K291">
            <v>1613</v>
          </cell>
          <cell r="BL291">
            <v>0</v>
          </cell>
          <cell r="BM291">
            <v>1613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  <cell r="BS291">
            <v>0</v>
          </cell>
          <cell r="BU291">
            <v>1613</v>
          </cell>
          <cell r="BV291">
            <v>0</v>
          </cell>
          <cell r="BW291">
            <v>1613</v>
          </cell>
          <cell r="BX291">
            <v>0</v>
          </cell>
          <cell r="BY291">
            <v>0</v>
          </cell>
          <cell r="BZ291">
            <v>0</v>
          </cell>
          <cell r="CA291">
            <v>0</v>
          </cell>
          <cell r="CB291">
            <v>0</v>
          </cell>
          <cell r="CC291">
            <v>0</v>
          </cell>
          <cell r="CE291">
            <v>1613</v>
          </cell>
          <cell r="CF291">
            <v>0</v>
          </cell>
          <cell r="CG291">
            <v>1613</v>
          </cell>
          <cell r="CH291">
            <v>0</v>
          </cell>
          <cell r="CI291">
            <v>0</v>
          </cell>
          <cell r="CJ291">
            <v>0</v>
          </cell>
          <cell r="CK291">
            <v>0</v>
          </cell>
          <cell r="CL291">
            <v>0</v>
          </cell>
          <cell r="CM291">
            <v>0</v>
          </cell>
          <cell r="CO291">
            <v>1613</v>
          </cell>
          <cell r="CP291">
            <v>0</v>
          </cell>
          <cell r="CQ291">
            <v>1613</v>
          </cell>
          <cell r="CR291">
            <v>0</v>
          </cell>
          <cell r="CS291">
            <v>0</v>
          </cell>
          <cell r="CT291">
            <v>0</v>
          </cell>
          <cell r="CU291">
            <v>0</v>
          </cell>
          <cell r="CV291">
            <v>0</v>
          </cell>
          <cell r="CW291">
            <v>0</v>
          </cell>
          <cell r="CY291">
            <v>1613</v>
          </cell>
          <cell r="CZ291">
            <v>0</v>
          </cell>
          <cell r="DA291">
            <v>1613</v>
          </cell>
          <cell r="DB291">
            <v>0</v>
          </cell>
          <cell r="DC291">
            <v>0</v>
          </cell>
          <cell r="DD291">
            <v>0</v>
          </cell>
          <cell r="DE291">
            <v>0</v>
          </cell>
          <cell r="DF291">
            <v>0</v>
          </cell>
          <cell r="DG291">
            <v>0</v>
          </cell>
          <cell r="DI291">
            <v>14120</v>
          </cell>
          <cell r="DJ291">
            <v>15680</v>
          </cell>
          <cell r="DK291">
            <v>0</v>
          </cell>
          <cell r="DL291">
            <v>15680</v>
          </cell>
          <cell r="DM291">
            <v>15680</v>
          </cell>
          <cell r="DN291">
            <v>0</v>
          </cell>
          <cell r="DO291">
            <v>15680</v>
          </cell>
          <cell r="DP291">
            <v>0</v>
          </cell>
          <cell r="DQ291">
            <v>0</v>
          </cell>
          <cell r="DR291">
            <v>0</v>
          </cell>
          <cell r="DS291">
            <v>0</v>
          </cell>
          <cell r="DT291">
            <v>31360</v>
          </cell>
          <cell r="DU291">
            <v>0</v>
          </cell>
          <cell r="DW291">
            <v>0</v>
          </cell>
          <cell r="DX291">
            <v>0</v>
          </cell>
          <cell r="DY291">
            <v>17112</v>
          </cell>
          <cell r="DZ291">
            <v>20104</v>
          </cell>
          <cell r="EA291">
            <v>23186</v>
          </cell>
          <cell r="EB291">
            <v>26268</v>
          </cell>
          <cell r="EC291">
            <v>29350</v>
          </cell>
          <cell r="ED291">
            <v>32576</v>
          </cell>
          <cell r="EE291">
            <v>35802</v>
          </cell>
          <cell r="EF291">
            <v>39028</v>
          </cell>
          <cell r="EG291">
            <v>42254</v>
          </cell>
          <cell r="EH291">
            <v>45480</v>
          </cell>
          <cell r="EI291">
            <v>311160</v>
          </cell>
          <cell r="EK291">
            <v>0</v>
          </cell>
          <cell r="EL291">
            <v>0</v>
          </cell>
          <cell r="EM291">
            <v>114.08</v>
          </cell>
          <cell r="EN291">
            <v>134.02666666666667</v>
          </cell>
          <cell r="EO291">
            <v>154.57333333333335</v>
          </cell>
          <cell r="EP291">
            <v>175.12</v>
          </cell>
          <cell r="EQ291">
            <v>195.66666666666666</v>
          </cell>
          <cell r="ER291">
            <v>217.17333333333332</v>
          </cell>
          <cell r="ES291">
            <v>256.58100000000002</v>
          </cell>
          <cell r="ET291">
            <v>279.70066666666668</v>
          </cell>
          <cell r="EU291">
            <v>302.82033333333328</v>
          </cell>
          <cell r="EV291">
            <v>325.94</v>
          </cell>
          <cell r="EW291">
            <v>2155.6819999999998</v>
          </cell>
          <cell r="EY291">
            <v>148596</v>
          </cell>
          <cell r="EZ291">
            <v>8</v>
          </cell>
          <cell r="FA291">
            <v>990.64</v>
          </cell>
          <cell r="FB291">
            <v>162564</v>
          </cell>
          <cell r="FC291">
            <v>8.6</v>
          </cell>
          <cell r="FD291">
            <v>1165.0419999999999</v>
          </cell>
          <cell r="FE291">
            <v>2155.6819999999998</v>
          </cell>
          <cell r="FF291">
            <v>47636</v>
          </cell>
          <cell r="FH291">
            <v>47636</v>
          </cell>
        </row>
        <row r="292">
          <cell r="B292">
            <v>9473</v>
          </cell>
          <cell r="C292" t="str">
            <v>11.06.2007</v>
          </cell>
          <cell r="D292" t="str">
            <v>Sanap Vijendra Ramchandra</v>
          </cell>
          <cell r="F292">
            <v>7035</v>
          </cell>
          <cell r="H292">
            <v>3195</v>
          </cell>
          <cell r="I292">
            <v>3195</v>
          </cell>
          <cell r="J292">
            <v>6390</v>
          </cell>
          <cell r="K292">
            <v>-645</v>
          </cell>
          <cell r="M292">
            <v>1057</v>
          </cell>
          <cell r="N292">
            <v>0</v>
          </cell>
          <cell r="O292">
            <v>1057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W292">
            <v>1057</v>
          </cell>
          <cell r="X292">
            <v>0</v>
          </cell>
          <cell r="Y292">
            <v>1057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G292">
            <v>1088</v>
          </cell>
          <cell r="AH292">
            <v>0</v>
          </cell>
          <cell r="AI292">
            <v>1088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Q292">
            <v>1088</v>
          </cell>
          <cell r="AR292">
            <v>0</v>
          </cell>
          <cell r="AS292">
            <v>1088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BA292">
            <v>1088</v>
          </cell>
          <cell r="BB292">
            <v>0</v>
          </cell>
          <cell r="BC292">
            <v>1088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K292">
            <v>1139</v>
          </cell>
          <cell r="BL292">
            <v>0</v>
          </cell>
          <cell r="BM292">
            <v>1139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U292">
            <v>1139</v>
          </cell>
          <cell r="BV292">
            <v>0</v>
          </cell>
          <cell r="BW292">
            <v>1139</v>
          </cell>
          <cell r="BX292">
            <v>0</v>
          </cell>
          <cell r="BY292">
            <v>0</v>
          </cell>
          <cell r="BZ292">
            <v>0</v>
          </cell>
          <cell r="CA292">
            <v>0</v>
          </cell>
          <cell r="CB292">
            <v>0</v>
          </cell>
          <cell r="CC292">
            <v>0</v>
          </cell>
          <cell r="CE292">
            <v>1139</v>
          </cell>
          <cell r="CF292">
            <v>0</v>
          </cell>
          <cell r="CG292">
            <v>1139</v>
          </cell>
          <cell r="CH292">
            <v>0</v>
          </cell>
          <cell r="CI292">
            <v>0</v>
          </cell>
          <cell r="CJ292">
            <v>0</v>
          </cell>
          <cell r="CK292">
            <v>0</v>
          </cell>
          <cell r="CL292">
            <v>0</v>
          </cell>
          <cell r="CM292">
            <v>0</v>
          </cell>
          <cell r="CO292">
            <v>1139</v>
          </cell>
          <cell r="CP292">
            <v>0</v>
          </cell>
          <cell r="CQ292">
            <v>1139</v>
          </cell>
          <cell r="CR292">
            <v>0</v>
          </cell>
          <cell r="CS292">
            <v>0</v>
          </cell>
          <cell r="CT292">
            <v>0</v>
          </cell>
          <cell r="CU292">
            <v>0</v>
          </cell>
          <cell r="CV292">
            <v>0</v>
          </cell>
          <cell r="CW292">
            <v>0</v>
          </cell>
          <cell r="CY292">
            <v>1139</v>
          </cell>
          <cell r="CZ292">
            <v>0</v>
          </cell>
          <cell r="DA292">
            <v>1139</v>
          </cell>
          <cell r="DB292">
            <v>0</v>
          </cell>
          <cell r="DC292">
            <v>0</v>
          </cell>
          <cell r="DD292">
            <v>0</v>
          </cell>
          <cell r="DE292">
            <v>0</v>
          </cell>
          <cell r="DF292">
            <v>0</v>
          </cell>
          <cell r="DG292">
            <v>0</v>
          </cell>
          <cell r="DI292">
            <v>6390</v>
          </cell>
          <cell r="DJ292">
            <v>11073</v>
          </cell>
          <cell r="DK292">
            <v>0</v>
          </cell>
          <cell r="DL292">
            <v>11073</v>
          </cell>
          <cell r="DM292">
            <v>11073</v>
          </cell>
          <cell r="DN292">
            <v>0</v>
          </cell>
          <cell r="DO292">
            <v>11073</v>
          </cell>
          <cell r="DP292">
            <v>0</v>
          </cell>
          <cell r="DQ292">
            <v>0</v>
          </cell>
          <cell r="DR292">
            <v>0</v>
          </cell>
          <cell r="DS292">
            <v>0</v>
          </cell>
          <cell r="DT292">
            <v>22146</v>
          </cell>
          <cell r="DU292">
            <v>0</v>
          </cell>
          <cell r="DW292">
            <v>0</v>
          </cell>
          <cell r="DX292">
            <v>0</v>
          </cell>
          <cell r="DY292">
            <v>8504</v>
          </cell>
          <cell r="DZ292">
            <v>10618</v>
          </cell>
          <cell r="EA292">
            <v>12794</v>
          </cell>
          <cell r="EB292">
            <v>14970</v>
          </cell>
          <cell r="EC292">
            <v>17146</v>
          </cell>
          <cell r="ED292">
            <v>19424</v>
          </cell>
          <cell r="EE292">
            <v>21702</v>
          </cell>
          <cell r="EF292">
            <v>23980</v>
          </cell>
          <cell r="EG292">
            <v>26258</v>
          </cell>
          <cell r="EH292">
            <v>28536</v>
          </cell>
          <cell r="EI292">
            <v>183932</v>
          </cell>
          <cell r="EK292">
            <v>0</v>
          </cell>
          <cell r="EL292">
            <v>0</v>
          </cell>
          <cell r="EM292">
            <v>56.693333333333335</v>
          </cell>
          <cell r="EN292">
            <v>70.786666666666676</v>
          </cell>
          <cell r="EO292">
            <v>85.293333333333337</v>
          </cell>
          <cell r="EP292">
            <v>99.8</v>
          </cell>
          <cell r="EQ292">
            <v>114.30666666666667</v>
          </cell>
          <cell r="ER292">
            <v>129.49333333333334</v>
          </cell>
          <cell r="ES292">
            <v>155.53099999999998</v>
          </cell>
          <cell r="ET292">
            <v>171.85666666666668</v>
          </cell>
          <cell r="EU292">
            <v>188.18233333333333</v>
          </cell>
          <cell r="EV292">
            <v>204.50799999999995</v>
          </cell>
          <cell r="EW292">
            <v>1276.4513333333334</v>
          </cell>
          <cell r="EY292">
            <v>83456</v>
          </cell>
          <cell r="EZ292">
            <v>8</v>
          </cell>
          <cell r="FA292">
            <v>556.37333333333333</v>
          </cell>
          <cell r="FB292">
            <v>100476</v>
          </cell>
          <cell r="FC292">
            <v>8.6</v>
          </cell>
          <cell r="FD292">
            <v>720.07799999999997</v>
          </cell>
          <cell r="FE292">
            <v>1276.4513333333334</v>
          </cell>
          <cell r="FF292">
            <v>29812</v>
          </cell>
          <cell r="FH292">
            <v>29812</v>
          </cell>
        </row>
        <row r="293">
          <cell r="B293">
            <v>9506</v>
          </cell>
          <cell r="C293" t="str">
            <v>11.06.2007</v>
          </cell>
          <cell r="D293" t="str">
            <v>Mujagunde Sandip Arun</v>
          </cell>
          <cell r="F293">
            <v>4060</v>
          </cell>
          <cell r="G293">
            <v>16500</v>
          </cell>
          <cell r="H293">
            <v>450</v>
          </cell>
          <cell r="I293">
            <v>450</v>
          </cell>
          <cell r="J293">
            <v>900</v>
          </cell>
          <cell r="K293">
            <v>-3160</v>
          </cell>
          <cell r="M293">
            <v>1057</v>
          </cell>
          <cell r="N293">
            <v>0</v>
          </cell>
          <cell r="O293">
            <v>1057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W293">
            <v>1057</v>
          </cell>
          <cell r="X293">
            <v>0</v>
          </cell>
          <cell r="Y293">
            <v>1057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G293">
            <v>1088</v>
          </cell>
          <cell r="AH293">
            <v>0</v>
          </cell>
          <cell r="AI293">
            <v>1088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Q293">
            <v>1088</v>
          </cell>
          <cell r="AR293">
            <v>0</v>
          </cell>
          <cell r="AS293">
            <v>1088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BA293">
            <v>1088</v>
          </cell>
          <cell r="BB293">
            <v>0</v>
          </cell>
          <cell r="BC293">
            <v>1088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K293">
            <v>1139</v>
          </cell>
          <cell r="BL293">
            <v>0</v>
          </cell>
          <cell r="BM293">
            <v>1139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U293">
            <v>1139</v>
          </cell>
          <cell r="BV293">
            <v>0</v>
          </cell>
          <cell r="BW293">
            <v>1139</v>
          </cell>
          <cell r="BX293">
            <v>0</v>
          </cell>
          <cell r="BY293">
            <v>0</v>
          </cell>
          <cell r="BZ293">
            <v>0</v>
          </cell>
          <cell r="CA293">
            <v>0</v>
          </cell>
          <cell r="CB293">
            <v>0</v>
          </cell>
          <cell r="CC293">
            <v>0</v>
          </cell>
          <cell r="CE293">
            <v>1139</v>
          </cell>
          <cell r="CF293">
            <v>0</v>
          </cell>
          <cell r="CG293">
            <v>1139</v>
          </cell>
          <cell r="CH293">
            <v>0</v>
          </cell>
          <cell r="CI293">
            <v>0</v>
          </cell>
          <cell r="CJ293">
            <v>0</v>
          </cell>
          <cell r="CK293">
            <v>0</v>
          </cell>
          <cell r="CL293">
            <v>0</v>
          </cell>
          <cell r="CM293">
            <v>0</v>
          </cell>
          <cell r="CO293">
            <v>1139</v>
          </cell>
          <cell r="CP293">
            <v>0</v>
          </cell>
          <cell r="CQ293">
            <v>1139</v>
          </cell>
          <cell r="CR293">
            <v>0</v>
          </cell>
          <cell r="CS293">
            <v>0</v>
          </cell>
          <cell r="CT293">
            <v>0</v>
          </cell>
          <cell r="CU293">
            <v>0</v>
          </cell>
          <cell r="CV293">
            <v>0</v>
          </cell>
          <cell r="CW293">
            <v>0</v>
          </cell>
          <cell r="CY293">
            <v>1139</v>
          </cell>
          <cell r="CZ293">
            <v>0</v>
          </cell>
          <cell r="DA293">
            <v>1139</v>
          </cell>
          <cell r="DB293">
            <v>0</v>
          </cell>
          <cell r="DC293">
            <v>0</v>
          </cell>
          <cell r="DD293">
            <v>0</v>
          </cell>
          <cell r="DE293">
            <v>0</v>
          </cell>
          <cell r="DF293">
            <v>0</v>
          </cell>
          <cell r="DG293">
            <v>0</v>
          </cell>
          <cell r="DI293">
            <v>900</v>
          </cell>
          <cell r="DJ293">
            <v>11073</v>
          </cell>
          <cell r="DK293">
            <v>0</v>
          </cell>
          <cell r="DL293">
            <v>11073</v>
          </cell>
          <cell r="DM293">
            <v>11073</v>
          </cell>
          <cell r="DN293">
            <v>0</v>
          </cell>
          <cell r="DO293">
            <v>11073</v>
          </cell>
          <cell r="DP293">
            <v>0</v>
          </cell>
          <cell r="DQ293">
            <v>0</v>
          </cell>
          <cell r="DR293">
            <v>0</v>
          </cell>
          <cell r="DS293">
            <v>0</v>
          </cell>
          <cell r="DT293">
            <v>22146</v>
          </cell>
          <cell r="DU293">
            <v>0</v>
          </cell>
          <cell r="DW293">
            <v>0</v>
          </cell>
          <cell r="DX293">
            <v>0</v>
          </cell>
          <cell r="DY293">
            <v>3014</v>
          </cell>
          <cell r="DZ293">
            <v>5128</v>
          </cell>
          <cell r="EA293">
            <v>7304</v>
          </cell>
          <cell r="EB293">
            <v>9480</v>
          </cell>
          <cell r="EC293">
            <v>11656</v>
          </cell>
          <cell r="ED293">
            <v>13934</v>
          </cell>
          <cell r="EE293">
            <v>16212</v>
          </cell>
          <cell r="EF293">
            <v>18490</v>
          </cell>
          <cell r="EG293">
            <v>20768</v>
          </cell>
          <cell r="EH293">
            <v>23046</v>
          </cell>
          <cell r="EI293">
            <v>129032</v>
          </cell>
          <cell r="EK293">
            <v>0</v>
          </cell>
          <cell r="EL293">
            <v>0</v>
          </cell>
          <cell r="EM293">
            <v>20.093333333333334</v>
          </cell>
          <cell r="EN293">
            <v>34.186666666666667</v>
          </cell>
          <cell r="EO293">
            <v>48.693333333333335</v>
          </cell>
          <cell r="EP293">
            <v>63.199999999999996</v>
          </cell>
          <cell r="EQ293">
            <v>77.706666666666663</v>
          </cell>
          <cell r="ER293">
            <v>92.893333333333331</v>
          </cell>
          <cell r="ES293">
            <v>116.18599999999998</v>
          </cell>
          <cell r="ET293">
            <v>132.51166666666668</v>
          </cell>
          <cell r="EU293">
            <v>148.83733333333331</v>
          </cell>
          <cell r="EV293">
            <v>165.16300000000001</v>
          </cell>
          <cell r="EW293">
            <v>899.47133333333329</v>
          </cell>
          <cell r="EY293">
            <v>50516</v>
          </cell>
          <cell r="EZ293">
            <v>8</v>
          </cell>
          <cell r="FA293">
            <v>336.77333333333337</v>
          </cell>
          <cell r="FB293">
            <v>78516</v>
          </cell>
          <cell r="FC293">
            <v>8.6</v>
          </cell>
          <cell r="FD293">
            <v>562.69799999999998</v>
          </cell>
          <cell r="FE293">
            <v>899.4713333333334</v>
          </cell>
          <cell r="FF293">
            <v>23945</v>
          </cell>
          <cell r="FH293">
            <v>23945</v>
          </cell>
        </row>
        <row r="294">
          <cell r="B294">
            <v>9568</v>
          </cell>
          <cell r="C294" t="str">
            <v>11.06.2007</v>
          </cell>
          <cell r="D294" t="str">
            <v>Dhotre Sanjay Ramchandra</v>
          </cell>
          <cell r="F294">
            <v>1015</v>
          </cell>
          <cell r="H294">
            <v>450</v>
          </cell>
          <cell r="I294">
            <v>450</v>
          </cell>
          <cell r="J294">
            <v>900</v>
          </cell>
          <cell r="K294">
            <v>-115</v>
          </cell>
          <cell r="M294">
            <v>1057</v>
          </cell>
          <cell r="N294">
            <v>0</v>
          </cell>
          <cell r="O294">
            <v>1057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W294">
            <v>1057</v>
          </cell>
          <cell r="X294">
            <v>0</v>
          </cell>
          <cell r="Y294">
            <v>1057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G294">
            <v>1088</v>
          </cell>
          <cell r="AH294">
            <v>0</v>
          </cell>
          <cell r="AI294">
            <v>1088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Q294">
            <v>1088</v>
          </cell>
          <cell r="AR294">
            <v>0</v>
          </cell>
          <cell r="AS294">
            <v>1088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BA294">
            <v>1088</v>
          </cell>
          <cell r="BB294">
            <v>0</v>
          </cell>
          <cell r="BC294">
            <v>1088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K294">
            <v>1139</v>
          </cell>
          <cell r="BL294">
            <v>0</v>
          </cell>
          <cell r="BM294">
            <v>1139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U294">
            <v>1139</v>
          </cell>
          <cell r="BV294">
            <v>0</v>
          </cell>
          <cell r="BW294">
            <v>1139</v>
          </cell>
          <cell r="BX294">
            <v>0</v>
          </cell>
          <cell r="BY294">
            <v>0</v>
          </cell>
          <cell r="BZ294">
            <v>0</v>
          </cell>
          <cell r="CA294">
            <v>0</v>
          </cell>
          <cell r="CB294">
            <v>0</v>
          </cell>
          <cell r="CC294">
            <v>0</v>
          </cell>
          <cell r="CE294">
            <v>1139</v>
          </cell>
          <cell r="CF294">
            <v>0</v>
          </cell>
          <cell r="CG294">
            <v>1139</v>
          </cell>
          <cell r="CH294">
            <v>0</v>
          </cell>
          <cell r="CI294">
            <v>0</v>
          </cell>
          <cell r="CJ294">
            <v>0</v>
          </cell>
          <cell r="CK294">
            <v>0</v>
          </cell>
          <cell r="CL294">
            <v>0</v>
          </cell>
          <cell r="CM294">
            <v>0</v>
          </cell>
          <cell r="CO294">
            <v>1139</v>
          </cell>
          <cell r="CP294">
            <v>0</v>
          </cell>
          <cell r="CQ294">
            <v>1139</v>
          </cell>
          <cell r="CR294">
            <v>0</v>
          </cell>
          <cell r="CS294">
            <v>0</v>
          </cell>
          <cell r="CT294">
            <v>0</v>
          </cell>
          <cell r="CU294">
            <v>0</v>
          </cell>
          <cell r="CV294">
            <v>0</v>
          </cell>
          <cell r="CW294">
            <v>0</v>
          </cell>
          <cell r="CY294">
            <v>1139</v>
          </cell>
          <cell r="CZ294">
            <v>0</v>
          </cell>
          <cell r="DA294">
            <v>1139</v>
          </cell>
          <cell r="DB294">
            <v>0</v>
          </cell>
          <cell r="DC294">
            <v>0</v>
          </cell>
          <cell r="DD294">
            <v>0</v>
          </cell>
          <cell r="DE294">
            <v>0</v>
          </cell>
          <cell r="DF294">
            <v>0</v>
          </cell>
          <cell r="DG294">
            <v>0</v>
          </cell>
          <cell r="DI294">
            <v>900</v>
          </cell>
          <cell r="DJ294">
            <v>11073</v>
          </cell>
          <cell r="DK294">
            <v>0</v>
          </cell>
          <cell r="DL294">
            <v>11073</v>
          </cell>
          <cell r="DM294">
            <v>11073</v>
          </cell>
          <cell r="DN294">
            <v>0</v>
          </cell>
          <cell r="DO294">
            <v>11073</v>
          </cell>
          <cell r="DP294">
            <v>0</v>
          </cell>
          <cell r="DQ294">
            <v>0</v>
          </cell>
          <cell r="DR294">
            <v>0</v>
          </cell>
          <cell r="DS294">
            <v>0</v>
          </cell>
          <cell r="DT294">
            <v>22146</v>
          </cell>
          <cell r="DU294">
            <v>0</v>
          </cell>
          <cell r="DW294">
            <v>0</v>
          </cell>
          <cell r="DX294">
            <v>0</v>
          </cell>
          <cell r="DY294">
            <v>3014</v>
          </cell>
          <cell r="DZ294">
            <v>5128</v>
          </cell>
          <cell r="EA294">
            <v>7304</v>
          </cell>
          <cell r="EB294">
            <v>9480</v>
          </cell>
          <cell r="EC294">
            <v>11656</v>
          </cell>
          <cell r="ED294">
            <v>13934</v>
          </cell>
          <cell r="EE294">
            <v>16212</v>
          </cell>
          <cell r="EF294">
            <v>18490</v>
          </cell>
          <cell r="EG294">
            <v>20768</v>
          </cell>
          <cell r="EH294">
            <v>23046</v>
          </cell>
          <cell r="EI294">
            <v>129032</v>
          </cell>
          <cell r="EK294">
            <v>0</v>
          </cell>
          <cell r="EL294">
            <v>0</v>
          </cell>
          <cell r="EM294">
            <v>20.093333333333334</v>
          </cell>
          <cell r="EN294">
            <v>34.186666666666667</v>
          </cell>
          <cell r="EO294">
            <v>48.693333333333335</v>
          </cell>
          <cell r="EP294">
            <v>63.199999999999996</v>
          </cell>
          <cell r="EQ294">
            <v>77.706666666666663</v>
          </cell>
          <cell r="ER294">
            <v>92.893333333333331</v>
          </cell>
          <cell r="ES294">
            <v>116.18599999999998</v>
          </cell>
          <cell r="ET294">
            <v>132.51166666666668</v>
          </cell>
          <cell r="EU294">
            <v>148.83733333333331</v>
          </cell>
          <cell r="EV294">
            <v>165.16300000000001</v>
          </cell>
          <cell r="EW294">
            <v>899.47133333333329</v>
          </cell>
          <cell r="EY294">
            <v>50516</v>
          </cell>
          <cell r="EZ294">
            <v>8</v>
          </cell>
          <cell r="FA294">
            <v>336.77333333333337</v>
          </cell>
          <cell r="FB294">
            <v>78516</v>
          </cell>
          <cell r="FC294">
            <v>8.6</v>
          </cell>
          <cell r="FD294">
            <v>562.69799999999998</v>
          </cell>
          <cell r="FE294">
            <v>899.4713333333334</v>
          </cell>
          <cell r="FF294">
            <v>23945</v>
          </cell>
          <cell r="FH294">
            <v>23945</v>
          </cell>
        </row>
        <row r="295">
          <cell r="B295">
            <v>9419</v>
          </cell>
          <cell r="C295" t="str">
            <v>12.06.2007</v>
          </cell>
          <cell r="D295" t="str">
            <v>Malekar Sanjay Pandurang</v>
          </cell>
          <cell r="F295">
            <v>7980</v>
          </cell>
          <cell r="G295">
            <v>20369</v>
          </cell>
          <cell r="H295">
            <v>3663</v>
          </cell>
          <cell r="I295">
            <v>3663</v>
          </cell>
          <cell r="J295">
            <v>7326</v>
          </cell>
          <cell r="K295">
            <v>-654</v>
          </cell>
          <cell r="M295">
            <v>1057</v>
          </cell>
          <cell r="N295">
            <v>0</v>
          </cell>
          <cell r="O295">
            <v>1057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W295">
            <v>1057</v>
          </cell>
          <cell r="X295">
            <v>0</v>
          </cell>
          <cell r="Y295">
            <v>1057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G295">
            <v>1088</v>
          </cell>
          <cell r="AH295">
            <v>0</v>
          </cell>
          <cell r="AI295">
            <v>1088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Q295">
            <v>1088</v>
          </cell>
          <cell r="AR295">
            <v>0</v>
          </cell>
          <cell r="AS295">
            <v>1088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BA295">
            <v>1088</v>
          </cell>
          <cell r="BB295">
            <v>0</v>
          </cell>
          <cell r="BC295">
            <v>1088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K295">
            <v>1139</v>
          </cell>
          <cell r="BL295">
            <v>0</v>
          </cell>
          <cell r="BM295">
            <v>1139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U295">
            <v>1139</v>
          </cell>
          <cell r="BV295">
            <v>0</v>
          </cell>
          <cell r="BW295">
            <v>1139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E295">
            <v>1139</v>
          </cell>
          <cell r="CF295">
            <v>0</v>
          </cell>
          <cell r="CG295">
            <v>1139</v>
          </cell>
          <cell r="CH295">
            <v>0</v>
          </cell>
          <cell r="CI295">
            <v>0</v>
          </cell>
          <cell r="CJ295">
            <v>0</v>
          </cell>
          <cell r="CK295">
            <v>0</v>
          </cell>
          <cell r="CL295">
            <v>0</v>
          </cell>
          <cell r="CM295">
            <v>0</v>
          </cell>
          <cell r="CO295">
            <v>1139</v>
          </cell>
          <cell r="CP295">
            <v>0</v>
          </cell>
          <cell r="CQ295">
            <v>1139</v>
          </cell>
          <cell r="CR295">
            <v>0</v>
          </cell>
          <cell r="CS295">
            <v>0</v>
          </cell>
          <cell r="CT295">
            <v>0</v>
          </cell>
          <cell r="CU295">
            <v>0</v>
          </cell>
          <cell r="CV295">
            <v>0</v>
          </cell>
          <cell r="CW295">
            <v>0</v>
          </cell>
          <cell r="CY295">
            <v>1139</v>
          </cell>
          <cell r="CZ295">
            <v>0</v>
          </cell>
          <cell r="DA295">
            <v>1139</v>
          </cell>
          <cell r="DB295">
            <v>0</v>
          </cell>
          <cell r="DC295">
            <v>0</v>
          </cell>
          <cell r="DD295">
            <v>0</v>
          </cell>
          <cell r="DE295">
            <v>0</v>
          </cell>
          <cell r="DF295">
            <v>0</v>
          </cell>
          <cell r="DG295">
            <v>0</v>
          </cell>
          <cell r="DI295">
            <v>7326</v>
          </cell>
          <cell r="DJ295">
            <v>11073</v>
          </cell>
          <cell r="DK295">
            <v>0</v>
          </cell>
          <cell r="DL295">
            <v>11073</v>
          </cell>
          <cell r="DM295">
            <v>11073</v>
          </cell>
          <cell r="DN295">
            <v>0</v>
          </cell>
          <cell r="DO295">
            <v>11073</v>
          </cell>
          <cell r="DP295">
            <v>0</v>
          </cell>
          <cell r="DQ295">
            <v>0</v>
          </cell>
          <cell r="DR295">
            <v>0</v>
          </cell>
          <cell r="DS295">
            <v>0</v>
          </cell>
          <cell r="DT295">
            <v>22146</v>
          </cell>
          <cell r="DU295">
            <v>0</v>
          </cell>
          <cell r="DW295">
            <v>0</v>
          </cell>
          <cell r="DX295">
            <v>0</v>
          </cell>
          <cell r="DY295">
            <v>9440</v>
          </cell>
          <cell r="DZ295">
            <v>11554</v>
          </cell>
          <cell r="EA295">
            <v>13730</v>
          </cell>
          <cell r="EB295">
            <v>15906</v>
          </cell>
          <cell r="EC295">
            <v>18082</v>
          </cell>
          <cell r="ED295">
            <v>20360</v>
          </cell>
          <cell r="EE295">
            <v>22638</v>
          </cell>
          <cell r="EF295">
            <v>24916</v>
          </cell>
          <cell r="EG295">
            <v>27194</v>
          </cell>
          <cell r="EH295">
            <v>29472</v>
          </cell>
          <cell r="EI295">
            <v>193292</v>
          </cell>
          <cell r="EK295">
            <v>0</v>
          </cell>
          <cell r="EL295">
            <v>0</v>
          </cell>
          <cell r="EM295">
            <v>62.933333333333337</v>
          </cell>
          <cell r="EN295">
            <v>77.026666666666671</v>
          </cell>
          <cell r="EO295">
            <v>91.533333333333346</v>
          </cell>
          <cell r="EP295">
            <v>106.04</v>
          </cell>
          <cell r="EQ295">
            <v>120.54666666666667</v>
          </cell>
          <cell r="ER295">
            <v>135.73333333333332</v>
          </cell>
          <cell r="ES295">
            <v>162.239</v>
          </cell>
          <cell r="ET295">
            <v>178.56466666666665</v>
          </cell>
          <cell r="EU295">
            <v>194.8903333333333</v>
          </cell>
          <cell r="EV295">
            <v>211.21599999999998</v>
          </cell>
          <cell r="EW295">
            <v>1340.7233333333334</v>
          </cell>
          <cell r="EY295">
            <v>89072</v>
          </cell>
          <cell r="EZ295">
            <v>8</v>
          </cell>
          <cell r="FA295">
            <v>593.81333333333339</v>
          </cell>
          <cell r="FB295">
            <v>104220</v>
          </cell>
          <cell r="FC295">
            <v>8.6</v>
          </cell>
          <cell r="FD295">
            <v>746.91</v>
          </cell>
          <cell r="FE295">
            <v>1340.7233333333334</v>
          </cell>
          <cell r="FF295">
            <v>30813</v>
          </cell>
          <cell r="FH295">
            <v>30813</v>
          </cell>
        </row>
        <row r="296">
          <cell r="B296">
            <v>9420</v>
          </cell>
          <cell r="C296" t="str">
            <v>12.06.2007</v>
          </cell>
          <cell r="D296" t="str">
            <v>Wagh Ananta Dattatray</v>
          </cell>
          <cell r="F296">
            <v>7035</v>
          </cell>
          <cell r="G296">
            <v>20369</v>
          </cell>
          <cell r="H296">
            <v>4295</v>
          </cell>
          <cell r="I296">
            <v>4295</v>
          </cell>
          <cell r="J296">
            <v>8590</v>
          </cell>
          <cell r="K296">
            <v>1555</v>
          </cell>
          <cell r="M296">
            <v>1057</v>
          </cell>
          <cell r="N296">
            <v>0</v>
          </cell>
          <cell r="O296">
            <v>1057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W296">
            <v>1057</v>
          </cell>
          <cell r="X296">
            <v>0</v>
          </cell>
          <cell r="Y296">
            <v>1057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G296">
            <v>1088</v>
          </cell>
          <cell r="AH296">
            <v>0</v>
          </cell>
          <cell r="AI296">
            <v>1088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Q296">
            <v>1088</v>
          </cell>
          <cell r="AR296">
            <v>0</v>
          </cell>
          <cell r="AS296">
            <v>1088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BA296">
            <v>1088</v>
          </cell>
          <cell r="BB296">
            <v>0</v>
          </cell>
          <cell r="BC296">
            <v>1088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K296">
            <v>1139</v>
          </cell>
          <cell r="BL296">
            <v>0</v>
          </cell>
          <cell r="BM296">
            <v>1139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  <cell r="BS296">
            <v>0</v>
          </cell>
          <cell r="BU296">
            <v>1139</v>
          </cell>
          <cell r="BV296">
            <v>0</v>
          </cell>
          <cell r="BW296">
            <v>1139</v>
          </cell>
          <cell r="BX296">
            <v>0</v>
          </cell>
          <cell r="BY296">
            <v>0</v>
          </cell>
          <cell r="BZ296">
            <v>0</v>
          </cell>
          <cell r="CA296">
            <v>0</v>
          </cell>
          <cell r="CB296">
            <v>0</v>
          </cell>
          <cell r="CC296">
            <v>0</v>
          </cell>
          <cell r="CE296">
            <v>1139</v>
          </cell>
          <cell r="CF296">
            <v>0</v>
          </cell>
          <cell r="CG296">
            <v>1139</v>
          </cell>
          <cell r="CH296">
            <v>0</v>
          </cell>
          <cell r="CI296">
            <v>0</v>
          </cell>
          <cell r="CJ296">
            <v>0</v>
          </cell>
          <cell r="CK296">
            <v>0</v>
          </cell>
          <cell r="CL296">
            <v>0</v>
          </cell>
          <cell r="CM296">
            <v>0</v>
          </cell>
          <cell r="CO296">
            <v>1139</v>
          </cell>
          <cell r="CP296">
            <v>0</v>
          </cell>
          <cell r="CQ296">
            <v>1139</v>
          </cell>
          <cell r="CR296">
            <v>0</v>
          </cell>
          <cell r="CS296">
            <v>0</v>
          </cell>
          <cell r="CT296">
            <v>0</v>
          </cell>
          <cell r="CU296">
            <v>0</v>
          </cell>
          <cell r="CV296">
            <v>0</v>
          </cell>
          <cell r="CW296">
            <v>0</v>
          </cell>
          <cell r="CY296">
            <v>1139</v>
          </cell>
          <cell r="CZ296">
            <v>0</v>
          </cell>
          <cell r="DA296">
            <v>1139</v>
          </cell>
          <cell r="DB296">
            <v>0</v>
          </cell>
          <cell r="DC296">
            <v>0</v>
          </cell>
          <cell r="DD296">
            <v>0</v>
          </cell>
          <cell r="DE296">
            <v>0</v>
          </cell>
          <cell r="DF296">
            <v>0</v>
          </cell>
          <cell r="DG296">
            <v>0</v>
          </cell>
          <cell r="DI296">
            <v>8590</v>
          </cell>
          <cell r="DJ296">
            <v>11073</v>
          </cell>
          <cell r="DK296">
            <v>0</v>
          </cell>
          <cell r="DL296">
            <v>11073</v>
          </cell>
          <cell r="DM296">
            <v>11073</v>
          </cell>
          <cell r="DN296">
            <v>0</v>
          </cell>
          <cell r="DO296">
            <v>11073</v>
          </cell>
          <cell r="DP296">
            <v>0</v>
          </cell>
          <cell r="DQ296">
            <v>0</v>
          </cell>
          <cell r="DR296">
            <v>0</v>
          </cell>
          <cell r="DS296">
            <v>0</v>
          </cell>
          <cell r="DT296">
            <v>22146</v>
          </cell>
          <cell r="DU296">
            <v>0</v>
          </cell>
          <cell r="DW296">
            <v>0</v>
          </cell>
          <cell r="DX296">
            <v>0</v>
          </cell>
          <cell r="DY296">
            <v>10704</v>
          </cell>
          <cell r="DZ296">
            <v>12818</v>
          </cell>
          <cell r="EA296">
            <v>14994</v>
          </cell>
          <cell r="EB296">
            <v>17170</v>
          </cell>
          <cell r="EC296">
            <v>19346</v>
          </cell>
          <cell r="ED296">
            <v>21624</v>
          </cell>
          <cell r="EE296">
            <v>23902</v>
          </cell>
          <cell r="EF296">
            <v>26180</v>
          </cell>
          <cell r="EG296">
            <v>28458</v>
          </cell>
          <cell r="EH296">
            <v>30736</v>
          </cell>
          <cell r="EI296">
            <v>205932</v>
          </cell>
          <cell r="EK296">
            <v>0</v>
          </cell>
          <cell r="EL296">
            <v>0</v>
          </cell>
          <cell r="EM296">
            <v>71.36</v>
          </cell>
          <cell r="EN296">
            <v>85.453333333333333</v>
          </cell>
          <cell r="EO296">
            <v>99.96</v>
          </cell>
          <cell r="EP296">
            <v>114.46666666666665</v>
          </cell>
          <cell r="EQ296">
            <v>128.97333333333333</v>
          </cell>
          <cell r="ER296">
            <v>144.16</v>
          </cell>
          <cell r="ES296">
            <v>171.29766666666663</v>
          </cell>
          <cell r="ET296">
            <v>187.62333333333333</v>
          </cell>
          <cell r="EU296">
            <v>203.94899999999998</v>
          </cell>
          <cell r="EV296">
            <v>220.27466666666666</v>
          </cell>
          <cell r="EW296">
            <v>1427.5179999999998</v>
          </cell>
          <cell r="EY296">
            <v>96656</v>
          </cell>
          <cell r="EZ296">
            <v>8</v>
          </cell>
          <cell r="FA296">
            <v>644.37333333333333</v>
          </cell>
          <cell r="FB296">
            <v>109276</v>
          </cell>
          <cell r="FC296">
            <v>8.6</v>
          </cell>
          <cell r="FD296">
            <v>783.14466666666658</v>
          </cell>
          <cell r="FE296">
            <v>1427.518</v>
          </cell>
          <cell r="FF296">
            <v>32164</v>
          </cell>
          <cell r="FH296">
            <v>32164</v>
          </cell>
        </row>
        <row r="297">
          <cell r="B297">
            <v>9421</v>
          </cell>
          <cell r="C297" t="str">
            <v>12.06.2007</v>
          </cell>
          <cell r="D297" t="str">
            <v>Charoskar Bharat Chandrakant</v>
          </cell>
          <cell r="F297">
            <v>7035</v>
          </cell>
          <cell r="G297">
            <v>20369</v>
          </cell>
          <cell r="H297">
            <v>4295</v>
          </cell>
          <cell r="I297">
            <v>4295</v>
          </cell>
          <cell r="J297">
            <v>8590</v>
          </cell>
          <cell r="K297">
            <v>1555</v>
          </cell>
          <cell r="M297">
            <v>1057</v>
          </cell>
          <cell r="N297">
            <v>0</v>
          </cell>
          <cell r="O297">
            <v>1057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W297">
            <v>1057</v>
          </cell>
          <cell r="X297">
            <v>0</v>
          </cell>
          <cell r="Y297">
            <v>1057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G297">
            <v>1088</v>
          </cell>
          <cell r="AH297">
            <v>0</v>
          </cell>
          <cell r="AI297">
            <v>1088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Q297">
            <v>1088</v>
          </cell>
          <cell r="AR297">
            <v>0</v>
          </cell>
          <cell r="AS297">
            <v>1088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BA297">
            <v>1088</v>
          </cell>
          <cell r="BB297">
            <v>0</v>
          </cell>
          <cell r="BC297">
            <v>1088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K297">
            <v>1139</v>
          </cell>
          <cell r="BL297">
            <v>0</v>
          </cell>
          <cell r="BM297">
            <v>1139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  <cell r="BS297">
            <v>0</v>
          </cell>
          <cell r="BU297">
            <v>1139</v>
          </cell>
          <cell r="BV297">
            <v>0</v>
          </cell>
          <cell r="BW297">
            <v>1139</v>
          </cell>
          <cell r="BX297">
            <v>0</v>
          </cell>
          <cell r="BY297">
            <v>0</v>
          </cell>
          <cell r="BZ297">
            <v>0</v>
          </cell>
          <cell r="CA297">
            <v>0</v>
          </cell>
          <cell r="CB297">
            <v>0</v>
          </cell>
          <cell r="CC297">
            <v>0</v>
          </cell>
          <cell r="CE297">
            <v>1139</v>
          </cell>
          <cell r="CF297">
            <v>0</v>
          </cell>
          <cell r="CG297">
            <v>1139</v>
          </cell>
          <cell r="CH297">
            <v>0</v>
          </cell>
          <cell r="CI297">
            <v>0</v>
          </cell>
          <cell r="CJ297">
            <v>0</v>
          </cell>
          <cell r="CK297">
            <v>0</v>
          </cell>
          <cell r="CL297">
            <v>0</v>
          </cell>
          <cell r="CM297">
            <v>0</v>
          </cell>
          <cell r="CO297">
            <v>1139</v>
          </cell>
          <cell r="CP297">
            <v>0</v>
          </cell>
          <cell r="CQ297">
            <v>1139</v>
          </cell>
          <cell r="CR297">
            <v>0</v>
          </cell>
          <cell r="CS297">
            <v>0</v>
          </cell>
          <cell r="CT297">
            <v>0</v>
          </cell>
          <cell r="CU297">
            <v>0</v>
          </cell>
          <cell r="CV297">
            <v>0</v>
          </cell>
          <cell r="CW297">
            <v>0</v>
          </cell>
          <cell r="CY297">
            <v>1139</v>
          </cell>
          <cell r="CZ297">
            <v>0</v>
          </cell>
          <cell r="DA297">
            <v>1139</v>
          </cell>
          <cell r="DB297">
            <v>0</v>
          </cell>
          <cell r="DC297">
            <v>0</v>
          </cell>
          <cell r="DD297">
            <v>0</v>
          </cell>
          <cell r="DE297">
            <v>0</v>
          </cell>
          <cell r="DF297">
            <v>0</v>
          </cell>
          <cell r="DG297">
            <v>0</v>
          </cell>
          <cell r="DI297">
            <v>8590</v>
          </cell>
          <cell r="DJ297">
            <v>11073</v>
          </cell>
          <cell r="DK297">
            <v>0</v>
          </cell>
          <cell r="DL297">
            <v>11073</v>
          </cell>
          <cell r="DM297">
            <v>11073</v>
          </cell>
          <cell r="DN297">
            <v>0</v>
          </cell>
          <cell r="DO297">
            <v>11073</v>
          </cell>
          <cell r="DP297">
            <v>0</v>
          </cell>
          <cell r="DQ297">
            <v>0</v>
          </cell>
          <cell r="DR297">
            <v>0</v>
          </cell>
          <cell r="DS297">
            <v>0</v>
          </cell>
          <cell r="DT297">
            <v>22146</v>
          </cell>
          <cell r="DU297">
            <v>0</v>
          </cell>
          <cell r="DW297">
            <v>0</v>
          </cell>
          <cell r="DX297">
            <v>0</v>
          </cell>
          <cell r="DY297">
            <v>10704</v>
          </cell>
          <cell r="DZ297">
            <v>12818</v>
          </cell>
          <cell r="EA297">
            <v>14994</v>
          </cell>
          <cell r="EB297">
            <v>17170</v>
          </cell>
          <cell r="EC297">
            <v>19346</v>
          </cell>
          <cell r="ED297">
            <v>21624</v>
          </cell>
          <cell r="EE297">
            <v>23902</v>
          </cell>
          <cell r="EF297">
            <v>26180</v>
          </cell>
          <cell r="EG297">
            <v>28458</v>
          </cell>
          <cell r="EH297">
            <v>30736</v>
          </cell>
          <cell r="EI297">
            <v>205932</v>
          </cell>
          <cell r="EK297">
            <v>0</v>
          </cell>
          <cell r="EL297">
            <v>0</v>
          </cell>
          <cell r="EM297">
            <v>71.36</v>
          </cell>
          <cell r="EN297">
            <v>85.453333333333333</v>
          </cell>
          <cell r="EO297">
            <v>99.96</v>
          </cell>
          <cell r="EP297">
            <v>114.46666666666665</v>
          </cell>
          <cell r="EQ297">
            <v>128.97333333333333</v>
          </cell>
          <cell r="ER297">
            <v>144.16</v>
          </cell>
          <cell r="ES297">
            <v>171.29766666666663</v>
          </cell>
          <cell r="ET297">
            <v>187.62333333333333</v>
          </cell>
          <cell r="EU297">
            <v>203.94899999999998</v>
          </cell>
          <cell r="EV297">
            <v>220.27466666666666</v>
          </cell>
          <cell r="EW297">
            <v>1427.5179999999998</v>
          </cell>
          <cell r="EY297">
            <v>96656</v>
          </cell>
          <cell r="EZ297">
            <v>8</v>
          </cell>
          <cell r="FA297">
            <v>644.37333333333333</v>
          </cell>
          <cell r="FB297">
            <v>109276</v>
          </cell>
          <cell r="FC297">
            <v>8.6</v>
          </cell>
          <cell r="FD297">
            <v>783.14466666666658</v>
          </cell>
          <cell r="FE297">
            <v>1427.518</v>
          </cell>
          <cell r="FF297">
            <v>32164</v>
          </cell>
          <cell r="FH297">
            <v>32164</v>
          </cell>
        </row>
        <row r="298">
          <cell r="B298">
            <v>9422</v>
          </cell>
          <cell r="C298" t="str">
            <v>12.06.2007</v>
          </cell>
          <cell r="D298" t="str">
            <v>Bahiram Bhaskar Yashwant</v>
          </cell>
          <cell r="F298">
            <v>7035</v>
          </cell>
          <cell r="G298">
            <v>20369</v>
          </cell>
          <cell r="H298">
            <v>4295</v>
          </cell>
          <cell r="I298">
            <v>4295</v>
          </cell>
          <cell r="J298">
            <v>8590</v>
          </cell>
          <cell r="K298">
            <v>1555</v>
          </cell>
          <cell r="M298">
            <v>1057</v>
          </cell>
          <cell r="N298">
            <v>0</v>
          </cell>
          <cell r="O298">
            <v>1057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W298">
            <v>1057</v>
          </cell>
          <cell r="X298">
            <v>0</v>
          </cell>
          <cell r="Y298">
            <v>1057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G298">
            <v>1088</v>
          </cell>
          <cell r="AH298">
            <v>0</v>
          </cell>
          <cell r="AI298">
            <v>1088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Q298">
            <v>1088</v>
          </cell>
          <cell r="AR298">
            <v>0</v>
          </cell>
          <cell r="AS298">
            <v>1088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BA298">
            <v>1088</v>
          </cell>
          <cell r="BB298">
            <v>0</v>
          </cell>
          <cell r="BC298">
            <v>1088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K298">
            <v>1139</v>
          </cell>
          <cell r="BL298">
            <v>0</v>
          </cell>
          <cell r="BM298">
            <v>1139</v>
          </cell>
          <cell r="BN298">
            <v>0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U298">
            <v>1139</v>
          </cell>
          <cell r="BV298">
            <v>0</v>
          </cell>
          <cell r="BW298">
            <v>1139</v>
          </cell>
          <cell r="BX298">
            <v>0</v>
          </cell>
          <cell r="BY298">
            <v>0</v>
          </cell>
          <cell r="BZ298">
            <v>0</v>
          </cell>
          <cell r="CA298">
            <v>0</v>
          </cell>
          <cell r="CB298">
            <v>0</v>
          </cell>
          <cell r="CC298">
            <v>0</v>
          </cell>
          <cell r="CE298">
            <v>1139</v>
          </cell>
          <cell r="CF298">
            <v>0</v>
          </cell>
          <cell r="CG298">
            <v>1139</v>
          </cell>
          <cell r="CH298">
            <v>0</v>
          </cell>
          <cell r="CI298">
            <v>0</v>
          </cell>
          <cell r="CJ298">
            <v>0</v>
          </cell>
          <cell r="CK298">
            <v>0</v>
          </cell>
          <cell r="CL298">
            <v>0</v>
          </cell>
          <cell r="CM298">
            <v>0</v>
          </cell>
          <cell r="CO298">
            <v>1139</v>
          </cell>
          <cell r="CP298">
            <v>0</v>
          </cell>
          <cell r="CQ298">
            <v>1139</v>
          </cell>
          <cell r="CR298">
            <v>0</v>
          </cell>
          <cell r="CS298">
            <v>0</v>
          </cell>
          <cell r="CT298">
            <v>0</v>
          </cell>
          <cell r="CU298">
            <v>0</v>
          </cell>
          <cell r="CV298">
            <v>0</v>
          </cell>
          <cell r="CW298">
            <v>0</v>
          </cell>
          <cell r="CY298">
            <v>1139</v>
          </cell>
          <cell r="CZ298">
            <v>0</v>
          </cell>
          <cell r="DA298">
            <v>1139</v>
          </cell>
          <cell r="DB298">
            <v>0</v>
          </cell>
          <cell r="DC298">
            <v>0</v>
          </cell>
          <cell r="DD298">
            <v>0</v>
          </cell>
          <cell r="DE298">
            <v>0</v>
          </cell>
          <cell r="DF298">
            <v>0</v>
          </cell>
          <cell r="DG298">
            <v>0</v>
          </cell>
          <cell r="DI298">
            <v>8590</v>
          </cell>
          <cell r="DJ298">
            <v>11073</v>
          </cell>
          <cell r="DK298">
            <v>0</v>
          </cell>
          <cell r="DL298">
            <v>11073</v>
          </cell>
          <cell r="DM298">
            <v>11073</v>
          </cell>
          <cell r="DN298">
            <v>0</v>
          </cell>
          <cell r="DO298">
            <v>11073</v>
          </cell>
          <cell r="DP298">
            <v>0</v>
          </cell>
          <cell r="DQ298">
            <v>0</v>
          </cell>
          <cell r="DR298">
            <v>0</v>
          </cell>
          <cell r="DS298">
            <v>0</v>
          </cell>
          <cell r="DT298">
            <v>22146</v>
          </cell>
          <cell r="DU298">
            <v>0</v>
          </cell>
          <cell r="DW298">
            <v>0</v>
          </cell>
          <cell r="DX298">
            <v>0</v>
          </cell>
          <cell r="DY298">
            <v>10704</v>
          </cell>
          <cell r="DZ298">
            <v>12818</v>
          </cell>
          <cell r="EA298">
            <v>14994</v>
          </cell>
          <cell r="EB298">
            <v>17170</v>
          </cell>
          <cell r="EC298">
            <v>19346</v>
          </cell>
          <cell r="ED298">
            <v>21624</v>
          </cell>
          <cell r="EE298">
            <v>23902</v>
          </cell>
          <cell r="EF298">
            <v>26180</v>
          </cell>
          <cell r="EG298">
            <v>28458</v>
          </cell>
          <cell r="EH298">
            <v>30736</v>
          </cell>
          <cell r="EI298">
            <v>205932</v>
          </cell>
          <cell r="EK298">
            <v>0</v>
          </cell>
          <cell r="EL298">
            <v>0</v>
          </cell>
          <cell r="EM298">
            <v>71.36</v>
          </cell>
          <cell r="EN298">
            <v>85.453333333333333</v>
          </cell>
          <cell r="EO298">
            <v>99.96</v>
          </cell>
          <cell r="EP298">
            <v>114.46666666666665</v>
          </cell>
          <cell r="EQ298">
            <v>128.97333333333333</v>
          </cell>
          <cell r="ER298">
            <v>144.16</v>
          </cell>
          <cell r="ES298">
            <v>171.29766666666663</v>
          </cell>
          <cell r="ET298">
            <v>187.62333333333333</v>
          </cell>
          <cell r="EU298">
            <v>203.94899999999998</v>
          </cell>
          <cell r="EV298">
            <v>220.27466666666666</v>
          </cell>
          <cell r="EW298">
            <v>1427.5179999999998</v>
          </cell>
          <cell r="EY298">
            <v>96656</v>
          </cell>
          <cell r="EZ298">
            <v>8</v>
          </cell>
          <cell r="FA298">
            <v>644.37333333333333</v>
          </cell>
          <cell r="FB298">
            <v>109276</v>
          </cell>
          <cell r="FC298">
            <v>8.6</v>
          </cell>
          <cell r="FD298">
            <v>783.14466666666658</v>
          </cell>
          <cell r="FE298">
            <v>1427.518</v>
          </cell>
          <cell r="FF298">
            <v>32164</v>
          </cell>
          <cell r="FH298">
            <v>32164</v>
          </cell>
        </row>
        <row r="299">
          <cell r="B299">
            <v>9432</v>
          </cell>
          <cell r="C299" t="str">
            <v>12.06.2007</v>
          </cell>
          <cell r="D299" t="str">
            <v>Jamdade Sanjay Dadasaheb</v>
          </cell>
          <cell r="F299">
            <v>7035</v>
          </cell>
          <cell r="G299">
            <v>20623</v>
          </cell>
          <cell r="H299">
            <v>4295</v>
          </cell>
          <cell r="I299">
            <v>4295</v>
          </cell>
          <cell r="J299">
            <v>8590</v>
          </cell>
          <cell r="K299">
            <v>1555</v>
          </cell>
          <cell r="M299">
            <v>1057</v>
          </cell>
          <cell r="N299">
            <v>0</v>
          </cell>
          <cell r="O299">
            <v>1057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W299">
            <v>1057</v>
          </cell>
          <cell r="X299">
            <v>0</v>
          </cell>
          <cell r="Y299">
            <v>1057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G299">
            <v>1088</v>
          </cell>
          <cell r="AH299">
            <v>0</v>
          </cell>
          <cell r="AI299">
            <v>1088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Q299">
            <v>1088</v>
          </cell>
          <cell r="AR299">
            <v>0</v>
          </cell>
          <cell r="AS299">
            <v>1088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BA299">
            <v>1088</v>
          </cell>
          <cell r="BB299">
            <v>0</v>
          </cell>
          <cell r="BC299">
            <v>1088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K299">
            <v>1139</v>
          </cell>
          <cell r="BL299">
            <v>0</v>
          </cell>
          <cell r="BM299">
            <v>1139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U299">
            <v>1139</v>
          </cell>
          <cell r="BV299">
            <v>0</v>
          </cell>
          <cell r="BW299">
            <v>1139</v>
          </cell>
          <cell r="BX299">
            <v>0</v>
          </cell>
          <cell r="BY299">
            <v>0</v>
          </cell>
          <cell r="BZ299">
            <v>0</v>
          </cell>
          <cell r="CA299">
            <v>0</v>
          </cell>
          <cell r="CB299">
            <v>0</v>
          </cell>
          <cell r="CC299">
            <v>0</v>
          </cell>
          <cell r="CE299">
            <v>1139</v>
          </cell>
          <cell r="CF299">
            <v>0</v>
          </cell>
          <cell r="CG299">
            <v>1139</v>
          </cell>
          <cell r="CH299">
            <v>0</v>
          </cell>
          <cell r="CI299">
            <v>0</v>
          </cell>
          <cell r="CJ299">
            <v>0</v>
          </cell>
          <cell r="CK299">
            <v>0</v>
          </cell>
          <cell r="CL299">
            <v>0</v>
          </cell>
          <cell r="CM299">
            <v>0</v>
          </cell>
          <cell r="CO299">
            <v>1139</v>
          </cell>
          <cell r="CP299">
            <v>0</v>
          </cell>
          <cell r="CQ299">
            <v>1139</v>
          </cell>
          <cell r="CR299">
            <v>0</v>
          </cell>
          <cell r="CS299">
            <v>0</v>
          </cell>
          <cell r="CT299">
            <v>0</v>
          </cell>
          <cell r="CU299">
            <v>0</v>
          </cell>
          <cell r="CV299">
            <v>0</v>
          </cell>
          <cell r="CW299">
            <v>0</v>
          </cell>
          <cell r="CY299">
            <v>1139</v>
          </cell>
          <cell r="CZ299">
            <v>0</v>
          </cell>
          <cell r="DA299">
            <v>1139</v>
          </cell>
          <cell r="DB299">
            <v>0</v>
          </cell>
          <cell r="DC299">
            <v>0</v>
          </cell>
          <cell r="DD299">
            <v>0</v>
          </cell>
          <cell r="DE299">
            <v>0</v>
          </cell>
          <cell r="DF299">
            <v>0</v>
          </cell>
          <cell r="DG299">
            <v>0</v>
          </cell>
          <cell r="DI299">
            <v>8590</v>
          </cell>
          <cell r="DJ299">
            <v>11073</v>
          </cell>
          <cell r="DK299">
            <v>0</v>
          </cell>
          <cell r="DL299">
            <v>11073</v>
          </cell>
          <cell r="DM299">
            <v>11073</v>
          </cell>
          <cell r="DN299">
            <v>0</v>
          </cell>
          <cell r="DO299">
            <v>11073</v>
          </cell>
          <cell r="DP299">
            <v>0</v>
          </cell>
          <cell r="DQ299">
            <v>0</v>
          </cell>
          <cell r="DR299">
            <v>0</v>
          </cell>
          <cell r="DS299">
            <v>0</v>
          </cell>
          <cell r="DT299">
            <v>22146</v>
          </cell>
          <cell r="DU299">
            <v>0</v>
          </cell>
          <cell r="DW299">
            <v>0</v>
          </cell>
          <cell r="DX299">
            <v>0</v>
          </cell>
          <cell r="DY299">
            <v>10704</v>
          </cell>
          <cell r="DZ299">
            <v>12818</v>
          </cell>
          <cell r="EA299">
            <v>14994</v>
          </cell>
          <cell r="EB299">
            <v>17170</v>
          </cell>
          <cell r="EC299">
            <v>19346</v>
          </cell>
          <cell r="ED299">
            <v>21624</v>
          </cell>
          <cell r="EE299">
            <v>23902</v>
          </cell>
          <cell r="EF299">
            <v>26180</v>
          </cell>
          <cell r="EG299">
            <v>28458</v>
          </cell>
          <cell r="EH299">
            <v>30736</v>
          </cell>
          <cell r="EI299">
            <v>205932</v>
          </cell>
          <cell r="EK299">
            <v>0</v>
          </cell>
          <cell r="EL299">
            <v>0</v>
          </cell>
          <cell r="EM299">
            <v>71.36</v>
          </cell>
          <cell r="EN299">
            <v>85.453333333333333</v>
          </cell>
          <cell r="EO299">
            <v>99.96</v>
          </cell>
          <cell r="EP299">
            <v>114.46666666666665</v>
          </cell>
          <cell r="EQ299">
            <v>128.97333333333333</v>
          </cell>
          <cell r="ER299">
            <v>144.16</v>
          </cell>
          <cell r="ES299">
            <v>171.29766666666663</v>
          </cell>
          <cell r="ET299">
            <v>187.62333333333333</v>
          </cell>
          <cell r="EU299">
            <v>203.94899999999998</v>
          </cell>
          <cell r="EV299">
            <v>220.27466666666666</v>
          </cell>
          <cell r="EW299">
            <v>1427.5179999999998</v>
          </cell>
          <cell r="EY299">
            <v>96656</v>
          </cell>
          <cell r="EZ299">
            <v>8</v>
          </cell>
          <cell r="FA299">
            <v>644.37333333333333</v>
          </cell>
          <cell r="FB299">
            <v>109276</v>
          </cell>
          <cell r="FC299">
            <v>8.6</v>
          </cell>
          <cell r="FD299">
            <v>783.14466666666658</v>
          </cell>
          <cell r="FE299">
            <v>1427.518</v>
          </cell>
          <cell r="FF299">
            <v>32164</v>
          </cell>
          <cell r="FH299">
            <v>32164</v>
          </cell>
        </row>
        <row r="300">
          <cell r="B300">
            <v>9433</v>
          </cell>
          <cell r="C300" t="str">
            <v>12.06.2007</v>
          </cell>
          <cell r="D300" t="str">
            <v>Netawate Anil Anandrao</v>
          </cell>
          <cell r="F300">
            <v>7035</v>
          </cell>
          <cell r="G300">
            <v>20623</v>
          </cell>
          <cell r="H300">
            <v>42593</v>
          </cell>
          <cell r="I300">
            <v>42593</v>
          </cell>
          <cell r="J300">
            <v>85186</v>
          </cell>
          <cell r="K300">
            <v>78151</v>
          </cell>
          <cell r="M300">
            <v>1057</v>
          </cell>
          <cell r="N300">
            <v>0</v>
          </cell>
          <cell r="O300">
            <v>1057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W300">
            <v>1057</v>
          </cell>
          <cell r="X300">
            <v>0</v>
          </cell>
          <cell r="Y300">
            <v>1057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G300">
            <v>1088</v>
          </cell>
          <cell r="AH300">
            <v>0</v>
          </cell>
          <cell r="AI300">
            <v>1088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Q300">
            <v>1088</v>
          </cell>
          <cell r="AR300">
            <v>0</v>
          </cell>
          <cell r="AS300">
            <v>1088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BA300">
            <v>1088</v>
          </cell>
          <cell r="BB300">
            <v>0</v>
          </cell>
          <cell r="BC300">
            <v>1088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K300">
            <v>1139</v>
          </cell>
          <cell r="BL300">
            <v>0</v>
          </cell>
          <cell r="BM300">
            <v>1139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  <cell r="BS300">
            <v>0</v>
          </cell>
          <cell r="BU300">
            <v>1139</v>
          </cell>
          <cell r="BV300">
            <v>0</v>
          </cell>
          <cell r="BW300">
            <v>1139</v>
          </cell>
          <cell r="BX300">
            <v>0</v>
          </cell>
          <cell r="BY300">
            <v>0</v>
          </cell>
          <cell r="BZ300">
            <v>0</v>
          </cell>
          <cell r="CA300">
            <v>0</v>
          </cell>
          <cell r="CB300">
            <v>0</v>
          </cell>
          <cell r="CC300">
            <v>0</v>
          </cell>
          <cell r="CE300">
            <v>1139</v>
          </cell>
          <cell r="CF300">
            <v>0</v>
          </cell>
          <cell r="CG300">
            <v>1139</v>
          </cell>
          <cell r="CH300">
            <v>0</v>
          </cell>
          <cell r="CI300">
            <v>0</v>
          </cell>
          <cell r="CJ300">
            <v>0</v>
          </cell>
          <cell r="CK300">
            <v>0</v>
          </cell>
          <cell r="CL300">
            <v>0</v>
          </cell>
          <cell r="CM300">
            <v>0</v>
          </cell>
          <cell r="CO300">
            <v>1139</v>
          </cell>
          <cell r="CP300">
            <v>0</v>
          </cell>
          <cell r="CQ300">
            <v>1139</v>
          </cell>
          <cell r="CR300">
            <v>0</v>
          </cell>
          <cell r="CS300">
            <v>0</v>
          </cell>
          <cell r="CT300">
            <v>0</v>
          </cell>
          <cell r="CU300">
            <v>0</v>
          </cell>
          <cell r="CV300">
            <v>0</v>
          </cell>
          <cell r="CW300">
            <v>0</v>
          </cell>
          <cell r="CY300">
            <v>1139</v>
          </cell>
          <cell r="CZ300">
            <v>0</v>
          </cell>
          <cell r="DA300">
            <v>1139</v>
          </cell>
          <cell r="DB300">
            <v>0</v>
          </cell>
          <cell r="DC300">
            <v>0</v>
          </cell>
          <cell r="DD300">
            <v>0</v>
          </cell>
          <cell r="DE300">
            <v>0</v>
          </cell>
          <cell r="DF300">
            <v>0</v>
          </cell>
          <cell r="DG300">
            <v>0</v>
          </cell>
          <cell r="DI300">
            <v>85186</v>
          </cell>
          <cell r="DJ300">
            <v>11073</v>
          </cell>
          <cell r="DK300">
            <v>0</v>
          </cell>
          <cell r="DL300">
            <v>11073</v>
          </cell>
          <cell r="DM300">
            <v>11073</v>
          </cell>
          <cell r="DN300">
            <v>0</v>
          </cell>
          <cell r="DO300">
            <v>11073</v>
          </cell>
          <cell r="DP300">
            <v>0</v>
          </cell>
          <cell r="DQ300">
            <v>0</v>
          </cell>
          <cell r="DR300">
            <v>0</v>
          </cell>
          <cell r="DS300">
            <v>0</v>
          </cell>
          <cell r="DT300">
            <v>22146</v>
          </cell>
          <cell r="DU300">
            <v>0</v>
          </cell>
          <cell r="DW300">
            <v>0</v>
          </cell>
          <cell r="DX300">
            <v>0</v>
          </cell>
          <cell r="DY300">
            <v>87300</v>
          </cell>
          <cell r="DZ300">
            <v>89414</v>
          </cell>
          <cell r="EA300">
            <v>91590</v>
          </cell>
          <cell r="EB300">
            <v>93766</v>
          </cell>
          <cell r="EC300">
            <v>95942</v>
          </cell>
          <cell r="ED300">
            <v>98220</v>
          </cell>
          <cell r="EE300">
            <v>100498</v>
          </cell>
          <cell r="EF300">
            <v>102776</v>
          </cell>
          <cell r="EG300">
            <v>105054</v>
          </cell>
          <cell r="EH300">
            <v>107332</v>
          </cell>
          <cell r="EI300">
            <v>971892</v>
          </cell>
          <cell r="EK300">
            <v>0</v>
          </cell>
          <cell r="EL300">
            <v>0</v>
          </cell>
          <cell r="EM300">
            <v>582</v>
          </cell>
          <cell r="EN300">
            <v>596.09333333333336</v>
          </cell>
          <cell r="EO300">
            <v>610.6</v>
          </cell>
          <cell r="EP300">
            <v>625.10666666666668</v>
          </cell>
          <cell r="EQ300">
            <v>639.61333333333334</v>
          </cell>
          <cell r="ER300">
            <v>654.80000000000007</v>
          </cell>
          <cell r="ES300">
            <v>720.23566666666659</v>
          </cell>
          <cell r="ET300">
            <v>736.56133333333321</v>
          </cell>
          <cell r="EU300">
            <v>752.88699999999983</v>
          </cell>
          <cell r="EV300">
            <v>769.21266666666668</v>
          </cell>
          <cell r="EW300">
            <v>6687.1099999999988</v>
          </cell>
          <cell r="EY300">
            <v>556232</v>
          </cell>
          <cell r="EZ300">
            <v>8</v>
          </cell>
          <cell r="FA300">
            <v>3708.2133333333331</v>
          </cell>
          <cell r="FB300">
            <v>415660</v>
          </cell>
          <cell r="FC300">
            <v>8.6</v>
          </cell>
          <cell r="FD300">
            <v>2978.896666666667</v>
          </cell>
          <cell r="FE300">
            <v>6687.1100000000006</v>
          </cell>
          <cell r="FF300">
            <v>114019</v>
          </cell>
          <cell r="FH300">
            <v>114019</v>
          </cell>
        </row>
        <row r="301">
          <cell r="B301">
            <v>9436</v>
          </cell>
          <cell r="C301" t="str">
            <v>12.06.2007</v>
          </cell>
          <cell r="D301" t="str">
            <v>Bharti Gorkshanath Dattatrya</v>
          </cell>
          <cell r="F301">
            <v>7035</v>
          </cell>
          <cell r="G301">
            <v>21527</v>
          </cell>
          <cell r="H301">
            <v>4295</v>
          </cell>
          <cell r="I301">
            <v>4295</v>
          </cell>
          <cell r="J301">
            <v>8590</v>
          </cell>
          <cell r="K301">
            <v>1555</v>
          </cell>
          <cell r="M301">
            <v>1057</v>
          </cell>
          <cell r="N301">
            <v>0</v>
          </cell>
          <cell r="O301">
            <v>1057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W301">
            <v>1057</v>
          </cell>
          <cell r="X301">
            <v>0</v>
          </cell>
          <cell r="Y301">
            <v>1057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G301">
            <v>1088</v>
          </cell>
          <cell r="AH301">
            <v>0</v>
          </cell>
          <cell r="AI301">
            <v>1088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Q301">
            <v>1088</v>
          </cell>
          <cell r="AR301">
            <v>0</v>
          </cell>
          <cell r="AS301">
            <v>1088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BA301">
            <v>1088</v>
          </cell>
          <cell r="BB301">
            <v>0</v>
          </cell>
          <cell r="BC301">
            <v>1088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K301">
            <v>1139</v>
          </cell>
          <cell r="BL301">
            <v>0</v>
          </cell>
          <cell r="BM301">
            <v>1139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  <cell r="BS301">
            <v>0</v>
          </cell>
          <cell r="BU301">
            <v>1139</v>
          </cell>
          <cell r="BV301">
            <v>0</v>
          </cell>
          <cell r="BW301">
            <v>1139</v>
          </cell>
          <cell r="BX301">
            <v>0</v>
          </cell>
          <cell r="BY301">
            <v>0</v>
          </cell>
          <cell r="BZ301">
            <v>0</v>
          </cell>
          <cell r="CA301">
            <v>0</v>
          </cell>
          <cell r="CB301">
            <v>0</v>
          </cell>
          <cell r="CC301">
            <v>0</v>
          </cell>
          <cell r="CE301">
            <v>1139</v>
          </cell>
          <cell r="CF301">
            <v>0</v>
          </cell>
          <cell r="CG301">
            <v>1139</v>
          </cell>
          <cell r="CH301">
            <v>0</v>
          </cell>
          <cell r="CI301">
            <v>0</v>
          </cell>
          <cell r="CJ301">
            <v>0</v>
          </cell>
          <cell r="CK301">
            <v>0</v>
          </cell>
          <cell r="CL301">
            <v>0</v>
          </cell>
          <cell r="CM301">
            <v>0</v>
          </cell>
          <cell r="CO301">
            <v>1139</v>
          </cell>
          <cell r="CP301">
            <v>0</v>
          </cell>
          <cell r="CQ301">
            <v>1139</v>
          </cell>
          <cell r="CR301">
            <v>0</v>
          </cell>
          <cell r="CS301">
            <v>0</v>
          </cell>
          <cell r="CT301">
            <v>0</v>
          </cell>
          <cell r="CU301">
            <v>0</v>
          </cell>
          <cell r="CV301">
            <v>0</v>
          </cell>
          <cell r="CW301">
            <v>0</v>
          </cell>
          <cell r="CY301">
            <v>1139</v>
          </cell>
          <cell r="CZ301">
            <v>0</v>
          </cell>
          <cell r="DA301">
            <v>1139</v>
          </cell>
          <cell r="DB301">
            <v>0</v>
          </cell>
          <cell r="DC301">
            <v>0</v>
          </cell>
          <cell r="DD301">
            <v>0</v>
          </cell>
          <cell r="DE301">
            <v>0</v>
          </cell>
          <cell r="DF301">
            <v>0</v>
          </cell>
          <cell r="DG301">
            <v>0</v>
          </cell>
          <cell r="DI301">
            <v>8590</v>
          </cell>
          <cell r="DJ301">
            <v>11073</v>
          </cell>
          <cell r="DK301">
            <v>0</v>
          </cell>
          <cell r="DL301">
            <v>11073</v>
          </cell>
          <cell r="DM301">
            <v>11073</v>
          </cell>
          <cell r="DN301">
            <v>0</v>
          </cell>
          <cell r="DO301">
            <v>11073</v>
          </cell>
          <cell r="DP301">
            <v>0</v>
          </cell>
          <cell r="DQ301">
            <v>0</v>
          </cell>
          <cell r="DR301">
            <v>0</v>
          </cell>
          <cell r="DS301">
            <v>0</v>
          </cell>
          <cell r="DT301">
            <v>22146</v>
          </cell>
          <cell r="DU301">
            <v>0</v>
          </cell>
          <cell r="DW301">
            <v>0</v>
          </cell>
          <cell r="DX301">
            <v>0</v>
          </cell>
          <cell r="DY301">
            <v>10704</v>
          </cell>
          <cell r="DZ301">
            <v>12818</v>
          </cell>
          <cell r="EA301">
            <v>14994</v>
          </cell>
          <cell r="EB301">
            <v>17170</v>
          </cell>
          <cell r="EC301">
            <v>19346</v>
          </cell>
          <cell r="ED301">
            <v>21624</v>
          </cell>
          <cell r="EE301">
            <v>23902</v>
          </cell>
          <cell r="EF301">
            <v>26180</v>
          </cell>
          <cell r="EG301">
            <v>28458</v>
          </cell>
          <cell r="EH301">
            <v>30736</v>
          </cell>
          <cell r="EI301">
            <v>205932</v>
          </cell>
          <cell r="EK301">
            <v>0</v>
          </cell>
          <cell r="EL301">
            <v>0</v>
          </cell>
          <cell r="EM301">
            <v>71.36</v>
          </cell>
          <cell r="EN301">
            <v>85.453333333333333</v>
          </cell>
          <cell r="EO301">
            <v>99.96</v>
          </cell>
          <cell r="EP301">
            <v>114.46666666666665</v>
          </cell>
          <cell r="EQ301">
            <v>128.97333333333333</v>
          </cell>
          <cell r="ER301">
            <v>144.16</v>
          </cell>
          <cell r="ES301">
            <v>171.29766666666663</v>
          </cell>
          <cell r="ET301">
            <v>187.62333333333333</v>
          </cell>
          <cell r="EU301">
            <v>203.94899999999998</v>
          </cell>
          <cell r="EV301">
            <v>220.27466666666666</v>
          </cell>
          <cell r="EW301">
            <v>1427.5179999999998</v>
          </cell>
          <cell r="EY301">
            <v>96656</v>
          </cell>
          <cell r="EZ301">
            <v>8</v>
          </cell>
          <cell r="FA301">
            <v>644.37333333333333</v>
          </cell>
          <cell r="FB301">
            <v>109276</v>
          </cell>
          <cell r="FC301">
            <v>8.6</v>
          </cell>
          <cell r="FD301">
            <v>783.14466666666658</v>
          </cell>
          <cell r="FE301">
            <v>1427.518</v>
          </cell>
          <cell r="FF301">
            <v>32164</v>
          </cell>
          <cell r="FH301">
            <v>32164</v>
          </cell>
        </row>
        <row r="302">
          <cell r="B302">
            <v>9437</v>
          </cell>
          <cell r="C302" t="str">
            <v>12.06.2007</v>
          </cell>
          <cell r="D302" t="str">
            <v>Ahire Dattatray Girish</v>
          </cell>
          <cell r="F302">
            <v>7035</v>
          </cell>
          <cell r="G302">
            <v>21527</v>
          </cell>
          <cell r="H302">
            <v>4295</v>
          </cell>
          <cell r="I302">
            <v>4295</v>
          </cell>
          <cell r="J302">
            <v>8590</v>
          </cell>
          <cell r="K302">
            <v>1555</v>
          </cell>
          <cell r="M302">
            <v>1057</v>
          </cell>
          <cell r="N302">
            <v>0</v>
          </cell>
          <cell r="O302">
            <v>1057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W302">
            <v>1057</v>
          </cell>
          <cell r="X302">
            <v>0</v>
          </cell>
          <cell r="Y302">
            <v>1057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G302">
            <v>1088</v>
          </cell>
          <cell r="AH302">
            <v>0</v>
          </cell>
          <cell r="AI302">
            <v>1088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Q302">
            <v>1088</v>
          </cell>
          <cell r="AR302">
            <v>0</v>
          </cell>
          <cell r="AS302">
            <v>1088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BA302">
            <v>1088</v>
          </cell>
          <cell r="BB302">
            <v>0</v>
          </cell>
          <cell r="BC302">
            <v>1088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K302">
            <v>1139</v>
          </cell>
          <cell r="BL302">
            <v>0</v>
          </cell>
          <cell r="BM302">
            <v>1139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U302">
            <v>1139</v>
          </cell>
          <cell r="BV302">
            <v>0</v>
          </cell>
          <cell r="BW302">
            <v>1139</v>
          </cell>
          <cell r="BX302">
            <v>0</v>
          </cell>
          <cell r="BY302">
            <v>0</v>
          </cell>
          <cell r="BZ302">
            <v>0</v>
          </cell>
          <cell r="CA302">
            <v>0</v>
          </cell>
          <cell r="CB302">
            <v>0</v>
          </cell>
          <cell r="CC302">
            <v>0</v>
          </cell>
          <cell r="CE302">
            <v>1139</v>
          </cell>
          <cell r="CF302">
            <v>0</v>
          </cell>
          <cell r="CG302">
            <v>1139</v>
          </cell>
          <cell r="CH302">
            <v>0</v>
          </cell>
          <cell r="CI302">
            <v>0</v>
          </cell>
          <cell r="CJ302">
            <v>0</v>
          </cell>
          <cell r="CK302">
            <v>0</v>
          </cell>
          <cell r="CL302">
            <v>0</v>
          </cell>
          <cell r="CM302">
            <v>0</v>
          </cell>
          <cell r="CO302">
            <v>1139</v>
          </cell>
          <cell r="CP302">
            <v>0</v>
          </cell>
          <cell r="CQ302">
            <v>1139</v>
          </cell>
          <cell r="CR302">
            <v>0</v>
          </cell>
          <cell r="CS302">
            <v>0</v>
          </cell>
          <cell r="CT302">
            <v>0</v>
          </cell>
          <cell r="CU302">
            <v>0</v>
          </cell>
          <cell r="CV302">
            <v>0</v>
          </cell>
          <cell r="CW302">
            <v>0</v>
          </cell>
          <cell r="CY302">
            <v>1139</v>
          </cell>
          <cell r="CZ302">
            <v>0</v>
          </cell>
          <cell r="DA302">
            <v>1139</v>
          </cell>
          <cell r="DB302">
            <v>0</v>
          </cell>
          <cell r="DC302">
            <v>0</v>
          </cell>
          <cell r="DD302">
            <v>0</v>
          </cell>
          <cell r="DE302">
            <v>0</v>
          </cell>
          <cell r="DF302">
            <v>0</v>
          </cell>
          <cell r="DG302">
            <v>0</v>
          </cell>
          <cell r="DI302">
            <v>8590</v>
          </cell>
          <cell r="DJ302">
            <v>11073</v>
          </cell>
          <cell r="DK302">
            <v>0</v>
          </cell>
          <cell r="DL302">
            <v>11073</v>
          </cell>
          <cell r="DM302">
            <v>11073</v>
          </cell>
          <cell r="DN302">
            <v>0</v>
          </cell>
          <cell r="DO302">
            <v>11073</v>
          </cell>
          <cell r="DP302">
            <v>0</v>
          </cell>
          <cell r="DQ302">
            <v>0</v>
          </cell>
          <cell r="DR302">
            <v>0</v>
          </cell>
          <cell r="DS302">
            <v>0</v>
          </cell>
          <cell r="DT302">
            <v>22146</v>
          </cell>
          <cell r="DU302">
            <v>0</v>
          </cell>
          <cell r="DW302">
            <v>0</v>
          </cell>
          <cell r="DX302">
            <v>0</v>
          </cell>
          <cell r="DY302">
            <v>10704</v>
          </cell>
          <cell r="DZ302">
            <v>12818</v>
          </cell>
          <cell r="EA302">
            <v>14994</v>
          </cell>
          <cell r="EB302">
            <v>17170</v>
          </cell>
          <cell r="EC302">
            <v>19346</v>
          </cell>
          <cell r="ED302">
            <v>21624</v>
          </cell>
          <cell r="EE302">
            <v>23902</v>
          </cell>
          <cell r="EF302">
            <v>26180</v>
          </cell>
          <cell r="EG302">
            <v>28458</v>
          </cell>
          <cell r="EH302">
            <v>30736</v>
          </cell>
          <cell r="EI302">
            <v>205932</v>
          </cell>
          <cell r="EK302">
            <v>0</v>
          </cell>
          <cell r="EL302">
            <v>0</v>
          </cell>
          <cell r="EM302">
            <v>71.36</v>
          </cell>
          <cell r="EN302">
            <v>85.453333333333333</v>
          </cell>
          <cell r="EO302">
            <v>99.96</v>
          </cell>
          <cell r="EP302">
            <v>114.46666666666665</v>
          </cell>
          <cell r="EQ302">
            <v>128.97333333333333</v>
          </cell>
          <cell r="ER302">
            <v>144.16</v>
          </cell>
          <cell r="ES302">
            <v>171.29766666666663</v>
          </cell>
          <cell r="ET302">
            <v>187.62333333333333</v>
          </cell>
          <cell r="EU302">
            <v>203.94899999999998</v>
          </cell>
          <cell r="EV302">
            <v>220.27466666666666</v>
          </cell>
          <cell r="EW302">
            <v>1427.5179999999998</v>
          </cell>
          <cell r="EY302">
            <v>96656</v>
          </cell>
          <cell r="EZ302">
            <v>8</v>
          </cell>
          <cell r="FA302">
            <v>644.37333333333333</v>
          </cell>
          <cell r="FB302">
            <v>109276</v>
          </cell>
          <cell r="FC302">
            <v>8.6</v>
          </cell>
          <cell r="FD302">
            <v>783.14466666666658</v>
          </cell>
          <cell r="FE302">
            <v>1427.518</v>
          </cell>
          <cell r="FF302">
            <v>32164</v>
          </cell>
          <cell r="FH302">
            <v>32164</v>
          </cell>
        </row>
        <row r="303">
          <cell r="B303">
            <v>9444</v>
          </cell>
          <cell r="C303" t="str">
            <v>12.06.2007</v>
          </cell>
          <cell r="D303" t="str">
            <v>Gaikwad Vijay Pandurang</v>
          </cell>
          <cell r="F303">
            <v>7035</v>
          </cell>
          <cell r="G303">
            <v>20715</v>
          </cell>
          <cell r="H303">
            <v>3195</v>
          </cell>
          <cell r="I303">
            <v>3195</v>
          </cell>
          <cell r="J303">
            <v>6390</v>
          </cell>
          <cell r="K303">
            <v>-645</v>
          </cell>
          <cell r="M303">
            <v>1057</v>
          </cell>
          <cell r="N303">
            <v>0</v>
          </cell>
          <cell r="O303">
            <v>1057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W303">
            <v>1057</v>
          </cell>
          <cell r="X303">
            <v>0</v>
          </cell>
          <cell r="Y303">
            <v>1057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G303">
            <v>1088</v>
          </cell>
          <cell r="AH303">
            <v>0</v>
          </cell>
          <cell r="AI303">
            <v>1088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Q303">
            <v>1088</v>
          </cell>
          <cell r="AR303">
            <v>0</v>
          </cell>
          <cell r="AS303">
            <v>1088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BA303">
            <v>1088</v>
          </cell>
          <cell r="BB303">
            <v>0</v>
          </cell>
          <cell r="BC303">
            <v>1088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K303">
            <v>1139</v>
          </cell>
          <cell r="BL303">
            <v>0</v>
          </cell>
          <cell r="BM303">
            <v>1139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U303">
            <v>1139</v>
          </cell>
          <cell r="BV303">
            <v>0</v>
          </cell>
          <cell r="BW303">
            <v>1139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E303">
            <v>1139</v>
          </cell>
          <cell r="CF303">
            <v>0</v>
          </cell>
          <cell r="CG303">
            <v>1139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O303">
            <v>1139</v>
          </cell>
          <cell r="CP303">
            <v>0</v>
          </cell>
          <cell r="CQ303">
            <v>1139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Y303">
            <v>1139</v>
          </cell>
          <cell r="CZ303">
            <v>0</v>
          </cell>
          <cell r="DA303">
            <v>1139</v>
          </cell>
          <cell r="DB303">
            <v>0</v>
          </cell>
          <cell r="DC303">
            <v>0</v>
          </cell>
          <cell r="DD303">
            <v>0</v>
          </cell>
          <cell r="DE303">
            <v>0</v>
          </cell>
          <cell r="DF303">
            <v>0</v>
          </cell>
          <cell r="DG303">
            <v>0</v>
          </cell>
          <cell r="DI303">
            <v>6390</v>
          </cell>
          <cell r="DJ303">
            <v>11073</v>
          </cell>
          <cell r="DK303">
            <v>0</v>
          </cell>
          <cell r="DL303">
            <v>11073</v>
          </cell>
          <cell r="DM303">
            <v>11073</v>
          </cell>
          <cell r="DN303">
            <v>0</v>
          </cell>
          <cell r="DO303">
            <v>11073</v>
          </cell>
          <cell r="DP303">
            <v>0</v>
          </cell>
          <cell r="DQ303">
            <v>0</v>
          </cell>
          <cell r="DR303">
            <v>0</v>
          </cell>
          <cell r="DS303">
            <v>0</v>
          </cell>
          <cell r="DT303">
            <v>22146</v>
          </cell>
          <cell r="DU303">
            <v>0</v>
          </cell>
          <cell r="DW303">
            <v>0</v>
          </cell>
          <cell r="DX303">
            <v>0</v>
          </cell>
          <cell r="DY303">
            <v>8504</v>
          </cell>
          <cell r="DZ303">
            <v>10618</v>
          </cell>
          <cell r="EA303">
            <v>12794</v>
          </cell>
          <cell r="EB303">
            <v>14970</v>
          </cell>
          <cell r="EC303">
            <v>17146</v>
          </cell>
          <cell r="ED303">
            <v>19424</v>
          </cell>
          <cell r="EE303">
            <v>21702</v>
          </cell>
          <cell r="EF303">
            <v>23980</v>
          </cell>
          <cell r="EG303">
            <v>26258</v>
          </cell>
          <cell r="EH303">
            <v>28536</v>
          </cell>
          <cell r="EI303">
            <v>183932</v>
          </cell>
          <cell r="EK303">
            <v>0</v>
          </cell>
          <cell r="EL303">
            <v>0</v>
          </cell>
          <cell r="EM303">
            <v>56.693333333333335</v>
          </cell>
          <cell r="EN303">
            <v>70.786666666666676</v>
          </cell>
          <cell r="EO303">
            <v>85.293333333333337</v>
          </cell>
          <cell r="EP303">
            <v>99.8</v>
          </cell>
          <cell r="EQ303">
            <v>114.30666666666667</v>
          </cell>
          <cell r="ER303">
            <v>129.49333333333334</v>
          </cell>
          <cell r="ES303">
            <v>155.53099999999998</v>
          </cell>
          <cell r="ET303">
            <v>171.85666666666668</v>
          </cell>
          <cell r="EU303">
            <v>188.18233333333333</v>
          </cell>
          <cell r="EV303">
            <v>204.50799999999995</v>
          </cell>
          <cell r="EW303">
            <v>1276.4513333333334</v>
          </cell>
          <cell r="EY303">
            <v>83456</v>
          </cell>
          <cell r="EZ303">
            <v>8</v>
          </cell>
          <cell r="FA303">
            <v>556.37333333333333</v>
          </cell>
          <cell r="FB303">
            <v>100476</v>
          </cell>
          <cell r="FC303">
            <v>8.6</v>
          </cell>
          <cell r="FD303">
            <v>720.07799999999997</v>
          </cell>
          <cell r="FE303">
            <v>1276.4513333333334</v>
          </cell>
          <cell r="FF303">
            <v>29812</v>
          </cell>
          <cell r="FH303">
            <v>29812</v>
          </cell>
        </row>
        <row r="304">
          <cell r="B304">
            <v>9450</v>
          </cell>
          <cell r="C304" t="str">
            <v>12.06.2007</v>
          </cell>
          <cell r="D304" t="str">
            <v>Nagare Shivaji Kashinath</v>
          </cell>
          <cell r="F304">
            <v>7035</v>
          </cell>
          <cell r="G304">
            <v>20715</v>
          </cell>
          <cell r="H304">
            <v>3195</v>
          </cell>
          <cell r="I304">
            <v>3195</v>
          </cell>
          <cell r="J304">
            <v>6390</v>
          </cell>
          <cell r="K304">
            <v>-645</v>
          </cell>
          <cell r="M304">
            <v>1057</v>
          </cell>
          <cell r="N304">
            <v>0</v>
          </cell>
          <cell r="O304">
            <v>1057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W304">
            <v>1057</v>
          </cell>
          <cell r="X304">
            <v>0</v>
          </cell>
          <cell r="Y304">
            <v>1057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G304">
            <v>1088</v>
          </cell>
          <cell r="AH304">
            <v>0</v>
          </cell>
          <cell r="AI304">
            <v>1088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Q304">
            <v>1088</v>
          </cell>
          <cell r="AR304">
            <v>0</v>
          </cell>
          <cell r="AS304">
            <v>1088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BA304">
            <v>1088</v>
          </cell>
          <cell r="BB304">
            <v>0</v>
          </cell>
          <cell r="BC304">
            <v>1088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K304">
            <v>1139</v>
          </cell>
          <cell r="BL304">
            <v>0</v>
          </cell>
          <cell r="BM304">
            <v>1139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U304">
            <v>1139</v>
          </cell>
          <cell r="BV304">
            <v>0</v>
          </cell>
          <cell r="BW304">
            <v>1139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E304">
            <v>1139</v>
          </cell>
          <cell r="CF304">
            <v>0</v>
          </cell>
          <cell r="CG304">
            <v>1139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O304">
            <v>1139</v>
          </cell>
          <cell r="CP304">
            <v>0</v>
          </cell>
          <cell r="CQ304">
            <v>1139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Y304">
            <v>1139</v>
          </cell>
          <cell r="CZ304">
            <v>0</v>
          </cell>
          <cell r="DA304">
            <v>1139</v>
          </cell>
          <cell r="DB304">
            <v>0</v>
          </cell>
          <cell r="DC304">
            <v>0</v>
          </cell>
          <cell r="DD304">
            <v>0</v>
          </cell>
          <cell r="DE304">
            <v>0</v>
          </cell>
          <cell r="DF304">
            <v>0</v>
          </cell>
          <cell r="DG304">
            <v>0</v>
          </cell>
          <cell r="DI304">
            <v>6390</v>
          </cell>
          <cell r="DJ304">
            <v>11073</v>
          </cell>
          <cell r="DK304">
            <v>0</v>
          </cell>
          <cell r="DL304">
            <v>11073</v>
          </cell>
          <cell r="DM304">
            <v>11073</v>
          </cell>
          <cell r="DN304">
            <v>0</v>
          </cell>
          <cell r="DO304">
            <v>11073</v>
          </cell>
          <cell r="DP304">
            <v>0</v>
          </cell>
          <cell r="DQ304">
            <v>0</v>
          </cell>
          <cell r="DR304">
            <v>0</v>
          </cell>
          <cell r="DS304">
            <v>0</v>
          </cell>
          <cell r="DT304">
            <v>22146</v>
          </cell>
          <cell r="DU304">
            <v>0</v>
          </cell>
          <cell r="DW304">
            <v>0</v>
          </cell>
          <cell r="DX304">
            <v>0</v>
          </cell>
          <cell r="DY304">
            <v>8504</v>
          </cell>
          <cell r="DZ304">
            <v>10618</v>
          </cell>
          <cell r="EA304">
            <v>12794</v>
          </cell>
          <cell r="EB304">
            <v>14970</v>
          </cell>
          <cell r="EC304">
            <v>17146</v>
          </cell>
          <cell r="ED304">
            <v>19424</v>
          </cell>
          <cell r="EE304">
            <v>21702</v>
          </cell>
          <cell r="EF304">
            <v>23980</v>
          </cell>
          <cell r="EG304">
            <v>26258</v>
          </cell>
          <cell r="EH304">
            <v>28536</v>
          </cell>
          <cell r="EI304">
            <v>183932</v>
          </cell>
          <cell r="EK304">
            <v>0</v>
          </cell>
          <cell r="EL304">
            <v>0</v>
          </cell>
          <cell r="EM304">
            <v>56.693333333333335</v>
          </cell>
          <cell r="EN304">
            <v>70.786666666666676</v>
          </cell>
          <cell r="EO304">
            <v>85.293333333333337</v>
          </cell>
          <cell r="EP304">
            <v>99.8</v>
          </cell>
          <cell r="EQ304">
            <v>114.30666666666667</v>
          </cell>
          <cell r="ER304">
            <v>129.49333333333334</v>
          </cell>
          <cell r="ES304">
            <v>155.53099999999998</v>
          </cell>
          <cell r="ET304">
            <v>171.85666666666668</v>
          </cell>
          <cell r="EU304">
            <v>188.18233333333333</v>
          </cell>
          <cell r="EV304">
            <v>204.50799999999995</v>
          </cell>
          <cell r="EW304">
            <v>1276.4513333333334</v>
          </cell>
          <cell r="EY304">
            <v>83456</v>
          </cell>
          <cell r="EZ304">
            <v>8</v>
          </cell>
          <cell r="FA304">
            <v>556.37333333333333</v>
          </cell>
          <cell r="FB304">
            <v>100476</v>
          </cell>
          <cell r="FC304">
            <v>8.6</v>
          </cell>
          <cell r="FD304">
            <v>720.07799999999997</v>
          </cell>
          <cell r="FE304">
            <v>1276.4513333333334</v>
          </cell>
          <cell r="FF304">
            <v>29812</v>
          </cell>
          <cell r="FH304">
            <v>29812</v>
          </cell>
        </row>
        <row r="305">
          <cell r="B305">
            <v>9451</v>
          </cell>
          <cell r="C305" t="str">
            <v>12.06.2007</v>
          </cell>
          <cell r="D305" t="str">
            <v>Dagadkhair Sunil Haribhau</v>
          </cell>
          <cell r="F305">
            <v>7035</v>
          </cell>
          <cell r="G305">
            <v>20715</v>
          </cell>
          <cell r="H305">
            <v>3195</v>
          </cell>
          <cell r="I305">
            <v>3195</v>
          </cell>
          <cell r="J305">
            <v>6390</v>
          </cell>
          <cell r="K305">
            <v>-645</v>
          </cell>
          <cell r="M305">
            <v>1057</v>
          </cell>
          <cell r="N305">
            <v>0</v>
          </cell>
          <cell r="O305">
            <v>1057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W305">
            <v>1057</v>
          </cell>
          <cell r="X305">
            <v>0</v>
          </cell>
          <cell r="Y305">
            <v>1057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G305">
            <v>1088</v>
          </cell>
          <cell r="AH305">
            <v>0</v>
          </cell>
          <cell r="AI305">
            <v>1088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Q305">
            <v>1088</v>
          </cell>
          <cell r="AR305">
            <v>0</v>
          </cell>
          <cell r="AS305">
            <v>1088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BA305">
            <v>1088</v>
          </cell>
          <cell r="BB305">
            <v>0</v>
          </cell>
          <cell r="BC305">
            <v>1088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K305">
            <v>1139</v>
          </cell>
          <cell r="BL305">
            <v>0</v>
          </cell>
          <cell r="BM305">
            <v>1139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U305">
            <v>1139</v>
          </cell>
          <cell r="BV305">
            <v>0</v>
          </cell>
          <cell r="BW305">
            <v>1139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E305">
            <v>1139</v>
          </cell>
          <cell r="CF305">
            <v>0</v>
          </cell>
          <cell r="CG305">
            <v>1139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O305">
            <v>1139</v>
          </cell>
          <cell r="CP305">
            <v>0</v>
          </cell>
          <cell r="CQ305">
            <v>1139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Y305">
            <v>1139</v>
          </cell>
          <cell r="CZ305">
            <v>0</v>
          </cell>
          <cell r="DA305">
            <v>1139</v>
          </cell>
          <cell r="DB305">
            <v>0</v>
          </cell>
          <cell r="DC305">
            <v>0</v>
          </cell>
          <cell r="DD305">
            <v>0</v>
          </cell>
          <cell r="DE305">
            <v>0</v>
          </cell>
          <cell r="DF305">
            <v>0</v>
          </cell>
          <cell r="DG305">
            <v>0</v>
          </cell>
          <cell r="DI305">
            <v>6390</v>
          </cell>
          <cell r="DJ305">
            <v>11073</v>
          </cell>
          <cell r="DK305">
            <v>0</v>
          </cell>
          <cell r="DL305">
            <v>11073</v>
          </cell>
          <cell r="DM305">
            <v>11073</v>
          </cell>
          <cell r="DN305">
            <v>0</v>
          </cell>
          <cell r="DO305">
            <v>11073</v>
          </cell>
          <cell r="DP305">
            <v>0</v>
          </cell>
          <cell r="DQ305">
            <v>0</v>
          </cell>
          <cell r="DR305">
            <v>0</v>
          </cell>
          <cell r="DS305">
            <v>0</v>
          </cell>
          <cell r="DT305">
            <v>22146</v>
          </cell>
          <cell r="DU305">
            <v>0</v>
          </cell>
          <cell r="DW305">
            <v>0</v>
          </cell>
          <cell r="DX305">
            <v>0</v>
          </cell>
          <cell r="DY305">
            <v>8504</v>
          </cell>
          <cell r="DZ305">
            <v>10618</v>
          </cell>
          <cell r="EA305">
            <v>12794</v>
          </cell>
          <cell r="EB305">
            <v>14970</v>
          </cell>
          <cell r="EC305">
            <v>17146</v>
          </cell>
          <cell r="ED305">
            <v>19424</v>
          </cell>
          <cell r="EE305">
            <v>21702</v>
          </cell>
          <cell r="EF305">
            <v>23980</v>
          </cell>
          <cell r="EG305">
            <v>26258</v>
          </cell>
          <cell r="EH305">
            <v>28536</v>
          </cell>
          <cell r="EI305">
            <v>183932</v>
          </cell>
          <cell r="EK305">
            <v>0</v>
          </cell>
          <cell r="EL305">
            <v>0</v>
          </cell>
          <cell r="EM305">
            <v>56.693333333333335</v>
          </cell>
          <cell r="EN305">
            <v>70.786666666666676</v>
          </cell>
          <cell r="EO305">
            <v>85.293333333333337</v>
          </cell>
          <cell r="EP305">
            <v>99.8</v>
          </cell>
          <cell r="EQ305">
            <v>114.30666666666667</v>
          </cell>
          <cell r="ER305">
            <v>129.49333333333334</v>
          </cell>
          <cell r="ES305">
            <v>155.53099999999998</v>
          </cell>
          <cell r="ET305">
            <v>171.85666666666668</v>
          </cell>
          <cell r="EU305">
            <v>188.18233333333333</v>
          </cell>
          <cell r="EV305">
            <v>204.50799999999995</v>
          </cell>
          <cell r="EW305">
            <v>1276.4513333333334</v>
          </cell>
          <cell r="EY305">
            <v>83456</v>
          </cell>
          <cell r="EZ305">
            <v>8</v>
          </cell>
          <cell r="FA305">
            <v>556.37333333333333</v>
          </cell>
          <cell r="FB305">
            <v>100476</v>
          </cell>
          <cell r="FC305">
            <v>8.6</v>
          </cell>
          <cell r="FD305">
            <v>720.07799999999997</v>
          </cell>
          <cell r="FE305">
            <v>1276.4513333333334</v>
          </cell>
          <cell r="FF305">
            <v>29812</v>
          </cell>
          <cell r="FH305">
            <v>29812</v>
          </cell>
        </row>
        <row r="306">
          <cell r="B306">
            <v>9452</v>
          </cell>
          <cell r="C306" t="str">
            <v>12.06.2007</v>
          </cell>
          <cell r="D306" t="str">
            <v>Bapte Nilkanth Uttamrao</v>
          </cell>
          <cell r="F306">
            <v>7035</v>
          </cell>
          <cell r="G306">
            <v>21527</v>
          </cell>
          <cell r="H306">
            <v>3195</v>
          </cell>
          <cell r="I306">
            <v>3195</v>
          </cell>
          <cell r="J306">
            <v>6390</v>
          </cell>
          <cell r="K306">
            <v>-645</v>
          </cell>
          <cell r="M306">
            <v>1057</v>
          </cell>
          <cell r="N306">
            <v>0</v>
          </cell>
          <cell r="O306">
            <v>1057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W306">
            <v>1057</v>
          </cell>
          <cell r="X306">
            <v>0</v>
          </cell>
          <cell r="Y306">
            <v>1057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G306">
            <v>1088</v>
          </cell>
          <cell r="AH306">
            <v>0</v>
          </cell>
          <cell r="AI306">
            <v>1088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Q306">
            <v>1088</v>
          </cell>
          <cell r="AR306">
            <v>0</v>
          </cell>
          <cell r="AS306">
            <v>1088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BA306">
            <v>1088</v>
          </cell>
          <cell r="BB306">
            <v>0</v>
          </cell>
          <cell r="BC306">
            <v>1088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K306">
            <v>1139</v>
          </cell>
          <cell r="BL306">
            <v>0</v>
          </cell>
          <cell r="BM306">
            <v>1139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U306">
            <v>1139</v>
          </cell>
          <cell r="BV306">
            <v>0</v>
          </cell>
          <cell r="BW306">
            <v>1139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E306">
            <v>1139</v>
          </cell>
          <cell r="CF306">
            <v>0</v>
          </cell>
          <cell r="CG306">
            <v>1139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O306">
            <v>1139</v>
          </cell>
          <cell r="CP306">
            <v>0</v>
          </cell>
          <cell r="CQ306">
            <v>1139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Y306">
            <v>1139</v>
          </cell>
          <cell r="CZ306">
            <v>0</v>
          </cell>
          <cell r="DA306">
            <v>1139</v>
          </cell>
          <cell r="DB306">
            <v>0</v>
          </cell>
          <cell r="DC306">
            <v>0</v>
          </cell>
          <cell r="DD306">
            <v>0</v>
          </cell>
          <cell r="DE306">
            <v>0</v>
          </cell>
          <cell r="DF306">
            <v>0</v>
          </cell>
          <cell r="DG306">
            <v>0</v>
          </cell>
          <cell r="DI306">
            <v>6390</v>
          </cell>
          <cell r="DJ306">
            <v>11073</v>
          </cell>
          <cell r="DK306">
            <v>0</v>
          </cell>
          <cell r="DL306">
            <v>11073</v>
          </cell>
          <cell r="DM306">
            <v>11073</v>
          </cell>
          <cell r="DN306">
            <v>0</v>
          </cell>
          <cell r="DO306">
            <v>11073</v>
          </cell>
          <cell r="DP306">
            <v>0</v>
          </cell>
          <cell r="DQ306">
            <v>0</v>
          </cell>
          <cell r="DR306">
            <v>0</v>
          </cell>
          <cell r="DS306">
            <v>0</v>
          </cell>
          <cell r="DT306">
            <v>22146</v>
          </cell>
          <cell r="DU306">
            <v>0</v>
          </cell>
          <cell r="DW306">
            <v>0</v>
          </cell>
          <cell r="DX306">
            <v>0</v>
          </cell>
          <cell r="DY306">
            <v>8504</v>
          </cell>
          <cell r="DZ306">
            <v>10618</v>
          </cell>
          <cell r="EA306">
            <v>12794</v>
          </cell>
          <cell r="EB306">
            <v>14970</v>
          </cell>
          <cell r="EC306">
            <v>17146</v>
          </cell>
          <cell r="ED306">
            <v>19424</v>
          </cell>
          <cell r="EE306">
            <v>21702</v>
          </cell>
          <cell r="EF306">
            <v>23980</v>
          </cell>
          <cell r="EG306">
            <v>26258</v>
          </cell>
          <cell r="EH306">
            <v>28536</v>
          </cell>
          <cell r="EI306">
            <v>183932</v>
          </cell>
          <cell r="EK306">
            <v>0</v>
          </cell>
          <cell r="EL306">
            <v>0</v>
          </cell>
          <cell r="EM306">
            <v>56.693333333333335</v>
          </cell>
          <cell r="EN306">
            <v>70.786666666666676</v>
          </cell>
          <cell r="EO306">
            <v>85.293333333333337</v>
          </cell>
          <cell r="EP306">
            <v>99.8</v>
          </cell>
          <cell r="EQ306">
            <v>114.30666666666667</v>
          </cell>
          <cell r="ER306">
            <v>129.49333333333334</v>
          </cell>
          <cell r="ES306">
            <v>155.53099999999998</v>
          </cell>
          <cell r="ET306">
            <v>171.85666666666668</v>
          </cell>
          <cell r="EU306">
            <v>188.18233333333333</v>
          </cell>
          <cell r="EV306">
            <v>204.50799999999995</v>
          </cell>
          <cell r="EW306">
            <v>1276.4513333333334</v>
          </cell>
          <cell r="EY306">
            <v>83456</v>
          </cell>
          <cell r="EZ306">
            <v>8</v>
          </cell>
          <cell r="FA306">
            <v>556.37333333333333</v>
          </cell>
          <cell r="FB306">
            <v>100476</v>
          </cell>
          <cell r="FC306">
            <v>8.6</v>
          </cell>
          <cell r="FD306">
            <v>720.07799999999997</v>
          </cell>
          <cell r="FE306">
            <v>1276.4513333333334</v>
          </cell>
          <cell r="FF306">
            <v>29812</v>
          </cell>
          <cell r="FH306">
            <v>29812</v>
          </cell>
        </row>
        <row r="307">
          <cell r="B307">
            <v>9454</v>
          </cell>
          <cell r="C307" t="str">
            <v>12.06.2007</v>
          </cell>
          <cell r="D307" t="str">
            <v>Shitole Ambadas Savaliram</v>
          </cell>
          <cell r="F307">
            <v>7035</v>
          </cell>
          <cell r="G307">
            <v>21527</v>
          </cell>
          <cell r="H307">
            <v>4295</v>
          </cell>
          <cell r="I307">
            <v>4295</v>
          </cell>
          <cell r="J307">
            <v>8590</v>
          </cell>
          <cell r="K307">
            <v>1555</v>
          </cell>
          <cell r="M307">
            <v>1057</v>
          </cell>
          <cell r="N307">
            <v>0</v>
          </cell>
          <cell r="O307">
            <v>1057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W307">
            <v>1057</v>
          </cell>
          <cell r="X307">
            <v>0</v>
          </cell>
          <cell r="Y307">
            <v>1057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G307">
            <v>1088</v>
          </cell>
          <cell r="AH307">
            <v>0</v>
          </cell>
          <cell r="AI307">
            <v>1088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Q307">
            <v>1088</v>
          </cell>
          <cell r="AR307">
            <v>0</v>
          </cell>
          <cell r="AS307">
            <v>1088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BA307">
            <v>1088</v>
          </cell>
          <cell r="BB307">
            <v>0</v>
          </cell>
          <cell r="BC307">
            <v>1088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K307">
            <v>1139</v>
          </cell>
          <cell r="BL307">
            <v>0</v>
          </cell>
          <cell r="BM307">
            <v>1139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U307">
            <v>1139</v>
          </cell>
          <cell r="BV307">
            <v>0</v>
          </cell>
          <cell r="BW307">
            <v>1139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E307">
            <v>1139</v>
          </cell>
          <cell r="CF307">
            <v>0</v>
          </cell>
          <cell r="CG307">
            <v>1139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O307">
            <v>1139</v>
          </cell>
          <cell r="CP307">
            <v>0</v>
          </cell>
          <cell r="CQ307">
            <v>1139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Y307">
            <v>1139</v>
          </cell>
          <cell r="CZ307">
            <v>0</v>
          </cell>
          <cell r="DA307">
            <v>1139</v>
          </cell>
          <cell r="DB307">
            <v>0</v>
          </cell>
          <cell r="DC307">
            <v>0</v>
          </cell>
          <cell r="DD307">
            <v>0</v>
          </cell>
          <cell r="DE307">
            <v>0</v>
          </cell>
          <cell r="DF307">
            <v>0</v>
          </cell>
          <cell r="DG307">
            <v>0</v>
          </cell>
          <cell r="DI307">
            <v>8590</v>
          </cell>
          <cell r="DJ307">
            <v>11073</v>
          </cell>
          <cell r="DK307">
            <v>0</v>
          </cell>
          <cell r="DL307">
            <v>11073</v>
          </cell>
          <cell r="DM307">
            <v>11073</v>
          </cell>
          <cell r="DN307">
            <v>0</v>
          </cell>
          <cell r="DO307">
            <v>11073</v>
          </cell>
          <cell r="DP307">
            <v>0</v>
          </cell>
          <cell r="DQ307">
            <v>0</v>
          </cell>
          <cell r="DR307">
            <v>0</v>
          </cell>
          <cell r="DS307">
            <v>0</v>
          </cell>
          <cell r="DT307">
            <v>22146</v>
          </cell>
          <cell r="DU307">
            <v>0</v>
          </cell>
          <cell r="DW307">
            <v>0</v>
          </cell>
          <cell r="DX307">
            <v>0</v>
          </cell>
          <cell r="DY307">
            <v>10704</v>
          </cell>
          <cell r="DZ307">
            <v>12818</v>
          </cell>
          <cell r="EA307">
            <v>14994</v>
          </cell>
          <cell r="EB307">
            <v>17170</v>
          </cell>
          <cell r="EC307">
            <v>19346</v>
          </cell>
          <cell r="ED307">
            <v>21624</v>
          </cell>
          <cell r="EE307">
            <v>23902</v>
          </cell>
          <cell r="EF307">
            <v>26180</v>
          </cell>
          <cell r="EG307">
            <v>28458</v>
          </cell>
          <cell r="EH307">
            <v>30736</v>
          </cell>
          <cell r="EI307">
            <v>205932</v>
          </cell>
          <cell r="EK307">
            <v>0</v>
          </cell>
          <cell r="EL307">
            <v>0</v>
          </cell>
          <cell r="EM307">
            <v>71.36</v>
          </cell>
          <cell r="EN307">
            <v>85.453333333333333</v>
          </cell>
          <cell r="EO307">
            <v>99.96</v>
          </cell>
          <cell r="EP307">
            <v>114.46666666666665</v>
          </cell>
          <cell r="EQ307">
            <v>128.97333333333333</v>
          </cell>
          <cell r="ER307">
            <v>144.16</v>
          </cell>
          <cell r="ES307">
            <v>171.29766666666663</v>
          </cell>
          <cell r="ET307">
            <v>187.62333333333333</v>
          </cell>
          <cell r="EU307">
            <v>203.94899999999998</v>
          </cell>
          <cell r="EV307">
            <v>220.27466666666666</v>
          </cell>
          <cell r="EW307">
            <v>1427.5179999999998</v>
          </cell>
          <cell r="EY307">
            <v>96656</v>
          </cell>
          <cell r="EZ307">
            <v>8</v>
          </cell>
          <cell r="FA307">
            <v>644.37333333333333</v>
          </cell>
          <cell r="FB307">
            <v>109276</v>
          </cell>
          <cell r="FC307">
            <v>8.6</v>
          </cell>
          <cell r="FD307">
            <v>783.14466666666658</v>
          </cell>
          <cell r="FE307">
            <v>1427.518</v>
          </cell>
          <cell r="FF307">
            <v>32164</v>
          </cell>
          <cell r="FH307">
            <v>32164</v>
          </cell>
        </row>
        <row r="308">
          <cell r="B308">
            <v>9456</v>
          </cell>
          <cell r="C308" t="str">
            <v>12.06.2007</v>
          </cell>
          <cell r="D308" t="str">
            <v>Palkhedkar Ravindra Namdeo</v>
          </cell>
          <cell r="F308">
            <v>7035</v>
          </cell>
          <cell r="G308">
            <v>17254</v>
          </cell>
          <cell r="H308">
            <v>3195</v>
          </cell>
          <cell r="I308">
            <v>3195</v>
          </cell>
          <cell r="J308">
            <v>6390</v>
          </cell>
          <cell r="K308">
            <v>-645</v>
          </cell>
          <cell r="M308">
            <v>1057</v>
          </cell>
          <cell r="N308">
            <v>0</v>
          </cell>
          <cell r="O308">
            <v>1057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W308">
            <v>1057</v>
          </cell>
          <cell r="X308">
            <v>0</v>
          </cell>
          <cell r="Y308">
            <v>1057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G308">
            <v>1088</v>
          </cell>
          <cell r="AH308">
            <v>0</v>
          </cell>
          <cell r="AI308">
            <v>1088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Q308">
            <v>1088</v>
          </cell>
          <cell r="AR308">
            <v>0</v>
          </cell>
          <cell r="AS308">
            <v>1088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BA308">
            <v>1088</v>
          </cell>
          <cell r="BB308">
            <v>0</v>
          </cell>
          <cell r="BC308">
            <v>1088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K308">
            <v>1139</v>
          </cell>
          <cell r="BL308">
            <v>0</v>
          </cell>
          <cell r="BM308">
            <v>1139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U308">
            <v>1139</v>
          </cell>
          <cell r="BV308">
            <v>0</v>
          </cell>
          <cell r="BW308">
            <v>1139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E308">
            <v>1139</v>
          </cell>
          <cell r="CF308">
            <v>0</v>
          </cell>
          <cell r="CG308">
            <v>1139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O308">
            <v>1139</v>
          </cell>
          <cell r="CP308">
            <v>0</v>
          </cell>
          <cell r="CQ308">
            <v>1139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Y308">
            <v>1139</v>
          </cell>
          <cell r="CZ308">
            <v>0</v>
          </cell>
          <cell r="DA308">
            <v>1139</v>
          </cell>
          <cell r="DB308">
            <v>0</v>
          </cell>
          <cell r="DC308">
            <v>0</v>
          </cell>
          <cell r="DD308">
            <v>0</v>
          </cell>
          <cell r="DE308">
            <v>0</v>
          </cell>
          <cell r="DF308">
            <v>0</v>
          </cell>
          <cell r="DG308">
            <v>0</v>
          </cell>
          <cell r="DI308">
            <v>6390</v>
          </cell>
          <cell r="DJ308">
            <v>11073</v>
          </cell>
          <cell r="DK308">
            <v>0</v>
          </cell>
          <cell r="DL308">
            <v>11073</v>
          </cell>
          <cell r="DM308">
            <v>11073</v>
          </cell>
          <cell r="DN308">
            <v>0</v>
          </cell>
          <cell r="DO308">
            <v>11073</v>
          </cell>
          <cell r="DP308">
            <v>0</v>
          </cell>
          <cell r="DQ308">
            <v>0</v>
          </cell>
          <cell r="DR308">
            <v>0</v>
          </cell>
          <cell r="DS308">
            <v>0</v>
          </cell>
          <cell r="DT308">
            <v>22146</v>
          </cell>
          <cell r="DU308">
            <v>0</v>
          </cell>
          <cell r="DW308">
            <v>0</v>
          </cell>
          <cell r="DX308">
            <v>0</v>
          </cell>
          <cell r="DY308">
            <v>8504</v>
          </cell>
          <cell r="DZ308">
            <v>10618</v>
          </cell>
          <cell r="EA308">
            <v>12794</v>
          </cell>
          <cell r="EB308">
            <v>14970</v>
          </cell>
          <cell r="EC308">
            <v>17146</v>
          </cell>
          <cell r="ED308">
            <v>19424</v>
          </cell>
          <cell r="EE308">
            <v>21702</v>
          </cell>
          <cell r="EF308">
            <v>23980</v>
          </cell>
          <cell r="EG308">
            <v>26258</v>
          </cell>
          <cell r="EH308">
            <v>28536</v>
          </cell>
          <cell r="EI308">
            <v>183932</v>
          </cell>
          <cell r="EK308">
            <v>0</v>
          </cell>
          <cell r="EL308">
            <v>0</v>
          </cell>
          <cell r="EM308">
            <v>56.693333333333335</v>
          </cell>
          <cell r="EN308">
            <v>70.786666666666676</v>
          </cell>
          <cell r="EO308">
            <v>85.293333333333337</v>
          </cell>
          <cell r="EP308">
            <v>99.8</v>
          </cell>
          <cell r="EQ308">
            <v>114.30666666666667</v>
          </cell>
          <cell r="ER308">
            <v>129.49333333333334</v>
          </cell>
          <cell r="ES308">
            <v>155.53099999999998</v>
          </cell>
          <cell r="ET308">
            <v>171.85666666666668</v>
          </cell>
          <cell r="EU308">
            <v>188.18233333333333</v>
          </cell>
          <cell r="EV308">
            <v>204.50799999999995</v>
          </cell>
          <cell r="EW308">
            <v>1276.4513333333334</v>
          </cell>
          <cell r="EY308">
            <v>83456</v>
          </cell>
          <cell r="EZ308">
            <v>8</v>
          </cell>
          <cell r="FA308">
            <v>556.37333333333333</v>
          </cell>
          <cell r="FB308">
            <v>100476</v>
          </cell>
          <cell r="FC308">
            <v>8.6</v>
          </cell>
          <cell r="FD308">
            <v>720.07799999999997</v>
          </cell>
          <cell r="FE308">
            <v>1276.4513333333334</v>
          </cell>
          <cell r="FF308">
            <v>29812</v>
          </cell>
          <cell r="FH308">
            <v>29812</v>
          </cell>
        </row>
        <row r="309">
          <cell r="B309">
            <v>9457</v>
          </cell>
          <cell r="C309" t="str">
            <v>12.06.2007</v>
          </cell>
          <cell r="D309" t="str">
            <v>Wagh Valu Tukaram</v>
          </cell>
          <cell r="F309">
            <v>7035</v>
          </cell>
          <cell r="H309">
            <v>3195</v>
          </cell>
          <cell r="I309">
            <v>3195</v>
          </cell>
          <cell r="J309">
            <v>6390</v>
          </cell>
          <cell r="K309">
            <v>-645</v>
          </cell>
          <cell r="M309">
            <v>1057</v>
          </cell>
          <cell r="N309">
            <v>0</v>
          </cell>
          <cell r="O309">
            <v>1057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W309">
            <v>1057</v>
          </cell>
          <cell r="X309">
            <v>0</v>
          </cell>
          <cell r="Y309">
            <v>1057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G309">
            <v>1088</v>
          </cell>
          <cell r="AH309">
            <v>0</v>
          </cell>
          <cell r="AI309">
            <v>1088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Q309">
            <v>1088</v>
          </cell>
          <cell r="AR309">
            <v>0</v>
          </cell>
          <cell r="AS309">
            <v>1088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BA309">
            <v>1088</v>
          </cell>
          <cell r="BB309">
            <v>0</v>
          </cell>
          <cell r="BC309">
            <v>1088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K309">
            <v>1139</v>
          </cell>
          <cell r="BL309">
            <v>0</v>
          </cell>
          <cell r="BM309">
            <v>1139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U309">
            <v>1139</v>
          </cell>
          <cell r="BV309">
            <v>0</v>
          </cell>
          <cell r="BW309">
            <v>1139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E309">
            <v>1139</v>
          </cell>
          <cell r="CF309">
            <v>0</v>
          </cell>
          <cell r="CG309">
            <v>1139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O309">
            <v>1139</v>
          </cell>
          <cell r="CP309">
            <v>0</v>
          </cell>
          <cell r="CQ309">
            <v>1139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Y309">
            <v>1139</v>
          </cell>
          <cell r="CZ309">
            <v>0</v>
          </cell>
          <cell r="DA309">
            <v>1139</v>
          </cell>
          <cell r="DB309">
            <v>0</v>
          </cell>
          <cell r="DC309">
            <v>0</v>
          </cell>
          <cell r="DD309">
            <v>0</v>
          </cell>
          <cell r="DE309">
            <v>0</v>
          </cell>
          <cell r="DF309">
            <v>0</v>
          </cell>
          <cell r="DG309">
            <v>0</v>
          </cell>
          <cell r="DI309">
            <v>6390</v>
          </cell>
          <cell r="DJ309">
            <v>11073</v>
          </cell>
          <cell r="DK309">
            <v>0</v>
          </cell>
          <cell r="DL309">
            <v>11073</v>
          </cell>
          <cell r="DM309">
            <v>11073</v>
          </cell>
          <cell r="DN309">
            <v>0</v>
          </cell>
          <cell r="DO309">
            <v>11073</v>
          </cell>
          <cell r="DP309">
            <v>0</v>
          </cell>
          <cell r="DQ309">
            <v>0</v>
          </cell>
          <cell r="DR309">
            <v>0</v>
          </cell>
          <cell r="DS309">
            <v>0</v>
          </cell>
          <cell r="DT309">
            <v>22146</v>
          </cell>
          <cell r="DU309">
            <v>0</v>
          </cell>
          <cell r="DW309">
            <v>0</v>
          </cell>
          <cell r="DX309">
            <v>0</v>
          </cell>
          <cell r="DY309">
            <v>8504</v>
          </cell>
          <cell r="DZ309">
            <v>10618</v>
          </cell>
          <cell r="EA309">
            <v>12794</v>
          </cell>
          <cell r="EB309">
            <v>14970</v>
          </cell>
          <cell r="EC309">
            <v>17146</v>
          </cell>
          <cell r="ED309">
            <v>19424</v>
          </cell>
          <cell r="EE309">
            <v>21702</v>
          </cell>
          <cell r="EF309">
            <v>23980</v>
          </cell>
          <cell r="EG309">
            <v>26258</v>
          </cell>
          <cell r="EH309">
            <v>28536</v>
          </cell>
          <cell r="EI309">
            <v>183932</v>
          </cell>
          <cell r="EK309">
            <v>0</v>
          </cell>
          <cell r="EL309">
            <v>0</v>
          </cell>
          <cell r="EM309">
            <v>56.693333333333335</v>
          </cell>
          <cell r="EN309">
            <v>70.786666666666676</v>
          </cell>
          <cell r="EO309">
            <v>85.293333333333337</v>
          </cell>
          <cell r="EP309">
            <v>99.8</v>
          </cell>
          <cell r="EQ309">
            <v>114.30666666666667</v>
          </cell>
          <cell r="ER309">
            <v>129.49333333333334</v>
          </cell>
          <cell r="ES309">
            <v>155.53099999999998</v>
          </cell>
          <cell r="ET309">
            <v>171.85666666666668</v>
          </cell>
          <cell r="EU309">
            <v>188.18233333333333</v>
          </cell>
          <cell r="EV309">
            <v>204.50799999999995</v>
          </cell>
          <cell r="EW309">
            <v>1276.4513333333334</v>
          </cell>
          <cell r="EY309">
            <v>83456</v>
          </cell>
          <cell r="EZ309">
            <v>8</v>
          </cell>
          <cell r="FA309">
            <v>556.37333333333333</v>
          </cell>
          <cell r="FB309">
            <v>100476</v>
          </cell>
          <cell r="FC309">
            <v>8.6</v>
          </cell>
          <cell r="FD309">
            <v>720.07799999999997</v>
          </cell>
          <cell r="FE309">
            <v>1276.4513333333334</v>
          </cell>
          <cell r="FF309">
            <v>29812</v>
          </cell>
          <cell r="FH309">
            <v>29812</v>
          </cell>
        </row>
        <row r="310">
          <cell r="B310">
            <v>9458</v>
          </cell>
          <cell r="C310" t="str">
            <v>12.06.2007</v>
          </cell>
          <cell r="D310" t="str">
            <v>Gore Ghanshyam Eknath</v>
          </cell>
          <cell r="F310">
            <v>7035</v>
          </cell>
          <cell r="G310">
            <v>20232</v>
          </cell>
          <cell r="H310">
            <v>5943</v>
          </cell>
          <cell r="I310">
            <v>5943</v>
          </cell>
          <cell r="J310">
            <v>11886</v>
          </cell>
          <cell r="K310">
            <v>4851</v>
          </cell>
          <cell r="M310">
            <v>1057</v>
          </cell>
          <cell r="N310">
            <v>0</v>
          </cell>
          <cell r="O310">
            <v>1057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W310">
            <v>1057</v>
          </cell>
          <cell r="X310">
            <v>0</v>
          </cell>
          <cell r="Y310">
            <v>1057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G310">
            <v>1088</v>
          </cell>
          <cell r="AH310">
            <v>0</v>
          </cell>
          <cell r="AI310">
            <v>1088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Q310">
            <v>1088</v>
          </cell>
          <cell r="AR310">
            <v>0</v>
          </cell>
          <cell r="AS310">
            <v>1088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BA310">
            <v>1088</v>
          </cell>
          <cell r="BB310">
            <v>0</v>
          </cell>
          <cell r="BC310">
            <v>1088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K310">
            <v>1139</v>
          </cell>
          <cell r="BL310">
            <v>0</v>
          </cell>
          <cell r="BM310">
            <v>1139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U310">
            <v>1139</v>
          </cell>
          <cell r="BV310">
            <v>0</v>
          </cell>
          <cell r="BW310">
            <v>1139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E310">
            <v>1139</v>
          </cell>
          <cell r="CF310">
            <v>0</v>
          </cell>
          <cell r="CG310">
            <v>1139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O310">
            <v>1139</v>
          </cell>
          <cell r="CP310">
            <v>0</v>
          </cell>
          <cell r="CQ310">
            <v>1139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Y310">
            <v>1139</v>
          </cell>
          <cell r="CZ310">
            <v>0</v>
          </cell>
          <cell r="DA310">
            <v>1139</v>
          </cell>
          <cell r="DB310">
            <v>0</v>
          </cell>
          <cell r="DC310">
            <v>0</v>
          </cell>
          <cell r="DD310">
            <v>0</v>
          </cell>
          <cell r="DE310">
            <v>0</v>
          </cell>
          <cell r="DF310">
            <v>0</v>
          </cell>
          <cell r="DG310">
            <v>0</v>
          </cell>
          <cell r="DI310">
            <v>11886</v>
          </cell>
          <cell r="DJ310">
            <v>11073</v>
          </cell>
          <cell r="DK310">
            <v>0</v>
          </cell>
          <cell r="DL310">
            <v>11073</v>
          </cell>
          <cell r="DM310">
            <v>11073</v>
          </cell>
          <cell r="DN310">
            <v>0</v>
          </cell>
          <cell r="DO310">
            <v>11073</v>
          </cell>
          <cell r="DP310">
            <v>0</v>
          </cell>
          <cell r="DQ310">
            <v>0</v>
          </cell>
          <cell r="DR310">
            <v>0</v>
          </cell>
          <cell r="DS310">
            <v>0</v>
          </cell>
          <cell r="DT310">
            <v>22146</v>
          </cell>
          <cell r="DU310">
            <v>0</v>
          </cell>
          <cell r="DW310">
            <v>0</v>
          </cell>
          <cell r="DX310">
            <v>0</v>
          </cell>
          <cell r="DY310">
            <v>14000</v>
          </cell>
          <cell r="DZ310">
            <v>16114</v>
          </cell>
          <cell r="EA310">
            <v>18290</v>
          </cell>
          <cell r="EB310">
            <v>20466</v>
          </cell>
          <cell r="EC310">
            <v>22642</v>
          </cell>
          <cell r="ED310">
            <v>24920</v>
          </cell>
          <cell r="EE310">
            <v>27198</v>
          </cell>
          <cell r="EF310">
            <v>29476</v>
          </cell>
          <cell r="EG310">
            <v>31754</v>
          </cell>
          <cell r="EH310">
            <v>34032</v>
          </cell>
          <cell r="EI310">
            <v>238892</v>
          </cell>
          <cell r="EK310">
            <v>0</v>
          </cell>
          <cell r="EL310">
            <v>0</v>
          </cell>
          <cell r="EM310">
            <v>93.333333333333329</v>
          </cell>
          <cell r="EN310">
            <v>107.42666666666666</v>
          </cell>
          <cell r="EO310">
            <v>121.93333333333334</v>
          </cell>
          <cell r="EP310">
            <v>136.44</v>
          </cell>
          <cell r="EQ310">
            <v>150.94666666666666</v>
          </cell>
          <cell r="ER310">
            <v>166.13333333333333</v>
          </cell>
          <cell r="ES310">
            <v>194.91899999999998</v>
          </cell>
          <cell r="ET310">
            <v>211.24466666666663</v>
          </cell>
          <cell r="EU310">
            <v>227.57033333333331</v>
          </cell>
          <cell r="EV310">
            <v>243.89599999999999</v>
          </cell>
          <cell r="EW310">
            <v>1653.8433333333332</v>
          </cell>
          <cell r="EY310">
            <v>116432</v>
          </cell>
          <cell r="EZ310">
            <v>8</v>
          </cell>
          <cell r="FA310">
            <v>776.21333333333325</v>
          </cell>
          <cell r="FB310">
            <v>122460</v>
          </cell>
          <cell r="FC310">
            <v>8.6</v>
          </cell>
          <cell r="FD310">
            <v>877.63</v>
          </cell>
          <cell r="FE310">
            <v>1653.8433333333332</v>
          </cell>
          <cell r="FF310">
            <v>35686</v>
          </cell>
          <cell r="FH310">
            <v>35686</v>
          </cell>
        </row>
        <row r="311">
          <cell r="B311">
            <v>9460</v>
          </cell>
          <cell r="C311" t="str">
            <v>12.06.2007</v>
          </cell>
          <cell r="D311" t="str">
            <v>Darade Santosh (Sanjay) Vitthal</v>
          </cell>
          <cell r="F311">
            <v>13568</v>
          </cell>
          <cell r="H311">
            <v>6035</v>
          </cell>
          <cell r="I311">
            <v>6035</v>
          </cell>
          <cell r="J311">
            <v>12070</v>
          </cell>
          <cell r="K311">
            <v>-1498</v>
          </cell>
          <cell r="M311">
            <v>2038</v>
          </cell>
          <cell r="N311">
            <v>0</v>
          </cell>
          <cell r="O311">
            <v>2038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W311">
            <v>2038</v>
          </cell>
          <cell r="X311">
            <v>0</v>
          </cell>
          <cell r="Y311">
            <v>2038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G311">
            <v>2100</v>
          </cell>
          <cell r="AH311">
            <v>0</v>
          </cell>
          <cell r="AI311">
            <v>2100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Q311">
            <v>2100</v>
          </cell>
          <cell r="AR311">
            <v>0</v>
          </cell>
          <cell r="AS311">
            <v>2100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BA311">
            <v>2100</v>
          </cell>
          <cell r="BB311">
            <v>0</v>
          </cell>
          <cell r="BC311">
            <v>2100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K311">
            <v>2197</v>
          </cell>
          <cell r="BL311">
            <v>0</v>
          </cell>
          <cell r="BM311">
            <v>2197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U311">
            <v>2197</v>
          </cell>
          <cell r="BV311">
            <v>0</v>
          </cell>
          <cell r="BW311">
            <v>2197</v>
          </cell>
          <cell r="BX311">
            <v>0</v>
          </cell>
          <cell r="BY311">
            <v>0</v>
          </cell>
          <cell r="BZ311">
            <v>0</v>
          </cell>
          <cell r="CA311">
            <v>0</v>
          </cell>
          <cell r="CB311">
            <v>0</v>
          </cell>
          <cell r="CC311">
            <v>0</v>
          </cell>
          <cell r="CE311">
            <v>2197</v>
          </cell>
          <cell r="CF311">
            <v>0</v>
          </cell>
          <cell r="CG311">
            <v>2197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  <cell r="CL311">
            <v>0</v>
          </cell>
          <cell r="CM311">
            <v>0</v>
          </cell>
          <cell r="CO311">
            <v>2197</v>
          </cell>
          <cell r="CP311">
            <v>0</v>
          </cell>
          <cell r="CQ311">
            <v>2197</v>
          </cell>
          <cell r="CR311">
            <v>0</v>
          </cell>
          <cell r="CS311">
            <v>0</v>
          </cell>
          <cell r="CT311">
            <v>0</v>
          </cell>
          <cell r="CU311">
            <v>0</v>
          </cell>
          <cell r="CV311">
            <v>0</v>
          </cell>
          <cell r="CW311">
            <v>0</v>
          </cell>
          <cell r="CY311">
            <v>2197</v>
          </cell>
          <cell r="CZ311">
            <v>0</v>
          </cell>
          <cell r="DA311">
            <v>2197</v>
          </cell>
          <cell r="DB311">
            <v>0</v>
          </cell>
          <cell r="DC311">
            <v>0</v>
          </cell>
          <cell r="DD311">
            <v>0</v>
          </cell>
          <cell r="DE311">
            <v>0</v>
          </cell>
          <cell r="DF311">
            <v>0</v>
          </cell>
          <cell r="DG311">
            <v>0</v>
          </cell>
          <cell r="DI311">
            <v>12070</v>
          </cell>
          <cell r="DJ311">
            <v>21361</v>
          </cell>
          <cell r="DK311">
            <v>0</v>
          </cell>
          <cell r="DL311">
            <v>21361</v>
          </cell>
          <cell r="DM311">
            <v>21361</v>
          </cell>
          <cell r="DN311">
            <v>0</v>
          </cell>
          <cell r="DO311">
            <v>21361</v>
          </cell>
          <cell r="DP311">
            <v>0</v>
          </cell>
          <cell r="DQ311">
            <v>0</v>
          </cell>
          <cell r="DR311">
            <v>0</v>
          </cell>
          <cell r="DS311">
            <v>0</v>
          </cell>
          <cell r="DT311">
            <v>42722</v>
          </cell>
          <cell r="DU311">
            <v>0</v>
          </cell>
          <cell r="DW311">
            <v>0</v>
          </cell>
          <cell r="DX311">
            <v>0</v>
          </cell>
          <cell r="DY311">
            <v>16146</v>
          </cell>
          <cell r="DZ311">
            <v>20222</v>
          </cell>
          <cell r="EA311">
            <v>24422</v>
          </cell>
          <cell r="EB311">
            <v>28622</v>
          </cell>
          <cell r="EC311">
            <v>32822</v>
          </cell>
          <cell r="ED311">
            <v>37216</v>
          </cell>
          <cell r="EE311">
            <v>41610</v>
          </cell>
          <cell r="EF311">
            <v>46004</v>
          </cell>
          <cell r="EG311">
            <v>50398</v>
          </cell>
          <cell r="EH311">
            <v>54792</v>
          </cell>
          <cell r="EI311">
            <v>352254</v>
          </cell>
          <cell r="EK311">
            <v>0</v>
          </cell>
          <cell r="EL311">
            <v>0</v>
          </cell>
          <cell r="EM311">
            <v>107.64</v>
          </cell>
          <cell r="EN311">
            <v>134.81333333333333</v>
          </cell>
          <cell r="EO311">
            <v>162.81333333333333</v>
          </cell>
          <cell r="EP311">
            <v>190.81333333333336</v>
          </cell>
          <cell r="EQ311">
            <v>218.81333333333336</v>
          </cell>
          <cell r="ER311">
            <v>248.10666666666668</v>
          </cell>
          <cell r="ES311">
            <v>298.20499999999998</v>
          </cell>
          <cell r="ET311">
            <v>329.69533333333328</v>
          </cell>
          <cell r="EU311">
            <v>361.18566666666669</v>
          </cell>
          <cell r="EV311">
            <v>392.67599999999993</v>
          </cell>
          <cell r="EW311">
            <v>2444.7619999999997</v>
          </cell>
          <cell r="EY311">
            <v>159450</v>
          </cell>
          <cell r="EZ311">
            <v>8</v>
          </cell>
          <cell r="FA311">
            <v>1063</v>
          </cell>
          <cell r="FB311">
            <v>192804</v>
          </cell>
          <cell r="FC311">
            <v>8.6</v>
          </cell>
          <cell r="FD311">
            <v>1381.7619999999999</v>
          </cell>
          <cell r="FE311">
            <v>2444.7619999999997</v>
          </cell>
          <cell r="FF311">
            <v>57237</v>
          </cell>
          <cell r="FH311">
            <v>57237</v>
          </cell>
        </row>
        <row r="312">
          <cell r="B312">
            <v>9467</v>
          </cell>
          <cell r="C312" t="str">
            <v>12.06.2007</v>
          </cell>
          <cell r="D312" t="str">
            <v>Sasane Naresh Ramesh</v>
          </cell>
          <cell r="F312">
            <v>7035</v>
          </cell>
          <cell r="H312">
            <v>3195</v>
          </cell>
          <cell r="I312">
            <v>3195</v>
          </cell>
          <cell r="J312">
            <v>6390</v>
          </cell>
          <cell r="K312">
            <v>-645</v>
          </cell>
          <cell r="M312">
            <v>1057</v>
          </cell>
          <cell r="N312">
            <v>0</v>
          </cell>
          <cell r="O312">
            <v>1057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W312">
            <v>1057</v>
          </cell>
          <cell r="X312">
            <v>0</v>
          </cell>
          <cell r="Y312">
            <v>1057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G312">
            <v>1088</v>
          </cell>
          <cell r="AH312">
            <v>0</v>
          </cell>
          <cell r="AI312">
            <v>1088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Q312">
            <v>1088</v>
          </cell>
          <cell r="AR312">
            <v>0</v>
          </cell>
          <cell r="AS312">
            <v>1088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BA312">
            <v>1088</v>
          </cell>
          <cell r="BB312">
            <v>0</v>
          </cell>
          <cell r="BC312">
            <v>1088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K312">
            <v>1139</v>
          </cell>
          <cell r="BL312">
            <v>0</v>
          </cell>
          <cell r="BM312">
            <v>1139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U312">
            <v>1139</v>
          </cell>
          <cell r="BV312">
            <v>0</v>
          </cell>
          <cell r="BW312">
            <v>1139</v>
          </cell>
          <cell r="BX312">
            <v>0</v>
          </cell>
          <cell r="BY312">
            <v>0</v>
          </cell>
          <cell r="BZ312">
            <v>0</v>
          </cell>
          <cell r="CA312">
            <v>0</v>
          </cell>
          <cell r="CB312">
            <v>0</v>
          </cell>
          <cell r="CC312">
            <v>0</v>
          </cell>
          <cell r="CE312">
            <v>1139</v>
          </cell>
          <cell r="CF312">
            <v>0</v>
          </cell>
          <cell r="CG312">
            <v>1139</v>
          </cell>
          <cell r="CH312">
            <v>0</v>
          </cell>
          <cell r="CI312">
            <v>0</v>
          </cell>
          <cell r="CJ312">
            <v>0</v>
          </cell>
          <cell r="CK312">
            <v>0</v>
          </cell>
          <cell r="CL312">
            <v>0</v>
          </cell>
          <cell r="CM312">
            <v>0</v>
          </cell>
          <cell r="CO312">
            <v>1139</v>
          </cell>
          <cell r="CP312">
            <v>0</v>
          </cell>
          <cell r="CQ312">
            <v>1139</v>
          </cell>
          <cell r="CR312">
            <v>0</v>
          </cell>
          <cell r="CS312">
            <v>0</v>
          </cell>
          <cell r="CT312">
            <v>0</v>
          </cell>
          <cell r="CU312">
            <v>0</v>
          </cell>
          <cell r="CV312">
            <v>0</v>
          </cell>
          <cell r="CW312">
            <v>0</v>
          </cell>
          <cell r="CY312">
            <v>1139</v>
          </cell>
          <cell r="CZ312">
            <v>0</v>
          </cell>
          <cell r="DA312">
            <v>1139</v>
          </cell>
          <cell r="DB312">
            <v>0</v>
          </cell>
          <cell r="DC312">
            <v>0</v>
          </cell>
          <cell r="DD312">
            <v>0</v>
          </cell>
          <cell r="DE312">
            <v>0</v>
          </cell>
          <cell r="DF312">
            <v>0</v>
          </cell>
          <cell r="DG312">
            <v>0</v>
          </cell>
          <cell r="DI312">
            <v>6390</v>
          </cell>
          <cell r="DJ312">
            <v>11073</v>
          </cell>
          <cell r="DK312">
            <v>0</v>
          </cell>
          <cell r="DL312">
            <v>11073</v>
          </cell>
          <cell r="DM312">
            <v>11073</v>
          </cell>
          <cell r="DN312">
            <v>0</v>
          </cell>
          <cell r="DO312">
            <v>11073</v>
          </cell>
          <cell r="DP312">
            <v>0</v>
          </cell>
          <cell r="DQ312">
            <v>0</v>
          </cell>
          <cell r="DR312">
            <v>0</v>
          </cell>
          <cell r="DS312">
            <v>0</v>
          </cell>
          <cell r="DT312">
            <v>22146</v>
          </cell>
          <cell r="DU312">
            <v>0</v>
          </cell>
          <cell r="DW312">
            <v>0</v>
          </cell>
          <cell r="DX312">
            <v>0</v>
          </cell>
          <cell r="DY312">
            <v>8504</v>
          </cell>
          <cell r="DZ312">
            <v>10618</v>
          </cell>
          <cell r="EA312">
            <v>12794</v>
          </cell>
          <cell r="EB312">
            <v>14970</v>
          </cell>
          <cell r="EC312">
            <v>17146</v>
          </cell>
          <cell r="ED312">
            <v>19424</v>
          </cell>
          <cell r="EE312">
            <v>21702</v>
          </cell>
          <cell r="EF312">
            <v>23980</v>
          </cell>
          <cell r="EG312">
            <v>26258</v>
          </cell>
          <cell r="EH312">
            <v>28536</v>
          </cell>
          <cell r="EI312">
            <v>183932</v>
          </cell>
          <cell r="EK312">
            <v>0</v>
          </cell>
          <cell r="EL312">
            <v>0</v>
          </cell>
          <cell r="EM312">
            <v>56.693333333333335</v>
          </cell>
          <cell r="EN312">
            <v>70.786666666666676</v>
          </cell>
          <cell r="EO312">
            <v>85.293333333333337</v>
          </cell>
          <cell r="EP312">
            <v>99.8</v>
          </cell>
          <cell r="EQ312">
            <v>114.30666666666667</v>
          </cell>
          <cell r="ER312">
            <v>129.49333333333334</v>
          </cell>
          <cell r="ES312">
            <v>155.53099999999998</v>
          </cell>
          <cell r="ET312">
            <v>171.85666666666668</v>
          </cell>
          <cell r="EU312">
            <v>188.18233333333333</v>
          </cell>
          <cell r="EV312">
            <v>204.50799999999995</v>
          </cell>
          <cell r="EW312">
            <v>1276.4513333333334</v>
          </cell>
          <cell r="EY312">
            <v>83456</v>
          </cell>
          <cell r="EZ312">
            <v>8</v>
          </cell>
          <cell r="FA312">
            <v>556.37333333333333</v>
          </cell>
          <cell r="FB312">
            <v>100476</v>
          </cell>
          <cell r="FC312">
            <v>8.6</v>
          </cell>
          <cell r="FD312">
            <v>720.07799999999997</v>
          </cell>
          <cell r="FE312">
            <v>1276.4513333333334</v>
          </cell>
          <cell r="FF312">
            <v>29812</v>
          </cell>
          <cell r="FH312">
            <v>29812</v>
          </cell>
        </row>
        <row r="313">
          <cell r="B313">
            <v>9468</v>
          </cell>
          <cell r="C313" t="str">
            <v>12.06.2007</v>
          </cell>
          <cell r="D313" t="str">
            <v>Patil Santosh Shankar</v>
          </cell>
          <cell r="F313">
            <v>7769</v>
          </cell>
          <cell r="H313">
            <v>3550</v>
          </cell>
          <cell r="I313">
            <v>3550</v>
          </cell>
          <cell r="J313">
            <v>7100</v>
          </cell>
          <cell r="K313">
            <v>-669</v>
          </cell>
          <cell r="M313">
            <v>1167</v>
          </cell>
          <cell r="N313">
            <v>0</v>
          </cell>
          <cell r="O313">
            <v>1167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W313">
            <v>1167</v>
          </cell>
          <cell r="X313">
            <v>0</v>
          </cell>
          <cell r="Y313">
            <v>1167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G313">
            <v>1203</v>
          </cell>
          <cell r="AH313">
            <v>0</v>
          </cell>
          <cell r="AI313">
            <v>1203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Q313">
            <v>1203</v>
          </cell>
          <cell r="AR313">
            <v>0</v>
          </cell>
          <cell r="AS313">
            <v>1203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BA313">
            <v>1203</v>
          </cell>
          <cell r="BB313">
            <v>0</v>
          </cell>
          <cell r="BC313">
            <v>1203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K313">
            <v>1259</v>
          </cell>
          <cell r="BL313">
            <v>0</v>
          </cell>
          <cell r="BM313">
            <v>1259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U313">
            <v>1259</v>
          </cell>
          <cell r="BV313">
            <v>0</v>
          </cell>
          <cell r="BW313">
            <v>1259</v>
          </cell>
          <cell r="BX313">
            <v>0</v>
          </cell>
          <cell r="BY313">
            <v>0</v>
          </cell>
          <cell r="BZ313">
            <v>0</v>
          </cell>
          <cell r="CA313">
            <v>0</v>
          </cell>
          <cell r="CB313">
            <v>0</v>
          </cell>
          <cell r="CC313">
            <v>0</v>
          </cell>
          <cell r="CE313">
            <v>1259</v>
          </cell>
          <cell r="CF313">
            <v>0</v>
          </cell>
          <cell r="CG313">
            <v>1259</v>
          </cell>
          <cell r="CH313">
            <v>0</v>
          </cell>
          <cell r="CI313">
            <v>0</v>
          </cell>
          <cell r="CJ313">
            <v>0</v>
          </cell>
          <cell r="CK313">
            <v>0</v>
          </cell>
          <cell r="CL313">
            <v>0</v>
          </cell>
          <cell r="CM313">
            <v>0</v>
          </cell>
          <cell r="CO313">
            <v>1259</v>
          </cell>
          <cell r="CP313">
            <v>0</v>
          </cell>
          <cell r="CQ313">
            <v>1259</v>
          </cell>
          <cell r="CR313">
            <v>0</v>
          </cell>
          <cell r="CS313">
            <v>0</v>
          </cell>
          <cell r="CT313">
            <v>0</v>
          </cell>
          <cell r="CU313">
            <v>0</v>
          </cell>
          <cell r="CV313">
            <v>0</v>
          </cell>
          <cell r="CW313">
            <v>0</v>
          </cell>
          <cell r="CY313">
            <v>1259</v>
          </cell>
          <cell r="CZ313">
            <v>0</v>
          </cell>
          <cell r="DA313">
            <v>1259</v>
          </cell>
          <cell r="DB313">
            <v>0</v>
          </cell>
          <cell r="DC313">
            <v>0</v>
          </cell>
          <cell r="DD313">
            <v>0</v>
          </cell>
          <cell r="DE313">
            <v>0</v>
          </cell>
          <cell r="DF313">
            <v>0</v>
          </cell>
          <cell r="DG313">
            <v>0</v>
          </cell>
          <cell r="DI313">
            <v>7100</v>
          </cell>
          <cell r="DJ313">
            <v>12238</v>
          </cell>
          <cell r="DK313">
            <v>0</v>
          </cell>
          <cell r="DL313">
            <v>12238</v>
          </cell>
          <cell r="DM313">
            <v>12238</v>
          </cell>
          <cell r="DN313">
            <v>0</v>
          </cell>
          <cell r="DO313">
            <v>12238</v>
          </cell>
          <cell r="DP313">
            <v>0</v>
          </cell>
          <cell r="DQ313">
            <v>0</v>
          </cell>
          <cell r="DR313">
            <v>0</v>
          </cell>
          <cell r="DS313">
            <v>0</v>
          </cell>
          <cell r="DT313">
            <v>24476</v>
          </cell>
          <cell r="DU313">
            <v>0</v>
          </cell>
          <cell r="DW313">
            <v>0</v>
          </cell>
          <cell r="DX313">
            <v>0</v>
          </cell>
          <cell r="DY313">
            <v>9434</v>
          </cell>
          <cell r="DZ313">
            <v>11768</v>
          </cell>
          <cell r="EA313">
            <v>14174</v>
          </cell>
          <cell r="EB313">
            <v>16580</v>
          </cell>
          <cell r="EC313">
            <v>18986</v>
          </cell>
          <cell r="ED313">
            <v>21504</v>
          </cell>
          <cell r="EE313">
            <v>24022</v>
          </cell>
          <cell r="EF313">
            <v>26540</v>
          </cell>
          <cell r="EG313">
            <v>29058</v>
          </cell>
          <cell r="EH313">
            <v>31576</v>
          </cell>
          <cell r="EI313">
            <v>203642</v>
          </cell>
          <cell r="EK313">
            <v>0</v>
          </cell>
          <cell r="EL313">
            <v>0</v>
          </cell>
          <cell r="EM313">
            <v>62.893333333333338</v>
          </cell>
          <cell r="EN313">
            <v>78.453333333333333</v>
          </cell>
          <cell r="EO313">
            <v>94.493333333333339</v>
          </cell>
          <cell r="EP313">
            <v>110.53333333333335</v>
          </cell>
          <cell r="EQ313">
            <v>126.57333333333334</v>
          </cell>
          <cell r="ER313">
            <v>143.35999999999999</v>
          </cell>
          <cell r="ES313">
            <v>172.15766666666664</v>
          </cell>
          <cell r="ET313">
            <v>190.20333333333335</v>
          </cell>
          <cell r="EU313">
            <v>208.249</v>
          </cell>
          <cell r="EV313">
            <v>226.29466666666664</v>
          </cell>
          <cell r="EW313">
            <v>1413.2113333333332</v>
          </cell>
          <cell r="EY313">
            <v>92446</v>
          </cell>
          <cell r="EZ313">
            <v>8</v>
          </cell>
          <cell r="FA313">
            <v>616.30666666666673</v>
          </cell>
          <cell r="FB313">
            <v>111196</v>
          </cell>
          <cell r="FC313">
            <v>8.6</v>
          </cell>
          <cell r="FD313">
            <v>796.90466666666669</v>
          </cell>
          <cell r="FE313">
            <v>1413.2113333333334</v>
          </cell>
          <cell r="FF313">
            <v>32989</v>
          </cell>
          <cell r="FH313">
            <v>32989</v>
          </cell>
        </row>
        <row r="314">
          <cell r="B314">
            <v>9469</v>
          </cell>
          <cell r="C314" t="str">
            <v>12.06.2007</v>
          </cell>
          <cell r="D314" t="str">
            <v>Khetade Trimbak Pandurang</v>
          </cell>
          <cell r="F314">
            <v>6612</v>
          </cell>
          <cell r="H314">
            <v>3550</v>
          </cell>
          <cell r="I314">
            <v>3550</v>
          </cell>
          <cell r="J314">
            <v>7100</v>
          </cell>
          <cell r="K314">
            <v>488</v>
          </cell>
          <cell r="M314">
            <v>1167</v>
          </cell>
          <cell r="N314">
            <v>0</v>
          </cell>
          <cell r="O314">
            <v>1167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W314">
            <v>1167</v>
          </cell>
          <cell r="X314">
            <v>0</v>
          </cell>
          <cell r="Y314">
            <v>1167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G314">
            <v>1203</v>
          </cell>
          <cell r="AH314">
            <v>0</v>
          </cell>
          <cell r="AI314">
            <v>1203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Q314">
            <v>1203</v>
          </cell>
          <cell r="AR314">
            <v>0</v>
          </cell>
          <cell r="AS314">
            <v>1203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BA314">
            <v>1203</v>
          </cell>
          <cell r="BB314">
            <v>0</v>
          </cell>
          <cell r="BC314">
            <v>1203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K314">
            <v>1259</v>
          </cell>
          <cell r="BL314">
            <v>0</v>
          </cell>
          <cell r="BM314">
            <v>1259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U314">
            <v>1259</v>
          </cell>
          <cell r="BV314">
            <v>0</v>
          </cell>
          <cell r="BW314">
            <v>1259</v>
          </cell>
          <cell r="BX314">
            <v>0</v>
          </cell>
          <cell r="BY314">
            <v>0</v>
          </cell>
          <cell r="BZ314">
            <v>0</v>
          </cell>
          <cell r="CA314">
            <v>0</v>
          </cell>
          <cell r="CB314">
            <v>0</v>
          </cell>
          <cell r="CC314">
            <v>0</v>
          </cell>
          <cell r="CE314">
            <v>1259</v>
          </cell>
          <cell r="CF314">
            <v>0</v>
          </cell>
          <cell r="CG314">
            <v>1259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  <cell r="CL314">
            <v>0</v>
          </cell>
          <cell r="CM314">
            <v>0</v>
          </cell>
          <cell r="CO314">
            <v>1259</v>
          </cell>
          <cell r="CP314">
            <v>0</v>
          </cell>
          <cell r="CQ314">
            <v>1259</v>
          </cell>
          <cell r="CR314">
            <v>0</v>
          </cell>
          <cell r="CS314">
            <v>0</v>
          </cell>
          <cell r="CT314">
            <v>0</v>
          </cell>
          <cell r="CU314">
            <v>0</v>
          </cell>
          <cell r="CV314">
            <v>0</v>
          </cell>
          <cell r="CW314">
            <v>0</v>
          </cell>
          <cell r="CY314">
            <v>1259</v>
          </cell>
          <cell r="CZ314">
            <v>0</v>
          </cell>
          <cell r="DA314">
            <v>1259</v>
          </cell>
          <cell r="DB314">
            <v>0</v>
          </cell>
          <cell r="DC314">
            <v>0</v>
          </cell>
          <cell r="DD314">
            <v>0</v>
          </cell>
          <cell r="DE314">
            <v>0</v>
          </cell>
          <cell r="DF314">
            <v>0</v>
          </cell>
          <cell r="DG314">
            <v>0</v>
          </cell>
          <cell r="DI314">
            <v>7100</v>
          </cell>
          <cell r="DJ314">
            <v>12238</v>
          </cell>
          <cell r="DK314">
            <v>0</v>
          </cell>
          <cell r="DL314">
            <v>12238</v>
          </cell>
          <cell r="DM314">
            <v>12238</v>
          </cell>
          <cell r="DN314">
            <v>0</v>
          </cell>
          <cell r="DO314">
            <v>12238</v>
          </cell>
          <cell r="DP314">
            <v>0</v>
          </cell>
          <cell r="DQ314">
            <v>0</v>
          </cell>
          <cell r="DR314">
            <v>0</v>
          </cell>
          <cell r="DS314">
            <v>0</v>
          </cell>
          <cell r="DT314">
            <v>24476</v>
          </cell>
          <cell r="DU314">
            <v>0</v>
          </cell>
          <cell r="DW314">
            <v>0</v>
          </cell>
          <cell r="DX314">
            <v>0</v>
          </cell>
          <cell r="DY314">
            <v>9434</v>
          </cell>
          <cell r="DZ314">
            <v>11768</v>
          </cell>
          <cell r="EA314">
            <v>14174</v>
          </cell>
          <cell r="EB314">
            <v>16580</v>
          </cell>
          <cell r="EC314">
            <v>18986</v>
          </cell>
          <cell r="ED314">
            <v>21504</v>
          </cell>
          <cell r="EE314">
            <v>24022</v>
          </cell>
          <cell r="EF314">
            <v>26540</v>
          </cell>
          <cell r="EG314">
            <v>29058</v>
          </cell>
          <cell r="EH314">
            <v>31576</v>
          </cell>
          <cell r="EI314">
            <v>203642</v>
          </cell>
          <cell r="EK314">
            <v>0</v>
          </cell>
          <cell r="EL314">
            <v>0</v>
          </cell>
          <cell r="EM314">
            <v>62.893333333333338</v>
          </cell>
          <cell r="EN314">
            <v>78.453333333333333</v>
          </cell>
          <cell r="EO314">
            <v>94.493333333333339</v>
          </cell>
          <cell r="EP314">
            <v>110.53333333333335</v>
          </cell>
          <cell r="EQ314">
            <v>126.57333333333334</v>
          </cell>
          <cell r="ER314">
            <v>143.35999999999999</v>
          </cell>
          <cell r="ES314">
            <v>172.15766666666664</v>
          </cell>
          <cell r="ET314">
            <v>190.20333333333335</v>
          </cell>
          <cell r="EU314">
            <v>208.249</v>
          </cell>
          <cell r="EV314">
            <v>226.29466666666664</v>
          </cell>
          <cell r="EW314">
            <v>1413.2113333333332</v>
          </cell>
          <cell r="EY314">
            <v>92446</v>
          </cell>
          <cell r="EZ314">
            <v>8</v>
          </cell>
          <cell r="FA314">
            <v>616.30666666666673</v>
          </cell>
          <cell r="FB314">
            <v>111196</v>
          </cell>
          <cell r="FC314">
            <v>8.6</v>
          </cell>
          <cell r="FD314">
            <v>796.90466666666669</v>
          </cell>
          <cell r="FE314">
            <v>1413.2113333333334</v>
          </cell>
          <cell r="FF314">
            <v>32989</v>
          </cell>
          <cell r="FH314">
            <v>32989</v>
          </cell>
        </row>
        <row r="315">
          <cell r="B315">
            <v>9470</v>
          </cell>
          <cell r="C315" t="str">
            <v>12.06.2007</v>
          </cell>
          <cell r="D315" t="str">
            <v>Giri Ramesh Gulab</v>
          </cell>
          <cell r="F315">
            <v>7769</v>
          </cell>
          <cell r="H315">
            <v>4550</v>
          </cell>
          <cell r="I315">
            <v>4550</v>
          </cell>
          <cell r="J315">
            <v>9100</v>
          </cell>
          <cell r="K315">
            <v>1331</v>
          </cell>
          <cell r="M315">
            <v>1167</v>
          </cell>
          <cell r="N315">
            <v>0</v>
          </cell>
          <cell r="O315">
            <v>1167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W315">
            <v>1167</v>
          </cell>
          <cell r="X315">
            <v>0</v>
          </cell>
          <cell r="Y315">
            <v>1167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G315">
            <v>1203</v>
          </cell>
          <cell r="AH315">
            <v>0</v>
          </cell>
          <cell r="AI315">
            <v>1203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Q315">
            <v>1203</v>
          </cell>
          <cell r="AR315">
            <v>0</v>
          </cell>
          <cell r="AS315">
            <v>1203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BA315">
            <v>1203</v>
          </cell>
          <cell r="BB315">
            <v>0</v>
          </cell>
          <cell r="BC315">
            <v>1203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K315">
            <v>1259</v>
          </cell>
          <cell r="BL315">
            <v>0</v>
          </cell>
          <cell r="BM315">
            <v>1259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U315">
            <v>1259</v>
          </cell>
          <cell r="BV315">
            <v>0</v>
          </cell>
          <cell r="BW315">
            <v>1259</v>
          </cell>
          <cell r="BX315">
            <v>0</v>
          </cell>
          <cell r="BY315">
            <v>0</v>
          </cell>
          <cell r="BZ315">
            <v>0</v>
          </cell>
          <cell r="CA315">
            <v>0</v>
          </cell>
          <cell r="CB315">
            <v>0</v>
          </cell>
          <cell r="CC315">
            <v>0</v>
          </cell>
          <cell r="CE315">
            <v>1259</v>
          </cell>
          <cell r="CF315">
            <v>0</v>
          </cell>
          <cell r="CG315">
            <v>1259</v>
          </cell>
          <cell r="CH315">
            <v>0</v>
          </cell>
          <cell r="CI315">
            <v>0</v>
          </cell>
          <cell r="CJ315">
            <v>0</v>
          </cell>
          <cell r="CK315">
            <v>0</v>
          </cell>
          <cell r="CL315">
            <v>0</v>
          </cell>
          <cell r="CM315">
            <v>0</v>
          </cell>
          <cell r="CO315">
            <v>1259</v>
          </cell>
          <cell r="CP315">
            <v>0</v>
          </cell>
          <cell r="CQ315">
            <v>1259</v>
          </cell>
          <cell r="CR315">
            <v>0</v>
          </cell>
          <cell r="CS315">
            <v>0</v>
          </cell>
          <cell r="CT315">
            <v>0</v>
          </cell>
          <cell r="CU315">
            <v>0</v>
          </cell>
          <cell r="CV315">
            <v>0</v>
          </cell>
          <cell r="CW315">
            <v>0</v>
          </cell>
          <cell r="CY315">
            <v>1259</v>
          </cell>
          <cell r="CZ315">
            <v>0</v>
          </cell>
          <cell r="DA315">
            <v>1259</v>
          </cell>
          <cell r="DB315">
            <v>0</v>
          </cell>
          <cell r="DC315">
            <v>0</v>
          </cell>
          <cell r="DD315">
            <v>0</v>
          </cell>
          <cell r="DE315">
            <v>0</v>
          </cell>
          <cell r="DF315">
            <v>0</v>
          </cell>
          <cell r="DG315">
            <v>0</v>
          </cell>
          <cell r="DI315">
            <v>9100</v>
          </cell>
          <cell r="DJ315">
            <v>12238</v>
          </cell>
          <cell r="DK315">
            <v>0</v>
          </cell>
          <cell r="DL315">
            <v>12238</v>
          </cell>
          <cell r="DM315">
            <v>12238</v>
          </cell>
          <cell r="DN315">
            <v>0</v>
          </cell>
          <cell r="DO315">
            <v>12238</v>
          </cell>
          <cell r="DP315">
            <v>0</v>
          </cell>
          <cell r="DQ315">
            <v>0</v>
          </cell>
          <cell r="DR315">
            <v>0</v>
          </cell>
          <cell r="DS315">
            <v>0</v>
          </cell>
          <cell r="DT315">
            <v>24476</v>
          </cell>
          <cell r="DU315">
            <v>0</v>
          </cell>
          <cell r="DW315">
            <v>0</v>
          </cell>
          <cell r="DX315">
            <v>0</v>
          </cell>
          <cell r="DY315">
            <v>11434</v>
          </cell>
          <cell r="DZ315">
            <v>13768</v>
          </cell>
          <cell r="EA315">
            <v>16174</v>
          </cell>
          <cell r="EB315">
            <v>18580</v>
          </cell>
          <cell r="EC315">
            <v>20986</v>
          </cell>
          <cell r="ED315">
            <v>23504</v>
          </cell>
          <cell r="EE315">
            <v>26022</v>
          </cell>
          <cell r="EF315">
            <v>28540</v>
          </cell>
          <cell r="EG315">
            <v>31058</v>
          </cell>
          <cell r="EH315">
            <v>33576</v>
          </cell>
          <cell r="EI315">
            <v>223642</v>
          </cell>
          <cell r="EK315">
            <v>0</v>
          </cell>
          <cell r="EL315">
            <v>0</v>
          </cell>
          <cell r="EM315">
            <v>76.226666666666674</v>
          </cell>
          <cell r="EN315">
            <v>91.786666666666676</v>
          </cell>
          <cell r="EO315">
            <v>107.82666666666667</v>
          </cell>
          <cell r="EP315">
            <v>123.86666666666667</v>
          </cell>
          <cell r="EQ315">
            <v>139.90666666666667</v>
          </cell>
          <cell r="ER315">
            <v>156.69333333333333</v>
          </cell>
          <cell r="ES315">
            <v>186.49099999999999</v>
          </cell>
          <cell r="ET315">
            <v>204.53666666666666</v>
          </cell>
          <cell r="EU315">
            <v>222.58233333333331</v>
          </cell>
          <cell r="EV315">
            <v>240.62799999999996</v>
          </cell>
          <cell r="EW315">
            <v>1550.5446666666664</v>
          </cell>
          <cell r="EY315">
            <v>104446</v>
          </cell>
          <cell r="EZ315">
            <v>8</v>
          </cell>
          <cell r="FA315">
            <v>696.30666666666673</v>
          </cell>
          <cell r="FB315">
            <v>119196</v>
          </cell>
          <cell r="FC315">
            <v>8.6</v>
          </cell>
          <cell r="FD315">
            <v>854.23799999999994</v>
          </cell>
          <cell r="FE315">
            <v>1550.5446666666667</v>
          </cell>
          <cell r="FF315">
            <v>35127</v>
          </cell>
          <cell r="FH315">
            <v>35127</v>
          </cell>
        </row>
        <row r="316">
          <cell r="B316">
            <v>9472</v>
          </cell>
          <cell r="C316" t="str">
            <v>12.06.2007</v>
          </cell>
          <cell r="D316" t="str">
            <v>Kanade Shrikant Nathu</v>
          </cell>
          <cell r="F316">
            <v>7035</v>
          </cell>
          <cell r="H316">
            <v>4295</v>
          </cell>
          <cell r="I316">
            <v>4295</v>
          </cell>
          <cell r="J316">
            <v>8590</v>
          </cell>
          <cell r="K316">
            <v>1555</v>
          </cell>
          <cell r="M316">
            <v>1057</v>
          </cell>
          <cell r="N316">
            <v>0</v>
          </cell>
          <cell r="O316">
            <v>1057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W316">
            <v>1057</v>
          </cell>
          <cell r="X316">
            <v>0</v>
          </cell>
          <cell r="Y316">
            <v>1057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G316">
            <v>1088</v>
          </cell>
          <cell r="AH316">
            <v>0</v>
          </cell>
          <cell r="AI316">
            <v>1088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Q316">
            <v>1088</v>
          </cell>
          <cell r="AR316">
            <v>0</v>
          </cell>
          <cell r="AS316">
            <v>1088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BA316">
            <v>1088</v>
          </cell>
          <cell r="BB316">
            <v>0</v>
          </cell>
          <cell r="BC316">
            <v>1088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K316">
            <v>1139</v>
          </cell>
          <cell r="BL316">
            <v>0</v>
          </cell>
          <cell r="BM316">
            <v>1139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  <cell r="BS316">
            <v>0</v>
          </cell>
          <cell r="BU316">
            <v>1139</v>
          </cell>
          <cell r="BV316">
            <v>0</v>
          </cell>
          <cell r="BW316">
            <v>1139</v>
          </cell>
          <cell r="BX316">
            <v>0</v>
          </cell>
          <cell r="BY316">
            <v>0</v>
          </cell>
          <cell r="BZ316">
            <v>0</v>
          </cell>
          <cell r="CA316">
            <v>0</v>
          </cell>
          <cell r="CB316">
            <v>0</v>
          </cell>
          <cell r="CC316">
            <v>0</v>
          </cell>
          <cell r="CE316">
            <v>1139</v>
          </cell>
          <cell r="CF316">
            <v>0</v>
          </cell>
          <cell r="CG316">
            <v>1139</v>
          </cell>
          <cell r="CH316">
            <v>0</v>
          </cell>
          <cell r="CI316">
            <v>0</v>
          </cell>
          <cell r="CJ316">
            <v>0</v>
          </cell>
          <cell r="CK316">
            <v>0</v>
          </cell>
          <cell r="CL316">
            <v>0</v>
          </cell>
          <cell r="CM316">
            <v>0</v>
          </cell>
          <cell r="CO316">
            <v>1139</v>
          </cell>
          <cell r="CP316">
            <v>0</v>
          </cell>
          <cell r="CQ316">
            <v>1139</v>
          </cell>
          <cell r="CR316">
            <v>0</v>
          </cell>
          <cell r="CS316">
            <v>0</v>
          </cell>
          <cell r="CT316">
            <v>0</v>
          </cell>
          <cell r="CU316">
            <v>0</v>
          </cell>
          <cell r="CV316">
            <v>0</v>
          </cell>
          <cell r="CW316">
            <v>0</v>
          </cell>
          <cell r="CY316">
            <v>1139</v>
          </cell>
          <cell r="CZ316">
            <v>0</v>
          </cell>
          <cell r="DA316">
            <v>1139</v>
          </cell>
          <cell r="DB316">
            <v>0</v>
          </cell>
          <cell r="DC316">
            <v>0</v>
          </cell>
          <cell r="DD316">
            <v>0</v>
          </cell>
          <cell r="DE316">
            <v>0</v>
          </cell>
          <cell r="DF316">
            <v>0</v>
          </cell>
          <cell r="DG316">
            <v>0</v>
          </cell>
          <cell r="DI316">
            <v>8590</v>
          </cell>
          <cell r="DJ316">
            <v>11073</v>
          </cell>
          <cell r="DK316">
            <v>0</v>
          </cell>
          <cell r="DL316">
            <v>11073</v>
          </cell>
          <cell r="DM316">
            <v>11073</v>
          </cell>
          <cell r="DN316">
            <v>0</v>
          </cell>
          <cell r="DO316">
            <v>11073</v>
          </cell>
          <cell r="DP316">
            <v>0</v>
          </cell>
          <cell r="DQ316">
            <v>0</v>
          </cell>
          <cell r="DR316">
            <v>0</v>
          </cell>
          <cell r="DS316">
            <v>0</v>
          </cell>
          <cell r="DT316">
            <v>22146</v>
          </cell>
          <cell r="DU316">
            <v>0</v>
          </cell>
          <cell r="DW316">
            <v>0</v>
          </cell>
          <cell r="DX316">
            <v>0</v>
          </cell>
          <cell r="DY316">
            <v>10704</v>
          </cell>
          <cell r="DZ316">
            <v>12818</v>
          </cell>
          <cell r="EA316">
            <v>14994</v>
          </cell>
          <cell r="EB316">
            <v>17170</v>
          </cell>
          <cell r="EC316">
            <v>19346</v>
          </cell>
          <cell r="ED316">
            <v>21624</v>
          </cell>
          <cell r="EE316">
            <v>23902</v>
          </cell>
          <cell r="EF316">
            <v>26180</v>
          </cell>
          <cell r="EG316">
            <v>28458</v>
          </cell>
          <cell r="EH316">
            <v>30736</v>
          </cell>
          <cell r="EI316">
            <v>205932</v>
          </cell>
          <cell r="EK316">
            <v>0</v>
          </cell>
          <cell r="EL316">
            <v>0</v>
          </cell>
          <cell r="EM316">
            <v>71.36</v>
          </cell>
          <cell r="EN316">
            <v>85.453333333333333</v>
          </cell>
          <cell r="EO316">
            <v>99.96</v>
          </cell>
          <cell r="EP316">
            <v>114.46666666666665</v>
          </cell>
          <cell r="EQ316">
            <v>128.97333333333333</v>
          </cell>
          <cell r="ER316">
            <v>144.16</v>
          </cell>
          <cell r="ES316">
            <v>171.29766666666663</v>
          </cell>
          <cell r="ET316">
            <v>187.62333333333333</v>
          </cell>
          <cell r="EU316">
            <v>203.94899999999998</v>
          </cell>
          <cell r="EV316">
            <v>220.27466666666666</v>
          </cell>
          <cell r="EW316">
            <v>1427.5179999999998</v>
          </cell>
          <cell r="EY316">
            <v>96656</v>
          </cell>
          <cell r="EZ316">
            <v>8</v>
          </cell>
          <cell r="FA316">
            <v>644.37333333333333</v>
          </cell>
          <cell r="FB316">
            <v>109276</v>
          </cell>
          <cell r="FC316">
            <v>8.6</v>
          </cell>
          <cell r="FD316">
            <v>783.14466666666658</v>
          </cell>
          <cell r="FE316">
            <v>1427.518</v>
          </cell>
          <cell r="FF316">
            <v>32164</v>
          </cell>
          <cell r="FH316">
            <v>32164</v>
          </cell>
        </row>
        <row r="317">
          <cell r="B317">
            <v>9474</v>
          </cell>
          <cell r="C317" t="str">
            <v>12.06.2007</v>
          </cell>
          <cell r="D317" t="str">
            <v>Ashiwal Bhausaheb Dodhu</v>
          </cell>
          <cell r="F317">
            <v>9567</v>
          </cell>
          <cell r="H317">
            <v>3195</v>
          </cell>
          <cell r="I317">
            <v>3195</v>
          </cell>
          <cell r="J317">
            <v>6390</v>
          </cell>
          <cell r="K317">
            <v>-3177</v>
          </cell>
          <cell r="M317">
            <v>1496</v>
          </cell>
          <cell r="N317">
            <v>0</v>
          </cell>
          <cell r="O317">
            <v>1496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W317">
            <v>1496</v>
          </cell>
          <cell r="X317">
            <v>0</v>
          </cell>
          <cell r="Y317">
            <v>1496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G317">
            <v>1541</v>
          </cell>
          <cell r="AH317">
            <v>0</v>
          </cell>
          <cell r="AI317">
            <v>1541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Q317">
            <v>1541</v>
          </cell>
          <cell r="AR317">
            <v>0</v>
          </cell>
          <cell r="AS317">
            <v>1541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BA317">
            <v>1541</v>
          </cell>
          <cell r="BB317">
            <v>0</v>
          </cell>
          <cell r="BC317">
            <v>1541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K317">
            <v>1613</v>
          </cell>
          <cell r="BL317">
            <v>0</v>
          </cell>
          <cell r="BM317">
            <v>1613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  <cell r="BS317">
            <v>0</v>
          </cell>
          <cell r="BU317">
            <v>1613</v>
          </cell>
          <cell r="BV317">
            <v>0</v>
          </cell>
          <cell r="BW317">
            <v>1613</v>
          </cell>
          <cell r="BX317">
            <v>0</v>
          </cell>
          <cell r="BY317">
            <v>0</v>
          </cell>
          <cell r="BZ317">
            <v>0</v>
          </cell>
          <cell r="CA317">
            <v>0</v>
          </cell>
          <cell r="CB317">
            <v>0</v>
          </cell>
          <cell r="CC317">
            <v>0</v>
          </cell>
          <cell r="CE317">
            <v>1613</v>
          </cell>
          <cell r="CF317">
            <v>0</v>
          </cell>
          <cell r="CG317">
            <v>1613</v>
          </cell>
          <cell r="CH317">
            <v>0</v>
          </cell>
          <cell r="CI317">
            <v>0</v>
          </cell>
          <cell r="CJ317">
            <v>0</v>
          </cell>
          <cell r="CK317">
            <v>0</v>
          </cell>
          <cell r="CL317">
            <v>0</v>
          </cell>
          <cell r="CM317">
            <v>0</v>
          </cell>
          <cell r="CO317">
            <v>1613</v>
          </cell>
          <cell r="CP317">
            <v>0</v>
          </cell>
          <cell r="CQ317">
            <v>1613</v>
          </cell>
          <cell r="CR317">
            <v>0</v>
          </cell>
          <cell r="CS317">
            <v>0</v>
          </cell>
          <cell r="CT317">
            <v>0</v>
          </cell>
          <cell r="CU317">
            <v>0</v>
          </cell>
          <cell r="CV317">
            <v>0</v>
          </cell>
          <cell r="CW317">
            <v>0</v>
          </cell>
          <cell r="CY317">
            <v>1613</v>
          </cell>
          <cell r="CZ317">
            <v>0</v>
          </cell>
          <cell r="DA317">
            <v>1613</v>
          </cell>
          <cell r="DB317">
            <v>0</v>
          </cell>
          <cell r="DC317">
            <v>0</v>
          </cell>
          <cell r="DD317">
            <v>0</v>
          </cell>
          <cell r="DE317">
            <v>0</v>
          </cell>
          <cell r="DF317">
            <v>0</v>
          </cell>
          <cell r="DG317">
            <v>0</v>
          </cell>
          <cell r="DI317">
            <v>6390</v>
          </cell>
          <cell r="DJ317">
            <v>15680</v>
          </cell>
          <cell r="DK317">
            <v>0</v>
          </cell>
          <cell r="DL317">
            <v>15680</v>
          </cell>
          <cell r="DM317">
            <v>15680</v>
          </cell>
          <cell r="DN317">
            <v>0</v>
          </cell>
          <cell r="DO317">
            <v>15680</v>
          </cell>
          <cell r="DP317">
            <v>0</v>
          </cell>
          <cell r="DQ317">
            <v>0</v>
          </cell>
          <cell r="DR317">
            <v>0</v>
          </cell>
          <cell r="DS317">
            <v>0</v>
          </cell>
          <cell r="DT317">
            <v>31360</v>
          </cell>
          <cell r="DU317">
            <v>0</v>
          </cell>
          <cell r="DW317">
            <v>0</v>
          </cell>
          <cell r="DX317">
            <v>0</v>
          </cell>
          <cell r="DY317">
            <v>9382</v>
          </cell>
          <cell r="DZ317">
            <v>12374</v>
          </cell>
          <cell r="EA317">
            <v>15456</v>
          </cell>
          <cell r="EB317">
            <v>18538</v>
          </cell>
          <cell r="EC317">
            <v>21620</v>
          </cell>
          <cell r="ED317">
            <v>24846</v>
          </cell>
          <cell r="EE317">
            <v>28072</v>
          </cell>
          <cell r="EF317">
            <v>31298</v>
          </cell>
          <cell r="EG317">
            <v>34524</v>
          </cell>
          <cell r="EH317">
            <v>37750</v>
          </cell>
          <cell r="EI317">
            <v>233860</v>
          </cell>
          <cell r="EK317">
            <v>0</v>
          </cell>
          <cell r="EL317">
            <v>0</v>
          </cell>
          <cell r="EM317">
            <v>62.54666666666666</v>
          </cell>
          <cell r="EN317">
            <v>82.493333333333325</v>
          </cell>
          <cell r="EO317">
            <v>103.04</v>
          </cell>
          <cell r="EP317">
            <v>123.58666666666666</v>
          </cell>
          <cell r="EQ317">
            <v>144.13333333333333</v>
          </cell>
          <cell r="ER317">
            <v>165.64000000000001</v>
          </cell>
          <cell r="ES317">
            <v>201.18266666666668</v>
          </cell>
          <cell r="ET317">
            <v>224.30233333333331</v>
          </cell>
          <cell r="EU317">
            <v>247.422</v>
          </cell>
          <cell r="EV317">
            <v>270.54166666666669</v>
          </cell>
          <cell r="EW317">
            <v>1624.8886666666667</v>
          </cell>
          <cell r="EY317">
            <v>102216</v>
          </cell>
          <cell r="EZ317">
            <v>8</v>
          </cell>
          <cell r="FA317">
            <v>681.43999999999994</v>
          </cell>
          <cell r="FB317">
            <v>131644</v>
          </cell>
          <cell r="FC317">
            <v>8.6</v>
          </cell>
          <cell r="FD317">
            <v>943.44866666666655</v>
          </cell>
          <cell r="FE317">
            <v>1624.8886666666665</v>
          </cell>
          <cell r="FF317">
            <v>39375</v>
          </cell>
          <cell r="FH317">
            <v>39375</v>
          </cell>
        </row>
        <row r="318">
          <cell r="B318">
            <v>9475</v>
          </cell>
          <cell r="C318" t="str">
            <v>12.06.2007</v>
          </cell>
          <cell r="D318" t="str">
            <v>Ogale Manish Yashavant</v>
          </cell>
          <cell r="F318">
            <v>7035</v>
          </cell>
          <cell r="H318">
            <v>3195</v>
          </cell>
          <cell r="I318">
            <v>3195</v>
          </cell>
          <cell r="J318">
            <v>6390</v>
          </cell>
          <cell r="K318">
            <v>-645</v>
          </cell>
          <cell r="M318">
            <v>1057</v>
          </cell>
          <cell r="N318">
            <v>0</v>
          </cell>
          <cell r="O318">
            <v>1057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W318">
            <v>1057</v>
          </cell>
          <cell r="X318">
            <v>0</v>
          </cell>
          <cell r="Y318">
            <v>1057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G318">
            <v>1088</v>
          </cell>
          <cell r="AH318">
            <v>0</v>
          </cell>
          <cell r="AI318">
            <v>1088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Q318">
            <v>1088</v>
          </cell>
          <cell r="AR318">
            <v>0</v>
          </cell>
          <cell r="AS318">
            <v>1088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BA318">
            <v>1088</v>
          </cell>
          <cell r="BB318">
            <v>0</v>
          </cell>
          <cell r="BC318">
            <v>1088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K318">
            <v>1139</v>
          </cell>
          <cell r="BL318">
            <v>0</v>
          </cell>
          <cell r="BM318">
            <v>1139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U318">
            <v>1139</v>
          </cell>
          <cell r="BV318">
            <v>0</v>
          </cell>
          <cell r="BW318">
            <v>1139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E318">
            <v>1139</v>
          </cell>
          <cell r="CF318">
            <v>0</v>
          </cell>
          <cell r="CG318">
            <v>1139</v>
          </cell>
          <cell r="CH318">
            <v>0</v>
          </cell>
          <cell r="CI318">
            <v>0</v>
          </cell>
          <cell r="CJ318">
            <v>0</v>
          </cell>
          <cell r="CK318">
            <v>0</v>
          </cell>
          <cell r="CL318">
            <v>0</v>
          </cell>
          <cell r="CM318">
            <v>0</v>
          </cell>
          <cell r="CO318">
            <v>1139</v>
          </cell>
          <cell r="CP318">
            <v>0</v>
          </cell>
          <cell r="CQ318">
            <v>1139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Y318">
            <v>1139</v>
          </cell>
          <cell r="CZ318">
            <v>0</v>
          </cell>
          <cell r="DA318">
            <v>1139</v>
          </cell>
          <cell r="DB318">
            <v>0</v>
          </cell>
          <cell r="DC318">
            <v>0</v>
          </cell>
          <cell r="DD318">
            <v>0</v>
          </cell>
          <cell r="DE318">
            <v>0</v>
          </cell>
          <cell r="DF318">
            <v>0</v>
          </cell>
          <cell r="DG318">
            <v>0</v>
          </cell>
          <cell r="DI318">
            <v>6390</v>
          </cell>
          <cell r="DJ318">
            <v>11073</v>
          </cell>
          <cell r="DK318">
            <v>0</v>
          </cell>
          <cell r="DL318">
            <v>11073</v>
          </cell>
          <cell r="DM318">
            <v>11073</v>
          </cell>
          <cell r="DN318">
            <v>0</v>
          </cell>
          <cell r="DO318">
            <v>11073</v>
          </cell>
          <cell r="DP318">
            <v>0</v>
          </cell>
          <cell r="DQ318">
            <v>0</v>
          </cell>
          <cell r="DR318">
            <v>0</v>
          </cell>
          <cell r="DS318">
            <v>0</v>
          </cell>
          <cell r="DT318">
            <v>22146</v>
          </cell>
          <cell r="DU318">
            <v>0</v>
          </cell>
          <cell r="DW318">
            <v>0</v>
          </cell>
          <cell r="DX318">
            <v>0</v>
          </cell>
          <cell r="DY318">
            <v>8504</v>
          </cell>
          <cell r="DZ318">
            <v>10618</v>
          </cell>
          <cell r="EA318">
            <v>12794</v>
          </cell>
          <cell r="EB318">
            <v>14970</v>
          </cell>
          <cell r="EC318">
            <v>17146</v>
          </cell>
          <cell r="ED318">
            <v>19424</v>
          </cell>
          <cell r="EE318">
            <v>21702</v>
          </cell>
          <cell r="EF318">
            <v>23980</v>
          </cell>
          <cell r="EG318">
            <v>26258</v>
          </cell>
          <cell r="EH318">
            <v>28536</v>
          </cell>
          <cell r="EI318">
            <v>183932</v>
          </cell>
          <cell r="EK318">
            <v>0</v>
          </cell>
          <cell r="EL318">
            <v>0</v>
          </cell>
          <cell r="EM318">
            <v>56.693333333333335</v>
          </cell>
          <cell r="EN318">
            <v>70.786666666666676</v>
          </cell>
          <cell r="EO318">
            <v>85.293333333333337</v>
          </cell>
          <cell r="EP318">
            <v>99.8</v>
          </cell>
          <cell r="EQ318">
            <v>114.30666666666667</v>
          </cell>
          <cell r="ER318">
            <v>129.49333333333334</v>
          </cell>
          <cell r="ES318">
            <v>155.53099999999998</v>
          </cell>
          <cell r="ET318">
            <v>171.85666666666668</v>
          </cell>
          <cell r="EU318">
            <v>188.18233333333333</v>
          </cell>
          <cell r="EV318">
            <v>204.50799999999995</v>
          </cell>
          <cell r="EW318">
            <v>1276.4513333333334</v>
          </cell>
          <cell r="EY318">
            <v>83456</v>
          </cell>
          <cell r="EZ318">
            <v>8</v>
          </cell>
          <cell r="FA318">
            <v>556.37333333333333</v>
          </cell>
          <cell r="FB318">
            <v>100476</v>
          </cell>
          <cell r="FC318">
            <v>8.6</v>
          </cell>
          <cell r="FD318">
            <v>720.07799999999997</v>
          </cell>
          <cell r="FE318">
            <v>1276.4513333333334</v>
          </cell>
          <cell r="FF318">
            <v>29812</v>
          </cell>
          <cell r="FH318">
            <v>29812</v>
          </cell>
        </row>
        <row r="319">
          <cell r="B319">
            <v>9476</v>
          </cell>
          <cell r="C319" t="str">
            <v>12.06.2007</v>
          </cell>
          <cell r="D319" t="str">
            <v>Savalkar Manda Kacharu</v>
          </cell>
          <cell r="F319">
            <v>7035</v>
          </cell>
          <cell r="H319">
            <v>3195</v>
          </cell>
          <cell r="I319">
            <v>3195</v>
          </cell>
          <cell r="J319">
            <v>6390</v>
          </cell>
          <cell r="K319">
            <v>-645</v>
          </cell>
          <cell r="M319">
            <v>1057</v>
          </cell>
          <cell r="N319">
            <v>0</v>
          </cell>
          <cell r="O319">
            <v>1057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W319">
            <v>1057</v>
          </cell>
          <cell r="X319">
            <v>0</v>
          </cell>
          <cell r="Y319">
            <v>1057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G319">
            <v>1088</v>
          </cell>
          <cell r="AH319">
            <v>0</v>
          </cell>
          <cell r="AI319">
            <v>1088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Q319">
            <v>1088</v>
          </cell>
          <cell r="AR319">
            <v>0</v>
          </cell>
          <cell r="AS319">
            <v>1088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BA319">
            <v>1088</v>
          </cell>
          <cell r="BB319">
            <v>0</v>
          </cell>
          <cell r="BC319">
            <v>1088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K319">
            <v>1139</v>
          </cell>
          <cell r="BL319">
            <v>0</v>
          </cell>
          <cell r="BM319">
            <v>1139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U319">
            <v>1139</v>
          </cell>
          <cell r="BV319">
            <v>0</v>
          </cell>
          <cell r="BW319">
            <v>1139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E319">
            <v>1139</v>
          </cell>
          <cell r="CF319">
            <v>0</v>
          </cell>
          <cell r="CG319">
            <v>1139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O319">
            <v>1139</v>
          </cell>
          <cell r="CP319">
            <v>0</v>
          </cell>
          <cell r="CQ319">
            <v>1139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Y319">
            <v>1139</v>
          </cell>
          <cell r="CZ319">
            <v>0</v>
          </cell>
          <cell r="DA319">
            <v>1139</v>
          </cell>
          <cell r="DB319">
            <v>0</v>
          </cell>
          <cell r="DC319">
            <v>0</v>
          </cell>
          <cell r="DD319">
            <v>0</v>
          </cell>
          <cell r="DE319">
            <v>0</v>
          </cell>
          <cell r="DF319">
            <v>0</v>
          </cell>
          <cell r="DG319">
            <v>0</v>
          </cell>
          <cell r="DI319">
            <v>6390</v>
          </cell>
          <cell r="DJ319">
            <v>11073</v>
          </cell>
          <cell r="DK319">
            <v>0</v>
          </cell>
          <cell r="DL319">
            <v>11073</v>
          </cell>
          <cell r="DM319">
            <v>11073</v>
          </cell>
          <cell r="DN319">
            <v>0</v>
          </cell>
          <cell r="DO319">
            <v>11073</v>
          </cell>
          <cell r="DP319">
            <v>0</v>
          </cell>
          <cell r="DQ319">
            <v>0</v>
          </cell>
          <cell r="DR319">
            <v>0</v>
          </cell>
          <cell r="DS319">
            <v>0</v>
          </cell>
          <cell r="DT319">
            <v>22146</v>
          </cell>
          <cell r="DU319">
            <v>0</v>
          </cell>
          <cell r="DW319">
            <v>0</v>
          </cell>
          <cell r="DX319">
            <v>0</v>
          </cell>
          <cell r="DY319">
            <v>8504</v>
          </cell>
          <cell r="DZ319">
            <v>10618</v>
          </cell>
          <cell r="EA319">
            <v>12794</v>
          </cell>
          <cell r="EB319">
            <v>14970</v>
          </cell>
          <cell r="EC319">
            <v>17146</v>
          </cell>
          <cell r="ED319">
            <v>19424</v>
          </cell>
          <cell r="EE319">
            <v>21702</v>
          </cell>
          <cell r="EF319">
            <v>23980</v>
          </cell>
          <cell r="EG319">
            <v>26258</v>
          </cell>
          <cell r="EH319">
            <v>28536</v>
          </cell>
          <cell r="EI319">
            <v>183932</v>
          </cell>
          <cell r="EK319">
            <v>0</v>
          </cell>
          <cell r="EL319">
            <v>0</v>
          </cell>
          <cell r="EM319">
            <v>56.693333333333335</v>
          </cell>
          <cell r="EN319">
            <v>70.786666666666676</v>
          </cell>
          <cell r="EO319">
            <v>85.293333333333337</v>
          </cell>
          <cell r="EP319">
            <v>99.8</v>
          </cell>
          <cell r="EQ319">
            <v>114.30666666666667</v>
          </cell>
          <cell r="ER319">
            <v>129.49333333333334</v>
          </cell>
          <cell r="ES319">
            <v>155.53099999999998</v>
          </cell>
          <cell r="ET319">
            <v>171.85666666666668</v>
          </cell>
          <cell r="EU319">
            <v>188.18233333333333</v>
          </cell>
          <cell r="EV319">
            <v>204.50799999999995</v>
          </cell>
          <cell r="EW319">
            <v>1276.4513333333334</v>
          </cell>
          <cell r="EY319">
            <v>83456</v>
          </cell>
          <cell r="EZ319">
            <v>8</v>
          </cell>
          <cell r="FA319">
            <v>556.37333333333333</v>
          </cell>
          <cell r="FB319">
            <v>100476</v>
          </cell>
          <cell r="FC319">
            <v>8.6</v>
          </cell>
          <cell r="FD319">
            <v>720.07799999999997</v>
          </cell>
          <cell r="FE319">
            <v>1276.4513333333334</v>
          </cell>
          <cell r="FF319">
            <v>29812</v>
          </cell>
          <cell r="FH319">
            <v>29812</v>
          </cell>
        </row>
        <row r="320">
          <cell r="B320">
            <v>9477</v>
          </cell>
          <cell r="C320" t="str">
            <v>12.06.2007</v>
          </cell>
          <cell r="D320" t="str">
            <v>Gosavi Kiran Dilip</v>
          </cell>
          <cell r="F320">
            <v>7035</v>
          </cell>
          <cell r="H320">
            <v>3195</v>
          </cell>
          <cell r="I320">
            <v>3195</v>
          </cell>
          <cell r="J320">
            <v>6390</v>
          </cell>
          <cell r="K320">
            <v>-645</v>
          </cell>
          <cell r="M320">
            <v>1057</v>
          </cell>
          <cell r="N320">
            <v>0</v>
          </cell>
          <cell r="O320">
            <v>1057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W320">
            <v>1057</v>
          </cell>
          <cell r="X320">
            <v>0</v>
          </cell>
          <cell r="Y320">
            <v>1057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G320">
            <v>1088</v>
          </cell>
          <cell r="AH320">
            <v>0</v>
          </cell>
          <cell r="AI320">
            <v>1088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Q320">
            <v>1088</v>
          </cell>
          <cell r="AR320">
            <v>0</v>
          </cell>
          <cell r="AS320">
            <v>1088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BA320">
            <v>1088</v>
          </cell>
          <cell r="BB320">
            <v>0</v>
          </cell>
          <cell r="BC320">
            <v>1088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K320">
            <v>1139</v>
          </cell>
          <cell r="BL320">
            <v>0</v>
          </cell>
          <cell r="BM320">
            <v>1139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U320">
            <v>1139</v>
          </cell>
          <cell r="BV320">
            <v>0</v>
          </cell>
          <cell r="BW320">
            <v>1139</v>
          </cell>
          <cell r="BX320">
            <v>0</v>
          </cell>
          <cell r="BY320">
            <v>0</v>
          </cell>
          <cell r="BZ320">
            <v>0</v>
          </cell>
          <cell r="CA320">
            <v>0</v>
          </cell>
          <cell r="CB320">
            <v>0</v>
          </cell>
          <cell r="CC320">
            <v>0</v>
          </cell>
          <cell r="CE320">
            <v>1139</v>
          </cell>
          <cell r="CF320">
            <v>0</v>
          </cell>
          <cell r="CG320">
            <v>1139</v>
          </cell>
          <cell r="CH320">
            <v>0</v>
          </cell>
          <cell r="CI320">
            <v>0</v>
          </cell>
          <cell r="CJ320">
            <v>0</v>
          </cell>
          <cell r="CK320">
            <v>0</v>
          </cell>
          <cell r="CL320">
            <v>0</v>
          </cell>
          <cell r="CM320">
            <v>0</v>
          </cell>
          <cell r="CO320">
            <v>1139</v>
          </cell>
          <cell r="CP320">
            <v>0</v>
          </cell>
          <cell r="CQ320">
            <v>1139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  <cell r="CY320">
            <v>1139</v>
          </cell>
          <cell r="CZ320">
            <v>0</v>
          </cell>
          <cell r="DA320">
            <v>1139</v>
          </cell>
          <cell r="DB320">
            <v>0</v>
          </cell>
          <cell r="DC320">
            <v>0</v>
          </cell>
          <cell r="DD320">
            <v>0</v>
          </cell>
          <cell r="DE320">
            <v>0</v>
          </cell>
          <cell r="DF320">
            <v>0</v>
          </cell>
          <cell r="DG320">
            <v>0</v>
          </cell>
          <cell r="DI320">
            <v>6390</v>
          </cell>
          <cell r="DJ320">
            <v>11073</v>
          </cell>
          <cell r="DK320">
            <v>0</v>
          </cell>
          <cell r="DL320">
            <v>11073</v>
          </cell>
          <cell r="DM320">
            <v>11073</v>
          </cell>
          <cell r="DN320">
            <v>0</v>
          </cell>
          <cell r="DO320">
            <v>11073</v>
          </cell>
          <cell r="DP320">
            <v>0</v>
          </cell>
          <cell r="DQ320">
            <v>0</v>
          </cell>
          <cell r="DR320">
            <v>0</v>
          </cell>
          <cell r="DS320">
            <v>0</v>
          </cell>
          <cell r="DT320">
            <v>22146</v>
          </cell>
          <cell r="DU320">
            <v>0</v>
          </cell>
          <cell r="DW320">
            <v>0</v>
          </cell>
          <cell r="DX320">
            <v>0</v>
          </cell>
          <cell r="DY320">
            <v>8504</v>
          </cell>
          <cell r="DZ320">
            <v>10618</v>
          </cell>
          <cell r="EA320">
            <v>12794</v>
          </cell>
          <cell r="EB320">
            <v>14970</v>
          </cell>
          <cell r="EC320">
            <v>17146</v>
          </cell>
          <cell r="ED320">
            <v>19424</v>
          </cell>
          <cell r="EE320">
            <v>21702</v>
          </cell>
          <cell r="EF320">
            <v>23980</v>
          </cell>
          <cell r="EG320">
            <v>26258</v>
          </cell>
          <cell r="EH320">
            <v>28536</v>
          </cell>
          <cell r="EI320">
            <v>183932</v>
          </cell>
          <cell r="EK320">
            <v>0</v>
          </cell>
          <cell r="EL320">
            <v>0</v>
          </cell>
          <cell r="EM320">
            <v>56.693333333333335</v>
          </cell>
          <cell r="EN320">
            <v>70.786666666666676</v>
          </cell>
          <cell r="EO320">
            <v>85.293333333333337</v>
          </cell>
          <cell r="EP320">
            <v>99.8</v>
          </cell>
          <cell r="EQ320">
            <v>114.30666666666667</v>
          </cell>
          <cell r="ER320">
            <v>129.49333333333334</v>
          </cell>
          <cell r="ES320">
            <v>155.53099999999998</v>
          </cell>
          <cell r="ET320">
            <v>171.85666666666668</v>
          </cell>
          <cell r="EU320">
            <v>188.18233333333333</v>
          </cell>
          <cell r="EV320">
            <v>204.50799999999995</v>
          </cell>
          <cell r="EW320">
            <v>1276.4513333333334</v>
          </cell>
          <cell r="EY320">
            <v>83456</v>
          </cell>
          <cell r="EZ320">
            <v>8</v>
          </cell>
          <cell r="FA320">
            <v>556.37333333333333</v>
          </cell>
          <cell r="FB320">
            <v>100476</v>
          </cell>
          <cell r="FC320">
            <v>8.6</v>
          </cell>
          <cell r="FD320">
            <v>720.07799999999997</v>
          </cell>
          <cell r="FE320">
            <v>1276.4513333333334</v>
          </cell>
          <cell r="FF320">
            <v>29812</v>
          </cell>
          <cell r="FH320">
            <v>29812</v>
          </cell>
        </row>
        <row r="321">
          <cell r="B321">
            <v>9478</v>
          </cell>
          <cell r="C321" t="str">
            <v>12.06.2007</v>
          </cell>
          <cell r="D321" t="str">
            <v>Chaure Savaliram Lahanu</v>
          </cell>
          <cell r="F321">
            <v>6090</v>
          </cell>
          <cell r="G321">
            <v>20715</v>
          </cell>
          <cell r="H321">
            <v>2730</v>
          </cell>
          <cell r="I321">
            <v>2730</v>
          </cell>
          <cell r="J321">
            <v>5460</v>
          </cell>
          <cell r="K321">
            <v>-630</v>
          </cell>
          <cell r="M321">
            <v>1057</v>
          </cell>
          <cell r="N321">
            <v>0</v>
          </cell>
          <cell r="O321">
            <v>1057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W321">
            <v>1057</v>
          </cell>
          <cell r="X321">
            <v>0</v>
          </cell>
          <cell r="Y321">
            <v>1057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G321">
            <v>1088</v>
          </cell>
          <cell r="AH321">
            <v>0</v>
          </cell>
          <cell r="AI321">
            <v>1088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Q321">
            <v>1088</v>
          </cell>
          <cell r="AR321">
            <v>0</v>
          </cell>
          <cell r="AS321">
            <v>1088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BA321">
            <v>1088</v>
          </cell>
          <cell r="BB321">
            <v>0</v>
          </cell>
          <cell r="BC321">
            <v>1088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K321">
            <v>1139</v>
          </cell>
          <cell r="BL321">
            <v>0</v>
          </cell>
          <cell r="BM321">
            <v>1139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U321">
            <v>1139</v>
          </cell>
          <cell r="BV321">
            <v>0</v>
          </cell>
          <cell r="BW321">
            <v>1139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E321">
            <v>1139</v>
          </cell>
          <cell r="CF321">
            <v>0</v>
          </cell>
          <cell r="CG321">
            <v>1139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  <cell r="CO321">
            <v>1139</v>
          </cell>
          <cell r="CP321">
            <v>0</v>
          </cell>
          <cell r="CQ321">
            <v>1139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>
            <v>0</v>
          </cell>
          <cell r="CY321">
            <v>1139</v>
          </cell>
          <cell r="CZ321">
            <v>0</v>
          </cell>
          <cell r="DA321">
            <v>1139</v>
          </cell>
          <cell r="DB321">
            <v>0</v>
          </cell>
          <cell r="DC321">
            <v>0</v>
          </cell>
          <cell r="DD321">
            <v>0</v>
          </cell>
          <cell r="DE321">
            <v>0</v>
          </cell>
          <cell r="DF321">
            <v>0</v>
          </cell>
          <cell r="DG321">
            <v>0</v>
          </cell>
          <cell r="DI321">
            <v>5460</v>
          </cell>
          <cell r="DJ321">
            <v>11073</v>
          </cell>
          <cell r="DK321">
            <v>0</v>
          </cell>
          <cell r="DL321">
            <v>11073</v>
          </cell>
          <cell r="DM321">
            <v>11073</v>
          </cell>
          <cell r="DN321">
            <v>0</v>
          </cell>
          <cell r="DO321">
            <v>11073</v>
          </cell>
          <cell r="DP321">
            <v>0</v>
          </cell>
          <cell r="DQ321">
            <v>0</v>
          </cell>
          <cell r="DR321">
            <v>0</v>
          </cell>
          <cell r="DS321">
            <v>0</v>
          </cell>
          <cell r="DT321">
            <v>22146</v>
          </cell>
          <cell r="DU321">
            <v>0</v>
          </cell>
          <cell r="DW321">
            <v>0</v>
          </cell>
          <cell r="DX321">
            <v>0</v>
          </cell>
          <cell r="DY321">
            <v>7574</v>
          </cell>
          <cell r="DZ321">
            <v>9688</v>
          </cell>
          <cell r="EA321">
            <v>11864</v>
          </cell>
          <cell r="EB321">
            <v>14040</v>
          </cell>
          <cell r="EC321">
            <v>16216</v>
          </cell>
          <cell r="ED321">
            <v>18494</v>
          </cell>
          <cell r="EE321">
            <v>20772</v>
          </cell>
          <cell r="EF321">
            <v>23050</v>
          </cell>
          <cell r="EG321">
            <v>25328</v>
          </cell>
          <cell r="EH321">
            <v>27606</v>
          </cell>
          <cell r="EI321">
            <v>174632</v>
          </cell>
          <cell r="EK321">
            <v>0</v>
          </cell>
          <cell r="EL321">
            <v>0</v>
          </cell>
          <cell r="EM321">
            <v>50.493333333333332</v>
          </cell>
          <cell r="EN321">
            <v>64.586666666666659</v>
          </cell>
          <cell r="EO321">
            <v>79.093333333333334</v>
          </cell>
          <cell r="EP321">
            <v>93.600000000000009</v>
          </cell>
          <cell r="EQ321">
            <v>108.10666666666667</v>
          </cell>
          <cell r="ER321">
            <v>123.29333333333334</v>
          </cell>
          <cell r="ES321">
            <v>148.86599999999999</v>
          </cell>
          <cell r="ET321">
            <v>165.19166666666666</v>
          </cell>
          <cell r="EU321">
            <v>181.51733333333334</v>
          </cell>
          <cell r="EV321">
            <v>197.84299999999999</v>
          </cell>
          <cell r="EW321">
            <v>1212.5913333333333</v>
          </cell>
          <cell r="EY321">
            <v>77876</v>
          </cell>
          <cell r="EZ321">
            <v>8</v>
          </cell>
          <cell r="FA321">
            <v>519.17333333333329</v>
          </cell>
          <cell r="FB321">
            <v>96756</v>
          </cell>
          <cell r="FC321">
            <v>8.6</v>
          </cell>
          <cell r="FD321">
            <v>693.41800000000001</v>
          </cell>
          <cell r="FE321">
            <v>1212.5913333333333</v>
          </cell>
          <cell r="FF321">
            <v>28819</v>
          </cell>
          <cell r="FH321">
            <v>28819</v>
          </cell>
        </row>
        <row r="322">
          <cell r="B322">
            <v>9482</v>
          </cell>
          <cell r="C322" t="str">
            <v>12.06.2007</v>
          </cell>
          <cell r="D322" t="str">
            <v>Bairagi Yamini Surajdas</v>
          </cell>
          <cell r="F322">
            <v>6057</v>
          </cell>
          <cell r="G322">
            <v>20325</v>
          </cell>
          <cell r="H322">
            <v>2268</v>
          </cell>
          <cell r="I322">
            <v>2268</v>
          </cell>
          <cell r="J322">
            <v>4536</v>
          </cell>
          <cell r="K322">
            <v>-1521</v>
          </cell>
          <cell r="M322">
            <v>1057</v>
          </cell>
          <cell r="N322">
            <v>0</v>
          </cell>
          <cell r="O322">
            <v>1057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W322">
            <v>1057</v>
          </cell>
          <cell r="X322">
            <v>0</v>
          </cell>
          <cell r="Y322">
            <v>1057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G322">
            <v>1088</v>
          </cell>
          <cell r="AH322">
            <v>0</v>
          </cell>
          <cell r="AI322">
            <v>1088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Q322">
            <v>1088</v>
          </cell>
          <cell r="AR322">
            <v>0</v>
          </cell>
          <cell r="AS322">
            <v>1088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BA322">
            <v>1088</v>
          </cell>
          <cell r="BB322">
            <v>0</v>
          </cell>
          <cell r="BC322">
            <v>1088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K322">
            <v>1139</v>
          </cell>
          <cell r="BL322">
            <v>0</v>
          </cell>
          <cell r="BM322">
            <v>1139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U322">
            <v>1139</v>
          </cell>
          <cell r="BV322">
            <v>0</v>
          </cell>
          <cell r="BW322">
            <v>1139</v>
          </cell>
          <cell r="BX322">
            <v>0</v>
          </cell>
          <cell r="BY322">
            <v>0</v>
          </cell>
          <cell r="BZ322">
            <v>0</v>
          </cell>
          <cell r="CA322">
            <v>0</v>
          </cell>
          <cell r="CB322">
            <v>0</v>
          </cell>
          <cell r="CC322">
            <v>0</v>
          </cell>
          <cell r="CE322">
            <v>1139</v>
          </cell>
          <cell r="CF322">
            <v>0</v>
          </cell>
          <cell r="CG322">
            <v>1139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  <cell r="CL322">
            <v>0</v>
          </cell>
          <cell r="CM322">
            <v>0</v>
          </cell>
          <cell r="CO322">
            <v>1139</v>
          </cell>
          <cell r="CP322">
            <v>0</v>
          </cell>
          <cell r="CQ322">
            <v>1139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>
            <v>0</v>
          </cell>
          <cell r="CY322">
            <v>1139</v>
          </cell>
          <cell r="CZ322">
            <v>0</v>
          </cell>
          <cell r="DA322">
            <v>1139</v>
          </cell>
          <cell r="DB322">
            <v>0</v>
          </cell>
          <cell r="DC322">
            <v>0</v>
          </cell>
          <cell r="DD322">
            <v>0</v>
          </cell>
          <cell r="DE322">
            <v>0</v>
          </cell>
          <cell r="DF322">
            <v>0</v>
          </cell>
          <cell r="DG322">
            <v>0</v>
          </cell>
          <cell r="DI322">
            <v>4536</v>
          </cell>
          <cell r="DJ322">
            <v>11073</v>
          </cell>
          <cell r="DK322">
            <v>0</v>
          </cell>
          <cell r="DL322">
            <v>11073</v>
          </cell>
          <cell r="DM322">
            <v>11073</v>
          </cell>
          <cell r="DN322">
            <v>0</v>
          </cell>
          <cell r="DO322">
            <v>11073</v>
          </cell>
          <cell r="DP322">
            <v>0</v>
          </cell>
          <cell r="DQ322">
            <v>0</v>
          </cell>
          <cell r="DR322">
            <v>0</v>
          </cell>
          <cell r="DS322">
            <v>0</v>
          </cell>
          <cell r="DT322">
            <v>22146</v>
          </cell>
          <cell r="DU322">
            <v>0</v>
          </cell>
          <cell r="DW322">
            <v>0</v>
          </cell>
          <cell r="DX322">
            <v>0</v>
          </cell>
          <cell r="DY322">
            <v>6650</v>
          </cell>
          <cell r="DZ322">
            <v>8764</v>
          </cell>
          <cell r="EA322">
            <v>10940</v>
          </cell>
          <cell r="EB322">
            <v>13116</v>
          </cell>
          <cell r="EC322">
            <v>15292</v>
          </cell>
          <cell r="ED322">
            <v>17570</v>
          </cell>
          <cell r="EE322">
            <v>19848</v>
          </cell>
          <cell r="EF322">
            <v>22126</v>
          </cell>
          <cell r="EG322">
            <v>24404</v>
          </cell>
          <cell r="EH322">
            <v>26682</v>
          </cell>
          <cell r="EI322">
            <v>165392</v>
          </cell>
          <cell r="EK322">
            <v>0</v>
          </cell>
          <cell r="EL322">
            <v>0</v>
          </cell>
          <cell r="EM322">
            <v>44.333333333333336</v>
          </cell>
          <cell r="EN322">
            <v>58.426666666666669</v>
          </cell>
          <cell r="EO322">
            <v>72.933333333333337</v>
          </cell>
          <cell r="EP322">
            <v>87.44</v>
          </cell>
          <cell r="EQ322">
            <v>101.94666666666666</v>
          </cell>
          <cell r="ER322">
            <v>117.13333333333333</v>
          </cell>
          <cell r="ES322">
            <v>142.244</v>
          </cell>
          <cell r="ET322">
            <v>158.56966666666668</v>
          </cell>
          <cell r="EU322">
            <v>174.89533333333335</v>
          </cell>
          <cell r="EV322">
            <v>191.221</v>
          </cell>
          <cell r="EW322">
            <v>1149.1433333333334</v>
          </cell>
          <cell r="EY322">
            <v>72332</v>
          </cell>
          <cell r="EZ322">
            <v>8</v>
          </cell>
          <cell r="FA322">
            <v>482.21333333333337</v>
          </cell>
          <cell r="FB322">
            <v>93060</v>
          </cell>
          <cell r="FC322">
            <v>8.6</v>
          </cell>
          <cell r="FD322">
            <v>666.93</v>
          </cell>
          <cell r="FE322">
            <v>1149.1433333333334</v>
          </cell>
          <cell r="FF322">
            <v>27831</v>
          </cell>
          <cell r="FH322">
            <v>27831</v>
          </cell>
        </row>
        <row r="323">
          <cell r="B323">
            <v>9471</v>
          </cell>
          <cell r="C323" t="str">
            <v>13.06.2007</v>
          </cell>
          <cell r="D323" t="str">
            <v>Khetade Raosaheb Narayan</v>
          </cell>
          <cell r="F323">
            <v>7769</v>
          </cell>
          <cell r="H323">
            <v>4550</v>
          </cell>
          <cell r="I323">
            <v>4550</v>
          </cell>
          <cell r="J323">
            <v>9100</v>
          </cell>
          <cell r="K323">
            <v>1331</v>
          </cell>
          <cell r="M323">
            <v>1167</v>
          </cell>
          <cell r="N323">
            <v>0</v>
          </cell>
          <cell r="O323">
            <v>1167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W323">
            <v>1167</v>
          </cell>
          <cell r="X323">
            <v>0</v>
          </cell>
          <cell r="Y323">
            <v>1167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G323">
            <v>1203</v>
          </cell>
          <cell r="AH323">
            <v>0</v>
          </cell>
          <cell r="AI323">
            <v>1203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Q323">
            <v>1203</v>
          </cell>
          <cell r="AR323">
            <v>0</v>
          </cell>
          <cell r="AS323">
            <v>1203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BA323">
            <v>1203</v>
          </cell>
          <cell r="BB323">
            <v>0</v>
          </cell>
          <cell r="BC323">
            <v>1203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K323">
            <v>1259</v>
          </cell>
          <cell r="BL323">
            <v>0</v>
          </cell>
          <cell r="BM323">
            <v>1259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U323">
            <v>1259</v>
          </cell>
          <cell r="BV323">
            <v>0</v>
          </cell>
          <cell r="BW323">
            <v>1259</v>
          </cell>
          <cell r="BX323">
            <v>0</v>
          </cell>
          <cell r="BY323">
            <v>0</v>
          </cell>
          <cell r="BZ323">
            <v>0</v>
          </cell>
          <cell r="CA323">
            <v>0</v>
          </cell>
          <cell r="CB323">
            <v>0</v>
          </cell>
          <cell r="CC323">
            <v>0</v>
          </cell>
          <cell r="CE323">
            <v>1259</v>
          </cell>
          <cell r="CF323">
            <v>0</v>
          </cell>
          <cell r="CG323">
            <v>1259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O323">
            <v>1259</v>
          </cell>
          <cell r="CP323">
            <v>0</v>
          </cell>
          <cell r="CQ323">
            <v>1259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CW323">
            <v>0</v>
          </cell>
          <cell r="CY323">
            <v>1259</v>
          </cell>
          <cell r="CZ323">
            <v>0</v>
          </cell>
          <cell r="DA323">
            <v>1259</v>
          </cell>
          <cell r="DB323">
            <v>0</v>
          </cell>
          <cell r="DC323">
            <v>0</v>
          </cell>
          <cell r="DD323">
            <v>0</v>
          </cell>
          <cell r="DE323">
            <v>0</v>
          </cell>
          <cell r="DF323">
            <v>0</v>
          </cell>
          <cell r="DG323">
            <v>0</v>
          </cell>
          <cell r="DI323">
            <v>9100</v>
          </cell>
          <cell r="DJ323">
            <v>12238</v>
          </cell>
          <cell r="DK323">
            <v>0</v>
          </cell>
          <cell r="DL323">
            <v>12238</v>
          </cell>
          <cell r="DM323">
            <v>12238</v>
          </cell>
          <cell r="DN323">
            <v>0</v>
          </cell>
          <cell r="DO323">
            <v>12238</v>
          </cell>
          <cell r="DP323">
            <v>0</v>
          </cell>
          <cell r="DQ323">
            <v>0</v>
          </cell>
          <cell r="DR323">
            <v>0</v>
          </cell>
          <cell r="DS323">
            <v>0</v>
          </cell>
          <cell r="DT323">
            <v>24476</v>
          </cell>
          <cell r="DU323">
            <v>0</v>
          </cell>
          <cell r="DW323">
            <v>0</v>
          </cell>
          <cell r="DX323">
            <v>0</v>
          </cell>
          <cell r="DY323">
            <v>11434</v>
          </cell>
          <cell r="DZ323">
            <v>13768</v>
          </cell>
          <cell r="EA323">
            <v>16174</v>
          </cell>
          <cell r="EB323">
            <v>18580</v>
          </cell>
          <cell r="EC323">
            <v>20986</v>
          </cell>
          <cell r="ED323">
            <v>23504</v>
          </cell>
          <cell r="EE323">
            <v>26022</v>
          </cell>
          <cell r="EF323">
            <v>28540</v>
          </cell>
          <cell r="EG323">
            <v>31058</v>
          </cell>
          <cell r="EH323">
            <v>33576</v>
          </cell>
          <cell r="EI323">
            <v>223642</v>
          </cell>
          <cell r="EK323">
            <v>0</v>
          </cell>
          <cell r="EL323">
            <v>0</v>
          </cell>
          <cell r="EM323">
            <v>76.226666666666674</v>
          </cell>
          <cell r="EN323">
            <v>91.786666666666676</v>
          </cell>
          <cell r="EO323">
            <v>107.82666666666667</v>
          </cell>
          <cell r="EP323">
            <v>123.86666666666667</v>
          </cell>
          <cell r="EQ323">
            <v>139.90666666666667</v>
          </cell>
          <cell r="ER323">
            <v>156.69333333333333</v>
          </cell>
          <cell r="ES323">
            <v>186.49099999999999</v>
          </cell>
          <cell r="ET323">
            <v>204.53666666666666</v>
          </cell>
          <cell r="EU323">
            <v>222.58233333333331</v>
          </cell>
          <cell r="EV323">
            <v>240.62799999999996</v>
          </cell>
          <cell r="EW323">
            <v>1550.5446666666664</v>
          </cell>
          <cell r="EY323">
            <v>104446</v>
          </cell>
          <cell r="EZ323">
            <v>8</v>
          </cell>
          <cell r="FA323">
            <v>696.30666666666673</v>
          </cell>
          <cell r="FB323">
            <v>119196</v>
          </cell>
          <cell r="FC323">
            <v>8.6</v>
          </cell>
          <cell r="FD323">
            <v>854.23799999999994</v>
          </cell>
          <cell r="FE323">
            <v>1550.5446666666667</v>
          </cell>
          <cell r="FF323">
            <v>35127</v>
          </cell>
          <cell r="FH323">
            <v>35127</v>
          </cell>
        </row>
        <row r="324">
          <cell r="B324">
            <v>9491</v>
          </cell>
          <cell r="C324" t="str">
            <v>13.06.2007</v>
          </cell>
          <cell r="D324" t="str">
            <v>Bova Nitin Babunath</v>
          </cell>
          <cell r="F324">
            <v>5075</v>
          </cell>
          <cell r="G324">
            <v>20337</v>
          </cell>
          <cell r="H324">
            <v>3368</v>
          </cell>
          <cell r="I324">
            <v>3368</v>
          </cell>
          <cell r="J324">
            <v>6736</v>
          </cell>
          <cell r="K324">
            <v>1661</v>
          </cell>
          <cell r="M324">
            <v>1057</v>
          </cell>
          <cell r="N324">
            <v>0</v>
          </cell>
          <cell r="O324">
            <v>1057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W324">
            <v>1057</v>
          </cell>
          <cell r="X324">
            <v>0</v>
          </cell>
          <cell r="Y324">
            <v>1057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G324">
            <v>1088</v>
          </cell>
          <cell r="AH324">
            <v>0</v>
          </cell>
          <cell r="AI324">
            <v>1088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Q324">
            <v>1088</v>
          </cell>
          <cell r="AR324">
            <v>0</v>
          </cell>
          <cell r="AS324">
            <v>1088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BA324">
            <v>1088</v>
          </cell>
          <cell r="BB324">
            <v>0</v>
          </cell>
          <cell r="BC324">
            <v>1088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K324">
            <v>1139</v>
          </cell>
          <cell r="BL324">
            <v>0</v>
          </cell>
          <cell r="BM324">
            <v>1139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U324">
            <v>1139</v>
          </cell>
          <cell r="BV324">
            <v>0</v>
          </cell>
          <cell r="BW324">
            <v>1139</v>
          </cell>
          <cell r="BX324">
            <v>0</v>
          </cell>
          <cell r="BY324">
            <v>0</v>
          </cell>
          <cell r="BZ324">
            <v>0</v>
          </cell>
          <cell r="CA324">
            <v>0</v>
          </cell>
          <cell r="CB324">
            <v>0</v>
          </cell>
          <cell r="CC324">
            <v>0</v>
          </cell>
          <cell r="CE324">
            <v>1139</v>
          </cell>
          <cell r="CF324">
            <v>0</v>
          </cell>
          <cell r="CG324">
            <v>1139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  <cell r="CL324">
            <v>0</v>
          </cell>
          <cell r="CM324">
            <v>0</v>
          </cell>
          <cell r="CO324">
            <v>1139</v>
          </cell>
          <cell r="CP324">
            <v>0</v>
          </cell>
          <cell r="CQ324">
            <v>1139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W324">
            <v>0</v>
          </cell>
          <cell r="CY324">
            <v>1139</v>
          </cell>
          <cell r="CZ324">
            <v>0</v>
          </cell>
          <cell r="DA324">
            <v>1139</v>
          </cell>
          <cell r="DB324">
            <v>0</v>
          </cell>
          <cell r="DC324">
            <v>0</v>
          </cell>
          <cell r="DD324">
            <v>0</v>
          </cell>
          <cell r="DE324">
            <v>0</v>
          </cell>
          <cell r="DF324">
            <v>0</v>
          </cell>
          <cell r="DG324">
            <v>0</v>
          </cell>
          <cell r="DI324">
            <v>6736</v>
          </cell>
          <cell r="DJ324">
            <v>11073</v>
          </cell>
          <cell r="DK324">
            <v>0</v>
          </cell>
          <cell r="DL324">
            <v>11073</v>
          </cell>
          <cell r="DM324">
            <v>11073</v>
          </cell>
          <cell r="DN324">
            <v>0</v>
          </cell>
          <cell r="DO324">
            <v>11073</v>
          </cell>
          <cell r="DP324">
            <v>0</v>
          </cell>
          <cell r="DQ324">
            <v>0</v>
          </cell>
          <cell r="DR324">
            <v>0</v>
          </cell>
          <cell r="DS324">
            <v>0</v>
          </cell>
          <cell r="DT324">
            <v>22146</v>
          </cell>
          <cell r="DU324">
            <v>0</v>
          </cell>
          <cell r="DW324">
            <v>0</v>
          </cell>
          <cell r="DX324">
            <v>0</v>
          </cell>
          <cell r="DY324">
            <v>8850</v>
          </cell>
          <cell r="DZ324">
            <v>10964</v>
          </cell>
          <cell r="EA324">
            <v>13140</v>
          </cell>
          <cell r="EB324">
            <v>15316</v>
          </cell>
          <cell r="EC324">
            <v>17492</v>
          </cell>
          <cell r="ED324">
            <v>19770</v>
          </cell>
          <cell r="EE324">
            <v>22048</v>
          </cell>
          <cell r="EF324">
            <v>24326</v>
          </cell>
          <cell r="EG324">
            <v>26604</v>
          </cell>
          <cell r="EH324">
            <v>28882</v>
          </cell>
          <cell r="EI324">
            <v>187392</v>
          </cell>
          <cell r="EK324">
            <v>0</v>
          </cell>
          <cell r="EL324">
            <v>0</v>
          </cell>
          <cell r="EM324">
            <v>59</v>
          </cell>
          <cell r="EN324">
            <v>73.093333333333334</v>
          </cell>
          <cell r="EO324">
            <v>87.600000000000009</v>
          </cell>
          <cell r="EP324">
            <v>102.10666666666667</v>
          </cell>
          <cell r="EQ324">
            <v>116.61333333333333</v>
          </cell>
          <cell r="ER324">
            <v>131.79999999999998</v>
          </cell>
          <cell r="ES324">
            <v>158.01066666666665</v>
          </cell>
          <cell r="ET324">
            <v>174.33633333333333</v>
          </cell>
          <cell r="EU324">
            <v>190.66200000000001</v>
          </cell>
          <cell r="EV324">
            <v>206.98766666666666</v>
          </cell>
          <cell r="EW324">
            <v>1300.21</v>
          </cell>
          <cell r="EY324">
            <v>85532</v>
          </cell>
          <cell r="EZ324">
            <v>8</v>
          </cell>
          <cell r="FA324">
            <v>570.21333333333337</v>
          </cell>
          <cell r="FB324">
            <v>101860</v>
          </cell>
          <cell r="FC324">
            <v>8.6</v>
          </cell>
          <cell r="FD324">
            <v>729.99666666666656</v>
          </cell>
          <cell r="FE324">
            <v>1300.21</v>
          </cell>
          <cell r="FF324">
            <v>30182</v>
          </cell>
          <cell r="FH324">
            <v>30182</v>
          </cell>
        </row>
        <row r="325">
          <cell r="B325">
            <v>9426</v>
          </cell>
          <cell r="C325" t="str">
            <v>27.06.2007</v>
          </cell>
          <cell r="D325" t="str">
            <v>More Siddharth Chandrakant</v>
          </cell>
          <cell r="F325">
            <v>6839</v>
          </cell>
          <cell r="H325">
            <v>4295</v>
          </cell>
          <cell r="I325">
            <v>4295</v>
          </cell>
          <cell r="J325">
            <v>8590</v>
          </cell>
          <cell r="K325">
            <v>1751</v>
          </cell>
          <cell r="M325">
            <v>1057</v>
          </cell>
          <cell r="N325">
            <v>0</v>
          </cell>
          <cell r="O325">
            <v>1057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W325">
            <v>1057</v>
          </cell>
          <cell r="X325">
            <v>0</v>
          </cell>
          <cell r="Y325">
            <v>1057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G325">
            <v>1088</v>
          </cell>
          <cell r="AH325">
            <v>0</v>
          </cell>
          <cell r="AI325">
            <v>1088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Q325">
            <v>1088</v>
          </cell>
          <cell r="AR325">
            <v>0</v>
          </cell>
          <cell r="AS325">
            <v>1088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BA325">
            <v>1088</v>
          </cell>
          <cell r="BB325">
            <v>0</v>
          </cell>
          <cell r="BC325">
            <v>1088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K325">
            <v>1139</v>
          </cell>
          <cell r="BL325">
            <v>0</v>
          </cell>
          <cell r="BM325">
            <v>1139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U325">
            <v>1139</v>
          </cell>
          <cell r="BV325">
            <v>0</v>
          </cell>
          <cell r="BW325">
            <v>1139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E325">
            <v>1139</v>
          </cell>
          <cell r="CF325">
            <v>0</v>
          </cell>
          <cell r="CG325">
            <v>1139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  <cell r="CL325">
            <v>0</v>
          </cell>
          <cell r="CM325">
            <v>0</v>
          </cell>
          <cell r="CO325">
            <v>1139</v>
          </cell>
          <cell r="CP325">
            <v>0</v>
          </cell>
          <cell r="CQ325">
            <v>1139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0</v>
          </cell>
          <cell r="CY325">
            <v>1139</v>
          </cell>
          <cell r="CZ325">
            <v>0</v>
          </cell>
          <cell r="DA325">
            <v>1139</v>
          </cell>
          <cell r="DB325">
            <v>0</v>
          </cell>
          <cell r="DC325">
            <v>0</v>
          </cell>
          <cell r="DD325">
            <v>0</v>
          </cell>
          <cell r="DE325">
            <v>0</v>
          </cell>
          <cell r="DF325">
            <v>0</v>
          </cell>
          <cell r="DG325">
            <v>0</v>
          </cell>
          <cell r="DI325">
            <v>8590</v>
          </cell>
          <cell r="DJ325">
            <v>11073</v>
          </cell>
          <cell r="DK325">
            <v>0</v>
          </cell>
          <cell r="DL325">
            <v>11073</v>
          </cell>
          <cell r="DM325">
            <v>11073</v>
          </cell>
          <cell r="DN325">
            <v>0</v>
          </cell>
          <cell r="DO325">
            <v>11073</v>
          </cell>
          <cell r="DP325">
            <v>0</v>
          </cell>
          <cell r="DQ325">
            <v>0</v>
          </cell>
          <cell r="DR325">
            <v>0</v>
          </cell>
          <cell r="DS325">
            <v>0</v>
          </cell>
          <cell r="DT325">
            <v>22146</v>
          </cell>
          <cell r="DU325">
            <v>0</v>
          </cell>
          <cell r="DW325">
            <v>0</v>
          </cell>
          <cell r="DX325">
            <v>0</v>
          </cell>
          <cell r="DY325">
            <v>10704</v>
          </cell>
          <cell r="DZ325">
            <v>12818</v>
          </cell>
          <cell r="EA325">
            <v>14994</v>
          </cell>
          <cell r="EB325">
            <v>17170</v>
          </cell>
          <cell r="EC325">
            <v>19346</v>
          </cell>
          <cell r="ED325">
            <v>21624</v>
          </cell>
          <cell r="EE325">
            <v>23902</v>
          </cell>
          <cell r="EF325">
            <v>26180</v>
          </cell>
          <cell r="EG325">
            <v>28458</v>
          </cell>
          <cell r="EH325">
            <v>30736</v>
          </cell>
          <cell r="EI325">
            <v>205932</v>
          </cell>
          <cell r="EK325">
            <v>0</v>
          </cell>
          <cell r="EL325">
            <v>0</v>
          </cell>
          <cell r="EM325">
            <v>71.36</v>
          </cell>
          <cell r="EN325">
            <v>85.453333333333333</v>
          </cell>
          <cell r="EO325">
            <v>99.96</v>
          </cell>
          <cell r="EP325">
            <v>114.46666666666665</v>
          </cell>
          <cell r="EQ325">
            <v>128.97333333333333</v>
          </cell>
          <cell r="ER325">
            <v>144.16</v>
          </cell>
          <cell r="ES325">
            <v>171.29766666666663</v>
          </cell>
          <cell r="ET325">
            <v>187.62333333333333</v>
          </cell>
          <cell r="EU325">
            <v>203.94899999999998</v>
          </cell>
          <cell r="EV325">
            <v>220.27466666666666</v>
          </cell>
          <cell r="EW325">
            <v>1427.5179999999998</v>
          </cell>
          <cell r="EY325">
            <v>96656</v>
          </cell>
          <cell r="EZ325">
            <v>8</v>
          </cell>
          <cell r="FA325">
            <v>644.37333333333333</v>
          </cell>
          <cell r="FB325">
            <v>109276</v>
          </cell>
          <cell r="FC325">
            <v>8.6</v>
          </cell>
          <cell r="FD325">
            <v>783.14466666666658</v>
          </cell>
          <cell r="FE325">
            <v>1427.518</v>
          </cell>
          <cell r="FF325">
            <v>32164</v>
          </cell>
          <cell r="FH325">
            <v>32164</v>
          </cell>
        </row>
        <row r="326">
          <cell r="B326">
            <v>9492</v>
          </cell>
          <cell r="C326" t="str">
            <v>01.07.2007</v>
          </cell>
          <cell r="D326" t="str">
            <v>Thavil Madhuri Dharma</v>
          </cell>
          <cell r="F326">
            <v>5075</v>
          </cell>
          <cell r="G326">
            <v>22007</v>
          </cell>
          <cell r="H326">
            <v>2268</v>
          </cell>
          <cell r="I326">
            <v>2268</v>
          </cell>
          <cell r="J326">
            <v>4536</v>
          </cell>
          <cell r="K326">
            <v>-539</v>
          </cell>
          <cell r="M326">
            <v>1057</v>
          </cell>
          <cell r="N326">
            <v>0</v>
          </cell>
          <cell r="O326">
            <v>1057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W326">
            <v>1057</v>
          </cell>
          <cell r="X326">
            <v>0</v>
          </cell>
          <cell r="Y326">
            <v>1057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G326">
            <v>1088</v>
          </cell>
          <cell r="AH326">
            <v>0</v>
          </cell>
          <cell r="AI326">
            <v>1088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Q326">
            <v>1088</v>
          </cell>
          <cell r="AR326">
            <v>0</v>
          </cell>
          <cell r="AS326">
            <v>1088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BA326">
            <v>1088</v>
          </cell>
          <cell r="BB326">
            <v>0</v>
          </cell>
          <cell r="BC326">
            <v>1088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K326">
            <v>1139</v>
          </cell>
          <cell r="BL326">
            <v>0</v>
          </cell>
          <cell r="BM326">
            <v>1139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U326">
            <v>1139</v>
          </cell>
          <cell r="BV326">
            <v>0</v>
          </cell>
          <cell r="BW326">
            <v>1139</v>
          </cell>
          <cell r="BX326">
            <v>0</v>
          </cell>
          <cell r="BY326">
            <v>0</v>
          </cell>
          <cell r="BZ326">
            <v>0</v>
          </cell>
          <cell r="CA326">
            <v>0</v>
          </cell>
          <cell r="CB326">
            <v>0</v>
          </cell>
          <cell r="CC326">
            <v>0</v>
          </cell>
          <cell r="CE326">
            <v>1139</v>
          </cell>
          <cell r="CF326">
            <v>0</v>
          </cell>
          <cell r="CG326">
            <v>1139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  <cell r="CL326">
            <v>0</v>
          </cell>
          <cell r="CM326">
            <v>0</v>
          </cell>
          <cell r="CO326">
            <v>1139</v>
          </cell>
          <cell r="CP326">
            <v>0</v>
          </cell>
          <cell r="CQ326">
            <v>1139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W326">
            <v>0</v>
          </cell>
          <cell r="CY326">
            <v>1139</v>
          </cell>
          <cell r="CZ326">
            <v>0</v>
          </cell>
          <cell r="DA326">
            <v>1139</v>
          </cell>
          <cell r="DB326">
            <v>0</v>
          </cell>
          <cell r="DC326">
            <v>0</v>
          </cell>
          <cell r="DD326">
            <v>0</v>
          </cell>
          <cell r="DE326">
            <v>0</v>
          </cell>
          <cell r="DF326">
            <v>0</v>
          </cell>
          <cell r="DG326">
            <v>0</v>
          </cell>
          <cell r="DI326">
            <v>4536</v>
          </cell>
          <cell r="DJ326">
            <v>11073</v>
          </cell>
          <cell r="DK326">
            <v>0</v>
          </cell>
          <cell r="DL326">
            <v>11073</v>
          </cell>
          <cell r="DM326">
            <v>11073</v>
          </cell>
          <cell r="DN326">
            <v>0</v>
          </cell>
          <cell r="DO326">
            <v>11073</v>
          </cell>
          <cell r="DP326">
            <v>0</v>
          </cell>
          <cell r="DQ326">
            <v>0</v>
          </cell>
          <cell r="DR326">
            <v>0</v>
          </cell>
          <cell r="DS326">
            <v>0</v>
          </cell>
          <cell r="DT326">
            <v>22146</v>
          </cell>
          <cell r="DU326">
            <v>0</v>
          </cell>
          <cell r="DW326">
            <v>0</v>
          </cell>
          <cell r="DX326">
            <v>0</v>
          </cell>
          <cell r="DY326">
            <v>6650</v>
          </cell>
          <cell r="DZ326">
            <v>8764</v>
          </cell>
          <cell r="EA326">
            <v>10940</v>
          </cell>
          <cell r="EB326">
            <v>13116</v>
          </cell>
          <cell r="EC326">
            <v>15292</v>
          </cell>
          <cell r="ED326">
            <v>17570</v>
          </cell>
          <cell r="EE326">
            <v>19848</v>
          </cell>
          <cell r="EF326">
            <v>22126</v>
          </cell>
          <cell r="EG326">
            <v>24404</v>
          </cell>
          <cell r="EH326">
            <v>26682</v>
          </cell>
          <cell r="EI326">
            <v>165392</v>
          </cell>
          <cell r="EK326">
            <v>0</v>
          </cell>
          <cell r="EL326">
            <v>0</v>
          </cell>
          <cell r="EM326">
            <v>44.333333333333336</v>
          </cell>
          <cell r="EN326">
            <v>58.426666666666669</v>
          </cell>
          <cell r="EO326">
            <v>72.933333333333337</v>
          </cell>
          <cell r="EP326">
            <v>87.44</v>
          </cell>
          <cell r="EQ326">
            <v>101.94666666666666</v>
          </cell>
          <cell r="ER326">
            <v>117.13333333333333</v>
          </cell>
          <cell r="ES326">
            <v>142.244</v>
          </cell>
          <cell r="ET326">
            <v>158.56966666666668</v>
          </cell>
          <cell r="EU326">
            <v>174.89533333333335</v>
          </cell>
          <cell r="EV326">
            <v>191.221</v>
          </cell>
          <cell r="EW326">
            <v>1149.1433333333334</v>
          </cell>
          <cell r="EY326">
            <v>72332</v>
          </cell>
          <cell r="EZ326">
            <v>8</v>
          </cell>
          <cell r="FA326">
            <v>482.21333333333337</v>
          </cell>
          <cell r="FB326">
            <v>93060</v>
          </cell>
          <cell r="FC326">
            <v>8.6</v>
          </cell>
          <cell r="FD326">
            <v>666.93</v>
          </cell>
          <cell r="FE326">
            <v>1149.1433333333334</v>
          </cell>
          <cell r="FF326">
            <v>27831</v>
          </cell>
          <cell r="FH326">
            <v>27831</v>
          </cell>
        </row>
        <row r="327">
          <cell r="B327">
            <v>9510</v>
          </cell>
          <cell r="C327" t="str">
            <v>01.07.2007</v>
          </cell>
          <cell r="D327" t="str">
            <v>Gulve Pravin Madhukar</v>
          </cell>
          <cell r="F327">
            <v>0</v>
          </cell>
          <cell r="H327">
            <v>1809</v>
          </cell>
          <cell r="I327">
            <v>1809</v>
          </cell>
          <cell r="J327">
            <v>3618</v>
          </cell>
          <cell r="K327">
            <v>3618</v>
          </cell>
          <cell r="M327">
            <v>1057</v>
          </cell>
          <cell r="N327">
            <v>0</v>
          </cell>
          <cell r="O327">
            <v>1057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W327">
            <v>1057</v>
          </cell>
          <cell r="X327">
            <v>0</v>
          </cell>
          <cell r="Y327">
            <v>1057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G327">
            <v>1088</v>
          </cell>
          <cell r="AH327">
            <v>0</v>
          </cell>
          <cell r="AI327">
            <v>1088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Q327">
            <v>1088</v>
          </cell>
          <cell r="AR327">
            <v>0</v>
          </cell>
          <cell r="AS327">
            <v>1088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BA327">
            <v>1088</v>
          </cell>
          <cell r="BB327">
            <v>0</v>
          </cell>
          <cell r="BC327">
            <v>1088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K327">
            <v>1139</v>
          </cell>
          <cell r="BL327">
            <v>0</v>
          </cell>
          <cell r="BM327">
            <v>1139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U327">
            <v>1139</v>
          </cell>
          <cell r="BV327">
            <v>0</v>
          </cell>
          <cell r="BW327">
            <v>1139</v>
          </cell>
          <cell r="BX327">
            <v>0</v>
          </cell>
          <cell r="BY327">
            <v>0</v>
          </cell>
          <cell r="BZ327">
            <v>0</v>
          </cell>
          <cell r="CA327">
            <v>0</v>
          </cell>
          <cell r="CB327">
            <v>0</v>
          </cell>
          <cell r="CC327">
            <v>0</v>
          </cell>
          <cell r="CE327">
            <v>1139</v>
          </cell>
          <cell r="CF327">
            <v>0</v>
          </cell>
          <cell r="CG327">
            <v>1139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  <cell r="CL327">
            <v>0</v>
          </cell>
          <cell r="CM327">
            <v>0</v>
          </cell>
          <cell r="CO327">
            <v>1139</v>
          </cell>
          <cell r="CP327">
            <v>0</v>
          </cell>
          <cell r="CQ327">
            <v>1139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W327">
            <v>0</v>
          </cell>
          <cell r="CY327">
            <v>1139</v>
          </cell>
          <cell r="CZ327">
            <v>0</v>
          </cell>
          <cell r="DA327">
            <v>1139</v>
          </cell>
          <cell r="DB327">
            <v>0</v>
          </cell>
          <cell r="DC327">
            <v>0</v>
          </cell>
          <cell r="DD327">
            <v>0</v>
          </cell>
          <cell r="DE327">
            <v>0</v>
          </cell>
          <cell r="DF327">
            <v>0</v>
          </cell>
          <cell r="DG327">
            <v>0</v>
          </cell>
          <cell r="DI327">
            <v>3618</v>
          </cell>
          <cell r="DJ327">
            <v>11073</v>
          </cell>
          <cell r="DK327">
            <v>0</v>
          </cell>
          <cell r="DL327">
            <v>11073</v>
          </cell>
          <cell r="DM327">
            <v>11073</v>
          </cell>
          <cell r="DN327">
            <v>0</v>
          </cell>
          <cell r="DO327">
            <v>11073</v>
          </cell>
          <cell r="DP327">
            <v>0</v>
          </cell>
          <cell r="DQ327">
            <v>0</v>
          </cell>
          <cell r="DR327">
            <v>0</v>
          </cell>
          <cell r="DS327">
            <v>0</v>
          </cell>
          <cell r="DT327">
            <v>22146</v>
          </cell>
          <cell r="DU327">
            <v>0</v>
          </cell>
          <cell r="DW327">
            <v>0</v>
          </cell>
          <cell r="DX327">
            <v>0</v>
          </cell>
          <cell r="DY327">
            <v>5732</v>
          </cell>
          <cell r="DZ327">
            <v>7846</v>
          </cell>
          <cell r="EA327">
            <v>10022</v>
          </cell>
          <cell r="EB327">
            <v>12198</v>
          </cell>
          <cell r="EC327">
            <v>14374</v>
          </cell>
          <cell r="ED327">
            <v>16652</v>
          </cell>
          <cell r="EE327">
            <v>18930</v>
          </cell>
          <cell r="EF327">
            <v>21208</v>
          </cell>
          <cell r="EG327">
            <v>23486</v>
          </cell>
          <cell r="EH327">
            <v>25764</v>
          </cell>
          <cell r="EI327">
            <v>156212</v>
          </cell>
          <cell r="EK327">
            <v>0</v>
          </cell>
          <cell r="EL327">
            <v>0</v>
          </cell>
          <cell r="EM327">
            <v>38.213333333333331</v>
          </cell>
          <cell r="EN327">
            <v>52.306666666666665</v>
          </cell>
          <cell r="EO327">
            <v>66.813333333333333</v>
          </cell>
          <cell r="EP327">
            <v>81.320000000000007</v>
          </cell>
          <cell r="EQ327">
            <v>95.826666666666668</v>
          </cell>
          <cell r="ER327">
            <v>111.01333333333334</v>
          </cell>
          <cell r="ES327">
            <v>135.66499999999999</v>
          </cell>
          <cell r="ET327">
            <v>151.99066666666667</v>
          </cell>
          <cell r="EU327">
            <v>168.31633333333335</v>
          </cell>
          <cell r="EV327">
            <v>184.64199999999997</v>
          </cell>
          <cell r="EW327">
            <v>1086.1073333333334</v>
          </cell>
          <cell r="EY327">
            <v>66824</v>
          </cell>
          <cell r="EZ327">
            <v>8</v>
          </cell>
          <cell r="FA327">
            <v>445.49333333333334</v>
          </cell>
          <cell r="FB327">
            <v>89388</v>
          </cell>
          <cell r="FC327">
            <v>8.6</v>
          </cell>
          <cell r="FD327">
            <v>640.61399999999992</v>
          </cell>
          <cell r="FE327">
            <v>1086.1073333333334</v>
          </cell>
          <cell r="FF327">
            <v>26850</v>
          </cell>
          <cell r="FH327">
            <v>26850</v>
          </cell>
        </row>
        <row r="328">
          <cell r="B328">
            <v>9414</v>
          </cell>
          <cell r="C328" t="str">
            <v>04.07.2007</v>
          </cell>
          <cell r="D328" t="str">
            <v>Salve Vimal Santosh</v>
          </cell>
          <cell r="F328">
            <v>7980</v>
          </cell>
          <cell r="H328">
            <v>4763</v>
          </cell>
          <cell r="I328">
            <v>4763</v>
          </cell>
          <cell r="J328">
            <v>9526</v>
          </cell>
          <cell r="K328">
            <v>1546</v>
          </cell>
          <cell r="M328">
            <v>1057</v>
          </cell>
          <cell r="N328">
            <v>0</v>
          </cell>
          <cell r="O328">
            <v>1057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W328">
            <v>1057</v>
          </cell>
          <cell r="X328">
            <v>0</v>
          </cell>
          <cell r="Y328">
            <v>1057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G328">
            <v>1088</v>
          </cell>
          <cell r="AH328">
            <v>0</v>
          </cell>
          <cell r="AI328">
            <v>1088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Q328">
            <v>1088</v>
          </cell>
          <cell r="AR328">
            <v>0</v>
          </cell>
          <cell r="AS328">
            <v>1088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BA328">
            <v>1088</v>
          </cell>
          <cell r="BB328">
            <v>0</v>
          </cell>
          <cell r="BC328">
            <v>1088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K328">
            <v>1139</v>
          </cell>
          <cell r="BL328">
            <v>0</v>
          </cell>
          <cell r="BM328">
            <v>1139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U328">
            <v>1139</v>
          </cell>
          <cell r="BV328">
            <v>0</v>
          </cell>
          <cell r="BW328">
            <v>1139</v>
          </cell>
          <cell r="BX328">
            <v>0</v>
          </cell>
          <cell r="BY328">
            <v>0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E328">
            <v>1139</v>
          </cell>
          <cell r="CF328">
            <v>0</v>
          </cell>
          <cell r="CG328">
            <v>1139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  <cell r="CL328">
            <v>0</v>
          </cell>
          <cell r="CM328">
            <v>0</v>
          </cell>
          <cell r="CO328">
            <v>1139</v>
          </cell>
          <cell r="CP328">
            <v>0</v>
          </cell>
          <cell r="CQ328">
            <v>1139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W328">
            <v>0</v>
          </cell>
          <cell r="CY328">
            <v>1139</v>
          </cell>
          <cell r="CZ328">
            <v>0</v>
          </cell>
          <cell r="DA328">
            <v>1139</v>
          </cell>
          <cell r="DB328">
            <v>0</v>
          </cell>
          <cell r="DC328">
            <v>0</v>
          </cell>
          <cell r="DD328">
            <v>0</v>
          </cell>
          <cell r="DE328">
            <v>0</v>
          </cell>
          <cell r="DF328">
            <v>0</v>
          </cell>
          <cell r="DG328">
            <v>0</v>
          </cell>
          <cell r="DI328">
            <v>9526</v>
          </cell>
          <cell r="DJ328">
            <v>11073</v>
          </cell>
          <cell r="DK328">
            <v>0</v>
          </cell>
          <cell r="DL328">
            <v>11073</v>
          </cell>
          <cell r="DM328">
            <v>11073</v>
          </cell>
          <cell r="DN328">
            <v>0</v>
          </cell>
          <cell r="DO328">
            <v>11073</v>
          </cell>
          <cell r="DP328">
            <v>0</v>
          </cell>
          <cell r="DQ328">
            <v>0</v>
          </cell>
          <cell r="DR328">
            <v>0</v>
          </cell>
          <cell r="DS328">
            <v>0</v>
          </cell>
          <cell r="DT328">
            <v>22146</v>
          </cell>
          <cell r="DU328">
            <v>0</v>
          </cell>
          <cell r="DW328">
            <v>0</v>
          </cell>
          <cell r="DX328">
            <v>0</v>
          </cell>
          <cell r="DY328">
            <v>11640</v>
          </cell>
          <cell r="DZ328">
            <v>13754</v>
          </cell>
          <cell r="EA328">
            <v>15930</v>
          </cell>
          <cell r="EB328">
            <v>18106</v>
          </cell>
          <cell r="EC328">
            <v>20282</v>
          </cell>
          <cell r="ED328">
            <v>22560</v>
          </cell>
          <cell r="EE328">
            <v>24838</v>
          </cell>
          <cell r="EF328">
            <v>27116</v>
          </cell>
          <cell r="EG328">
            <v>29394</v>
          </cell>
          <cell r="EH328">
            <v>31672</v>
          </cell>
          <cell r="EI328">
            <v>215292</v>
          </cell>
          <cell r="EK328">
            <v>0</v>
          </cell>
          <cell r="EL328">
            <v>0</v>
          </cell>
          <cell r="EM328">
            <v>77.600000000000009</v>
          </cell>
          <cell r="EN328">
            <v>91.693333333333328</v>
          </cell>
          <cell r="EO328">
            <v>106.2</v>
          </cell>
          <cell r="EP328">
            <v>120.70666666666666</v>
          </cell>
          <cell r="EQ328">
            <v>135.21333333333334</v>
          </cell>
          <cell r="ER328">
            <v>150.4</v>
          </cell>
          <cell r="ES328">
            <v>178.00566666666666</v>
          </cell>
          <cell r="ET328">
            <v>194.3313333333333</v>
          </cell>
          <cell r="EU328">
            <v>210.65700000000001</v>
          </cell>
          <cell r="EV328">
            <v>226.98266666666666</v>
          </cell>
          <cell r="EW328">
            <v>1491.79</v>
          </cell>
          <cell r="EY328">
            <v>102272</v>
          </cell>
          <cell r="EZ328">
            <v>8</v>
          </cell>
          <cell r="FA328">
            <v>681.81333333333339</v>
          </cell>
          <cell r="FB328">
            <v>113020</v>
          </cell>
          <cell r="FC328">
            <v>8.6</v>
          </cell>
          <cell r="FD328">
            <v>809.97666666666657</v>
          </cell>
          <cell r="FE328">
            <v>1491.79</v>
          </cell>
          <cell r="FF328">
            <v>33164</v>
          </cell>
          <cell r="FH328">
            <v>33164</v>
          </cell>
        </row>
        <row r="329">
          <cell r="B329">
            <v>9410</v>
          </cell>
          <cell r="C329" t="str">
            <v>10.07.2007</v>
          </cell>
          <cell r="D329" t="str">
            <v>Valmiki Niraj Jagpal</v>
          </cell>
          <cell r="F329">
            <v>8925</v>
          </cell>
          <cell r="H329">
            <v>4134</v>
          </cell>
          <cell r="I329">
            <v>4134</v>
          </cell>
          <cell r="J329">
            <v>8268</v>
          </cell>
          <cell r="K329">
            <v>-657</v>
          </cell>
          <cell r="M329">
            <v>1057</v>
          </cell>
          <cell r="N329">
            <v>0</v>
          </cell>
          <cell r="O329">
            <v>1057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W329">
            <v>1057</v>
          </cell>
          <cell r="X329">
            <v>0</v>
          </cell>
          <cell r="Y329">
            <v>1057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G329">
            <v>1088</v>
          </cell>
          <cell r="AH329">
            <v>0</v>
          </cell>
          <cell r="AI329">
            <v>1088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Q329">
            <v>1088</v>
          </cell>
          <cell r="AR329">
            <v>0</v>
          </cell>
          <cell r="AS329">
            <v>1088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BA329">
            <v>1088</v>
          </cell>
          <cell r="BB329">
            <v>0</v>
          </cell>
          <cell r="BC329">
            <v>1088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K329">
            <v>1139</v>
          </cell>
          <cell r="BL329">
            <v>0</v>
          </cell>
          <cell r="BM329">
            <v>1139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U329">
            <v>1139</v>
          </cell>
          <cell r="BV329">
            <v>0</v>
          </cell>
          <cell r="BW329">
            <v>1139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E329">
            <v>1139</v>
          </cell>
          <cell r="CF329">
            <v>0</v>
          </cell>
          <cell r="CG329">
            <v>1139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O329">
            <v>1139</v>
          </cell>
          <cell r="CP329">
            <v>0</v>
          </cell>
          <cell r="CQ329">
            <v>1139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W329">
            <v>0</v>
          </cell>
          <cell r="CY329">
            <v>1139</v>
          </cell>
          <cell r="CZ329">
            <v>0</v>
          </cell>
          <cell r="DA329">
            <v>1139</v>
          </cell>
          <cell r="DB329">
            <v>0</v>
          </cell>
          <cell r="DC329">
            <v>0</v>
          </cell>
          <cell r="DD329">
            <v>0</v>
          </cell>
          <cell r="DE329">
            <v>0</v>
          </cell>
          <cell r="DF329">
            <v>0</v>
          </cell>
          <cell r="DG329">
            <v>0</v>
          </cell>
          <cell r="DI329">
            <v>8268</v>
          </cell>
          <cell r="DJ329">
            <v>11073</v>
          </cell>
          <cell r="DK329">
            <v>0</v>
          </cell>
          <cell r="DL329">
            <v>11073</v>
          </cell>
          <cell r="DM329">
            <v>11073</v>
          </cell>
          <cell r="DN329">
            <v>0</v>
          </cell>
          <cell r="DO329">
            <v>11073</v>
          </cell>
          <cell r="DP329">
            <v>0</v>
          </cell>
          <cell r="DQ329">
            <v>0</v>
          </cell>
          <cell r="DR329">
            <v>0</v>
          </cell>
          <cell r="DS329">
            <v>0</v>
          </cell>
          <cell r="DT329">
            <v>22146</v>
          </cell>
          <cell r="DU329">
            <v>0</v>
          </cell>
          <cell r="DW329">
            <v>0</v>
          </cell>
          <cell r="DX329">
            <v>0</v>
          </cell>
          <cell r="DY329">
            <v>10382</v>
          </cell>
          <cell r="DZ329">
            <v>12496</v>
          </cell>
          <cell r="EA329">
            <v>14672</v>
          </cell>
          <cell r="EB329">
            <v>16848</v>
          </cell>
          <cell r="EC329">
            <v>19024</v>
          </cell>
          <cell r="ED329">
            <v>21302</v>
          </cell>
          <cell r="EE329">
            <v>23580</v>
          </cell>
          <cell r="EF329">
            <v>25858</v>
          </cell>
          <cell r="EG329">
            <v>28136</v>
          </cell>
          <cell r="EH329">
            <v>30414</v>
          </cell>
          <cell r="EI329">
            <v>202712</v>
          </cell>
          <cell r="EK329">
            <v>0</v>
          </cell>
          <cell r="EL329">
            <v>0</v>
          </cell>
          <cell r="EM329">
            <v>69.213333333333324</v>
          </cell>
          <cell r="EN329">
            <v>83.306666666666658</v>
          </cell>
          <cell r="EO329">
            <v>97.813333333333333</v>
          </cell>
          <cell r="EP329">
            <v>112.32</v>
          </cell>
          <cell r="EQ329">
            <v>126.82666666666667</v>
          </cell>
          <cell r="ER329">
            <v>142.01333333333335</v>
          </cell>
          <cell r="ES329">
            <v>168.99</v>
          </cell>
          <cell r="ET329">
            <v>185.31566666666666</v>
          </cell>
          <cell r="EU329">
            <v>201.64133333333334</v>
          </cell>
          <cell r="EV329">
            <v>217.96699999999998</v>
          </cell>
          <cell r="EW329">
            <v>1405.4073333333331</v>
          </cell>
          <cell r="EY329">
            <v>94724</v>
          </cell>
          <cell r="EZ329">
            <v>8</v>
          </cell>
          <cell r="FA329">
            <v>631.49333333333334</v>
          </cell>
          <cell r="FB329">
            <v>107988</v>
          </cell>
          <cell r="FC329">
            <v>8.6</v>
          </cell>
          <cell r="FD329">
            <v>773.91399999999987</v>
          </cell>
          <cell r="FE329">
            <v>1405.4073333333331</v>
          </cell>
          <cell r="FF329">
            <v>31819</v>
          </cell>
          <cell r="FH329">
            <v>31819</v>
          </cell>
        </row>
        <row r="330">
          <cell r="B330">
            <v>9500</v>
          </cell>
          <cell r="C330" t="str">
            <v>01.08.2007</v>
          </cell>
          <cell r="D330" t="str">
            <v>Monde Javid Hussain Shabbir Ahmad</v>
          </cell>
          <cell r="F330">
            <v>5075</v>
          </cell>
          <cell r="H330">
            <v>4368</v>
          </cell>
          <cell r="I330">
            <v>4368</v>
          </cell>
          <cell r="J330">
            <v>8736</v>
          </cell>
          <cell r="K330">
            <v>3661</v>
          </cell>
          <cell r="M330">
            <v>1057</v>
          </cell>
          <cell r="N330">
            <v>0</v>
          </cell>
          <cell r="O330">
            <v>1057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W330">
            <v>1057</v>
          </cell>
          <cell r="X330">
            <v>0</v>
          </cell>
          <cell r="Y330">
            <v>1057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G330">
            <v>1088</v>
          </cell>
          <cell r="AH330">
            <v>0</v>
          </cell>
          <cell r="AI330">
            <v>1088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Q330">
            <v>1088</v>
          </cell>
          <cell r="AR330">
            <v>0</v>
          </cell>
          <cell r="AS330">
            <v>1088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BA330">
            <v>1088</v>
          </cell>
          <cell r="BB330">
            <v>0</v>
          </cell>
          <cell r="BC330">
            <v>1088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K330">
            <v>1139</v>
          </cell>
          <cell r="BL330">
            <v>0</v>
          </cell>
          <cell r="BM330">
            <v>1139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U330">
            <v>1139</v>
          </cell>
          <cell r="BV330">
            <v>0</v>
          </cell>
          <cell r="BW330">
            <v>1139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E330">
            <v>1139</v>
          </cell>
          <cell r="CF330">
            <v>0</v>
          </cell>
          <cell r="CG330">
            <v>1139</v>
          </cell>
          <cell r="CH330">
            <v>0</v>
          </cell>
          <cell r="CI330">
            <v>0</v>
          </cell>
          <cell r="CJ330">
            <v>0</v>
          </cell>
          <cell r="CK330">
            <v>0</v>
          </cell>
          <cell r="CL330">
            <v>0</v>
          </cell>
          <cell r="CM330">
            <v>0</v>
          </cell>
          <cell r="CO330">
            <v>1139</v>
          </cell>
          <cell r="CP330">
            <v>0</v>
          </cell>
          <cell r="CQ330">
            <v>1139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CW330">
            <v>0</v>
          </cell>
          <cell r="CY330">
            <v>1139</v>
          </cell>
          <cell r="CZ330">
            <v>0</v>
          </cell>
          <cell r="DA330">
            <v>1139</v>
          </cell>
          <cell r="DB330">
            <v>0</v>
          </cell>
          <cell r="DC330">
            <v>0</v>
          </cell>
          <cell r="DD330">
            <v>0</v>
          </cell>
          <cell r="DE330">
            <v>0</v>
          </cell>
          <cell r="DF330">
            <v>0</v>
          </cell>
          <cell r="DG330">
            <v>0</v>
          </cell>
          <cell r="DI330">
            <v>8736</v>
          </cell>
          <cell r="DJ330">
            <v>11073</v>
          </cell>
          <cell r="DK330">
            <v>0</v>
          </cell>
          <cell r="DL330">
            <v>11073</v>
          </cell>
          <cell r="DM330">
            <v>11073</v>
          </cell>
          <cell r="DN330">
            <v>0</v>
          </cell>
          <cell r="DO330">
            <v>11073</v>
          </cell>
          <cell r="DP330">
            <v>0</v>
          </cell>
          <cell r="DQ330">
            <v>0</v>
          </cell>
          <cell r="DR330">
            <v>0</v>
          </cell>
          <cell r="DS330">
            <v>0</v>
          </cell>
          <cell r="DT330">
            <v>22146</v>
          </cell>
          <cell r="DU330">
            <v>0</v>
          </cell>
          <cell r="DW330">
            <v>0</v>
          </cell>
          <cell r="DX330">
            <v>0</v>
          </cell>
          <cell r="DY330">
            <v>10850</v>
          </cell>
          <cell r="DZ330">
            <v>12964</v>
          </cell>
          <cell r="EA330">
            <v>15140</v>
          </cell>
          <cell r="EB330">
            <v>17316</v>
          </cell>
          <cell r="EC330">
            <v>19492</v>
          </cell>
          <cell r="ED330">
            <v>21770</v>
          </cell>
          <cell r="EE330">
            <v>24048</v>
          </cell>
          <cell r="EF330">
            <v>26326</v>
          </cell>
          <cell r="EG330">
            <v>28604</v>
          </cell>
          <cell r="EH330">
            <v>30882</v>
          </cell>
          <cell r="EI330">
            <v>207392</v>
          </cell>
          <cell r="EK330">
            <v>0</v>
          </cell>
          <cell r="EL330">
            <v>0</v>
          </cell>
          <cell r="EM330">
            <v>72.333333333333329</v>
          </cell>
          <cell r="EN330">
            <v>86.426666666666662</v>
          </cell>
          <cell r="EO330">
            <v>100.93333333333334</v>
          </cell>
          <cell r="EP330">
            <v>115.44</v>
          </cell>
          <cell r="EQ330">
            <v>129.94666666666666</v>
          </cell>
          <cell r="ER330">
            <v>145.13333333333333</v>
          </cell>
          <cell r="ES330">
            <v>172.34399999999997</v>
          </cell>
          <cell r="ET330">
            <v>188.66966666666664</v>
          </cell>
          <cell r="EU330">
            <v>204.99533333333332</v>
          </cell>
          <cell r="EV330">
            <v>221.32100000000003</v>
          </cell>
          <cell r="EW330">
            <v>1437.5433333333335</v>
          </cell>
          <cell r="EY330">
            <v>97532</v>
          </cell>
          <cell r="EZ330">
            <v>8</v>
          </cell>
          <cell r="FA330">
            <v>650.21333333333337</v>
          </cell>
          <cell r="FB330">
            <v>109860</v>
          </cell>
          <cell r="FC330">
            <v>8.6</v>
          </cell>
          <cell r="FD330">
            <v>787.32999999999993</v>
          </cell>
          <cell r="FE330">
            <v>1437.5433333333333</v>
          </cell>
          <cell r="FF330">
            <v>32320</v>
          </cell>
          <cell r="FH330">
            <v>32320</v>
          </cell>
        </row>
        <row r="331">
          <cell r="B331">
            <v>9487</v>
          </cell>
          <cell r="C331" t="str">
            <v>03.08.2007</v>
          </cell>
          <cell r="D331" t="str">
            <v>Revar Vishal Ajay</v>
          </cell>
          <cell r="F331">
            <v>6090</v>
          </cell>
          <cell r="H331">
            <v>2730</v>
          </cell>
          <cell r="I331">
            <v>2730</v>
          </cell>
          <cell r="J331">
            <v>5460</v>
          </cell>
          <cell r="K331">
            <v>-630</v>
          </cell>
          <cell r="M331">
            <v>1057</v>
          </cell>
          <cell r="N331">
            <v>0</v>
          </cell>
          <cell r="O331">
            <v>1057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W331">
            <v>1057</v>
          </cell>
          <cell r="X331">
            <v>0</v>
          </cell>
          <cell r="Y331">
            <v>1057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G331">
            <v>1088</v>
          </cell>
          <cell r="AH331">
            <v>0</v>
          </cell>
          <cell r="AI331">
            <v>1088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Q331">
            <v>1088</v>
          </cell>
          <cell r="AR331">
            <v>0</v>
          </cell>
          <cell r="AS331">
            <v>1088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BA331">
            <v>1088</v>
          </cell>
          <cell r="BB331">
            <v>0</v>
          </cell>
          <cell r="BC331">
            <v>1088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K331">
            <v>1139</v>
          </cell>
          <cell r="BL331">
            <v>0</v>
          </cell>
          <cell r="BM331">
            <v>1139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U331">
            <v>1139</v>
          </cell>
          <cell r="BV331">
            <v>0</v>
          </cell>
          <cell r="BW331">
            <v>1139</v>
          </cell>
          <cell r="BX331">
            <v>0</v>
          </cell>
          <cell r="BY331">
            <v>0</v>
          </cell>
          <cell r="BZ331">
            <v>0</v>
          </cell>
          <cell r="CA331">
            <v>0</v>
          </cell>
          <cell r="CB331">
            <v>0</v>
          </cell>
          <cell r="CC331">
            <v>0</v>
          </cell>
          <cell r="CE331">
            <v>1139</v>
          </cell>
          <cell r="CF331">
            <v>0</v>
          </cell>
          <cell r="CG331">
            <v>1139</v>
          </cell>
          <cell r="CH331">
            <v>0</v>
          </cell>
          <cell r="CI331">
            <v>0</v>
          </cell>
          <cell r="CJ331">
            <v>0</v>
          </cell>
          <cell r="CK331">
            <v>0</v>
          </cell>
          <cell r="CL331">
            <v>0</v>
          </cell>
          <cell r="CM331">
            <v>0</v>
          </cell>
          <cell r="CO331">
            <v>1139</v>
          </cell>
          <cell r="CP331">
            <v>0</v>
          </cell>
          <cell r="CQ331">
            <v>1139</v>
          </cell>
          <cell r="CR331">
            <v>0</v>
          </cell>
          <cell r="CS331">
            <v>0</v>
          </cell>
          <cell r="CT331">
            <v>0</v>
          </cell>
          <cell r="CU331">
            <v>0</v>
          </cell>
          <cell r="CV331">
            <v>0</v>
          </cell>
          <cell r="CW331">
            <v>0</v>
          </cell>
          <cell r="CY331">
            <v>1139</v>
          </cell>
          <cell r="CZ331">
            <v>0</v>
          </cell>
          <cell r="DA331">
            <v>1139</v>
          </cell>
          <cell r="DB331">
            <v>0</v>
          </cell>
          <cell r="DC331">
            <v>0</v>
          </cell>
          <cell r="DD331">
            <v>0</v>
          </cell>
          <cell r="DE331">
            <v>0</v>
          </cell>
          <cell r="DF331">
            <v>0</v>
          </cell>
          <cell r="DG331">
            <v>0</v>
          </cell>
          <cell r="DI331">
            <v>5460</v>
          </cell>
          <cell r="DJ331">
            <v>11073</v>
          </cell>
          <cell r="DK331">
            <v>0</v>
          </cell>
          <cell r="DL331">
            <v>11073</v>
          </cell>
          <cell r="DM331">
            <v>11073</v>
          </cell>
          <cell r="DN331">
            <v>0</v>
          </cell>
          <cell r="DO331">
            <v>11073</v>
          </cell>
          <cell r="DP331">
            <v>0</v>
          </cell>
          <cell r="DQ331">
            <v>0</v>
          </cell>
          <cell r="DR331">
            <v>0</v>
          </cell>
          <cell r="DS331">
            <v>0</v>
          </cell>
          <cell r="DT331">
            <v>22146</v>
          </cell>
          <cell r="DU331">
            <v>0</v>
          </cell>
          <cell r="DW331">
            <v>0</v>
          </cell>
          <cell r="DX331">
            <v>0</v>
          </cell>
          <cell r="DY331">
            <v>7574</v>
          </cell>
          <cell r="DZ331">
            <v>9688</v>
          </cell>
          <cell r="EA331">
            <v>11864</v>
          </cell>
          <cell r="EB331">
            <v>14040</v>
          </cell>
          <cell r="EC331">
            <v>16216</v>
          </cell>
          <cell r="ED331">
            <v>18494</v>
          </cell>
          <cell r="EE331">
            <v>20772</v>
          </cell>
          <cell r="EF331">
            <v>23050</v>
          </cell>
          <cell r="EG331">
            <v>25328</v>
          </cell>
          <cell r="EH331">
            <v>27606</v>
          </cell>
          <cell r="EI331">
            <v>174632</v>
          </cell>
          <cell r="EK331">
            <v>0</v>
          </cell>
          <cell r="EL331">
            <v>0</v>
          </cell>
          <cell r="EM331">
            <v>50.493333333333332</v>
          </cell>
          <cell r="EN331">
            <v>64.586666666666659</v>
          </cell>
          <cell r="EO331">
            <v>79.093333333333334</v>
          </cell>
          <cell r="EP331">
            <v>93.600000000000009</v>
          </cell>
          <cell r="EQ331">
            <v>108.10666666666667</v>
          </cell>
          <cell r="ER331">
            <v>123.29333333333334</v>
          </cell>
          <cell r="ES331">
            <v>148.86599999999999</v>
          </cell>
          <cell r="ET331">
            <v>165.19166666666666</v>
          </cell>
          <cell r="EU331">
            <v>181.51733333333334</v>
          </cell>
          <cell r="EV331">
            <v>197.84299999999999</v>
          </cell>
          <cell r="EW331">
            <v>1212.5913333333333</v>
          </cell>
          <cell r="EY331">
            <v>77876</v>
          </cell>
          <cell r="EZ331">
            <v>8</v>
          </cell>
          <cell r="FA331">
            <v>519.17333333333329</v>
          </cell>
          <cell r="FB331">
            <v>96756</v>
          </cell>
          <cell r="FC331">
            <v>8.6</v>
          </cell>
          <cell r="FD331">
            <v>693.41800000000001</v>
          </cell>
          <cell r="FE331">
            <v>1212.5913333333333</v>
          </cell>
          <cell r="FF331">
            <v>28819</v>
          </cell>
          <cell r="FH331">
            <v>28819</v>
          </cell>
        </row>
        <row r="332">
          <cell r="B332">
            <v>9488</v>
          </cell>
          <cell r="C332" t="str">
            <v>04.08.2007</v>
          </cell>
          <cell r="D332" t="str">
            <v>Bagul Dnyaneshwar Baburao</v>
          </cell>
          <cell r="F332">
            <v>6090</v>
          </cell>
          <cell r="H332">
            <v>2730</v>
          </cell>
          <cell r="I332">
            <v>2730</v>
          </cell>
          <cell r="J332">
            <v>5460</v>
          </cell>
          <cell r="K332">
            <v>-630</v>
          </cell>
          <cell r="M332">
            <v>1057</v>
          </cell>
          <cell r="N332">
            <v>0</v>
          </cell>
          <cell r="O332">
            <v>1057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W332">
            <v>1057</v>
          </cell>
          <cell r="X332">
            <v>0</v>
          </cell>
          <cell r="Y332">
            <v>1057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G332">
            <v>1088</v>
          </cell>
          <cell r="AH332">
            <v>0</v>
          </cell>
          <cell r="AI332">
            <v>1088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Q332">
            <v>1088</v>
          </cell>
          <cell r="AR332">
            <v>0</v>
          </cell>
          <cell r="AS332">
            <v>1088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BA332">
            <v>1088</v>
          </cell>
          <cell r="BB332">
            <v>0</v>
          </cell>
          <cell r="BC332">
            <v>1088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K332">
            <v>1139</v>
          </cell>
          <cell r="BL332">
            <v>0</v>
          </cell>
          <cell r="BM332">
            <v>1139</v>
          </cell>
          <cell r="BN332">
            <v>0</v>
          </cell>
          <cell r="BO332">
            <v>0</v>
          </cell>
          <cell r="BP332">
            <v>0</v>
          </cell>
          <cell r="BQ332">
            <v>0</v>
          </cell>
          <cell r="BR332">
            <v>0</v>
          </cell>
          <cell r="BS332">
            <v>0</v>
          </cell>
          <cell r="BU332">
            <v>1139</v>
          </cell>
          <cell r="BV332">
            <v>0</v>
          </cell>
          <cell r="BW332">
            <v>1139</v>
          </cell>
          <cell r="BX332">
            <v>0</v>
          </cell>
          <cell r="BY332">
            <v>0</v>
          </cell>
          <cell r="BZ332">
            <v>0</v>
          </cell>
          <cell r="CA332">
            <v>0</v>
          </cell>
          <cell r="CB332">
            <v>0</v>
          </cell>
          <cell r="CC332">
            <v>0</v>
          </cell>
          <cell r="CE332">
            <v>1139</v>
          </cell>
          <cell r="CF332">
            <v>0</v>
          </cell>
          <cell r="CG332">
            <v>1139</v>
          </cell>
          <cell r="CH332">
            <v>0</v>
          </cell>
          <cell r="CI332">
            <v>0</v>
          </cell>
          <cell r="CJ332">
            <v>0</v>
          </cell>
          <cell r="CK332">
            <v>0</v>
          </cell>
          <cell r="CL332">
            <v>0</v>
          </cell>
          <cell r="CM332">
            <v>0</v>
          </cell>
          <cell r="CO332">
            <v>1139</v>
          </cell>
          <cell r="CP332">
            <v>0</v>
          </cell>
          <cell r="CQ332">
            <v>1139</v>
          </cell>
          <cell r="CR332">
            <v>0</v>
          </cell>
          <cell r="CS332">
            <v>0</v>
          </cell>
          <cell r="CT332">
            <v>0</v>
          </cell>
          <cell r="CU332">
            <v>0</v>
          </cell>
          <cell r="CV332">
            <v>0</v>
          </cell>
          <cell r="CW332">
            <v>0</v>
          </cell>
          <cell r="CY332">
            <v>1139</v>
          </cell>
          <cell r="CZ332">
            <v>0</v>
          </cell>
          <cell r="DA332">
            <v>1139</v>
          </cell>
          <cell r="DB332">
            <v>0</v>
          </cell>
          <cell r="DC332">
            <v>0</v>
          </cell>
          <cell r="DD332">
            <v>0</v>
          </cell>
          <cell r="DE332">
            <v>0</v>
          </cell>
          <cell r="DF332">
            <v>0</v>
          </cell>
          <cell r="DG332">
            <v>0</v>
          </cell>
          <cell r="DI332">
            <v>5460</v>
          </cell>
          <cell r="DJ332">
            <v>11073</v>
          </cell>
          <cell r="DK332">
            <v>0</v>
          </cell>
          <cell r="DL332">
            <v>11073</v>
          </cell>
          <cell r="DM332">
            <v>11073</v>
          </cell>
          <cell r="DN332">
            <v>0</v>
          </cell>
          <cell r="DO332">
            <v>11073</v>
          </cell>
          <cell r="DP332">
            <v>0</v>
          </cell>
          <cell r="DQ332">
            <v>0</v>
          </cell>
          <cell r="DR332">
            <v>0</v>
          </cell>
          <cell r="DS332">
            <v>0</v>
          </cell>
          <cell r="DT332">
            <v>22146</v>
          </cell>
          <cell r="DU332">
            <v>0</v>
          </cell>
          <cell r="DW332">
            <v>0</v>
          </cell>
          <cell r="DX332">
            <v>0</v>
          </cell>
          <cell r="DY332">
            <v>7574</v>
          </cell>
          <cell r="DZ332">
            <v>9688</v>
          </cell>
          <cell r="EA332">
            <v>11864</v>
          </cell>
          <cell r="EB332">
            <v>14040</v>
          </cell>
          <cell r="EC332">
            <v>16216</v>
          </cell>
          <cell r="ED332">
            <v>18494</v>
          </cell>
          <cell r="EE332">
            <v>20772</v>
          </cell>
          <cell r="EF332">
            <v>23050</v>
          </cell>
          <cell r="EG332">
            <v>25328</v>
          </cell>
          <cell r="EH332">
            <v>27606</v>
          </cell>
          <cell r="EI332">
            <v>174632</v>
          </cell>
          <cell r="EK332">
            <v>0</v>
          </cell>
          <cell r="EL332">
            <v>0</v>
          </cell>
          <cell r="EM332">
            <v>50.493333333333332</v>
          </cell>
          <cell r="EN332">
            <v>64.586666666666659</v>
          </cell>
          <cell r="EO332">
            <v>79.093333333333334</v>
          </cell>
          <cell r="EP332">
            <v>93.600000000000009</v>
          </cell>
          <cell r="EQ332">
            <v>108.10666666666667</v>
          </cell>
          <cell r="ER332">
            <v>123.29333333333334</v>
          </cell>
          <cell r="ES332">
            <v>148.86599999999999</v>
          </cell>
          <cell r="ET332">
            <v>165.19166666666666</v>
          </cell>
          <cell r="EU332">
            <v>181.51733333333334</v>
          </cell>
          <cell r="EV332">
            <v>197.84299999999999</v>
          </cell>
          <cell r="EW332">
            <v>1212.5913333333333</v>
          </cell>
          <cell r="EY332">
            <v>77876</v>
          </cell>
          <cell r="EZ332">
            <v>8</v>
          </cell>
          <cell r="FA332">
            <v>519.17333333333329</v>
          </cell>
          <cell r="FB332">
            <v>96756</v>
          </cell>
          <cell r="FC332">
            <v>8.6</v>
          </cell>
          <cell r="FD332">
            <v>693.41800000000001</v>
          </cell>
          <cell r="FE332">
            <v>1212.5913333333333</v>
          </cell>
          <cell r="FF332">
            <v>28819</v>
          </cell>
          <cell r="FH332">
            <v>28819</v>
          </cell>
        </row>
        <row r="333">
          <cell r="B333">
            <v>9497</v>
          </cell>
          <cell r="C333" t="str">
            <v>04.08.2007</v>
          </cell>
          <cell r="D333" t="str">
            <v>Sonawane Rajesh Sadashiv</v>
          </cell>
          <cell r="F333">
            <v>5007</v>
          </cell>
          <cell r="H333">
            <v>3368</v>
          </cell>
          <cell r="I333">
            <v>3368</v>
          </cell>
          <cell r="J333">
            <v>6736</v>
          </cell>
          <cell r="K333">
            <v>1729</v>
          </cell>
          <cell r="M333">
            <v>1057</v>
          </cell>
          <cell r="N333">
            <v>0</v>
          </cell>
          <cell r="O333">
            <v>1057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W333">
            <v>1057</v>
          </cell>
          <cell r="X333">
            <v>0</v>
          </cell>
          <cell r="Y333">
            <v>1057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G333">
            <v>1088</v>
          </cell>
          <cell r="AH333">
            <v>0</v>
          </cell>
          <cell r="AI333">
            <v>1088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Q333">
            <v>1088</v>
          </cell>
          <cell r="AR333">
            <v>0</v>
          </cell>
          <cell r="AS333">
            <v>1088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BA333">
            <v>1088</v>
          </cell>
          <cell r="BB333">
            <v>0</v>
          </cell>
          <cell r="BC333">
            <v>1088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K333">
            <v>1139</v>
          </cell>
          <cell r="BL333">
            <v>0</v>
          </cell>
          <cell r="BM333">
            <v>1139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S333">
            <v>0</v>
          </cell>
          <cell r="BU333">
            <v>1139</v>
          </cell>
          <cell r="BV333">
            <v>0</v>
          </cell>
          <cell r="BW333">
            <v>1139</v>
          </cell>
          <cell r="BX333">
            <v>0</v>
          </cell>
          <cell r="BY333">
            <v>0</v>
          </cell>
          <cell r="BZ333">
            <v>0</v>
          </cell>
          <cell r="CA333">
            <v>0</v>
          </cell>
          <cell r="CB333">
            <v>0</v>
          </cell>
          <cell r="CC333">
            <v>0</v>
          </cell>
          <cell r="CE333">
            <v>1139</v>
          </cell>
          <cell r="CF333">
            <v>0</v>
          </cell>
          <cell r="CG333">
            <v>1139</v>
          </cell>
          <cell r="CH333">
            <v>0</v>
          </cell>
          <cell r="CI333">
            <v>0</v>
          </cell>
          <cell r="CJ333">
            <v>0</v>
          </cell>
          <cell r="CK333">
            <v>0</v>
          </cell>
          <cell r="CL333">
            <v>0</v>
          </cell>
          <cell r="CM333">
            <v>0</v>
          </cell>
          <cell r="CO333">
            <v>1139</v>
          </cell>
          <cell r="CP333">
            <v>0</v>
          </cell>
          <cell r="CQ333">
            <v>1139</v>
          </cell>
          <cell r="CR333">
            <v>0</v>
          </cell>
          <cell r="CS333">
            <v>0</v>
          </cell>
          <cell r="CT333">
            <v>0</v>
          </cell>
          <cell r="CU333">
            <v>0</v>
          </cell>
          <cell r="CV333">
            <v>0</v>
          </cell>
          <cell r="CW333">
            <v>0</v>
          </cell>
          <cell r="CY333">
            <v>1139</v>
          </cell>
          <cell r="CZ333">
            <v>0</v>
          </cell>
          <cell r="DA333">
            <v>1139</v>
          </cell>
          <cell r="DB333">
            <v>0</v>
          </cell>
          <cell r="DC333">
            <v>0</v>
          </cell>
          <cell r="DD333">
            <v>0</v>
          </cell>
          <cell r="DE333">
            <v>0</v>
          </cell>
          <cell r="DF333">
            <v>0</v>
          </cell>
          <cell r="DG333">
            <v>0</v>
          </cell>
          <cell r="DI333">
            <v>6736</v>
          </cell>
          <cell r="DJ333">
            <v>11073</v>
          </cell>
          <cell r="DK333">
            <v>0</v>
          </cell>
          <cell r="DL333">
            <v>11073</v>
          </cell>
          <cell r="DM333">
            <v>11073</v>
          </cell>
          <cell r="DN333">
            <v>0</v>
          </cell>
          <cell r="DO333">
            <v>11073</v>
          </cell>
          <cell r="DP333">
            <v>0</v>
          </cell>
          <cell r="DQ333">
            <v>0</v>
          </cell>
          <cell r="DR333">
            <v>0</v>
          </cell>
          <cell r="DS333">
            <v>0</v>
          </cell>
          <cell r="DT333">
            <v>22146</v>
          </cell>
          <cell r="DU333">
            <v>0</v>
          </cell>
          <cell r="DW333">
            <v>0</v>
          </cell>
          <cell r="DX333">
            <v>0</v>
          </cell>
          <cell r="DY333">
            <v>8850</v>
          </cell>
          <cell r="DZ333">
            <v>10964</v>
          </cell>
          <cell r="EA333">
            <v>13140</v>
          </cell>
          <cell r="EB333">
            <v>15316</v>
          </cell>
          <cell r="EC333">
            <v>17492</v>
          </cell>
          <cell r="ED333">
            <v>19770</v>
          </cell>
          <cell r="EE333">
            <v>22048</v>
          </cell>
          <cell r="EF333">
            <v>24326</v>
          </cell>
          <cell r="EG333">
            <v>26604</v>
          </cell>
          <cell r="EH333">
            <v>28882</v>
          </cell>
          <cell r="EI333">
            <v>187392</v>
          </cell>
          <cell r="EK333">
            <v>0</v>
          </cell>
          <cell r="EL333">
            <v>0</v>
          </cell>
          <cell r="EM333">
            <v>59</v>
          </cell>
          <cell r="EN333">
            <v>73.093333333333334</v>
          </cell>
          <cell r="EO333">
            <v>87.600000000000009</v>
          </cell>
          <cell r="EP333">
            <v>102.10666666666667</v>
          </cell>
          <cell r="EQ333">
            <v>116.61333333333333</v>
          </cell>
          <cell r="ER333">
            <v>131.79999999999998</v>
          </cell>
          <cell r="ES333">
            <v>158.01066666666665</v>
          </cell>
          <cell r="ET333">
            <v>174.33633333333333</v>
          </cell>
          <cell r="EU333">
            <v>190.66200000000001</v>
          </cell>
          <cell r="EV333">
            <v>206.98766666666666</v>
          </cell>
          <cell r="EW333">
            <v>1300.21</v>
          </cell>
          <cell r="EY333">
            <v>85532</v>
          </cell>
          <cell r="EZ333">
            <v>8</v>
          </cell>
          <cell r="FA333">
            <v>570.21333333333337</v>
          </cell>
          <cell r="FB333">
            <v>101860</v>
          </cell>
          <cell r="FC333">
            <v>8.6</v>
          </cell>
          <cell r="FD333">
            <v>729.99666666666656</v>
          </cell>
          <cell r="FE333">
            <v>1300.21</v>
          </cell>
          <cell r="FF333">
            <v>30182</v>
          </cell>
          <cell r="FH333">
            <v>30182</v>
          </cell>
        </row>
        <row r="334">
          <cell r="B334">
            <v>9509</v>
          </cell>
          <cell r="C334" t="str">
            <v>06.08.2007</v>
          </cell>
          <cell r="D334" t="str">
            <v>Kokane Kamlakar Murlidhar</v>
          </cell>
          <cell r="F334">
            <v>4060</v>
          </cell>
          <cell r="H334">
            <v>2909</v>
          </cell>
          <cell r="I334">
            <v>2909</v>
          </cell>
          <cell r="J334">
            <v>5818</v>
          </cell>
          <cell r="K334">
            <v>1758</v>
          </cell>
          <cell r="M334">
            <v>1057</v>
          </cell>
          <cell r="N334">
            <v>0</v>
          </cell>
          <cell r="O334">
            <v>1057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W334">
            <v>1057</v>
          </cell>
          <cell r="X334">
            <v>0</v>
          </cell>
          <cell r="Y334">
            <v>1057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G334">
            <v>1088</v>
          </cell>
          <cell r="AH334">
            <v>0</v>
          </cell>
          <cell r="AI334">
            <v>1088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Q334">
            <v>1088</v>
          </cell>
          <cell r="AR334">
            <v>0</v>
          </cell>
          <cell r="AS334">
            <v>1088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BA334">
            <v>1088</v>
          </cell>
          <cell r="BB334">
            <v>0</v>
          </cell>
          <cell r="BC334">
            <v>1088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K334">
            <v>1139</v>
          </cell>
          <cell r="BL334">
            <v>0</v>
          </cell>
          <cell r="BM334">
            <v>1139</v>
          </cell>
          <cell r="BN334">
            <v>0</v>
          </cell>
          <cell r="BO334">
            <v>0</v>
          </cell>
          <cell r="BP334">
            <v>0</v>
          </cell>
          <cell r="BQ334">
            <v>0</v>
          </cell>
          <cell r="BR334">
            <v>0</v>
          </cell>
          <cell r="BS334">
            <v>0</v>
          </cell>
          <cell r="BU334">
            <v>1139</v>
          </cell>
          <cell r="BV334">
            <v>0</v>
          </cell>
          <cell r="BW334">
            <v>1139</v>
          </cell>
          <cell r="BX334">
            <v>0</v>
          </cell>
          <cell r="BY334">
            <v>0</v>
          </cell>
          <cell r="BZ334">
            <v>0</v>
          </cell>
          <cell r="CA334">
            <v>0</v>
          </cell>
          <cell r="CB334">
            <v>0</v>
          </cell>
          <cell r="CC334">
            <v>0</v>
          </cell>
          <cell r="CE334">
            <v>1139</v>
          </cell>
          <cell r="CF334">
            <v>0</v>
          </cell>
          <cell r="CG334">
            <v>1139</v>
          </cell>
          <cell r="CH334">
            <v>0</v>
          </cell>
          <cell r="CI334">
            <v>0</v>
          </cell>
          <cell r="CJ334">
            <v>0</v>
          </cell>
          <cell r="CK334">
            <v>0</v>
          </cell>
          <cell r="CL334">
            <v>0</v>
          </cell>
          <cell r="CM334">
            <v>0</v>
          </cell>
          <cell r="CO334">
            <v>1139</v>
          </cell>
          <cell r="CP334">
            <v>0</v>
          </cell>
          <cell r="CQ334">
            <v>1139</v>
          </cell>
          <cell r="CR334">
            <v>0</v>
          </cell>
          <cell r="CS334">
            <v>0</v>
          </cell>
          <cell r="CT334">
            <v>0</v>
          </cell>
          <cell r="CU334">
            <v>0</v>
          </cell>
          <cell r="CV334">
            <v>0</v>
          </cell>
          <cell r="CW334">
            <v>0</v>
          </cell>
          <cell r="CY334">
            <v>1139</v>
          </cell>
          <cell r="CZ334">
            <v>0</v>
          </cell>
          <cell r="DA334">
            <v>1139</v>
          </cell>
          <cell r="DB334">
            <v>0</v>
          </cell>
          <cell r="DC334">
            <v>0</v>
          </cell>
          <cell r="DD334">
            <v>0</v>
          </cell>
          <cell r="DE334">
            <v>0</v>
          </cell>
          <cell r="DF334">
            <v>0</v>
          </cell>
          <cell r="DG334">
            <v>0</v>
          </cell>
          <cell r="DI334">
            <v>5818</v>
          </cell>
          <cell r="DJ334">
            <v>11073</v>
          </cell>
          <cell r="DK334">
            <v>0</v>
          </cell>
          <cell r="DL334">
            <v>11073</v>
          </cell>
          <cell r="DM334">
            <v>11073</v>
          </cell>
          <cell r="DN334">
            <v>0</v>
          </cell>
          <cell r="DO334">
            <v>11073</v>
          </cell>
          <cell r="DP334">
            <v>0</v>
          </cell>
          <cell r="DQ334">
            <v>0</v>
          </cell>
          <cell r="DR334">
            <v>0</v>
          </cell>
          <cell r="DS334">
            <v>0</v>
          </cell>
          <cell r="DT334">
            <v>22146</v>
          </cell>
          <cell r="DU334">
            <v>0</v>
          </cell>
          <cell r="DW334">
            <v>0</v>
          </cell>
          <cell r="DX334">
            <v>0</v>
          </cell>
          <cell r="DY334">
            <v>7932</v>
          </cell>
          <cell r="DZ334">
            <v>10046</v>
          </cell>
          <cell r="EA334">
            <v>12222</v>
          </cell>
          <cell r="EB334">
            <v>14398</v>
          </cell>
          <cell r="EC334">
            <v>16574</v>
          </cell>
          <cell r="ED334">
            <v>18852</v>
          </cell>
          <cell r="EE334">
            <v>21130</v>
          </cell>
          <cell r="EF334">
            <v>23408</v>
          </cell>
          <cell r="EG334">
            <v>25686</v>
          </cell>
          <cell r="EH334">
            <v>27964</v>
          </cell>
          <cell r="EI334">
            <v>178212</v>
          </cell>
          <cell r="EK334">
            <v>0</v>
          </cell>
          <cell r="EL334">
            <v>0</v>
          </cell>
          <cell r="EM334">
            <v>52.879999999999995</v>
          </cell>
          <cell r="EN334">
            <v>66.973333333333329</v>
          </cell>
          <cell r="EO334">
            <v>81.48</v>
          </cell>
          <cell r="EP334">
            <v>95.986666666666665</v>
          </cell>
          <cell r="EQ334">
            <v>110.49333333333334</v>
          </cell>
          <cell r="ER334">
            <v>125.68</v>
          </cell>
          <cell r="ES334">
            <v>151.43166666666667</v>
          </cell>
          <cell r="ET334">
            <v>167.75733333333332</v>
          </cell>
          <cell r="EU334">
            <v>184.08299999999997</v>
          </cell>
          <cell r="EV334">
            <v>200.40866666666668</v>
          </cell>
          <cell r="EW334">
            <v>1237.174</v>
          </cell>
          <cell r="EY334">
            <v>80024</v>
          </cell>
          <cell r="EZ334">
            <v>8</v>
          </cell>
          <cell r="FA334">
            <v>533.49333333333334</v>
          </cell>
          <cell r="FB334">
            <v>98188</v>
          </cell>
          <cell r="FC334">
            <v>8.6</v>
          </cell>
          <cell r="FD334">
            <v>703.68066666666664</v>
          </cell>
          <cell r="FE334">
            <v>1237.174</v>
          </cell>
          <cell r="FF334">
            <v>29201</v>
          </cell>
          <cell r="FH334">
            <v>29201</v>
          </cell>
        </row>
        <row r="335">
          <cell r="B335">
            <v>9484</v>
          </cell>
          <cell r="C335" t="str">
            <v>07.08.2007</v>
          </cell>
          <cell r="D335" t="str">
            <v>Parmar Yogesh Suresh</v>
          </cell>
          <cell r="F335">
            <v>6090</v>
          </cell>
          <cell r="H335">
            <v>3830</v>
          </cell>
          <cell r="I335">
            <v>3830</v>
          </cell>
          <cell r="J335">
            <v>7660</v>
          </cell>
          <cell r="K335">
            <v>1570</v>
          </cell>
          <cell r="M335">
            <v>1057</v>
          </cell>
          <cell r="N335">
            <v>0</v>
          </cell>
          <cell r="O335">
            <v>1057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W335">
            <v>1057</v>
          </cell>
          <cell r="X335">
            <v>0</v>
          </cell>
          <cell r="Y335">
            <v>1057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G335">
            <v>1088</v>
          </cell>
          <cell r="AH335">
            <v>0</v>
          </cell>
          <cell r="AI335">
            <v>1088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Q335">
            <v>1088</v>
          </cell>
          <cell r="AR335">
            <v>0</v>
          </cell>
          <cell r="AS335">
            <v>1088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BA335">
            <v>1088</v>
          </cell>
          <cell r="BB335">
            <v>0</v>
          </cell>
          <cell r="BC335">
            <v>1088</v>
          </cell>
          <cell r="BD335">
            <v>0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K335">
            <v>1139</v>
          </cell>
          <cell r="BL335">
            <v>0</v>
          </cell>
          <cell r="BM335">
            <v>1139</v>
          </cell>
          <cell r="BN335">
            <v>0</v>
          </cell>
          <cell r="BO335">
            <v>0</v>
          </cell>
          <cell r="BP335">
            <v>0</v>
          </cell>
          <cell r="BQ335">
            <v>0</v>
          </cell>
          <cell r="BR335">
            <v>0</v>
          </cell>
          <cell r="BS335">
            <v>0</v>
          </cell>
          <cell r="BU335">
            <v>1139</v>
          </cell>
          <cell r="BV335">
            <v>0</v>
          </cell>
          <cell r="BW335">
            <v>1139</v>
          </cell>
          <cell r="BX335">
            <v>0</v>
          </cell>
          <cell r="BY335">
            <v>0</v>
          </cell>
          <cell r="BZ335">
            <v>0</v>
          </cell>
          <cell r="CA335">
            <v>0</v>
          </cell>
          <cell r="CB335">
            <v>0</v>
          </cell>
          <cell r="CC335">
            <v>0</v>
          </cell>
          <cell r="CE335">
            <v>1139</v>
          </cell>
          <cell r="CF335">
            <v>0</v>
          </cell>
          <cell r="CG335">
            <v>1139</v>
          </cell>
          <cell r="CH335">
            <v>0</v>
          </cell>
          <cell r="CI335">
            <v>0</v>
          </cell>
          <cell r="CJ335">
            <v>0</v>
          </cell>
          <cell r="CK335">
            <v>0</v>
          </cell>
          <cell r="CL335">
            <v>0</v>
          </cell>
          <cell r="CM335">
            <v>0</v>
          </cell>
          <cell r="CO335">
            <v>1139</v>
          </cell>
          <cell r="CP335">
            <v>0</v>
          </cell>
          <cell r="CQ335">
            <v>1139</v>
          </cell>
          <cell r="CR335">
            <v>0</v>
          </cell>
          <cell r="CS335">
            <v>0</v>
          </cell>
          <cell r="CT335">
            <v>0</v>
          </cell>
          <cell r="CU335">
            <v>0</v>
          </cell>
          <cell r="CV335">
            <v>0</v>
          </cell>
          <cell r="CW335">
            <v>0</v>
          </cell>
          <cell r="CY335">
            <v>1139</v>
          </cell>
          <cell r="CZ335">
            <v>0</v>
          </cell>
          <cell r="DA335">
            <v>1139</v>
          </cell>
          <cell r="DB335">
            <v>0</v>
          </cell>
          <cell r="DC335">
            <v>0</v>
          </cell>
          <cell r="DD335">
            <v>0</v>
          </cell>
          <cell r="DE335">
            <v>0</v>
          </cell>
          <cell r="DF335">
            <v>0</v>
          </cell>
          <cell r="DG335">
            <v>0</v>
          </cell>
          <cell r="DI335">
            <v>7660</v>
          </cell>
          <cell r="DJ335">
            <v>11073</v>
          </cell>
          <cell r="DK335">
            <v>0</v>
          </cell>
          <cell r="DL335">
            <v>11073</v>
          </cell>
          <cell r="DM335">
            <v>11073</v>
          </cell>
          <cell r="DN335">
            <v>0</v>
          </cell>
          <cell r="DO335">
            <v>11073</v>
          </cell>
          <cell r="DP335">
            <v>0</v>
          </cell>
          <cell r="DQ335">
            <v>0</v>
          </cell>
          <cell r="DR335">
            <v>0</v>
          </cell>
          <cell r="DS335">
            <v>0</v>
          </cell>
          <cell r="DT335">
            <v>22146</v>
          </cell>
          <cell r="DU335">
            <v>0</v>
          </cell>
          <cell r="DW335">
            <v>0</v>
          </cell>
          <cell r="DX335">
            <v>0</v>
          </cell>
          <cell r="DY335">
            <v>9774</v>
          </cell>
          <cell r="DZ335">
            <v>11888</v>
          </cell>
          <cell r="EA335">
            <v>14064</v>
          </cell>
          <cell r="EB335">
            <v>16240</v>
          </cell>
          <cell r="EC335">
            <v>18416</v>
          </cell>
          <cell r="ED335">
            <v>20694</v>
          </cell>
          <cell r="EE335">
            <v>22972</v>
          </cell>
          <cell r="EF335">
            <v>25250</v>
          </cell>
          <cell r="EG335">
            <v>27528</v>
          </cell>
          <cell r="EH335">
            <v>29806</v>
          </cell>
          <cell r="EI335">
            <v>196632</v>
          </cell>
          <cell r="EK335">
            <v>0</v>
          </cell>
          <cell r="EL335">
            <v>0</v>
          </cell>
          <cell r="EM335">
            <v>65.16</v>
          </cell>
          <cell r="EN335">
            <v>79.25333333333333</v>
          </cell>
          <cell r="EO335">
            <v>93.759999999999991</v>
          </cell>
          <cell r="EP335">
            <v>108.26666666666667</v>
          </cell>
          <cell r="EQ335">
            <v>122.77333333333333</v>
          </cell>
          <cell r="ER335">
            <v>137.96</v>
          </cell>
          <cell r="ES335">
            <v>164.63266666666667</v>
          </cell>
          <cell r="ET335">
            <v>180.95833333333334</v>
          </cell>
          <cell r="EU335">
            <v>197.28399999999999</v>
          </cell>
          <cell r="EV335">
            <v>213.60966666666664</v>
          </cell>
          <cell r="EW335">
            <v>1363.6579999999999</v>
          </cell>
          <cell r="EY335">
            <v>91076</v>
          </cell>
          <cell r="EZ335">
            <v>8</v>
          </cell>
          <cell r="FA335">
            <v>607.17333333333329</v>
          </cell>
          <cell r="FB335">
            <v>105556</v>
          </cell>
          <cell r="FC335">
            <v>8.6</v>
          </cell>
          <cell r="FD335">
            <v>756.48466666666661</v>
          </cell>
          <cell r="FE335">
            <v>1363.6579999999999</v>
          </cell>
          <cell r="FF335">
            <v>31170</v>
          </cell>
          <cell r="FH335">
            <v>31170</v>
          </cell>
        </row>
        <row r="336">
          <cell r="B336">
            <v>9494</v>
          </cell>
          <cell r="C336" t="str">
            <v>10.08.2007</v>
          </cell>
          <cell r="D336" t="str">
            <v>Lokhande Sunita Deepak</v>
          </cell>
          <cell r="F336">
            <v>5075</v>
          </cell>
          <cell r="G336">
            <v>20435</v>
          </cell>
          <cell r="H336">
            <v>4368</v>
          </cell>
          <cell r="I336">
            <v>4368</v>
          </cell>
          <cell r="J336">
            <v>8736</v>
          </cell>
          <cell r="K336">
            <v>3661</v>
          </cell>
          <cell r="M336">
            <v>1057</v>
          </cell>
          <cell r="N336">
            <v>0</v>
          </cell>
          <cell r="O336">
            <v>1057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W336">
            <v>1057</v>
          </cell>
          <cell r="X336">
            <v>0</v>
          </cell>
          <cell r="Y336">
            <v>1057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G336">
            <v>1088</v>
          </cell>
          <cell r="AH336">
            <v>0</v>
          </cell>
          <cell r="AI336">
            <v>1088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Q336">
            <v>1088</v>
          </cell>
          <cell r="AR336">
            <v>0</v>
          </cell>
          <cell r="AS336">
            <v>1088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BA336">
            <v>1088</v>
          </cell>
          <cell r="BB336">
            <v>0</v>
          </cell>
          <cell r="BC336">
            <v>1088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K336">
            <v>1139</v>
          </cell>
          <cell r="BL336">
            <v>0</v>
          </cell>
          <cell r="BM336">
            <v>1139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  <cell r="BS336">
            <v>0</v>
          </cell>
          <cell r="BU336">
            <v>1139</v>
          </cell>
          <cell r="BV336">
            <v>0</v>
          </cell>
          <cell r="BW336">
            <v>1139</v>
          </cell>
          <cell r="BX336">
            <v>0</v>
          </cell>
          <cell r="BY336">
            <v>0</v>
          </cell>
          <cell r="BZ336">
            <v>0</v>
          </cell>
          <cell r="CA336">
            <v>0</v>
          </cell>
          <cell r="CB336">
            <v>0</v>
          </cell>
          <cell r="CC336">
            <v>0</v>
          </cell>
          <cell r="CE336">
            <v>1139</v>
          </cell>
          <cell r="CF336">
            <v>0</v>
          </cell>
          <cell r="CG336">
            <v>1139</v>
          </cell>
          <cell r="CH336">
            <v>0</v>
          </cell>
          <cell r="CI336">
            <v>0</v>
          </cell>
          <cell r="CJ336">
            <v>0</v>
          </cell>
          <cell r="CK336">
            <v>0</v>
          </cell>
          <cell r="CL336">
            <v>0</v>
          </cell>
          <cell r="CM336">
            <v>0</v>
          </cell>
          <cell r="CO336">
            <v>1139</v>
          </cell>
          <cell r="CP336">
            <v>0</v>
          </cell>
          <cell r="CQ336">
            <v>1139</v>
          </cell>
          <cell r="CR336">
            <v>0</v>
          </cell>
          <cell r="CS336">
            <v>0</v>
          </cell>
          <cell r="CT336">
            <v>0</v>
          </cell>
          <cell r="CU336">
            <v>0</v>
          </cell>
          <cell r="CV336">
            <v>0</v>
          </cell>
          <cell r="CW336">
            <v>0</v>
          </cell>
          <cell r="CY336">
            <v>1139</v>
          </cell>
          <cell r="CZ336">
            <v>0</v>
          </cell>
          <cell r="DA336">
            <v>1139</v>
          </cell>
          <cell r="DB336">
            <v>0</v>
          </cell>
          <cell r="DC336">
            <v>0</v>
          </cell>
          <cell r="DD336">
            <v>0</v>
          </cell>
          <cell r="DE336">
            <v>0</v>
          </cell>
          <cell r="DF336">
            <v>0</v>
          </cell>
          <cell r="DG336">
            <v>0</v>
          </cell>
          <cell r="DI336">
            <v>8736</v>
          </cell>
          <cell r="DJ336">
            <v>11073</v>
          </cell>
          <cell r="DK336">
            <v>0</v>
          </cell>
          <cell r="DL336">
            <v>11073</v>
          </cell>
          <cell r="DM336">
            <v>11073</v>
          </cell>
          <cell r="DN336">
            <v>0</v>
          </cell>
          <cell r="DO336">
            <v>11073</v>
          </cell>
          <cell r="DP336">
            <v>0</v>
          </cell>
          <cell r="DQ336">
            <v>0</v>
          </cell>
          <cell r="DR336">
            <v>0</v>
          </cell>
          <cell r="DS336">
            <v>0</v>
          </cell>
          <cell r="DT336">
            <v>22146</v>
          </cell>
          <cell r="DU336">
            <v>0</v>
          </cell>
          <cell r="DW336">
            <v>0</v>
          </cell>
          <cell r="DX336">
            <v>0</v>
          </cell>
          <cell r="DY336">
            <v>10850</v>
          </cell>
          <cell r="DZ336">
            <v>12964</v>
          </cell>
          <cell r="EA336">
            <v>15140</v>
          </cell>
          <cell r="EB336">
            <v>17316</v>
          </cell>
          <cell r="EC336">
            <v>19492</v>
          </cell>
          <cell r="ED336">
            <v>21770</v>
          </cell>
          <cell r="EE336">
            <v>24048</v>
          </cell>
          <cell r="EF336">
            <v>26326</v>
          </cell>
          <cell r="EG336">
            <v>28604</v>
          </cell>
          <cell r="EH336">
            <v>30882</v>
          </cell>
          <cell r="EI336">
            <v>207392</v>
          </cell>
          <cell r="EK336">
            <v>0</v>
          </cell>
          <cell r="EL336">
            <v>0</v>
          </cell>
          <cell r="EM336">
            <v>72.333333333333329</v>
          </cell>
          <cell r="EN336">
            <v>86.426666666666662</v>
          </cell>
          <cell r="EO336">
            <v>100.93333333333334</v>
          </cell>
          <cell r="EP336">
            <v>115.44</v>
          </cell>
          <cell r="EQ336">
            <v>129.94666666666666</v>
          </cell>
          <cell r="ER336">
            <v>145.13333333333333</v>
          </cell>
          <cell r="ES336">
            <v>172.34399999999997</v>
          </cell>
          <cell r="ET336">
            <v>188.66966666666664</v>
          </cell>
          <cell r="EU336">
            <v>204.99533333333332</v>
          </cell>
          <cell r="EV336">
            <v>221.32100000000003</v>
          </cell>
          <cell r="EW336">
            <v>1437.5433333333335</v>
          </cell>
          <cell r="EY336">
            <v>97532</v>
          </cell>
          <cell r="EZ336">
            <v>8</v>
          </cell>
          <cell r="FA336">
            <v>650.21333333333337</v>
          </cell>
          <cell r="FB336">
            <v>109860</v>
          </cell>
          <cell r="FC336">
            <v>8.6</v>
          </cell>
          <cell r="FD336">
            <v>787.32999999999993</v>
          </cell>
          <cell r="FE336">
            <v>1437.5433333333333</v>
          </cell>
          <cell r="FF336">
            <v>32320</v>
          </cell>
          <cell r="FH336">
            <v>32320</v>
          </cell>
        </row>
        <row r="337">
          <cell r="B337">
            <v>9524</v>
          </cell>
          <cell r="C337" t="str">
            <v>10.08.2007</v>
          </cell>
          <cell r="D337" t="str">
            <v>Lilke Mirabai Chudaman</v>
          </cell>
          <cell r="F337">
            <v>1015</v>
          </cell>
          <cell r="G337">
            <v>20352</v>
          </cell>
          <cell r="H337">
            <v>450</v>
          </cell>
          <cell r="I337">
            <v>450</v>
          </cell>
          <cell r="J337">
            <v>900</v>
          </cell>
          <cell r="K337">
            <v>-115</v>
          </cell>
          <cell r="M337">
            <v>1057</v>
          </cell>
          <cell r="N337">
            <v>0</v>
          </cell>
          <cell r="O337">
            <v>1057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W337">
            <v>1057</v>
          </cell>
          <cell r="X337">
            <v>0</v>
          </cell>
          <cell r="Y337">
            <v>1057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G337">
            <v>1088</v>
          </cell>
          <cell r="AH337">
            <v>0</v>
          </cell>
          <cell r="AI337">
            <v>1088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Q337">
            <v>1088</v>
          </cell>
          <cell r="AR337">
            <v>0</v>
          </cell>
          <cell r="AS337">
            <v>1088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BA337">
            <v>1088</v>
          </cell>
          <cell r="BB337">
            <v>0</v>
          </cell>
          <cell r="BC337">
            <v>1088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K337">
            <v>1139</v>
          </cell>
          <cell r="BL337">
            <v>0</v>
          </cell>
          <cell r="BM337">
            <v>1139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  <cell r="BS337">
            <v>0</v>
          </cell>
          <cell r="BU337">
            <v>1139</v>
          </cell>
          <cell r="BV337">
            <v>0</v>
          </cell>
          <cell r="BW337">
            <v>1139</v>
          </cell>
          <cell r="BX337">
            <v>0</v>
          </cell>
          <cell r="BY337">
            <v>0</v>
          </cell>
          <cell r="BZ337">
            <v>0</v>
          </cell>
          <cell r="CA337">
            <v>0</v>
          </cell>
          <cell r="CB337">
            <v>0</v>
          </cell>
          <cell r="CC337">
            <v>0</v>
          </cell>
          <cell r="CE337">
            <v>1139</v>
          </cell>
          <cell r="CF337">
            <v>0</v>
          </cell>
          <cell r="CG337">
            <v>1139</v>
          </cell>
          <cell r="CH337">
            <v>0</v>
          </cell>
          <cell r="CI337">
            <v>0</v>
          </cell>
          <cell r="CJ337">
            <v>0</v>
          </cell>
          <cell r="CK337">
            <v>0</v>
          </cell>
          <cell r="CL337">
            <v>0</v>
          </cell>
          <cell r="CM337">
            <v>0</v>
          </cell>
          <cell r="CO337">
            <v>1139</v>
          </cell>
          <cell r="CP337">
            <v>0</v>
          </cell>
          <cell r="CQ337">
            <v>1139</v>
          </cell>
          <cell r="CR337">
            <v>0</v>
          </cell>
          <cell r="CS337">
            <v>0</v>
          </cell>
          <cell r="CT337">
            <v>0</v>
          </cell>
          <cell r="CU337">
            <v>0</v>
          </cell>
          <cell r="CV337">
            <v>0</v>
          </cell>
          <cell r="CW337">
            <v>0</v>
          </cell>
          <cell r="CY337">
            <v>1139</v>
          </cell>
          <cell r="CZ337">
            <v>0</v>
          </cell>
          <cell r="DA337">
            <v>1139</v>
          </cell>
          <cell r="DB337">
            <v>0</v>
          </cell>
          <cell r="DC337">
            <v>0</v>
          </cell>
          <cell r="DD337">
            <v>0</v>
          </cell>
          <cell r="DE337">
            <v>0</v>
          </cell>
          <cell r="DF337">
            <v>0</v>
          </cell>
          <cell r="DG337">
            <v>0</v>
          </cell>
          <cell r="DI337">
            <v>900</v>
          </cell>
          <cell r="DJ337">
            <v>11073</v>
          </cell>
          <cell r="DK337">
            <v>0</v>
          </cell>
          <cell r="DL337">
            <v>11073</v>
          </cell>
          <cell r="DM337">
            <v>11073</v>
          </cell>
          <cell r="DN337">
            <v>0</v>
          </cell>
          <cell r="DO337">
            <v>11073</v>
          </cell>
          <cell r="DP337">
            <v>0</v>
          </cell>
          <cell r="DQ337">
            <v>0</v>
          </cell>
          <cell r="DR337">
            <v>0</v>
          </cell>
          <cell r="DS337">
            <v>0</v>
          </cell>
          <cell r="DT337">
            <v>22146</v>
          </cell>
          <cell r="DU337">
            <v>0</v>
          </cell>
          <cell r="DW337">
            <v>0</v>
          </cell>
          <cell r="DX337">
            <v>0</v>
          </cell>
          <cell r="DY337">
            <v>3014</v>
          </cell>
          <cell r="DZ337">
            <v>5128</v>
          </cell>
          <cell r="EA337">
            <v>7304</v>
          </cell>
          <cell r="EB337">
            <v>9480</v>
          </cell>
          <cell r="EC337">
            <v>11656</v>
          </cell>
          <cell r="ED337">
            <v>13934</v>
          </cell>
          <cell r="EE337">
            <v>16212</v>
          </cell>
          <cell r="EF337">
            <v>18490</v>
          </cell>
          <cell r="EG337">
            <v>20768</v>
          </cell>
          <cell r="EH337">
            <v>23046</v>
          </cell>
          <cell r="EI337">
            <v>129032</v>
          </cell>
          <cell r="EK337">
            <v>0</v>
          </cell>
          <cell r="EL337">
            <v>0</v>
          </cell>
          <cell r="EM337">
            <v>20.093333333333334</v>
          </cell>
          <cell r="EN337">
            <v>34.186666666666667</v>
          </cell>
          <cell r="EO337">
            <v>48.693333333333335</v>
          </cell>
          <cell r="EP337">
            <v>63.199999999999996</v>
          </cell>
          <cell r="EQ337">
            <v>77.706666666666663</v>
          </cell>
          <cell r="ER337">
            <v>92.893333333333331</v>
          </cell>
          <cell r="ES337">
            <v>116.18599999999998</v>
          </cell>
          <cell r="ET337">
            <v>132.51166666666668</v>
          </cell>
          <cell r="EU337">
            <v>148.83733333333331</v>
          </cell>
          <cell r="EV337">
            <v>165.16300000000001</v>
          </cell>
          <cell r="EW337">
            <v>899.47133333333329</v>
          </cell>
          <cell r="EY337">
            <v>50516</v>
          </cell>
          <cell r="EZ337">
            <v>8</v>
          </cell>
          <cell r="FA337">
            <v>336.77333333333337</v>
          </cell>
          <cell r="FB337">
            <v>78516</v>
          </cell>
          <cell r="FC337">
            <v>8.6</v>
          </cell>
          <cell r="FD337">
            <v>562.69799999999998</v>
          </cell>
          <cell r="FE337">
            <v>899.4713333333334</v>
          </cell>
          <cell r="FF337">
            <v>23945</v>
          </cell>
          <cell r="FH337">
            <v>23945</v>
          </cell>
        </row>
        <row r="338">
          <cell r="B338">
            <v>9490</v>
          </cell>
          <cell r="C338" t="str">
            <v>14.08.2007</v>
          </cell>
          <cell r="D338" t="str">
            <v>Zite Vaibhav Vasant</v>
          </cell>
          <cell r="F338">
            <v>5075</v>
          </cell>
          <cell r="G338">
            <v>15063</v>
          </cell>
          <cell r="H338">
            <v>3318</v>
          </cell>
          <cell r="I338">
            <v>3318</v>
          </cell>
          <cell r="J338">
            <v>6636</v>
          </cell>
          <cell r="K338">
            <v>1561</v>
          </cell>
          <cell r="M338">
            <v>1057</v>
          </cell>
          <cell r="N338">
            <v>0</v>
          </cell>
          <cell r="O338">
            <v>1057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W338">
            <v>1057</v>
          </cell>
          <cell r="X338">
            <v>0</v>
          </cell>
          <cell r="Y338">
            <v>1057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G338">
            <v>1088</v>
          </cell>
          <cell r="AH338">
            <v>0</v>
          </cell>
          <cell r="AI338">
            <v>1088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Q338">
            <v>1088</v>
          </cell>
          <cell r="AR338">
            <v>0</v>
          </cell>
          <cell r="AS338">
            <v>1088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BA338">
            <v>1088</v>
          </cell>
          <cell r="BB338">
            <v>0</v>
          </cell>
          <cell r="BC338">
            <v>1088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K338">
            <v>1139</v>
          </cell>
          <cell r="BL338">
            <v>0</v>
          </cell>
          <cell r="BM338">
            <v>1139</v>
          </cell>
          <cell r="BN338">
            <v>0</v>
          </cell>
          <cell r="BO338">
            <v>0</v>
          </cell>
          <cell r="BP338">
            <v>0</v>
          </cell>
          <cell r="BQ338">
            <v>0</v>
          </cell>
          <cell r="BR338">
            <v>0</v>
          </cell>
          <cell r="BS338">
            <v>0</v>
          </cell>
          <cell r="BU338">
            <v>1139</v>
          </cell>
          <cell r="BV338">
            <v>0</v>
          </cell>
          <cell r="BW338">
            <v>1139</v>
          </cell>
          <cell r="BX338">
            <v>0</v>
          </cell>
          <cell r="BY338">
            <v>0</v>
          </cell>
          <cell r="BZ338">
            <v>0</v>
          </cell>
          <cell r="CA338">
            <v>0</v>
          </cell>
          <cell r="CB338">
            <v>0</v>
          </cell>
          <cell r="CC338">
            <v>0</v>
          </cell>
          <cell r="CE338">
            <v>1139</v>
          </cell>
          <cell r="CF338">
            <v>0</v>
          </cell>
          <cell r="CG338">
            <v>1139</v>
          </cell>
          <cell r="CH338">
            <v>0</v>
          </cell>
          <cell r="CI338">
            <v>0</v>
          </cell>
          <cell r="CJ338">
            <v>0</v>
          </cell>
          <cell r="CK338">
            <v>0</v>
          </cell>
          <cell r="CL338">
            <v>0</v>
          </cell>
          <cell r="CM338">
            <v>0</v>
          </cell>
          <cell r="CO338">
            <v>1139</v>
          </cell>
          <cell r="CP338">
            <v>0</v>
          </cell>
          <cell r="CQ338">
            <v>1139</v>
          </cell>
          <cell r="CR338">
            <v>0</v>
          </cell>
          <cell r="CS338">
            <v>0</v>
          </cell>
          <cell r="CT338">
            <v>0</v>
          </cell>
          <cell r="CU338">
            <v>0</v>
          </cell>
          <cell r="CV338">
            <v>0</v>
          </cell>
          <cell r="CW338">
            <v>0</v>
          </cell>
          <cell r="CY338">
            <v>1139</v>
          </cell>
          <cell r="CZ338">
            <v>0</v>
          </cell>
          <cell r="DA338">
            <v>1139</v>
          </cell>
          <cell r="DB338">
            <v>0</v>
          </cell>
          <cell r="DC338">
            <v>0</v>
          </cell>
          <cell r="DD338">
            <v>0</v>
          </cell>
          <cell r="DE338">
            <v>0</v>
          </cell>
          <cell r="DF338">
            <v>0</v>
          </cell>
          <cell r="DG338">
            <v>0</v>
          </cell>
          <cell r="DI338">
            <v>6636</v>
          </cell>
          <cell r="DJ338">
            <v>11073</v>
          </cell>
          <cell r="DK338">
            <v>0</v>
          </cell>
          <cell r="DL338">
            <v>11073</v>
          </cell>
          <cell r="DM338">
            <v>11073</v>
          </cell>
          <cell r="DN338">
            <v>0</v>
          </cell>
          <cell r="DO338">
            <v>11073</v>
          </cell>
          <cell r="DP338">
            <v>0</v>
          </cell>
          <cell r="DQ338">
            <v>0</v>
          </cell>
          <cell r="DR338">
            <v>0</v>
          </cell>
          <cell r="DS338">
            <v>0</v>
          </cell>
          <cell r="DT338">
            <v>22146</v>
          </cell>
          <cell r="DU338">
            <v>0</v>
          </cell>
          <cell r="DW338">
            <v>0</v>
          </cell>
          <cell r="DX338">
            <v>0</v>
          </cell>
          <cell r="DY338">
            <v>8750</v>
          </cell>
          <cell r="DZ338">
            <v>10864</v>
          </cell>
          <cell r="EA338">
            <v>13040</v>
          </cell>
          <cell r="EB338">
            <v>15216</v>
          </cell>
          <cell r="EC338">
            <v>17392</v>
          </cell>
          <cell r="ED338">
            <v>19670</v>
          </cell>
          <cell r="EE338">
            <v>21948</v>
          </cell>
          <cell r="EF338">
            <v>24226</v>
          </cell>
          <cell r="EG338">
            <v>26504</v>
          </cell>
          <cell r="EH338">
            <v>28782</v>
          </cell>
          <cell r="EI338">
            <v>186392</v>
          </cell>
          <cell r="EK338">
            <v>0</v>
          </cell>
          <cell r="EL338">
            <v>0</v>
          </cell>
          <cell r="EM338">
            <v>58.333333333333336</v>
          </cell>
          <cell r="EN338">
            <v>72.426666666666662</v>
          </cell>
          <cell r="EO338">
            <v>86.933333333333337</v>
          </cell>
          <cell r="EP338">
            <v>101.44</v>
          </cell>
          <cell r="EQ338">
            <v>115.94666666666666</v>
          </cell>
          <cell r="ER338">
            <v>131.13333333333333</v>
          </cell>
          <cell r="ES338">
            <v>157.29399999999998</v>
          </cell>
          <cell r="ET338">
            <v>173.61966666666669</v>
          </cell>
          <cell r="EU338">
            <v>189.94533333333334</v>
          </cell>
          <cell r="EV338">
            <v>206.27099999999999</v>
          </cell>
          <cell r="EW338">
            <v>1293.3433333333335</v>
          </cell>
          <cell r="EY338">
            <v>84932</v>
          </cell>
          <cell r="EZ338">
            <v>8</v>
          </cell>
          <cell r="FA338">
            <v>566.21333333333337</v>
          </cell>
          <cell r="FB338">
            <v>101460</v>
          </cell>
          <cell r="FC338">
            <v>8.6</v>
          </cell>
          <cell r="FD338">
            <v>727.13</v>
          </cell>
          <cell r="FE338">
            <v>1293.3433333333332</v>
          </cell>
          <cell r="FF338">
            <v>30075</v>
          </cell>
          <cell r="FH338">
            <v>30075</v>
          </cell>
        </row>
        <row r="339">
          <cell r="B339">
            <v>9481</v>
          </cell>
          <cell r="C339" t="str">
            <v>18.08.2007</v>
          </cell>
          <cell r="D339" t="str">
            <v>Dhimte Avdhut Dilip</v>
          </cell>
          <cell r="F339">
            <v>6090</v>
          </cell>
          <cell r="G339">
            <v>18825</v>
          </cell>
          <cell r="H339">
            <v>6140</v>
          </cell>
          <cell r="I339">
            <v>6140</v>
          </cell>
          <cell r="J339">
            <v>12280</v>
          </cell>
          <cell r="K339">
            <v>6190</v>
          </cell>
          <cell r="M339">
            <v>1057</v>
          </cell>
          <cell r="N339">
            <v>0</v>
          </cell>
          <cell r="O339">
            <v>1057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W339">
            <v>1057</v>
          </cell>
          <cell r="X339">
            <v>0</v>
          </cell>
          <cell r="Y339">
            <v>1057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G339">
            <v>1088</v>
          </cell>
          <cell r="AH339">
            <v>0</v>
          </cell>
          <cell r="AI339">
            <v>1088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Q339">
            <v>1088</v>
          </cell>
          <cell r="AR339">
            <v>0</v>
          </cell>
          <cell r="AS339">
            <v>1088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BA339">
            <v>1088</v>
          </cell>
          <cell r="BB339">
            <v>0</v>
          </cell>
          <cell r="BC339">
            <v>1088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K339">
            <v>1139</v>
          </cell>
          <cell r="BL339">
            <v>0</v>
          </cell>
          <cell r="BM339">
            <v>1139</v>
          </cell>
          <cell r="BN339">
            <v>0</v>
          </cell>
          <cell r="BO339">
            <v>0</v>
          </cell>
          <cell r="BP339">
            <v>0</v>
          </cell>
          <cell r="BQ339">
            <v>0</v>
          </cell>
          <cell r="BR339">
            <v>0</v>
          </cell>
          <cell r="BS339">
            <v>0</v>
          </cell>
          <cell r="BU339">
            <v>1139</v>
          </cell>
          <cell r="BV339">
            <v>0</v>
          </cell>
          <cell r="BW339">
            <v>1139</v>
          </cell>
          <cell r="BX339">
            <v>0</v>
          </cell>
          <cell r="BY339">
            <v>0</v>
          </cell>
          <cell r="BZ339">
            <v>0</v>
          </cell>
          <cell r="CA339">
            <v>0</v>
          </cell>
          <cell r="CB339">
            <v>0</v>
          </cell>
          <cell r="CC339">
            <v>0</v>
          </cell>
          <cell r="CE339">
            <v>1139</v>
          </cell>
          <cell r="CF339">
            <v>0</v>
          </cell>
          <cell r="CG339">
            <v>1139</v>
          </cell>
          <cell r="CH339">
            <v>0</v>
          </cell>
          <cell r="CI339">
            <v>0</v>
          </cell>
          <cell r="CJ339">
            <v>0</v>
          </cell>
          <cell r="CK339">
            <v>0</v>
          </cell>
          <cell r="CL339">
            <v>0</v>
          </cell>
          <cell r="CM339">
            <v>0</v>
          </cell>
          <cell r="CO339">
            <v>1139</v>
          </cell>
          <cell r="CP339">
            <v>0</v>
          </cell>
          <cell r="CQ339">
            <v>1139</v>
          </cell>
          <cell r="CR339">
            <v>0</v>
          </cell>
          <cell r="CS339">
            <v>0</v>
          </cell>
          <cell r="CT339">
            <v>0</v>
          </cell>
          <cell r="CU339">
            <v>0</v>
          </cell>
          <cell r="CV339">
            <v>0</v>
          </cell>
          <cell r="CW339">
            <v>0</v>
          </cell>
          <cell r="CY339">
            <v>1139</v>
          </cell>
          <cell r="CZ339">
            <v>0</v>
          </cell>
          <cell r="DA339">
            <v>1139</v>
          </cell>
          <cell r="DB339">
            <v>0</v>
          </cell>
          <cell r="DC339">
            <v>0</v>
          </cell>
          <cell r="DD339">
            <v>0</v>
          </cell>
          <cell r="DE339">
            <v>0</v>
          </cell>
          <cell r="DF339">
            <v>0</v>
          </cell>
          <cell r="DG339">
            <v>0</v>
          </cell>
          <cell r="DI339">
            <v>12280</v>
          </cell>
          <cell r="DJ339">
            <v>11073</v>
          </cell>
          <cell r="DK339">
            <v>0</v>
          </cell>
          <cell r="DL339">
            <v>11073</v>
          </cell>
          <cell r="DM339">
            <v>11073</v>
          </cell>
          <cell r="DN339">
            <v>0</v>
          </cell>
          <cell r="DO339">
            <v>11073</v>
          </cell>
          <cell r="DP339">
            <v>0</v>
          </cell>
          <cell r="DQ339">
            <v>0</v>
          </cell>
          <cell r="DR339">
            <v>0</v>
          </cell>
          <cell r="DS339">
            <v>0</v>
          </cell>
          <cell r="DT339">
            <v>22146</v>
          </cell>
          <cell r="DU339">
            <v>0</v>
          </cell>
          <cell r="DW339">
            <v>0</v>
          </cell>
          <cell r="DX339">
            <v>0</v>
          </cell>
          <cell r="DY339">
            <v>14394</v>
          </cell>
          <cell r="DZ339">
            <v>16508</v>
          </cell>
          <cell r="EA339">
            <v>18684</v>
          </cell>
          <cell r="EB339">
            <v>20860</v>
          </cell>
          <cell r="EC339">
            <v>23036</v>
          </cell>
          <cell r="ED339">
            <v>25314</v>
          </cell>
          <cell r="EE339">
            <v>27592</v>
          </cell>
          <cell r="EF339">
            <v>29870</v>
          </cell>
          <cell r="EG339">
            <v>32148</v>
          </cell>
          <cell r="EH339">
            <v>34426</v>
          </cell>
          <cell r="EI339">
            <v>242832</v>
          </cell>
          <cell r="EK339">
            <v>0</v>
          </cell>
          <cell r="EL339">
            <v>0</v>
          </cell>
          <cell r="EM339">
            <v>95.96</v>
          </cell>
          <cell r="EN339">
            <v>110.05333333333334</v>
          </cell>
          <cell r="EO339">
            <v>124.56</v>
          </cell>
          <cell r="EP339">
            <v>139.06666666666666</v>
          </cell>
          <cell r="EQ339">
            <v>153.57333333333335</v>
          </cell>
          <cell r="ER339">
            <v>168.76</v>
          </cell>
          <cell r="ES339">
            <v>197.74266666666665</v>
          </cell>
          <cell r="ET339">
            <v>214.06833333333336</v>
          </cell>
          <cell r="EU339">
            <v>230.39400000000001</v>
          </cell>
          <cell r="EV339">
            <v>246.71966666666665</v>
          </cell>
          <cell r="EW339">
            <v>1680.8979999999999</v>
          </cell>
          <cell r="EY339">
            <v>118796</v>
          </cell>
          <cell r="EZ339">
            <v>8</v>
          </cell>
          <cell r="FA339">
            <v>791.97333333333336</v>
          </cell>
          <cell r="FB339">
            <v>124036</v>
          </cell>
          <cell r="FC339">
            <v>8.6</v>
          </cell>
          <cell r="FD339">
            <v>888.92466666666644</v>
          </cell>
          <cell r="FE339">
            <v>1680.8979999999997</v>
          </cell>
          <cell r="FF339">
            <v>36107</v>
          </cell>
          <cell r="FH339">
            <v>36107</v>
          </cell>
        </row>
        <row r="340">
          <cell r="B340">
            <v>9480</v>
          </cell>
          <cell r="C340" t="str">
            <v>21.08.2007</v>
          </cell>
          <cell r="D340" t="str">
            <v>Kame Virsingh Manohar</v>
          </cell>
          <cell r="F340">
            <v>6090</v>
          </cell>
          <cell r="G340">
            <v>18825</v>
          </cell>
          <cell r="H340">
            <v>2730</v>
          </cell>
          <cell r="I340">
            <v>2730</v>
          </cell>
          <cell r="J340">
            <v>5460</v>
          </cell>
          <cell r="K340">
            <v>-630</v>
          </cell>
          <cell r="M340">
            <v>1057</v>
          </cell>
          <cell r="N340">
            <v>0</v>
          </cell>
          <cell r="O340">
            <v>1057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W340">
            <v>1057</v>
          </cell>
          <cell r="X340">
            <v>0</v>
          </cell>
          <cell r="Y340">
            <v>1057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G340">
            <v>1088</v>
          </cell>
          <cell r="AH340">
            <v>0</v>
          </cell>
          <cell r="AI340">
            <v>1088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Q340">
            <v>1088</v>
          </cell>
          <cell r="AR340">
            <v>0</v>
          </cell>
          <cell r="AS340">
            <v>1088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BA340">
            <v>1088</v>
          </cell>
          <cell r="BB340">
            <v>0</v>
          </cell>
          <cell r="BC340">
            <v>1088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K340">
            <v>1139</v>
          </cell>
          <cell r="BL340">
            <v>0</v>
          </cell>
          <cell r="BM340">
            <v>1139</v>
          </cell>
          <cell r="BN340">
            <v>0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  <cell r="BS340">
            <v>0</v>
          </cell>
          <cell r="BU340">
            <v>1139</v>
          </cell>
          <cell r="BV340">
            <v>0</v>
          </cell>
          <cell r="BW340">
            <v>1139</v>
          </cell>
          <cell r="BX340">
            <v>0</v>
          </cell>
          <cell r="BY340">
            <v>0</v>
          </cell>
          <cell r="BZ340">
            <v>0</v>
          </cell>
          <cell r="CA340">
            <v>0</v>
          </cell>
          <cell r="CB340">
            <v>0</v>
          </cell>
          <cell r="CC340">
            <v>0</v>
          </cell>
          <cell r="CE340">
            <v>1139</v>
          </cell>
          <cell r="CF340">
            <v>0</v>
          </cell>
          <cell r="CG340">
            <v>1139</v>
          </cell>
          <cell r="CH340">
            <v>0</v>
          </cell>
          <cell r="CI340">
            <v>0</v>
          </cell>
          <cell r="CJ340">
            <v>0</v>
          </cell>
          <cell r="CK340">
            <v>0</v>
          </cell>
          <cell r="CL340">
            <v>0</v>
          </cell>
          <cell r="CM340">
            <v>0</v>
          </cell>
          <cell r="CO340">
            <v>1139</v>
          </cell>
          <cell r="CP340">
            <v>0</v>
          </cell>
          <cell r="CQ340">
            <v>1139</v>
          </cell>
          <cell r="CR340">
            <v>0</v>
          </cell>
          <cell r="CS340">
            <v>0</v>
          </cell>
          <cell r="CT340">
            <v>0</v>
          </cell>
          <cell r="CU340">
            <v>0</v>
          </cell>
          <cell r="CV340">
            <v>0</v>
          </cell>
          <cell r="CW340">
            <v>0</v>
          </cell>
          <cell r="CY340">
            <v>1139</v>
          </cell>
          <cell r="CZ340">
            <v>0</v>
          </cell>
          <cell r="DA340">
            <v>1139</v>
          </cell>
          <cell r="DB340">
            <v>0</v>
          </cell>
          <cell r="DC340">
            <v>0</v>
          </cell>
          <cell r="DD340">
            <v>0</v>
          </cell>
          <cell r="DE340">
            <v>0</v>
          </cell>
          <cell r="DF340">
            <v>0</v>
          </cell>
          <cell r="DG340">
            <v>0</v>
          </cell>
          <cell r="DI340">
            <v>5460</v>
          </cell>
          <cell r="DJ340">
            <v>11073</v>
          </cell>
          <cell r="DK340">
            <v>0</v>
          </cell>
          <cell r="DL340">
            <v>11073</v>
          </cell>
          <cell r="DM340">
            <v>11073</v>
          </cell>
          <cell r="DN340">
            <v>0</v>
          </cell>
          <cell r="DO340">
            <v>11073</v>
          </cell>
          <cell r="DP340">
            <v>0</v>
          </cell>
          <cell r="DQ340">
            <v>0</v>
          </cell>
          <cell r="DR340">
            <v>0</v>
          </cell>
          <cell r="DS340">
            <v>0</v>
          </cell>
          <cell r="DT340">
            <v>22146</v>
          </cell>
          <cell r="DU340">
            <v>0</v>
          </cell>
          <cell r="DW340">
            <v>0</v>
          </cell>
          <cell r="DX340">
            <v>0</v>
          </cell>
          <cell r="DY340">
            <v>7574</v>
          </cell>
          <cell r="DZ340">
            <v>9688</v>
          </cell>
          <cell r="EA340">
            <v>11864</v>
          </cell>
          <cell r="EB340">
            <v>14040</v>
          </cell>
          <cell r="EC340">
            <v>16216</v>
          </cell>
          <cell r="ED340">
            <v>18494</v>
          </cell>
          <cell r="EE340">
            <v>20772</v>
          </cell>
          <cell r="EF340">
            <v>23050</v>
          </cell>
          <cell r="EG340">
            <v>25328</v>
          </cell>
          <cell r="EH340">
            <v>27606</v>
          </cell>
          <cell r="EI340">
            <v>174632</v>
          </cell>
          <cell r="EK340">
            <v>0</v>
          </cell>
          <cell r="EL340">
            <v>0</v>
          </cell>
          <cell r="EM340">
            <v>50.493333333333332</v>
          </cell>
          <cell r="EN340">
            <v>64.586666666666659</v>
          </cell>
          <cell r="EO340">
            <v>79.093333333333334</v>
          </cell>
          <cell r="EP340">
            <v>93.600000000000009</v>
          </cell>
          <cell r="EQ340">
            <v>108.10666666666667</v>
          </cell>
          <cell r="ER340">
            <v>123.29333333333334</v>
          </cell>
          <cell r="ES340">
            <v>148.86599999999999</v>
          </cell>
          <cell r="ET340">
            <v>165.19166666666666</v>
          </cell>
          <cell r="EU340">
            <v>181.51733333333334</v>
          </cell>
          <cell r="EV340">
            <v>197.84299999999999</v>
          </cell>
          <cell r="EW340">
            <v>1212.5913333333333</v>
          </cell>
          <cell r="EY340">
            <v>77876</v>
          </cell>
          <cell r="EZ340">
            <v>8</v>
          </cell>
          <cell r="FA340">
            <v>519.17333333333329</v>
          </cell>
          <cell r="FB340">
            <v>96756</v>
          </cell>
          <cell r="FC340">
            <v>8.6</v>
          </cell>
          <cell r="FD340">
            <v>693.41800000000001</v>
          </cell>
          <cell r="FE340">
            <v>1212.5913333333333</v>
          </cell>
          <cell r="FF340">
            <v>28819</v>
          </cell>
          <cell r="FH340">
            <v>28819</v>
          </cell>
        </row>
        <row r="341">
          <cell r="B341">
            <v>9533</v>
          </cell>
          <cell r="C341" t="str">
            <v>27.08.2007</v>
          </cell>
          <cell r="D341" t="str">
            <v>More Bharat Prakash</v>
          </cell>
          <cell r="F341">
            <v>1015</v>
          </cell>
          <cell r="H341">
            <v>450</v>
          </cell>
          <cell r="I341">
            <v>450</v>
          </cell>
          <cell r="J341">
            <v>900</v>
          </cell>
          <cell r="K341">
            <v>-115</v>
          </cell>
          <cell r="M341">
            <v>1057</v>
          </cell>
          <cell r="N341">
            <v>0</v>
          </cell>
          <cell r="O341">
            <v>1057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W341">
            <v>1057</v>
          </cell>
          <cell r="X341">
            <v>0</v>
          </cell>
          <cell r="Y341">
            <v>1057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G341">
            <v>1088</v>
          </cell>
          <cell r="AH341">
            <v>0</v>
          </cell>
          <cell r="AI341">
            <v>1088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Q341">
            <v>1088</v>
          </cell>
          <cell r="AR341">
            <v>0</v>
          </cell>
          <cell r="AS341">
            <v>1088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BA341">
            <v>1088</v>
          </cell>
          <cell r="BB341">
            <v>0</v>
          </cell>
          <cell r="BC341">
            <v>1088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K341">
            <v>1139</v>
          </cell>
          <cell r="BL341">
            <v>0</v>
          </cell>
          <cell r="BM341">
            <v>1139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U341">
            <v>1139</v>
          </cell>
          <cell r="BV341">
            <v>0</v>
          </cell>
          <cell r="BW341">
            <v>1139</v>
          </cell>
          <cell r="BX341">
            <v>0</v>
          </cell>
          <cell r="BY341">
            <v>0</v>
          </cell>
          <cell r="BZ341">
            <v>0</v>
          </cell>
          <cell r="CA341">
            <v>0</v>
          </cell>
          <cell r="CB341">
            <v>0</v>
          </cell>
          <cell r="CC341">
            <v>0</v>
          </cell>
          <cell r="CE341">
            <v>1139</v>
          </cell>
          <cell r="CF341">
            <v>0</v>
          </cell>
          <cell r="CG341">
            <v>1139</v>
          </cell>
          <cell r="CH341">
            <v>0</v>
          </cell>
          <cell r="CI341">
            <v>0</v>
          </cell>
          <cell r="CJ341">
            <v>0</v>
          </cell>
          <cell r="CK341">
            <v>0</v>
          </cell>
          <cell r="CL341">
            <v>0</v>
          </cell>
          <cell r="CM341">
            <v>0</v>
          </cell>
          <cell r="CO341">
            <v>1139</v>
          </cell>
          <cell r="CP341">
            <v>0</v>
          </cell>
          <cell r="CQ341">
            <v>1139</v>
          </cell>
          <cell r="CR341">
            <v>0</v>
          </cell>
          <cell r="CS341">
            <v>0</v>
          </cell>
          <cell r="CT341">
            <v>0</v>
          </cell>
          <cell r="CU341">
            <v>0</v>
          </cell>
          <cell r="CV341">
            <v>0</v>
          </cell>
          <cell r="CW341">
            <v>0</v>
          </cell>
          <cell r="CY341">
            <v>1139</v>
          </cell>
          <cell r="CZ341">
            <v>0</v>
          </cell>
          <cell r="DA341">
            <v>1139</v>
          </cell>
          <cell r="DB341">
            <v>0</v>
          </cell>
          <cell r="DC341">
            <v>0</v>
          </cell>
          <cell r="DD341">
            <v>0</v>
          </cell>
          <cell r="DE341">
            <v>0</v>
          </cell>
          <cell r="DF341">
            <v>0</v>
          </cell>
          <cell r="DG341">
            <v>0</v>
          </cell>
          <cell r="DI341">
            <v>900</v>
          </cell>
          <cell r="DJ341">
            <v>11073</v>
          </cell>
          <cell r="DK341">
            <v>0</v>
          </cell>
          <cell r="DL341">
            <v>11073</v>
          </cell>
          <cell r="DM341">
            <v>11073</v>
          </cell>
          <cell r="DN341">
            <v>0</v>
          </cell>
          <cell r="DO341">
            <v>11073</v>
          </cell>
          <cell r="DP341">
            <v>0</v>
          </cell>
          <cell r="DQ341">
            <v>0</v>
          </cell>
          <cell r="DR341">
            <v>0</v>
          </cell>
          <cell r="DS341">
            <v>0</v>
          </cell>
          <cell r="DT341">
            <v>22146</v>
          </cell>
          <cell r="DU341">
            <v>0</v>
          </cell>
          <cell r="DW341">
            <v>0</v>
          </cell>
          <cell r="DX341">
            <v>0</v>
          </cell>
          <cell r="DY341">
            <v>3014</v>
          </cell>
          <cell r="DZ341">
            <v>5128</v>
          </cell>
          <cell r="EA341">
            <v>7304</v>
          </cell>
          <cell r="EB341">
            <v>9480</v>
          </cell>
          <cell r="EC341">
            <v>11656</v>
          </cell>
          <cell r="ED341">
            <v>13934</v>
          </cell>
          <cell r="EE341">
            <v>16212</v>
          </cell>
          <cell r="EF341">
            <v>18490</v>
          </cell>
          <cell r="EG341">
            <v>20768</v>
          </cell>
          <cell r="EH341">
            <v>23046</v>
          </cell>
          <cell r="EI341">
            <v>129032</v>
          </cell>
          <cell r="EK341">
            <v>0</v>
          </cell>
          <cell r="EL341">
            <v>0</v>
          </cell>
          <cell r="EM341">
            <v>20.093333333333334</v>
          </cell>
          <cell r="EN341">
            <v>34.186666666666667</v>
          </cell>
          <cell r="EO341">
            <v>48.693333333333335</v>
          </cell>
          <cell r="EP341">
            <v>63.199999999999996</v>
          </cell>
          <cell r="EQ341">
            <v>77.706666666666663</v>
          </cell>
          <cell r="ER341">
            <v>92.893333333333331</v>
          </cell>
          <cell r="ES341">
            <v>116.18599999999998</v>
          </cell>
          <cell r="ET341">
            <v>132.51166666666668</v>
          </cell>
          <cell r="EU341">
            <v>148.83733333333331</v>
          </cell>
          <cell r="EV341">
            <v>165.16300000000001</v>
          </cell>
          <cell r="EW341">
            <v>899.47133333333329</v>
          </cell>
          <cell r="EY341">
            <v>50516</v>
          </cell>
          <cell r="EZ341">
            <v>8</v>
          </cell>
          <cell r="FA341">
            <v>336.77333333333337</v>
          </cell>
          <cell r="FB341">
            <v>78516</v>
          </cell>
          <cell r="FC341">
            <v>8.6</v>
          </cell>
          <cell r="FD341">
            <v>562.69799999999998</v>
          </cell>
          <cell r="FE341">
            <v>899.4713333333334</v>
          </cell>
          <cell r="FF341">
            <v>23945</v>
          </cell>
          <cell r="FH341">
            <v>23945</v>
          </cell>
        </row>
        <row r="342">
          <cell r="B342">
            <v>9392</v>
          </cell>
          <cell r="C342" t="str">
            <v>10.09.2007</v>
          </cell>
          <cell r="D342" t="str">
            <v>Bhalerao Ravindra Laxman</v>
          </cell>
          <cell r="F342">
            <v>10815</v>
          </cell>
          <cell r="G342">
            <v>23840</v>
          </cell>
          <cell r="H342">
            <v>5234</v>
          </cell>
          <cell r="I342">
            <v>5234</v>
          </cell>
          <cell r="J342">
            <v>10468</v>
          </cell>
          <cell r="K342">
            <v>-347</v>
          </cell>
          <cell r="M342">
            <v>1057</v>
          </cell>
          <cell r="N342">
            <v>0</v>
          </cell>
          <cell r="O342">
            <v>1057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W342">
            <v>1057</v>
          </cell>
          <cell r="X342">
            <v>0</v>
          </cell>
          <cell r="Y342">
            <v>1057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G342">
            <v>1088</v>
          </cell>
          <cell r="AH342">
            <v>0</v>
          </cell>
          <cell r="AI342">
            <v>1088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Q342">
            <v>1088</v>
          </cell>
          <cell r="AR342">
            <v>0</v>
          </cell>
          <cell r="AS342">
            <v>1088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BA342">
            <v>1088</v>
          </cell>
          <cell r="BB342">
            <v>0</v>
          </cell>
          <cell r="BC342">
            <v>1088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K342">
            <v>1139</v>
          </cell>
          <cell r="BL342">
            <v>0</v>
          </cell>
          <cell r="BM342">
            <v>1139</v>
          </cell>
          <cell r="BN342">
            <v>0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  <cell r="BS342">
            <v>0</v>
          </cell>
          <cell r="BU342">
            <v>1139</v>
          </cell>
          <cell r="BV342">
            <v>0</v>
          </cell>
          <cell r="BW342">
            <v>1139</v>
          </cell>
          <cell r="BX342">
            <v>0</v>
          </cell>
          <cell r="BY342">
            <v>0</v>
          </cell>
          <cell r="BZ342">
            <v>0</v>
          </cell>
          <cell r="CA342">
            <v>0</v>
          </cell>
          <cell r="CB342">
            <v>0</v>
          </cell>
          <cell r="CC342">
            <v>0</v>
          </cell>
          <cell r="CE342">
            <v>1139</v>
          </cell>
          <cell r="CF342">
            <v>0</v>
          </cell>
          <cell r="CG342">
            <v>1139</v>
          </cell>
          <cell r="CH342">
            <v>0</v>
          </cell>
          <cell r="CI342">
            <v>0</v>
          </cell>
          <cell r="CJ342">
            <v>0</v>
          </cell>
          <cell r="CK342">
            <v>0</v>
          </cell>
          <cell r="CL342">
            <v>0</v>
          </cell>
          <cell r="CM342">
            <v>0</v>
          </cell>
          <cell r="CO342">
            <v>1139</v>
          </cell>
          <cell r="CP342">
            <v>0</v>
          </cell>
          <cell r="CQ342">
            <v>1139</v>
          </cell>
          <cell r="CR342">
            <v>0</v>
          </cell>
          <cell r="CS342">
            <v>0</v>
          </cell>
          <cell r="CT342">
            <v>0</v>
          </cell>
          <cell r="CU342">
            <v>0</v>
          </cell>
          <cell r="CV342">
            <v>0</v>
          </cell>
          <cell r="CW342">
            <v>0</v>
          </cell>
          <cell r="CY342">
            <v>1139</v>
          </cell>
          <cell r="CZ342">
            <v>0</v>
          </cell>
          <cell r="DA342">
            <v>1139</v>
          </cell>
          <cell r="DB342">
            <v>0</v>
          </cell>
          <cell r="DC342">
            <v>0</v>
          </cell>
          <cell r="DD342">
            <v>0</v>
          </cell>
          <cell r="DE342">
            <v>0</v>
          </cell>
          <cell r="DF342">
            <v>0</v>
          </cell>
          <cell r="DG342">
            <v>0</v>
          </cell>
          <cell r="DI342">
            <v>10468</v>
          </cell>
          <cell r="DJ342">
            <v>11073</v>
          </cell>
          <cell r="DK342">
            <v>0</v>
          </cell>
          <cell r="DL342">
            <v>11073</v>
          </cell>
          <cell r="DM342">
            <v>11073</v>
          </cell>
          <cell r="DN342">
            <v>0</v>
          </cell>
          <cell r="DO342">
            <v>11073</v>
          </cell>
          <cell r="DP342">
            <v>0</v>
          </cell>
          <cell r="DQ342">
            <v>0</v>
          </cell>
          <cell r="DR342">
            <v>0</v>
          </cell>
          <cell r="DS342">
            <v>0</v>
          </cell>
          <cell r="DT342">
            <v>22146</v>
          </cell>
          <cell r="DU342">
            <v>0</v>
          </cell>
          <cell r="DW342">
            <v>0</v>
          </cell>
          <cell r="DX342">
            <v>0</v>
          </cell>
          <cell r="DY342">
            <v>12582</v>
          </cell>
          <cell r="DZ342">
            <v>14696</v>
          </cell>
          <cell r="EA342">
            <v>16872</v>
          </cell>
          <cell r="EB342">
            <v>19048</v>
          </cell>
          <cell r="EC342">
            <v>21224</v>
          </cell>
          <cell r="ED342">
            <v>23502</v>
          </cell>
          <cell r="EE342">
            <v>25780</v>
          </cell>
          <cell r="EF342">
            <v>28058</v>
          </cell>
          <cell r="EG342">
            <v>30336</v>
          </cell>
          <cell r="EH342">
            <v>32614</v>
          </cell>
          <cell r="EI342">
            <v>224712</v>
          </cell>
          <cell r="EK342">
            <v>0</v>
          </cell>
          <cell r="EL342">
            <v>0</v>
          </cell>
          <cell r="EM342">
            <v>83.88</v>
          </cell>
          <cell r="EN342">
            <v>97.973333333333343</v>
          </cell>
          <cell r="EO342">
            <v>112.48</v>
          </cell>
          <cell r="EP342">
            <v>126.98666666666666</v>
          </cell>
          <cell r="EQ342">
            <v>141.49333333333334</v>
          </cell>
          <cell r="ER342">
            <v>156.68</v>
          </cell>
          <cell r="ES342">
            <v>184.75666666666666</v>
          </cell>
          <cell r="ET342">
            <v>201.08233333333331</v>
          </cell>
          <cell r="EU342">
            <v>217.40799999999999</v>
          </cell>
          <cell r="EV342">
            <v>233.73366666666664</v>
          </cell>
          <cell r="EW342">
            <v>1556.4739999999997</v>
          </cell>
          <cell r="EY342">
            <v>107924</v>
          </cell>
          <cell r="EZ342">
            <v>8</v>
          </cell>
          <cell r="FA342">
            <v>719.49333333333334</v>
          </cell>
          <cell r="FB342">
            <v>116788</v>
          </cell>
          <cell r="FC342">
            <v>8.6</v>
          </cell>
          <cell r="FD342">
            <v>836.98066666666671</v>
          </cell>
          <cell r="FE342">
            <v>1556.4740000000002</v>
          </cell>
          <cell r="FF342">
            <v>34170</v>
          </cell>
          <cell r="FH342">
            <v>34170</v>
          </cell>
        </row>
        <row r="343">
          <cell r="B343">
            <v>9508</v>
          </cell>
          <cell r="C343" t="str">
            <v>10.09.2007</v>
          </cell>
          <cell r="D343" t="str">
            <v>Pawar Anil Balasaheb</v>
          </cell>
          <cell r="F343">
            <v>4060</v>
          </cell>
          <cell r="H343">
            <v>1809</v>
          </cell>
          <cell r="I343">
            <v>1809</v>
          </cell>
          <cell r="J343">
            <v>3618</v>
          </cell>
          <cell r="K343">
            <v>-442</v>
          </cell>
          <cell r="M343">
            <v>1057</v>
          </cell>
          <cell r="N343">
            <v>0</v>
          </cell>
          <cell r="O343">
            <v>1057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W343">
            <v>1057</v>
          </cell>
          <cell r="X343">
            <v>0</v>
          </cell>
          <cell r="Y343">
            <v>1057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G343">
            <v>1088</v>
          </cell>
          <cell r="AH343">
            <v>0</v>
          </cell>
          <cell r="AI343">
            <v>1088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Q343">
            <v>1088</v>
          </cell>
          <cell r="AR343">
            <v>0</v>
          </cell>
          <cell r="AS343">
            <v>1088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BA343">
            <v>1088</v>
          </cell>
          <cell r="BB343">
            <v>0</v>
          </cell>
          <cell r="BC343">
            <v>1088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K343">
            <v>1139</v>
          </cell>
          <cell r="BL343">
            <v>0</v>
          </cell>
          <cell r="BM343">
            <v>1139</v>
          </cell>
          <cell r="BN343">
            <v>0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  <cell r="BS343">
            <v>0</v>
          </cell>
          <cell r="BU343">
            <v>1139</v>
          </cell>
          <cell r="BV343">
            <v>0</v>
          </cell>
          <cell r="BW343">
            <v>1139</v>
          </cell>
          <cell r="BX343">
            <v>0</v>
          </cell>
          <cell r="BY343">
            <v>0</v>
          </cell>
          <cell r="BZ343">
            <v>0</v>
          </cell>
          <cell r="CA343">
            <v>0</v>
          </cell>
          <cell r="CB343">
            <v>0</v>
          </cell>
          <cell r="CC343">
            <v>0</v>
          </cell>
          <cell r="CE343">
            <v>1139</v>
          </cell>
          <cell r="CF343">
            <v>0</v>
          </cell>
          <cell r="CG343">
            <v>1139</v>
          </cell>
          <cell r="CH343">
            <v>0</v>
          </cell>
          <cell r="CI343">
            <v>0</v>
          </cell>
          <cell r="CJ343">
            <v>0</v>
          </cell>
          <cell r="CK343">
            <v>0</v>
          </cell>
          <cell r="CL343">
            <v>0</v>
          </cell>
          <cell r="CM343">
            <v>0</v>
          </cell>
          <cell r="CO343">
            <v>1139</v>
          </cell>
          <cell r="CP343">
            <v>0</v>
          </cell>
          <cell r="CQ343">
            <v>1139</v>
          </cell>
          <cell r="CR343">
            <v>0</v>
          </cell>
          <cell r="CS343">
            <v>0</v>
          </cell>
          <cell r="CT343">
            <v>0</v>
          </cell>
          <cell r="CU343">
            <v>0</v>
          </cell>
          <cell r="CV343">
            <v>0</v>
          </cell>
          <cell r="CW343">
            <v>0</v>
          </cell>
          <cell r="CY343">
            <v>1139</v>
          </cell>
          <cell r="CZ343">
            <v>0</v>
          </cell>
          <cell r="DA343">
            <v>1139</v>
          </cell>
          <cell r="DB343">
            <v>0</v>
          </cell>
          <cell r="DC343">
            <v>0</v>
          </cell>
          <cell r="DD343">
            <v>0</v>
          </cell>
          <cell r="DE343">
            <v>0</v>
          </cell>
          <cell r="DF343">
            <v>0</v>
          </cell>
          <cell r="DG343">
            <v>0</v>
          </cell>
          <cell r="DI343">
            <v>3618</v>
          </cell>
          <cell r="DJ343">
            <v>11073</v>
          </cell>
          <cell r="DK343">
            <v>0</v>
          </cell>
          <cell r="DL343">
            <v>11073</v>
          </cell>
          <cell r="DM343">
            <v>11073</v>
          </cell>
          <cell r="DN343">
            <v>0</v>
          </cell>
          <cell r="DO343">
            <v>11073</v>
          </cell>
          <cell r="DP343">
            <v>0</v>
          </cell>
          <cell r="DQ343">
            <v>0</v>
          </cell>
          <cell r="DR343">
            <v>0</v>
          </cell>
          <cell r="DS343">
            <v>0</v>
          </cell>
          <cell r="DT343">
            <v>22146</v>
          </cell>
          <cell r="DU343">
            <v>0</v>
          </cell>
          <cell r="DW343">
            <v>0</v>
          </cell>
          <cell r="DX343">
            <v>0</v>
          </cell>
          <cell r="DY343">
            <v>5732</v>
          </cell>
          <cell r="DZ343">
            <v>7846</v>
          </cell>
          <cell r="EA343">
            <v>10022</v>
          </cell>
          <cell r="EB343">
            <v>12198</v>
          </cell>
          <cell r="EC343">
            <v>14374</v>
          </cell>
          <cell r="ED343">
            <v>16652</v>
          </cell>
          <cell r="EE343">
            <v>18930</v>
          </cell>
          <cell r="EF343">
            <v>21208</v>
          </cell>
          <cell r="EG343">
            <v>23486</v>
          </cell>
          <cell r="EH343">
            <v>25764</v>
          </cell>
          <cell r="EI343">
            <v>156212</v>
          </cell>
          <cell r="EK343">
            <v>0</v>
          </cell>
          <cell r="EL343">
            <v>0</v>
          </cell>
          <cell r="EM343">
            <v>38.213333333333331</v>
          </cell>
          <cell r="EN343">
            <v>52.306666666666665</v>
          </cell>
          <cell r="EO343">
            <v>66.813333333333333</v>
          </cell>
          <cell r="EP343">
            <v>81.320000000000007</v>
          </cell>
          <cell r="EQ343">
            <v>95.826666666666668</v>
          </cell>
          <cell r="ER343">
            <v>111.01333333333334</v>
          </cell>
          <cell r="ES343">
            <v>135.66499999999999</v>
          </cell>
          <cell r="ET343">
            <v>151.99066666666667</v>
          </cell>
          <cell r="EU343">
            <v>168.31633333333335</v>
          </cell>
          <cell r="EV343">
            <v>184.64199999999997</v>
          </cell>
          <cell r="EW343">
            <v>1086.1073333333334</v>
          </cell>
          <cell r="EY343">
            <v>66824</v>
          </cell>
          <cell r="EZ343">
            <v>8</v>
          </cell>
          <cell r="FA343">
            <v>445.49333333333334</v>
          </cell>
          <cell r="FB343">
            <v>89388</v>
          </cell>
          <cell r="FC343">
            <v>8.6</v>
          </cell>
          <cell r="FD343">
            <v>640.61399999999992</v>
          </cell>
          <cell r="FE343">
            <v>1086.1073333333334</v>
          </cell>
          <cell r="FF343">
            <v>26850</v>
          </cell>
          <cell r="FH343">
            <v>26850</v>
          </cell>
        </row>
        <row r="344">
          <cell r="B344">
            <v>9496</v>
          </cell>
          <cell r="C344" t="str">
            <v>15.09.2007</v>
          </cell>
          <cell r="D344" t="str">
            <v>Parmar Prashant Manoj</v>
          </cell>
          <cell r="F344">
            <v>5075</v>
          </cell>
          <cell r="G344">
            <v>26347</v>
          </cell>
          <cell r="H344">
            <v>2453</v>
          </cell>
          <cell r="I344">
            <v>2453</v>
          </cell>
          <cell r="J344">
            <v>4906</v>
          </cell>
          <cell r="K344">
            <v>-169</v>
          </cell>
          <cell r="M344">
            <v>1057</v>
          </cell>
          <cell r="N344">
            <v>0</v>
          </cell>
          <cell r="O344">
            <v>1057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W344">
            <v>1057</v>
          </cell>
          <cell r="X344">
            <v>0</v>
          </cell>
          <cell r="Y344">
            <v>1057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G344">
            <v>1088</v>
          </cell>
          <cell r="AH344">
            <v>0</v>
          </cell>
          <cell r="AI344">
            <v>1088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Q344">
            <v>1088</v>
          </cell>
          <cell r="AR344">
            <v>0</v>
          </cell>
          <cell r="AS344">
            <v>1088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BA344">
            <v>1088</v>
          </cell>
          <cell r="BB344">
            <v>0</v>
          </cell>
          <cell r="BC344">
            <v>1088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K344">
            <v>1139</v>
          </cell>
          <cell r="BL344">
            <v>0</v>
          </cell>
          <cell r="BM344">
            <v>1139</v>
          </cell>
          <cell r="BN344">
            <v>0</v>
          </cell>
          <cell r="BO344">
            <v>0</v>
          </cell>
          <cell r="BP344">
            <v>0</v>
          </cell>
          <cell r="BQ344">
            <v>0</v>
          </cell>
          <cell r="BR344">
            <v>0</v>
          </cell>
          <cell r="BS344">
            <v>0</v>
          </cell>
          <cell r="BU344">
            <v>1139</v>
          </cell>
          <cell r="BV344">
            <v>0</v>
          </cell>
          <cell r="BW344">
            <v>1139</v>
          </cell>
          <cell r="BX344">
            <v>0</v>
          </cell>
          <cell r="BY344">
            <v>0</v>
          </cell>
          <cell r="BZ344">
            <v>0</v>
          </cell>
          <cell r="CA344">
            <v>0</v>
          </cell>
          <cell r="CB344">
            <v>0</v>
          </cell>
          <cell r="CC344">
            <v>0</v>
          </cell>
          <cell r="CE344">
            <v>1139</v>
          </cell>
          <cell r="CF344">
            <v>0</v>
          </cell>
          <cell r="CG344">
            <v>1139</v>
          </cell>
          <cell r="CH344">
            <v>0</v>
          </cell>
          <cell r="CI344">
            <v>0</v>
          </cell>
          <cell r="CJ344">
            <v>0</v>
          </cell>
          <cell r="CK344">
            <v>0</v>
          </cell>
          <cell r="CL344">
            <v>0</v>
          </cell>
          <cell r="CM344">
            <v>0</v>
          </cell>
          <cell r="CO344">
            <v>1139</v>
          </cell>
          <cell r="CP344">
            <v>0</v>
          </cell>
          <cell r="CQ344">
            <v>1139</v>
          </cell>
          <cell r="CR344">
            <v>0</v>
          </cell>
          <cell r="CS344">
            <v>0</v>
          </cell>
          <cell r="CT344">
            <v>0</v>
          </cell>
          <cell r="CU344">
            <v>0</v>
          </cell>
          <cell r="CV344">
            <v>0</v>
          </cell>
          <cell r="CW344">
            <v>0</v>
          </cell>
          <cell r="CY344">
            <v>1139</v>
          </cell>
          <cell r="CZ344">
            <v>0</v>
          </cell>
          <cell r="DA344">
            <v>1139</v>
          </cell>
          <cell r="DB344">
            <v>0</v>
          </cell>
          <cell r="DC344">
            <v>0</v>
          </cell>
          <cell r="DD344">
            <v>0</v>
          </cell>
          <cell r="DE344">
            <v>0</v>
          </cell>
          <cell r="DF344">
            <v>0</v>
          </cell>
          <cell r="DG344">
            <v>0</v>
          </cell>
          <cell r="DI344">
            <v>4906</v>
          </cell>
          <cell r="DJ344">
            <v>11073</v>
          </cell>
          <cell r="DK344">
            <v>0</v>
          </cell>
          <cell r="DL344">
            <v>11073</v>
          </cell>
          <cell r="DM344">
            <v>11073</v>
          </cell>
          <cell r="DN344">
            <v>0</v>
          </cell>
          <cell r="DO344">
            <v>11073</v>
          </cell>
          <cell r="DP344">
            <v>0</v>
          </cell>
          <cell r="DQ344">
            <v>0</v>
          </cell>
          <cell r="DR344">
            <v>0</v>
          </cell>
          <cell r="DS344">
            <v>0</v>
          </cell>
          <cell r="DT344">
            <v>22146</v>
          </cell>
          <cell r="DU344">
            <v>0</v>
          </cell>
          <cell r="DW344">
            <v>0</v>
          </cell>
          <cell r="DX344">
            <v>0</v>
          </cell>
          <cell r="DY344">
            <v>7020</v>
          </cell>
          <cell r="DZ344">
            <v>9134</v>
          </cell>
          <cell r="EA344">
            <v>11310</v>
          </cell>
          <cell r="EB344">
            <v>13486</v>
          </cell>
          <cell r="EC344">
            <v>15662</v>
          </cell>
          <cell r="ED344">
            <v>17940</v>
          </cell>
          <cell r="EE344">
            <v>20218</v>
          </cell>
          <cell r="EF344">
            <v>22496</v>
          </cell>
          <cell r="EG344">
            <v>24774</v>
          </cell>
          <cell r="EH344">
            <v>27052</v>
          </cell>
          <cell r="EI344">
            <v>169092</v>
          </cell>
          <cell r="EK344">
            <v>0</v>
          </cell>
          <cell r="EL344">
            <v>0</v>
          </cell>
          <cell r="EM344">
            <v>46.800000000000004</v>
          </cell>
          <cell r="EN344">
            <v>60.893333333333338</v>
          </cell>
          <cell r="EO344">
            <v>75.399999999999991</v>
          </cell>
          <cell r="EP344">
            <v>89.90666666666668</v>
          </cell>
          <cell r="EQ344">
            <v>104.41333333333334</v>
          </cell>
          <cell r="ER344">
            <v>119.60000000000001</v>
          </cell>
          <cell r="ES344">
            <v>144.89566666666664</v>
          </cell>
          <cell r="ET344">
            <v>161.22133333333332</v>
          </cell>
          <cell r="EU344">
            <v>177.547</v>
          </cell>
          <cell r="EV344">
            <v>193.87266666666665</v>
          </cell>
          <cell r="EW344">
            <v>1174.55</v>
          </cell>
          <cell r="EY344">
            <v>74552</v>
          </cell>
          <cell r="EZ344">
            <v>8</v>
          </cell>
          <cell r="FA344">
            <v>497.01333333333332</v>
          </cell>
          <cell r="FB344">
            <v>94540</v>
          </cell>
          <cell r="FC344">
            <v>8.6</v>
          </cell>
          <cell r="FD344">
            <v>677.53666666666663</v>
          </cell>
          <cell r="FE344">
            <v>1174.55</v>
          </cell>
          <cell r="FF344">
            <v>28227</v>
          </cell>
          <cell r="FH344">
            <v>28227</v>
          </cell>
        </row>
        <row r="345">
          <cell r="B345">
            <v>9504</v>
          </cell>
          <cell r="C345" t="str">
            <v>15.09.2007</v>
          </cell>
          <cell r="D345" t="str">
            <v>Chavriya Santosh Ramprasad</v>
          </cell>
          <cell r="F345">
            <v>4682</v>
          </cell>
          <cell r="H345">
            <v>2268</v>
          </cell>
          <cell r="I345">
            <v>2268</v>
          </cell>
          <cell r="J345">
            <v>4536</v>
          </cell>
          <cell r="K345">
            <v>-146</v>
          </cell>
          <cell r="M345">
            <v>1057</v>
          </cell>
          <cell r="N345">
            <v>0</v>
          </cell>
          <cell r="O345">
            <v>1057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W345">
            <v>1057</v>
          </cell>
          <cell r="X345">
            <v>0</v>
          </cell>
          <cell r="Y345">
            <v>1057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G345">
            <v>1088</v>
          </cell>
          <cell r="AH345">
            <v>0</v>
          </cell>
          <cell r="AI345">
            <v>1088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Q345">
            <v>1088</v>
          </cell>
          <cell r="AR345">
            <v>0</v>
          </cell>
          <cell r="AS345">
            <v>1088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BA345">
            <v>1088</v>
          </cell>
          <cell r="BB345">
            <v>0</v>
          </cell>
          <cell r="BC345">
            <v>1088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K345">
            <v>1139</v>
          </cell>
          <cell r="BL345">
            <v>0</v>
          </cell>
          <cell r="BM345">
            <v>1139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S345">
            <v>0</v>
          </cell>
          <cell r="BU345">
            <v>1139</v>
          </cell>
          <cell r="BV345">
            <v>0</v>
          </cell>
          <cell r="BW345">
            <v>1139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B345">
            <v>0</v>
          </cell>
          <cell r="CC345">
            <v>0</v>
          </cell>
          <cell r="CE345">
            <v>1139</v>
          </cell>
          <cell r="CF345">
            <v>0</v>
          </cell>
          <cell r="CG345">
            <v>1139</v>
          </cell>
          <cell r="CH345">
            <v>0</v>
          </cell>
          <cell r="CI345">
            <v>0</v>
          </cell>
          <cell r="CJ345">
            <v>0</v>
          </cell>
          <cell r="CK345">
            <v>0</v>
          </cell>
          <cell r="CL345">
            <v>0</v>
          </cell>
          <cell r="CM345">
            <v>0</v>
          </cell>
          <cell r="CO345">
            <v>1139</v>
          </cell>
          <cell r="CP345">
            <v>0</v>
          </cell>
          <cell r="CQ345">
            <v>1139</v>
          </cell>
          <cell r="CR345">
            <v>0</v>
          </cell>
          <cell r="CS345">
            <v>0</v>
          </cell>
          <cell r="CT345">
            <v>0</v>
          </cell>
          <cell r="CU345">
            <v>0</v>
          </cell>
          <cell r="CV345">
            <v>0</v>
          </cell>
          <cell r="CW345">
            <v>0</v>
          </cell>
          <cell r="CY345">
            <v>1139</v>
          </cell>
          <cell r="CZ345">
            <v>0</v>
          </cell>
          <cell r="DA345">
            <v>1139</v>
          </cell>
          <cell r="DB345">
            <v>0</v>
          </cell>
          <cell r="DC345">
            <v>0</v>
          </cell>
          <cell r="DD345">
            <v>0</v>
          </cell>
          <cell r="DE345">
            <v>0</v>
          </cell>
          <cell r="DF345">
            <v>0</v>
          </cell>
          <cell r="DG345">
            <v>0</v>
          </cell>
          <cell r="DI345">
            <v>4536</v>
          </cell>
          <cell r="DJ345">
            <v>11073</v>
          </cell>
          <cell r="DK345">
            <v>0</v>
          </cell>
          <cell r="DL345">
            <v>11073</v>
          </cell>
          <cell r="DM345">
            <v>11073</v>
          </cell>
          <cell r="DN345">
            <v>0</v>
          </cell>
          <cell r="DO345">
            <v>11073</v>
          </cell>
          <cell r="DP345">
            <v>0</v>
          </cell>
          <cell r="DQ345">
            <v>0</v>
          </cell>
          <cell r="DR345">
            <v>0</v>
          </cell>
          <cell r="DS345">
            <v>0</v>
          </cell>
          <cell r="DT345">
            <v>22146</v>
          </cell>
          <cell r="DU345">
            <v>0</v>
          </cell>
          <cell r="DW345">
            <v>0</v>
          </cell>
          <cell r="DX345">
            <v>0</v>
          </cell>
          <cell r="DY345">
            <v>6650</v>
          </cell>
          <cell r="DZ345">
            <v>8764</v>
          </cell>
          <cell r="EA345">
            <v>10940</v>
          </cell>
          <cell r="EB345">
            <v>13116</v>
          </cell>
          <cell r="EC345">
            <v>15292</v>
          </cell>
          <cell r="ED345">
            <v>17570</v>
          </cell>
          <cell r="EE345">
            <v>19848</v>
          </cell>
          <cell r="EF345">
            <v>22126</v>
          </cell>
          <cell r="EG345">
            <v>24404</v>
          </cell>
          <cell r="EH345">
            <v>26682</v>
          </cell>
          <cell r="EI345">
            <v>165392</v>
          </cell>
          <cell r="EK345">
            <v>0</v>
          </cell>
          <cell r="EL345">
            <v>0</v>
          </cell>
          <cell r="EM345">
            <v>44.333333333333336</v>
          </cell>
          <cell r="EN345">
            <v>58.426666666666669</v>
          </cell>
          <cell r="EO345">
            <v>72.933333333333337</v>
          </cell>
          <cell r="EP345">
            <v>87.44</v>
          </cell>
          <cell r="EQ345">
            <v>101.94666666666666</v>
          </cell>
          <cell r="ER345">
            <v>117.13333333333333</v>
          </cell>
          <cell r="ES345">
            <v>142.244</v>
          </cell>
          <cell r="ET345">
            <v>158.56966666666668</v>
          </cell>
          <cell r="EU345">
            <v>174.89533333333335</v>
          </cell>
          <cell r="EV345">
            <v>191.221</v>
          </cell>
          <cell r="EW345">
            <v>1149.1433333333334</v>
          </cell>
          <cell r="EY345">
            <v>72332</v>
          </cell>
          <cell r="EZ345">
            <v>8</v>
          </cell>
          <cell r="FA345">
            <v>482.21333333333337</v>
          </cell>
          <cell r="FB345">
            <v>93060</v>
          </cell>
          <cell r="FC345">
            <v>8.6</v>
          </cell>
          <cell r="FD345">
            <v>666.93</v>
          </cell>
          <cell r="FE345">
            <v>1149.1433333333334</v>
          </cell>
          <cell r="FF345">
            <v>27831</v>
          </cell>
          <cell r="FH345">
            <v>27831</v>
          </cell>
        </row>
        <row r="346">
          <cell r="B346">
            <v>9572</v>
          </cell>
          <cell r="C346" t="str">
            <v>15.09.2007</v>
          </cell>
          <cell r="D346" t="str">
            <v>Pardeshi Kishor Pratapsingh</v>
          </cell>
          <cell r="F346">
            <v>1015</v>
          </cell>
          <cell r="H346">
            <v>450</v>
          </cell>
          <cell r="I346">
            <v>450</v>
          </cell>
          <cell r="J346">
            <v>900</v>
          </cell>
          <cell r="K346">
            <v>-115</v>
          </cell>
          <cell r="M346">
            <v>1057</v>
          </cell>
          <cell r="N346">
            <v>0</v>
          </cell>
          <cell r="O346">
            <v>1057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W346">
            <v>1057</v>
          </cell>
          <cell r="X346">
            <v>0</v>
          </cell>
          <cell r="Y346">
            <v>1057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G346">
            <v>1088</v>
          </cell>
          <cell r="AH346">
            <v>0</v>
          </cell>
          <cell r="AI346">
            <v>1088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Q346">
            <v>1088</v>
          </cell>
          <cell r="AR346">
            <v>0</v>
          </cell>
          <cell r="AS346">
            <v>1088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BA346">
            <v>1088</v>
          </cell>
          <cell r="BB346">
            <v>0</v>
          </cell>
          <cell r="BC346">
            <v>1088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K346">
            <v>1139</v>
          </cell>
          <cell r="BL346">
            <v>0</v>
          </cell>
          <cell r="BM346">
            <v>1139</v>
          </cell>
          <cell r="BN346">
            <v>0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  <cell r="BS346">
            <v>0</v>
          </cell>
          <cell r="BU346">
            <v>1139</v>
          </cell>
          <cell r="BV346">
            <v>0</v>
          </cell>
          <cell r="BW346">
            <v>1139</v>
          </cell>
          <cell r="BX346">
            <v>0</v>
          </cell>
          <cell r="BY346">
            <v>0</v>
          </cell>
          <cell r="BZ346">
            <v>0</v>
          </cell>
          <cell r="CA346">
            <v>0</v>
          </cell>
          <cell r="CB346">
            <v>0</v>
          </cell>
          <cell r="CC346">
            <v>0</v>
          </cell>
          <cell r="CE346">
            <v>1139</v>
          </cell>
          <cell r="CF346">
            <v>0</v>
          </cell>
          <cell r="CG346">
            <v>1139</v>
          </cell>
          <cell r="CH346">
            <v>0</v>
          </cell>
          <cell r="CI346">
            <v>0</v>
          </cell>
          <cell r="CJ346">
            <v>0</v>
          </cell>
          <cell r="CK346">
            <v>0</v>
          </cell>
          <cell r="CL346">
            <v>0</v>
          </cell>
          <cell r="CM346">
            <v>0</v>
          </cell>
          <cell r="CO346">
            <v>1139</v>
          </cell>
          <cell r="CP346">
            <v>0</v>
          </cell>
          <cell r="CQ346">
            <v>1139</v>
          </cell>
          <cell r="CR346">
            <v>0</v>
          </cell>
          <cell r="CS346">
            <v>0</v>
          </cell>
          <cell r="CT346">
            <v>0</v>
          </cell>
          <cell r="CU346">
            <v>0</v>
          </cell>
          <cell r="CV346">
            <v>0</v>
          </cell>
          <cell r="CW346">
            <v>0</v>
          </cell>
          <cell r="CY346">
            <v>1139</v>
          </cell>
          <cell r="CZ346">
            <v>0</v>
          </cell>
          <cell r="DA346">
            <v>1139</v>
          </cell>
          <cell r="DB346">
            <v>0</v>
          </cell>
          <cell r="DC346">
            <v>0</v>
          </cell>
          <cell r="DD346">
            <v>0</v>
          </cell>
          <cell r="DE346">
            <v>0</v>
          </cell>
          <cell r="DF346">
            <v>0</v>
          </cell>
          <cell r="DG346">
            <v>0</v>
          </cell>
          <cell r="DI346">
            <v>900</v>
          </cell>
          <cell r="DJ346">
            <v>11073</v>
          </cell>
          <cell r="DK346">
            <v>0</v>
          </cell>
          <cell r="DL346">
            <v>11073</v>
          </cell>
          <cell r="DM346">
            <v>11073</v>
          </cell>
          <cell r="DN346">
            <v>0</v>
          </cell>
          <cell r="DO346">
            <v>11073</v>
          </cell>
          <cell r="DP346">
            <v>0</v>
          </cell>
          <cell r="DQ346">
            <v>0</v>
          </cell>
          <cell r="DR346">
            <v>0</v>
          </cell>
          <cell r="DS346">
            <v>0</v>
          </cell>
          <cell r="DT346">
            <v>22146</v>
          </cell>
          <cell r="DU346">
            <v>0</v>
          </cell>
          <cell r="DW346">
            <v>0</v>
          </cell>
          <cell r="DX346">
            <v>0</v>
          </cell>
          <cell r="DY346">
            <v>3014</v>
          </cell>
          <cell r="DZ346">
            <v>5128</v>
          </cell>
          <cell r="EA346">
            <v>7304</v>
          </cell>
          <cell r="EB346">
            <v>9480</v>
          </cell>
          <cell r="EC346">
            <v>11656</v>
          </cell>
          <cell r="ED346">
            <v>13934</v>
          </cell>
          <cell r="EE346">
            <v>16212</v>
          </cell>
          <cell r="EF346">
            <v>18490</v>
          </cell>
          <cell r="EG346">
            <v>20768</v>
          </cell>
          <cell r="EH346">
            <v>23046</v>
          </cell>
          <cell r="EI346">
            <v>129032</v>
          </cell>
          <cell r="EK346">
            <v>0</v>
          </cell>
          <cell r="EL346">
            <v>0</v>
          </cell>
          <cell r="EM346">
            <v>20.093333333333334</v>
          </cell>
          <cell r="EN346">
            <v>34.186666666666667</v>
          </cell>
          <cell r="EO346">
            <v>48.693333333333335</v>
          </cell>
          <cell r="EP346">
            <v>63.199999999999996</v>
          </cell>
          <cell r="EQ346">
            <v>77.706666666666663</v>
          </cell>
          <cell r="ER346">
            <v>92.893333333333331</v>
          </cell>
          <cell r="ES346">
            <v>116.18599999999998</v>
          </cell>
          <cell r="ET346">
            <v>132.51166666666668</v>
          </cell>
          <cell r="EU346">
            <v>148.83733333333331</v>
          </cell>
          <cell r="EV346">
            <v>165.16300000000001</v>
          </cell>
          <cell r="EW346">
            <v>899.47133333333329</v>
          </cell>
          <cell r="EY346">
            <v>50516</v>
          </cell>
          <cell r="EZ346">
            <v>8</v>
          </cell>
          <cell r="FA346">
            <v>336.77333333333337</v>
          </cell>
          <cell r="FB346">
            <v>78516</v>
          </cell>
          <cell r="FC346">
            <v>8.6</v>
          </cell>
          <cell r="FD346">
            <v>562.69799999999998</v>
          </cell>
          <cell r="FE346">
            <v>899.4713333333334</v>
          </cell>
          <cell r="FF346">
            <v>23945</v>
          </cell>
          <cell r="FH346">
            <v>23945</v>
          </cell>
        </row>
        <row r="347">
          <cell r="B347">
            <v>9503</v>
          </cell>
          <cell r="C347" t="str">
            <v>17.09.2007</v>
          </cell>
          <cell r="D347" t="str">
            <v>Jadhav Ankush Balu</v>
          </cell>
          <cell r="F347">
            <v>5075</v>
          </cell>
          <cell r="H347">
            <v>6368</v>
          </cell>
          <cell r="I347">
            <v>6368</v>
          </cell>
          <cell r="J347">
            <v>12736</v>
          </cell>
          <cell r="K347">
            <v>7661</v>
          </cell>
          <cell r="M347">
            <v>1057</v>
          </cell>
          <cell r="N347">
            <v>0</v>
          </cell>
          <cell r="O347">
            <v>1057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W347">
            <v>1057</v>
          </cell>
          <cell r="X347">
            <v>0</v>
          </cell>
          <cell r="Y347">
            <v>1057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G347">
            <v>1088</v>
          </cell>
          <cell r="AH347">
            <v>0</v>
          </cell>
          <cell r="AI347">
            <v>1088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Q347">
            <v>1088</v>
          </cell>
          <cell r="AR347">
            <v>0</v>
          </cell>
          <cell r="AS347">
            <v>1088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BA347">
            <v>1088</v>
          </cell>
          <cell r="BB347">
            <v>0</v>
          </cell>
          <cell r="BC347">
            <v>1088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K347">
            <v>1139</v>
          </cell>
          <cell r="BL347">
            <v>0</v>
          </cell>
          <cell r="BM347">
            <v>1139</v>
          </cell>
          <cell r="BN347">
            <v>0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  <cell r="BS347">
            <v>0</v>
          </cell>
          <cell r="BU347">
            <v>1139</v>
          </cell>
          <cell r="BV347">
            <v>0</v>
          </cell>
          <cell r="BW347">
            <v>1139</v>
          </cell>
          <cell r="BX347">
            <v>0</v>
          </cell>
          <cell r="BY347">
            <v>0</v>
          </cell>
          <cell r="BZ347">
            <v>0</v>
          </cell>
          <cell r="CA347">
            <v>0</v>
          </cell>
          <cell r="CB347">
            <v>0</v>
          </cell>
          <cell r="CC347">
            <v>0</v>
          </cell>
          <cell r="CE347">
            <v>1139</v>
          </cell>
          <cell r="CF347">
            <v>0</v>
          </cell>
          <cell r="CG347">
            <v>1139</v>
          </cell>
          <cell r="CH347">
            <v>0</v>
          </cell>
          <cell r="CI347">
            <v>0</v>
          </cell>
          <cell r="CJ347">
            <v>0</v>
          </cell>
          <cell r="CK347">
            <v>0</v>
          </cell>
          <cell r="CL347">
            <v>0</v>
          </cell>
          <cell r="CM347">
            <v>0</v>
          </cell>
          <cell r="CO347">
            <v>1139</v>
          </cell>
          <cell r="CP347">
            <v>0</v>
          </cell>
          <cell r="CQ347">
            <v>1139</v>
          </cell>
          <cell r="CR347">
            <v>0</v>
          </cell>
          <cell r="CS347">
            <v>0</v>
          </cell>
          <cell r="CT347">
            <v>0</v>
          </cell>
          <cell r="CU347">
            <v>0</v>
          </cell>
          <cell r="CV347">
            <v>0</v>
          </cell>
          <cell r="CW347">
            <v>0</v>
          </cell>
          <cell r="CY347">
            <v>1139</v>
          </cell>
          <cell r="CZ347">
            <v>0</v>
          </cell>
          <cell r="DA347">
            <v>1139</v>
          </cell>
          <cell r="DB347">
            <v>0</v>
          </cell>
          <cell r="DC347">
            <v>0</v>
          </cell>
          <cell r="DD347">
            <v>0</v>
          </cell>
          <cell r="DE347">
            <v>0</v>
          </cell>
          <cell r="DF347">
            <v>0</v>
          </cell>
          <cell r="DG347">
            <v>0</v>
          </cell>
          <cell r="DI347">
            <v>12736</v>
          </cell>
          <cell r="DJ347">
            <v>11073</v>
          </cell>
          <cell r="DK347">
            <v>0</v>
          </cell>
          <cell r="DL347">
            <v>11073</v>
          </cell>
          <cell r="DM347">
            <v>11073</v>
          </cell>
          <cell r="DN347">
            <v>0</v>
          </cell>
          <cell r="DO347">
            <v>11073</v>
          </cell>
          <cell r="DP347">
            <v>0</v>
          </cell>
          <cell r="DQ347">
            <v>0</v>
          </cell>
          <cell r="DR347">
            <v>0</v>
          </cell>
          <cell r="DS347">
            <v>0</v>
          </cell>
          <cell r="DT347">
            <v>22146</v>
          </cell>
          <cell r="DU347">
            <v>0</v>
          </cell>
          <cell r="DW347">
            <v>0</v>
          </cell>
          <cell r="DX347">
            <v>0</v>
          </cell>
          <cell r="DY347">
            <v>14850</v>
          </cell>
          <cell r="DZ347">
            <v>16964</v>
          </cell>
          <cell r="EA347">
            <v>19140</v>
          </cell>
          <cell r="EB347">
            <v>21316</v>
          </cell>
          <cell r="EC347">
            <v>23492</v>
          </cell>
          <cell r="ED347">
            <v>25770</v>
          </cell>
          <cell r="EE347">
            <v>28048</v>
          </cell>
          <cell r="EF347">
            <v>30326</v>
          </cell>
          <cell r="EG347">
            <v>32604</v>
          </cell>
          <cell r="EH347">
            <v>34882</v>
          </cell>
          <cell r="EI347">
            <v>247392</v>
          </cell>
          <cell r="EK347">
            <v>0</v>
          </cell>
          <cell r="EL347">
            <v>0</v>
          </cell>
          <cell r="EM347">
            <v>99</v>
          </cell>
          <cell r="EN347">
            <v>113.09333333333332</v>
          </cell>
          <cell r="EO347">
            <v>127.60000000000001</v>
          </cell>
          <cell r="EP347">
            <v>142.10666666666665</v>
          </cell>
          <cell r="EQ347">
            <v>156.61333333333332</v>
          </cell>
          <cell r="ER347">
            <v>171.79999999999998</v>
          </cell>
          <cell r="ES347">
            <v>201.01066666666665</v>
          </cell>
          <cell r="ET347">
            <v>217.3363333333333</v>
          </cell>
          <cell r="EU347">
            <v>233.66199999999995</v>
          </cell>
          <cell r="EV347">
            <v>249.98766666666668</v>
          </cell>
          <cell r="EW347">
            <v>1712.21</v>
          </cell>
          <cell r="EY347">
            <v>121532</v>
          </cell>
          <cell r="EZ347">
            <v>8</v>
          </cell>
          <cell r="FA347">
            <v>810.21333333333325</v>
          </cell>
          <cell r="FB347">
            <v>125860</v>
          </cell>
          <cell r="FC347">
            <v>8.6</v>
          </cell>
          <cell r="FD347">
            <v>901.99666666666656</v>
          </cell>
          <cell r="FE347">
            <v>1712.2099999999998</v>
          </cell>
          <cell r="FF347">
            <v>36594</v>
          </cell>
          <cell r="FH347">
            <v>36594</v>
          </cell>
        </row>
        <row r="348">
          <cell r="B348">
            <v>9599</v>
          </cell>
          <cell r="C348" t="str">
            <v>19.09.2007</v>
          </cell>
          <cell r="D348" t="str">
            <v>Barve Rajani Sanjay</v>
          </cell>
          <cell r="F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BA348">
            <v>1057</v>
          </cell>
          <cell r="BB348">
            <v>0</v>
          </cell>
          <cell r="BC348">
            <v>1057</v>
          </cell>
          <cell r="BD348">
            <v>0</v>
          </cell>
          <cell r="BE348">
            <v>0</v>
          </cell>
          <cell r="BF348">
            <v>0</v>
          </cell>
          <cell r="BG348">
            <v>0</v>
          </cell>
          <cell r="BH348">
            <v>0</v>
          </cell>
          <cell r="BI348">
            <v>0</v>
          </cell>
          <cell r="BK348">
            <v>1106</v>
          </cell>
          <cell r="BL348">
            <v>0</v>
          </cell>
          <cell r="BM348">
            <v>1106</v>
          </cell>
          <cell r="BN348">
            <v>0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  <cell r="BS348">
            <v>0</v>
          </cell>
          <cell r="BU348">
            <v>1106</v>
          </cell>
          <cell r="BV348">
            <v>0</v>
          </cell>
          <cell r="BW348">
            <v>1106</v>
          </cell>
          <cell r="BX348">
            <v>0</v>
          </cell>
          <cell r="BY348">
            <v>0</v>
          </cell>
          <cell r="BZ348">
            <v>0</v>
          </cell>
          <cell r="CA348">
            <v>0</v>
          </cell>
          <cell r="CB348">
            <v>0</v>
          </cell>
          <cell r="CC348">
            <v>0</v>
          </cell>
          <cell r="CE348">
            <v>1106</v>
          </cell>
          <cell r="CF348">
            <v>0</v>
          </cell>
          <cell r="CG348">
            <v>1106</v>
          </cell>
          <cell r="CH348">
            <v>0</v>
          </cell>
          <cell r="CI348">
            <v>0</v>
          </cell>
          <cell r="CJ348">
            <v>0</v>
          </cell>
          <cell r="CK348">
            <v>0</v>
          </cell>
          <cell r="CL348">
            <v>0</v>
          </cell>
          <cell r="CM348">
            <v>0</v>
          </cell>
          <cell r="CO348">
            <v>1106</v>
          </cell>
          <cell r="CP348">
            <v>0</v>
          </cell>
          <cell r="CQ348">
            <v>1106</v>
          </cell>
          <cell r="CR348">
            <v>0</v>
          </cell>
          <cell r="CS348">
            <v>0</v>
          </cell>
          <cell r="CT348">
            <v>0</v>
          </cell>
          <cell r="CU348">
            <v>0</v>
          </cell>
          <cell r="CV348">
            <v>0</v>
          </cell>
          <cell r="CW348">
            <v>0</v>
          </cell>
          <cell r="CY348">
            <v>1106</v>
          </cell>
          <cell r="CZ348">
            <v>0</v>
          </cell>
          <cell r="DA348">
            <v>1106</v>
          </cell>
          <cell r="DB348">
            <v>0</v>
          </cell>
          <cell r="DC348">
            <v>0</v>
          </cell>
          <cell r="DD348">
            <v>0</v>
          </cell>
          <cell r="DE348">
            <v>0</v>
          </cell>
          <cell r="DF348">
            <v>0</v>
          </cell>
          <cell r="DG348">
            <v>0</v>
          </cell>
          <cell r="DI348">
            <v>0</v>
          </cell>
          <cell r="DJ348">
            <v>6587</v>
          </cell>
          <cell r="DK348">
            <v>0</v>
          </cell>
          <cell r="DL348">
            <v>6587</v>
          </cell>
          <cell r="DM348">
            <v>6587</v>
          </cell>
          <cell r="DN348">
            <v>0</v>
          </cell>
          <cell r="DO348">
            <v>6587</v>
          </cell>
          <cell r="DP348">
            <v>0</v>
          </cell>
          <cell r="DQ348">
            <v>0</v>
          </cell>
          <cell r="DR348">
            <v>0</v>
          </cell>
          <cell r="DS348">
            <v>0</v>
          </cell>
          <cell r="DT348">
            <v>13174</v>
          </cell>
          <cell r="DU348">
            <v>0</v>
          </cell>
          <cell r="DW348">
            <v>0</v>
          </cell>
          <cell r="DX348">
            <v>0</v>
          </cell>
          <cell r="DY348">
            <v>0</v>
          </cell>
          <cell r="DZ348">
            <v>0</v>
          </cell>
          <cell r="EA348">
            <v>0</v>
          </cell>
          <cell r="EB348">
            <v>0</v>
          </cell>
          <cell r="EC348">
            <v>2114</v>
          </cell>
          <cell r="ED348">
            <v>4326</v>
          </cell>
          <cell r="EE348">
            <v>6538</v>
          </cell>
          <cell r="EF348">
            <v>8750</v>
          </cell>
          <cell r="EG348">
            <v>10962</v>
          </cell>
          <cell r="EH348">
            <v>13174</v>
          </cell>
          <cell r="EI348">
            <v>45864</v>
          </cell>
          <cell r="EK348">
            <v>0</v>
          </cell>
          <cell r="EL348">
            <v>0</v>
          </cell>
          <cell r="EM348">
            <v>0</v>
          </cell>
          <cell r="EN348">
            <v>0</v>
          </cell>
          <cell r="EO348">
            <v>0</v>
          </cell>
          <cell r="EP348">
            <v>0</v>
          </cell>
          <cell r="EQ348">
            <v>14.093333333333334</v>
          </cell>
          <cell r="ER348">
            <v>28.84</v>
          </cell>
          <cell r="ES348">
            <v>46.855666666666657</v>
          </cell>
          <cell r="ET348">
            <v>62.708333333333336</v>
          </cell>
          <cell r="EU348">
            <v>78.560999999999993</v>
          </cell>
          <cell r="EV348">
            <v>94.413666666666657</v>
          </cell>
          <cell r="EW348">
            <v>325.47199999999998</v>
          </cell>
          <cell r="EY348">
            <v>6440</v>
          </cell>
          <cell r="EZ348">
            <v>8</v>
          </cell>
          <cell r="FA348">
            <v>42.933333333333337</v>
          </cell>
          <cell r="FB348">
            <v>39424</v>
          </cell>
          <cell r="FC348">
            <v>8.6</v>
          </cell>
          <cell r="FD348">
            <v>282.53866666666664</v>
          </cell>
          <cell r="FE348">
            <v>325.47199999999998</v>
          </cell>
          <cell r="FF348">
            <v>13499</v>
          </cell>
          <cell r="FH348">
            <v>13499</v>
          </cell>
        </row>
        <row r="349">
          <cell r="B349">
            <v>9495</v>
          </cell>
          <cell r="C349" t="str">
            <v>29.09.2007</v>
          </cell>
          <cell r="D349" t="str">
            <v>Makwana Naresh Hiralal</v>
          </cell>
          <cell r="F349">
            <v>5075</v>
          </cell>
          <cell r="G349">
            <v>26197</v>
          </cell>
          <cell r="H349">
            <v>3909</v>
          </cell>
          <cell r="I349">
            <v>3909</v>
          </cell>
          <cell r="J349">
            <v>7818</v>
          </cell>
          <cell r="K349">
            <v>2743</v>
          </cell>
          <cell r="M349">
            <v>1057</v>
          </cell>
          <cell r="N349">
            <v>0</v>
          </cell>
          <cell r="O349">
            <v>1057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W349">
            <v>1057</v>
          </cell>
          <cell r="X349">
            <v>0</v>
          </cell>
          <cell r="Y349">
            <v>1057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G349">
            <v>1088</v>
          </cell>
          <cell r="AH349">
            <v>0</v>
          </cell>
          <cell r="AI349">
            <v>1088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Q349">
            <v>1088</v>
          </cell>
          <cell r="AR349">
            <v>0</v>
          </cell>
          <cell r="AS349">
            <v>1088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BA349">
            <v>1088</v>
          </cell>
          <cell r="BB349">
            <v>0</v>
          </cell>
          <cell r="BC349">
            <v>1088</v>
          </cell>
          <cell r="BD349">
            <v>0</v>
          </cell>
          <cell r="BE349">
            <v>0</v>
          </cell>
          <cell r="BF349">
            <v>0</v>
          </cell>
          <cell r="BG349">
            <v>0</v>
          </cell>
          <cell r="BH349">
            <v>0</v>
          </cell>
          <cell r="BI349">
            <v>0</v>
          </cell>
          <cell r="BK349">
            <v>1139</v>
          </cell>
          <cell r="BL349">
            <v>0</v>
          </cell>
          <cell r="BM349">
            <v>1139</v>
          </cell>
          <cell r="BN349">
            <v>0</v>
          </cell>
          <cell r="BO349">
            <v>0</v>
          </cell>
          <cell r="BP349">
            <v>0</v>
          </cell>
          <cell r="BQ349">
            <v>0</v>
          </cell>
          <cell r="BR349">
            <v>0</v>
          </cell>
          <cell r="BS349">
            <v>0</v>
          </cell>
          <cell r="BU349">
            <v>1139</v>
          </cell>
          <cell r="BV349">
            <v>0</v>
          </cell>
          <cell r="BW349">
            <v>1139</v>
          </cell>
          <cell r="BX349">
            <v>0</v>
          </cell>
          <cell r="BY349">
            <v>0</v>
          </cell>
          <cell r="BZ349">
            <v>0</v>
          </cell>
          <cell r="CA349">
            <v>0</v>
          </cell>
          <cell r="CB349">
            <v>0</v>
          </cell>
          <cell r="CC349">
            <v>0</v>
          </cell>
          <cell r="CE349">
            <v>1139</v>
          </cell>
          <cell r="CF349">
            <v>0</v>
          </cell>
          <cell r="CG349">
            <v>1139</v>
          </cell>
          <cell r="CH349">
            <v>0</v>
          </cell>
          <cell r="CI349">
            <v>0</v>
          </cell>
          <cell r="CJ349">
            <v>0</v>
          </cell>
          <cell r="CK349">
            <v>0</v>
          </cell>
          <cell r="CL349">
            <v>0</v>
          </cell>
          <cell r="CM349">
            <v>0</v>
          </cell>
          <cell r="CO349">
            <v>1139</v>
          </cell>
          <cell r="CP349">
            <v>0</v>
          </cell>
          <cell r="CQ349">
            <v>1139</v>
          </cell>
          <cell r="CR349">
            <v>0</v>
          </cell>
          <cell r="CS349">
            <v>0</v>
          </cell>
          <cell r="CT349">
            <v>0</v>
          </cell>
          <cell r="CU349">
            <v>0</v>
          </cell>
          <cell r="CV349">
            <v>0</v>
          </cell>
          <cell r="CW349">
            <v>0</v>
          </cell>
          <cell r="CY349">
            <v>1139</v>
          </cell>
          <cell r="CZ349">
            <v>0</v>
          </cell>
          <cell r="DA349">
            <v>1139</v>
          </cell>
          <cell r="DB349">
            <v>0</v>
          </cell>
          <cell r="DC349">
            <v>0</v>
          </cell>
          <cell r="DD349">
            <v>0</v>
          </cell>
          <cell r="DE349">
            <v>0</v>
          </cell>
          <cell r="DF349">
            <v>0</v>
          </cell>
          <cell r="DG349">
            <v>0</v>
          </cell>
          <cell r="DI349">
            <v>7818</v>
          </cell>
          <cell r="DJ349">
            <v>11073</v>
          </cell>
          <cell r="DK349">
            <v>0</v>
          </cell>
          <cell r="DL349">
            <v>11073</v>
          </cell>
          <cell r="DM349">
            <v>11073</v>
          </cell>
          <cell r="DN349">
            <v>0</v>
          </cell>
          <cell r="DO349">
            <v>11073</v>
          </cell>
          <cell r="DP349">
            <v>0</v>
          </cell>
          <cell r="DQ349">
            <v>0</v>
          </cell>
          <cell r="DR349">
            <v>0</v>
          </cell>
          <cell r="DS349">
            <v>0</v>
          </cell>
          <cell r="DT349">
            <v>22146</v>
          </cell>
          <cell r="DU349">
            <v>0</v>
          </cell>
          <cell r="DW349">
            <v>0</v>
          </cell>
          <cell r="DX349">
            <v>0</v>
          </cell>
          <cell r="DY349">
            <v>9932</v>
          </cell>
          <cell r="DZ349">
            <v>12046</v>
          </cell>
          <cell r="EA349">
            <v>14222</v>
          </cell>
          <cell r="EB349">
            <v>16398</v>
          </cell>
          <cell r="EC349">
            <v>18574</v>
          </cell>
          <cell r="ED349">
            <v>20852</v>
          </cell>
          <cell r="EE349">
            <v>23130</v>
          </cell>
          <cell r="EF349">
            <v>25408</v>
          </cell>
          <cell r="EG349">
            <v>27686</v>
          </cell>
          <cell r="EH349">
            <v>29964</v>
          </cell>
          <cell r="EI349">
            <v>198212</v>
          </cell>
          <cell r="EK349">
            <v>0</v>
          </cell>
          <cell r="EL349">
            <v>0</v>
          </cell>
          <cell r="EM349">
            <v>66.213333333333324</v>
          </cell>
          <cell r="EN349">
            <v>80.306666666666658</v>
          </cell>
          <cell r="EO349">
            <v>94.813333333333333</v>
          </cell>
          <cell r="EP349">
            <v>109.32</v>
          </cell>
          <cell r="EQ349">
            <v>123.82666666666667</v>
          </cell>
          <cell r="ER349">
            <v>139.01333333333335</v>
          </cell>
          <cell r="ES349">
            <v>165.76500000000001</v>
          </cell>
          <cell r="ET349">
            <v>182.09066666666664</v>
          </cell>
          <cell r="EU349">
            <v>198.41633333333331</v>
          </cell>
          <cell r="EV349">
            <v>214.74199999999999</v>
          </cell>
          <cell r="EW349">
            <v>1374.5073333333332</v>
          </cell>
          <cell r="EY349">
            <v>92024</v>
          </cell>
          <cell r="EZ349">
            <v>8</v>
          </cell>
          <cell r="FA349">
            <v>613.49333333333334</v>
          </cell>
          <cell r="FB349">
            <v>106188</v>
          </cell>
          <cell r="FC349">
            <v>8.6</v>
          </cell>
          <cell r="FD349">
            <v>761.01400000000001</v>
          </cell>
          <cell r="FE349">
            <v>1374.5073333333335</v>
          </cell>
          <cell r="FF349">
            <v>31339</v>
          </cell>
          <cell r="FH349">
            <v>31339</v>
          </cell>
        </row>
        <row r="350">
          <cell r="B350">
            <v>9512</v>
          </cell>
          <cell r="C350" t="str">
            <v>11.10.2007</v>
          </cell>
          <cell r="D350" t="str">
            <v>Gangurde Gautam Ashok</v>
          </cell>
          <cell r="F350">
            <v>3045</v>
          </cell>
          <cell r="G350">
            <v>17774</v>
          </cell>
          <cell r="H350">
            <v>450</v>
          </cell>
          <cell r="I350">
            <v>450</v>
          </cell>
          <cell r="J350">
            <v>900</v>
          </cell>
          <cell r="K350">
            <v>-2145</v>
          </cell>
          <cell r="M350">
            <v>1057</v>
          </cell>
          <cell r="N350">
            <v>0</v>
          </cell>
          <cell r="O350">
            <v>1057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W350">
            <v>1057</v>
          </cell>
          <cell r="X350">
            <v>0</v>
          </cell>
          <cell r="Y350">
            <v>1057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G350">
            <v>1088</v>
          </cell>
          <cell r="AH350">
            <v>0</v>
          </cell>
          <cell r="AI350">
            <v>1088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Q350">
            <v>1088</v>
          </cell>
          <cell r="AR350">
            <v>0</v>
          </cell>
          <cell r="AS350">
            <v>1088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0</v>
          </cell>
          <cell r="BA350">
            <v>1088</v>
          </cell>
          <cell r="BB350">
            <v>0</v>
          </cell>
          <cell r="BC350">
            <v>1088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K350">
            <v>1139</v>
          </cell>
          <cell r="BL350">
            <v>0</v>
          </cell>
          <cell r="BM350">
            <v>1139</v>
          </cell>
          <cell r="BN350">
            <v>0</v>
          </cell>
          <cell r="BO350">
            <v>0</v>
          </cell>
          <cell r="BP350">
            <v>0</v>
          </cell>
          <cell r="BQ350">
            <v>0</v>
          </cell>
          <cell r="BR350">
            <v>0</v>
          </cell>
          <cell r="BS350">
            <v>0</v>
          </cell>
          <cell r="BU350">
            <v>1139</v>
          </cell>
          <cell r="BV350">
            <v>0</v>
          </cell>
          <cell r="BW350">
            <v>1139</v>
          </cell>
          <cell r="BX350">
            <v>0</v>
          </cell>
          <cell r="BY350">
            <v>0</v>
          </cell>
          <cell r="BZ350">
            <v>0</v>
          </cell>
          <cell r="CA350">
            <v>0</v>
          </cell>
          <cell r="CB350">
            <v>0</v>
          </cell>
          <cell r="CC350">
            <v>0</v>
          </cell>
          <cell r="CE350">
            <v>1139</v>
          </cell>
          <cell r="CF350">
            <v>0</v>
          </cell>
          <cell r="CG350">
            <v>1139</v>
          </cell>
          <cell r="CH350">
            <v>0</v>
          </cell>
          <cell r="CI350">
            <v>0</v>
          </cell>
          <cell r="CJ350">
            <v>0</v>
          </cell>
          <cell r="CK350">
            <v>0</v>
          </cell>
          <cell r="CL350">
            <v>0</v>
          </cell>
          <cell r="CM350">
            <v>0</v>
          </cell>
          <cell r="CO350">
            <v>1139</v>
          </cell>
          <cell r="CP350">
            <v>0</v>
          </cell>
          <cell r="CQ350">
            <v>1139</v>
          </cell>
          <cell r="CR350">
            <v>0</v>
          </cell>
          <cell r="CS350">
            <v>0</v>
          </cell>
          <cell r="CT350">
            <v>0</v>
          </cell>
          <cell r="CU350">
            <v>0</v>
          </cell>
          <cell r="CV350">
            <v>0</v>
          </cell>
          <cell r="CW350">
            <v>0</v>
          </cell>
          <cell r="CY350">
            <v>1139</v>
          </cell>
          <cell r="CZ350">
            <v>0</v>
          </cell>
          <cell r="DA350">
            <v>1139</v>
          </cell>
          <cell r="DB350">
            <v>0</v>
          </cell>
          <cell r="DC350">
            <v>0</v>
          </cell>
          <cell r="DD350">
            <v>0</v>
          </cell>
          <cell r="DE350">
            <v>0</v>
          </cell>
          <cell r="DF350">
            <v>0</v>
          </cell>
          <cell r="DG350">
            <v>0</v>
          </cell>
          <cell r="DI350">
            <v>900</v>
          </cell>
          <cell r="DJ350">
            <v>11073</v>
          </cell>
          <cell r="DK350">
            <v>0</v>
          </cell>
          <cell r="DL350">
            <v>11073</v>
          </cell>
          <cell r="DM350">
            <v>11073</v>
          </cell>
          <cell r="DN350">
            <v>0</v>
          </cell>
          <cell r="DO350">
            <v>11073</v>
          </cell>
          <cell r="DP350">
            <v>0</v>
          </cell>
          <cell r="DQ350">
            <v>0</v>
          </cell>
          <cell r="DR350">
            <v>0</v>
          </cell>
          <cell r="DS350">
            <v>0</v>
          </cell>
          <cell r="DT350">
            <v>22146</v>
          </cell>
          <cell r="DU350">
            <v>0</v>
          </cell>
          <cell r="DW350">
            <v>0</v>
          </cell>
          <cell r="DX350">
            <v>0</v>
          </cell>
          <cell r="DY350">
            <v>3014</v>
          </cell>
          <cell r="DZ350">
            <v>5128</v>
          </cell>
          <cell r="EA350">
            <v>7304</v>
          </cell>
          <cell r="EB350">
            <v>9480</v>
          </cell>
          <cell r="EC350">
            <v>11656</v>
          </cell>
          <cell r="ED350">
            <v>13934</v>
          </cell>
          <cell r="EE350">
            <v>16212</v>
          </cell>
          <cell r="EF350">
            <v>18490</v>
          </cell>
          <cell r="EG350">
            <v>20768</v>
          </cell>
          <cell r="EH350">
            <v>23046</v>
          </cell>
          <cell r="EI350">
            <v>129032</v>
          </cell>
          <cell r="EK350">
            <v>0</v>
          </cell>
          <cell r="EL350">
            <v>0</v>
          </cell>
          <cell r="EM350">
            <v>20.093333333333334</v>
          </cell>
          <cell r="EN350">
            <v>34.186666666666667</v>
          </cell>
          <cell r="EO350">
            <v>48.693333333333335</v>
          </cell>
          <cell r="EP350">
            <v>63.199999999999996</v>
          </cell>
          <cell r="EQ350">
            <v>77.706666666666663</v>
          </cell>
          <cell r="ER350">
            <v>92.893333333333331</v>
          </cell>
          <cell r="ES350">
            <v>116.18599999999998</v>
          </cell>
          <cell r="ET350">
            <v>132.51166666666668</v>
          </cell>
          <cell r="EU350">
            <v>148.83733333333331</v>
          </cell>
          <cell r="EV350">
            <v>165.16300000000001</v>
          </cell>
          <cell r="EW350">
            <v>899.47133333333329</v>
          </cell>
          <cell r="EY350">
            <v>50516</v>
          </cell>
          <cell r="EZ350">
            <v>8</v>
          </cell>
          <cell r="FA350">
            <v>336.77333333333337</v>
          </cell>
          <cell r="FB350">
            <v>78516</v>
          </cell>
          <cell r="FC350">
            <v>8.6</v>
          </cell>
          <cell r="FD350">
            <v>562.69799999999998</v>
          </cell>
          <cell r="FE350">
            <v>899.4713333333334</v>
          </cell>
          <cell r="FF350">
            <v>23945</v>
          </cell>
          <cell r="FH350">
            <v>23945</v>
          </cell>
        </row>
        <row r="351">
          <cell r="B351">
            <v>9502</v>
          </cell>
          <cell r="C351" t="str">
            <v>16.10.2007</v>
          </cell>
          <cell r="D351" t="str">
            <v>Adhav Sandeep Rajaram</v>
          </cell>
          <cell r="F351">
            <v>5075</v>
          </cell>
          <cell r="H351">
            <v>3368</v>
          </cell>
          <cell r="I351">
            <v>3368</v>
          </cell>
          <cell r="J351">
            <v>6736</v>
          </cell>
          <cell r="K351">
            <v>1661</v>
          </cell>
          <cell r="M351">
            <v>1057</v>
          </cell>
          <cell r="N351">
            <v>0</v>
          </cell>
          <cell r="O351">
            <v>1057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W351">
            <v>1057</v>
          </cell>
          <cell r="X351">
            <v>0</v>
          </cell>
          <cell r="Y351">
            <v>1057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G351">
            <v>1088</v>
          </cell>
          <cell r="AH351">
            <v>0</v>
          </cell>
          <cell r="AI351">
            <v>1088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Q351">
            <v>1088</v>
          </cell>
          <cell r="AR351">
            <v>0</v>
          </cell>
          <cell r="AS351">
            <v>1088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BA351">
            <v>1088</v>
          </cell>
          <cell r="BB351">
            <v>0</v>
          </cell>
          <cell r="BC351">
            <v>1088</v>
          </cell>
          <cell r="BD351">
            <v>0</v>
          </cell>
          <cell r="BE351">
            <v>0</v>
          </cell>
          <cell r="BF351">
            <v>0</v>
          </cell>
          <cell r="BG351">
            <v>0</v>
          </cell>
          <cell r="BH351">
            <v>0</v>
          </cell>
          <cell r="BI351">
            <v>0</v>
          </cell>
          <cell r="BK351">
            <v>1139</v>
          </cell>
          <cell r="BL351">
            <v>0</v>
          </cell>
          <cell r="BM351">
            <v>1139</v>
          </cell>
          <cell r="BN351">
            <v>0</v>
          </cell>
          <cell r="BO351">
            <v>0</v>
          </cell>
          <cell r="BP351">
            <v>0</v>
          </cell>
          <cell r="BQ351">
            <v>0</v>
          </cell>
          <cell r="BR351">
            <v>0</v>
          </cell>
          <cell r="BS351">
            <v>0</v>
          </cell>
          <cell r="BU351">
            <v>1139</v>
          </cell>
          <cell r="BV351">
            <v>0</v>
          </cell>
          <cell r="BW351">
            <v>1139</v>
          </cell>
          <cell r="BX351">
            <v>0</v>
          </cell>
          <cell r="BY351">
            <v>0</v>
          </cell>
          <cell r="BZ351">
            <v>0</v>
          </cell>
          <cell r="CA351">
            <v>0</v>
          </cell>
          <cell r="CB351">
            <v>0</v>
          </cell>
          <cell r="CC351">
            <v>0</v>
          </cell>
          <cell r="CE351">
            <v>1139</v>
          </cell>
          <cell r="CF351">
            <v>0</v>
          </cell>
          <cell r="CG351">
            <v>1139</v>
          </cell>
          <cell r="CH351">
            <v>0</v>
          </cell>
          <cell r="CI351">
            <v>0</v>
          </cell>
          <cell r="CJ351">
            <v>0</v>
          </cell>
          <cell r="CK351">
            <v>0</v>
          </cell>
          <cell r="CL351">
            <v>0</v>
          </cell>
          <cell r="CM351">
            <v>0</v>
          </cell>
          <cell r="CO351">
            <v>1139</v>
          </cell>
          <cell r="CP351">
            <v>0</v>
          </cell>
          <cell r="CQ351">
            <v>1139</v>
          </cell>
          <cell r="CR351">
            <v>0</v>
          </cell>
          <cell r="CS351">
            <v>0</v>
          </cell>
          <cell r="CT351">
            <v>0</v>
          </cell>
          <cell r="CU351">
            <v>0</v>
          </cell>
          <cell r="CV351">
            <v>0</v>
          </cell>
          <cell r="CW351">
            <v>0</v>
          </cell>
          <cell r="CY351">
            <v>1139</v>
          </cell>
          <cell r="CZ351">
            <v>0</v>
          </cell>
          <cell r="DA351">
            <v>1139</v>
          </cell>
          <cell r="DB351">
            <v>0</v>
          </cell>
          <cell r="DC351">
            <v>0</v>
          </cell>
          <cell r="DD351">
            <v>0</v>
          </cell>
          <cell r="DE351">
            <v>0</v>
          </cell>
          <cell r="DF351">
            <v>0</v>
          </cell>
          <cell r="DG351">
            <v>0</v>
          </cell>
          <cell r="DI351">
            <v>6736</v>
          </cell>
          <cell r="DJ351">
            <v>11073</v>
          </cell>
          <cell r="DK351">
            <v>0</v>
          </cell>
          <cell r="DL351">
            <v>11073</v>
          </cell>
          <cell r="DM351">
            <v>11073</v>
          </cell>
          <cell r="DN351">
            <v>0</v>
          </cell>
          <cell r="DO351">
            <v>11073</v>
          </cell>
          <cell r="DP351">
            <v>0</v>
          </cell>
          <cell r="DQ351">
            <v>0</v>
          </cell>
          <cell r="DR351">
            <v>0</v>
          </cell>
          <cell r="DS351">
            <v>0</v>
          </cell>
          <cell r="DT351">
            <v>22146</v>
          </cell>
          <cell r="DU351">
            <v>0</v>
          </cell>
          <cell r="DW351">
            <v>0</v>
          </cell>
          <cell r="DX351">
            <v>0</v>
          </cell>
          <cell r="DY351">
            <v>8850</v>
          </cell>
          <cell r="DZ351">
            <v>10964</v>
          </cell>
          <cell r="EA351">
            <v>13140</v>
          </cell>
          <cell r="EB351">
            <v>15316</v>
          </cell>
          <cell r="EC351">
            <v>17492</v>
          </cell>
          <cell r="ED351">
            <v>19770</v>
          </cell>
          <cell r="EE351">
            <v>22048</v>
          </cell>
          <cell r="EF351">
            <v>24326</v>
          </cell>
          <cell r="EG351">
            <v>26604</v>
          </cell>
          <cell r="EH351">
            <v>28882</v>
          </cell>
          <cell r="EI351">
            <v>187392</v>
          </cell>
          <cell r="EK351">
            <v>0</v>
          </cell>
          <cell r="EL351">
            <v>0</v>
          </cell>
          <cell r="EM351">
            <v>59</v>
          </cell>
          <cell r="EN351">
            <v>73.093333333333334</v>
          </cell>
          <cell r="EO351">
            <v>87.600000000000009</v>
          </cell>
          <cell r="EP351">
            <v>102.10666666666667</v>
          </cell>
          <cell r="EQ351">
            <v>116.61333333333333</v>
          </cell>
          <cell r="ER351">
            <v>131.79999999999998</v>
          </cell>
          <cell r="ES351">
            <v>158.01066666666665</v>
          </cell>
          <cell r="ET351">
            <v>174.33633333333333</v>
          </cell>
          <cell r="EU351">
            <v>190.66200000000001</v>
          </cell>
          <cell r="EV351">
            <v>206.98766666666666</v>
          </cell>
          <cell r="EW351">
            <v>1300.21</v>
          </cell>
          <cell r="EY351">
            <v>85532</v>
          </cell>
          <cell r="EZ351">
            <v>8</v>
          </cell>
          <cell r="FA351">
            <v>570.21333333333337</v>
          </cell>
          <cell r="FB351">
            <v>101860</v>
          </cell>
          <cell r="FC351">
            <v>8.6</v>
          </cell>
          <cell r="FD351">
            <v>729.99666666666656</v>
          </cell>
          <cell r="FE351">
            <v>1300.21</v>
          </cell>
          <cell r="FF351">
            <v>30182</v>
          </cell>
          <cell r="FH351">
            <v>30182</v>
          </cell>
        </row>
        <row r="352">
          <cell r="B352">
            <v>9519</v>
          </cell>
          <cell r="C352" t="str">
            <v>13.11.2007</v>
          </cell>
          <cell r="D352" t="str">
            <v>Shelar Kishor Ganesh</v>
          </cell>
          <cell r="F352">
            <v>1929</v>
          </cell>
          <cell r="H352">
            <v>900</v>
          </cell>
          <cell r="I352">
            <v>900</v>
          </cell>
          <cell r="J352">
            <v>1800</v>
          </cell>
          <cell r="K352">
            <v>-129</v>
          </cell>
          <cell r="M352">
            <v>1057</v>
          </cell>
          <cell r="N352">
            <v>0</v>
          </cell>
          <cell r="O352">
            <v>1057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W352">
            <v>1057</v>
          </cell>
          <cell r="X352">
            <v>0</v>
          </cell>
          <cell r="Y352">
            <v>1057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G352">
            <v>1088</v>
          </cell>
          <cell r="AH352">
            <v>0</v>
          </cell>
          <cell r="AI352">
            <v>1088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Q352">
            <v>1088</v>
          </cell>
          <cell r="AR352">
            <v>0</v>
          </cell>
          <cell r="AS352">
            <v>1088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BA352">
            <v>1088</v>
          </cell>
          <cell r="BB352">
            <v>0</v>
          </cell>
          <cell r="BC352">
            <v>1088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K352">
            <v>1139</v>
          </cell>
          <cell r="BL352">
            <v>0</v>
          </cell>
          <cell r="BM352">
            <v>1139</v>
          </cell>
          <cell r="BN352">
            <v>0</v>
          </cell>
          <cell r="BO352">
            <v>0</v>
          </cell>
          <cell r="BP352">
            <v>0</v>
          </cell>
          <cell r="BQ352">
            <v>0</v>
          </cell>
          <cell r="BR352">
            <v>0</v>
          </cell>
          <cell r="BS352">
            <v>0</v>
          </cell>
          <cell r="BU352">
            <v>1139</v>
          </cell>
          <cell r="BV352">
            <v>0</v>
          </cell>
          <cell r="BW352">
            <v>1139</v>
          </cell>
          <cell r="BX352">
            <v>0</v>
          </cell>
          <cell r="BY352">
            <v>0</v>
          </cell>
          <cell r="BZ352">
            <v>0</v>
          </cell>
          <cell r="CA352">
            <v>0</v>
          </cell>
          <cell r="CB352">
            <v>0</v>
          </cell>
          <cell r="CC352">
            <v>0</v>
          </cell>
          <cell r="CE352">
            <v>1139</v>
          </cell>
          <cell r="CF352">
            <v>0</v>
          </cell>
          <cell r="CG352">
            <v>1139</v>
          </cell>
          <cell r="CH352">
            <v>0</v>
          </cell>
          <cell r="CI352">
            <v>0</v>
          </cell>
          <cell r="CJ352">
            <v>0</v>
          </cell>
          <cell r="CK352">
            <v>0</v>
          </cell>
          <cell r="CL352">
            <v>0</v>
          </cell>
          <cell r="CM352">
            <v>0</v>
          </cell>
          <cell r="CO352">
            <v>1139</v>
          </cell>
          <cell r="CP352">
            <v>0</v>
          </cell>
          <cell r="CQ352">
            <v>1139</v>
          </cell>
          <cell r="CR352">
            <v>0</v>
          </cell>
          <cell r="CS352">
            <v>0</v>
          </cell>
          <cell r="CT352">
            <v>0</v>
          </cell>
          <cell r="CU352">
            <v>0</v>
          </cell>
          <cell r="CV352">
            <v>0</v>
          </cell>
          <cell r="CW352">
            <v>0</v>
          </cell>
          <cell r="CY352">
            <v>1139</v>
          </cell>
          <cell r="CZ352">
            <v>0</v>
          </cell>
          <cell r="DA352">
            <v>1139</v>
          </cell>
          <cell r="DB352">
            <v>0</v>
          </cell>
          <cell r="DC352">
            <v>0</v>
          </cell>
          <cell r="DD352">
            <v>0</v>
          </cell>
          <cell r="DE352">
            <v>0</v>
          </cell>
          <cell r="DF352">
            <v>0</v>
          </cell>
          <cell r="DG352">
            <v>0</v>
          </cell>
          <cell r="DI352">
            <v>1800</v>
          </cell>
          <cell r="DJ352">
            <v>11073</v>
          </cell>
          <cell r="DK352">
            <v>0</v>
          </cell>
          <cell r="DL352">
            <v>11073</v>
          </cell>
          <cell r="DM352">
            <v>11073</v>
          </cell>
          <cell r="DN352">
            <v>0</v>
          </cell>
          <cell r="DO352">
            <v>11073</v>
          </cell>
          <cell r="DP352">
            <v>0</v>
          </cell>
          <cell r="DQ352">
            <v>0</v>
          </cell>
          <cell r="DR352">
            <v>0</v>
          </cell>
          <cell r="DS352">
            <v>0</v>
          </cell>
          <cell r="DT352">
            <v>22146</v>
          </cell>
          <cell r="DU352">
            <v>0</v>
          </cell>
          <cell r="DW352">
            <v>0</v>
          </cell>
          <cell r="DX352">
            <v>0</v>
          </cell>
          <cell r="DY352">
            <v>3914</v>
          </cell>
          <cell r="DZ352">
            <v>6028</v>
          </cell>
          <cell r="EA352">
            <v>8204</v>
          </cell>
          <cell r="EB352">
            <v>10380</v>
          </cell>
          <cell r="EC352">
            <v>12556</v>
          </cell>
          <cell r="ED352">
            <v>14834</v>
          </cell>
          <cell r="EE352">
            <v>17112</v>
          </cell>
          <cell r="EF352">
            <v>19390</v>
          </cell>
          <cell r="EG352">
            <v>21668</v>
          </cell>
          <cell r="EH352">
            <v>23946</v>
          </cell>
          <cell r="EI352">
            <v>138032</v>
          </cell>
          <cell r="EK352">
            <v>0</v>
          </cell>
          <cell r="EL352">
            <v>0</v>
          </cell>
          <cell r="EM352">
            <v>26.093333333333334</v>
          </cell>
          <cell r="EN352">
            <v>40.186666666666667</v>
          </cell>
          <cell r="EO352">
            <v>54.693333333333335</v>
          </cell>
          <cell r="EP352">
            <v>69.2</v>
          </cell>
          <cell r="EQ352">
            <v>83.706666666666663</v>
          </cell>
          <cell r="ER352">
            <v>98.893333333333331</v>
          </cell>
          <cell r="ES352">
            <v>122.63599999999998</v>
          </cell>
          <cell r="ET352">
            <v>138.96166666666667</v>
          </cell>
          <cell r="EU352">
            <v>155.28733333333332</v>
          </cell>
          <cell r="EV352">
            <v>171.61300000000003</v>
          </cell>
          <cell r="EW352">
            <v>961.27133333333336</v>
          </cell>
          <cell r="EY352">
            <v>55916</v>
          </cell>
          <cell r="EZ352">
            <v>8</v>
          </cell>
          <cell r="FA352">
            <v>372.77333333333331</v>
          </cell>
          <cell r="FB352">
            <v>82116</v>
          </cell>
          <cell r="FC352">
            <v>8.6</v>
          </cell>
          <cell r="FD352">
            <v>588.49799999999993</v>
          </cell>
          <cell r="FE352">
            <v>961.27133333333325</v>
          </cell>
          <cell r="FF352">
            <v>24907</v>
          </cell>
          <cell r="FH352">
            <v>24907</v>
          </cell>
        </row>
        <row r="353">
          <cell r="B353">
            <v>9526</v>
          </cell>
          <cell r="C353" t="str">
            <v>13.11.2007</v>
          </cell>
          <cell r="D353" t="str">
            <v>Dalod Deepak Shishpal</v>
          </cell>
          <cell r="F353">
            <v>1015</v>
          </cell>
          <cell r="G353">
            <v>16202</v>
          </cell>
          <cell r="H353">
            <v>450</v>
          </cell>
          <cell r="I353">
            <v>450</v>
          </cell>
          <cell r="J353">
            <v>900</v>
          </cell>
          <cell r="K353">
            <v>-115</v>
          </cell>
          <cell r="M353">
            <v>1057</v>
          </cell>
          <cell r="N353">
            <v>0</v>
          </cell>
          <cell r="O353">
            <v>1057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W353">
            <v>1057</v>
          </cell>
          <cell r="X353">
            <v>0</v>
          </cell>
          <cell r="Y353">
            <v>1057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G353">
            <v>1088</v>
          </cell>
          <cell r="AH353">
            <v>0</v>
          </cell>
          <cell r="AI353">
            <v>1088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Q353">
            <v>1088</v>
          </cell>
          <cell r="AR353">
            <v>0</v>
          </cell>
          <cell r="AS353">
            <v>1088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BA353">
            <v>1088</v>
          </cell>
          <cell r="BB353">
            <v>0</v>
          </cell>
          <cell r="BC353">
            <v>1088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K353">
            <v>1139</v>
          </cell>
          <cell r="BL353">
            <v>0</v>
          </cell>
          <cell r="BM353">
            <v>1139</v>
          </cell>
          <cell r="BN353">
            <v>0</v>
          </cell>
          <cell r="BO353">
            <v>0</v>
          </cell>
          <cell r="BP353">
            <v>0</v>
          </cell>
          <cell r="BQ353">
            <v>0</v>
          </cell>
          <cell r="BR353">
            <v>0</v>
          </cell>
          <cell r="BS353">
            <v>0</v>
          </cell>
          <cell r="BU353">
            <v>1139</v>
          </cell>
          <cell r="BV353">
            <v>0</v>
          </cell>
          <cell r="BW353">
            <v>1139</v>
          </cell>
          <cell r="BX353">
            <v>0</v>
          </cell>
          <cell r="BY353">
            <v>0</v>
          </cell>
          <cell r="BZ353">
            <v>0</v>
          </cell>
          <cell r="CA353">
            <v>0</v>
          </cell>
          <cell r="CB353">
            <v>0</v>
          </cell>
          <cell r="CC353">
            <v>0</v>
          </cell>
          <cell r="CE353">
            <v>1139</v>
          </cell>
          <cell r="CF353">
            <v>0</v>
          </cell>
          <cell r="CG353">
            <v>1139</v>
          </cell>
          <cell r="CH353">
            <v>0</v>
          </cell>
          <cell r="CI353">
            <v>0</v>
          </cell>
          <cell r="CJ353">
            <v>0</v>
          </cell>
          <cell r="CK353">
            <v>0</v>
          </cell>
          <cell r="CL353">
            <v>0</v>
          </cell>
          <cell r="CM353">
            <v>0</v>
          </cell>
          <cell r="CO353">
            <v>1139</v>
          </cell>
          <cell r="CP353">
            <v>0</v>
          </cell>
          <cell r="CQ353">
            <v>1139</v>
          </cell>
          <cell r="CR353">
            <v>0</v>
          </cell>
          <cell r="CS353">
            <v>0</v>
          </cell>
          <cell r="CT353">
            <v>0</v>
          </cell>
          <cell r="CU353">
            <v>0</v>
          </cell>
          <cell r="CV353">
            <v>0</v>
          </cell>
          <cell r="CW353">
            <v>0</v>
          </cell>
          <cell r="CY353">
            <v>1139</v>
          </cell>
          <cell r="CZ353">
            <v>0</v>
          </cell>
          <cell r="DA353">
            <v>1139</v>
          </cell>
          <cell r="DB353">
            <v>0</v>
          </cell>
          <cell r="DC353">
            <v>0</v>
          </cell>
          <cell r="DD353">
            <v>0</v>
          </cell>
          <cell r="DE353">
            <v>0</v>
          </cell>
          <cell r="DF353">
            <v>0</v>
          </cell>
          <cell r="DG353">
            <v>0</v>
          </cell>
          <cell r="DI353">
            <v>900</v>
          </cell>
          <cell r="DJ353">
            <v>11073</v>
          </cell>
          <cell r="DK353">
            <v>0</v>
          </cell>
          <cell r="DL353">
            <v>11073</v>
          </cell>
          <cell r="DM353">
            <v>11073</v>
          </cell>
          <cell r="DN353">
            <v>0</v>
          </cell>
          <cell r="DO353">
            <v>11073</v>
          </cell>
          <cell r="DP353">
            <v>0</v>
          </cell>
          <cell r="DQ353">
            <v>0</v>
          </cell>
          <cell r="DR353">
            <v>0</v>
          </cell>
          <cell r="DS353">
            <v>0</v>
          </cell>
          <cell r="DT353">
            <v>22146</v>
          </cell>
          <cell r="DU353">
            <v>0</v>
          </cell>
          <cell r="DW353">
            <v>0</v>
          </cell>
          <cell r="DX353">
            <v>0</v>
          </cell>
          <cell r="DY353">
            <v>3014</v>
          </cell>
          <cell r="DZ353">
            <v>5128</v>
          </cell>
          <cell r="EA353">
            <v>7304</v>
          </cell>
          <cell r="EB353">
            <v>9480</v>
          </cell>
          <cell r="EC353">
            <v>11656</v>
          </cell>
          <cell r="ED353">
            <v>13934</v>
          </cell>
          <cell r="EE353">
            <v>16212</v>
          </cell>
          <cell r="EF353">
            <v>18490</v>
          </cell>
          <cell r="EG353">
            <v>20768</v>
          </cell>
          <cell r="EH353">
            <v>23046</v>
          </cell>
          <cell r="EI353">
            <v>129032</v>
          </cell>
          <cell r="EK353">
            <v>0</v>
          </cell>
          <cell r="EL353">
            <v>0</v>
          </cell>
          <cell r="EM353">
            <v>20.093333333333334</v>
          </cell>
          <cell r="EN353">
            <v>34.186666666666667</v>
          </cell>
          <cell r="EO353">
            <v>48.693333333333335</v>
          </cell>
          <cell r="EP353">
            <v>63.199999999999996</v>
          </cell>
          <cell r="EQ353">
            <v>77.706666666666663</v>
          </cell>
          <cell r="ER353">
            <v>92.893333333333331</v>
          </cell>
          <cell r="ES353">
            <v>116.18599999999998</v>
          </cell>
          <cell r="ET353">
            <v>132.51166666666668</v>
          </cell>
          <cell r="EU353">
            <v>148.83733333333331</v>
          </cell>
          <cell r="EV353">
            <v>165.16300000000001</v>
          </cell>
          <cell r="EW353">
            <v>899.47133333333329</v>
          </cell>
          <cell r="EY353">
            <v>50516</v>
          </cell>
          <cell r="EZ353">
            <v>8</v>
          </cell>
          <cell r="FA353">
            <v>336.77333333333337</v>
          </cell>
          <cell r="FB353">
            <v>78516</v>
          </cell>
          <cell r="FC353">
            <v>8.6</v>
          </cell>
          <cell r="FD353">
            <v>562.69799999999998</v>
          </cell>
          <cell r="FE353">
            <v>899.4713333333334</v>
          </cell>
          <cell r="FF353">
            <v>23945</v>
          </cell>
          <cell r="FH353">
            <v>23945</v>
          </cell>
        </row>
        <row r="354">
          <cell r="B354">
            <v>9520</v>
          </cell>
          <cell r="C354" t="str">
            <v>20.11.2007</v>
          </cell>
          <cell r="D354" t="str">
            <v>Sarode Vikas Sham</v>
          </cell>
          <cell r="F354">
            <v>2030</v>
          </cell>
          <cell r="H354">
            <v>900</v>
          </cell>
          <cell r="I354">
            <v>900</v>
          </cell>
          <cell r="J354">
            <v>1800</v>
          </cell>
          <cell r="K354">
            <v>-230</v>
          </cell>
          <cell r="M354">
            <v>1057</v>
          </cell>
          <cell r="N354">
            <v>0</v>
          </cell>
          <cell r="O354">
            <v>1057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W354">
            <v>1057</v>
          </cell>
          <cell r="X354">
            <v>0</v>
          </cell>
          <cell r="Y354">
            <v>1057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G354">
            <v>1088</v>
          </cell>
          <cell r="AH354">
            <v>0</v>
          </cell>
          <cell r="AI354">
            <v>1088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Q354">
            <v>1088</v>
          </cell>
          <cell r="AR354">
            <v>0</v>
          </cell>
          <cell r="AS354">
            <v>1088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BA354">
            <v>1088</v>
          </cell>
          <cell r="BB354">
            <v>0</v>
          </cell>
          <cell r="BC354">
            <v>1088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K354">
            <v>1139</v>
          </cell>
          <cell r="BL354">
            <v>0</v>
          </cell>
          <cell r="BM354">
            <v>1139</v>
          </cell>
          <cell r="BN354">
            <v>0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  <cell r="BS354">
            <v>0</v>
          </cell>
          <cell r="BU354">
            <v>1139</v>
          </cell>
          <cell r="BV354">
            <v>0</v>
          </cell>
          <cell r="BW354">
            <v>1139</v>
          </cell>
          <cell r="BX354">
            <v>0</v>
          </cell>
          <cell r="BY354">
            <v>0</v>
          </cell>
          <cell r="BZ354">
            <v>0</v>
          </cell>
          <cell r="CA354">
            <v>0</v>
          </cell>
          <cell r="CB354">
            <v>0</v>
          </cell>
          <cell r="CC354">
            <v>0</v>
          </cell>
          <cell r="CE354">
            <v>1139</v>
          </cell>
          <cell r="CF354">
            <v>0</v>
          </cell>
          <cell r="CG354">
            <v>1139</v>
          </cell>
          <cell r="CH354">
            <v>0</v>
          </cell>
          <cell r="CI354">
            <v>0</v>
          </cell>
          <cell r="CJ354">
            <v>0</v>
          </cell>
          <cell r="CK354">
            <v>0</v>
          </cell>
          <cell r="CL354">
            <v>0</v>
          </cell>
          <cell r="CM354">
            <v>0</v>
          </cell>
          <cell r="CO354">
            <v>1139</v>
          </cell>
          <cell r="CP354">
            <v>0</v>
          </cell>
          <cell r="CQ354">
            <v>1139</v>
          </cell>
          <cell r="CR354">
            <v>0</v>
          </cell>
          <cell r="CS354">
            <v>0</v>
          </cell>
          <cell r="CT354">
            <v>0</v>
          </cell>
          <cell r="CU354">
            <v>0</v>
          </cell>
          <cell r="CV354">
            <v>0</v>
          </cell>
          <cell r="CW354">
            <v>0</v>
          </cell>
          <cell r="CY354">
            <v>1139</v>
          </cell>
          <cell r="CZ354">
            <v>0</v>
          </cell>
          <cell r="DA354">
            <v>1139</v>
          </cell>
          <cell r="DB354">
            <v>0</v>
          </cell>
          <cell r="DC354">
            <v>0</v>
          </cell>
          <cell r="DD354">
            <v>0</v>
          </cell>
          <cell r="DE354">
            <v>0</v>
          </cell>
          <cell r="DF354">
            <v>0</v>
          </cell>
          <cell r="DG354">
            <v>0</v>
          </cell>
          <cell r="DI354">
            <v>1800</v>
          </cell>
          <cell r="DJ354">
            <v>11073</v>
          </cell>
          <cell r="DK354">
            <v>0</v>
          </cell>
          <cell r="DL354">
            <v>11073</v>
          </cell>
          <cell r="DM354">
            <v>11073</v>
          </cell>
          <cell r="DN354">
            <v>0</v>
          </cell>
          <cell r="DO354">
            <v>11073</v>
          </cell>
          <cell r="DP354">
            <v>0</v>
          </cell>
          <cell r="DQ354">
            <v>0</v>
          </cell>
          <cell r="DR354">
            <v>0</v>
          </cell>
          <cell r="DS354">
            <v>0</v>
          </cell>
          <cell r="DT354">
            <v>22146</v>
          </cell>
          <cell r="DU354">
            <v>0</v>
          </cell>
          <cell r="DW354">
            <v>0</v>
          </cell>
          <cell r="DX354">
            <v>0</v>
          </cell>
          <cell r="DY354">
            <v>3914</v>
          </cell>
          <cell r="DZ354">
            <v>6028</v>
          </cell>
          <cell r="EA354">
            <v>8204</v>
          </cell>
          <cell r="EB354">
            <v>10380</v>
          </cell>
          <cell r="EC354">
            <v>12556</v>
          </cell>
          <cell r="ED354">
            <v>14834</v>
          </cell>
          <cell r="EE354">
            <v>17112</v>
          </cell>
          <cell r="EF354">
            <v>19390</v>
          </cell>
          <cell r="EG354">
            <v>21668</v>
          </cell>
          <cell r="EH354">
            <v>23946</v>
          </cell>
          <cell r="EI354">
            <v>138032</v>
          </cell>
          <cell r="EK354">
            <v>0</v>
          </cell>
          <cell r="EL354">
            <v>0</v>
          </cell>
          <cell r="EM354">
            <v>26.093333333333334</v>
          </cell>
          <cell r="EN354">
            <v>40.186666666666667</v>
          </cell>
          <cell r="EO354">
            <v>54.693333333333335</v>
          </cell>
          <cell r="EP354">
            <v>69.2</v>
          </cell>
          <cell r="EQ354">
            <v>83.706666666666663</v>
          </cell>
          <cell r="ER354">
            <v>98.893333333333331</v>
          </cell>
          <cell r="ES354">
            <v>122.63599999999998</v>
          </cell>
          <cell r="ET354">
            <v>138.96166666666667</v>
          </cell>
          <cell r="EU354">
            <v>155.28733333333332</v>
          </cell>
          <cell r="EV354">
            <v>171.61300000000003</v>
          </cell>
          <cell r="EW354">
            <v>961.27133333333336</v>
          </cell>
          <cell r="EY354">
            <v>55916</v>
          </cell>
          <cell r="EZ354">
            <v>8</v>
          </cell>
          <cell r="FA354">
            <v>372.77333333333331</v>
          </cell>
          <cell r="FB354">
            <v>82116</v>
          </cell>
          <cell r="FC354">
            <v>8.6</v>
          </cell>
          <cell r="FD354">
            <v>588.49799999999993</v>
          </cell>
          <cell r="FE354">
            <v>961.27133333333325</v>
          </cell>
          <cell r="FF354">
            <v>24907</v>
          </cell>
          <cell r="FH354">
            <v>24907</v>
          </cell>
        </row>
        <row r="355">
          <cell r="B355">
            <v>9513</v>
          </cell>
          <cell r="C355" t="str">
            <v>29.11.2007</v>
          </cell>
          <cell r="D355" t="str">
            <v>Londhe Raju Balu</v>
          </cell>
          <cell r="F355">
            <v>3045</v>
          </cell>
          <cell r="H355">
            <v>1353</v>
          </cell>
          <cell r="I355">
            <v>1353</v>
          </cell>
          <cell r="J355">
            <v>2706</v>
          </cell>
          <cell r="K355">
            <v>-339</v>
          </cell>
          <cell r="M355">
            <v>1057</v>
          </cell>
          <cell r="N355">
            <v>0</v>
          </cell>
          <cell r="O355">
            <v>1057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W355">
            <v>1057</v>
          </cell>
          <cell r="X355">
            <v>0</v>
          </cell>
          <cell r="Y355">
            <v>1057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G355">
            <v>1088</v>
          </cell>
          <cell r="AH355">
            <v>0</v>
          </cell>
          <cell r="AI355">
            <v>1088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Q355">
            <v>1088</v>
          </cell>
          <cell r="AR355">
            <v>0</v>
          </cell>
          <cell r="AS355">
            <v>1088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BA355">
            <v>1088</v>
          </cell>
          <cell r="BB355">
            <v>0</v>
          </cell>
          <cell r="BC355">
            <v>1088</v>
          </cell>
          <cell r="BD355">
            <v>0</v>
          </cell>
          <cell r="BE355">
            <v>0</v>
          </cell>
          <cell r="BF355">
            <v>0</v>
          </cell>
          <cell r="BG355">
            <v>0</v>
          </cell>
          <cell r="BH355">
            <v>0</v>
          </cell>
          <cell r="BI355">
            <v>0</v>
          </cell>
          <cell r="BK355">
            <v>1139</v>
          </cell>
          <cell r="BL355">
            <v>0</v>
          </cell>
          <cell r="BM355">
            <v>1139</v>
          </cell>
          <cell r="BN355">
            <v>0</v>
          </cell>
          <cell r="BO355">
            <v>0</v>
          </cell>
          <cell r="BP355">
            <v>0</v>
          </cell>
          <cell r="BQ355">
            <v>0</v>
          </cell>
          <cell r="BR355">
            <v>0</v>
          </cell>
          <cell r="BS355">
            <v>0</v>
          </cell>
          <cell r="BU355">
            <v>1139</v>
          </cell>
          <cell r="BV355">
            <v>0</v>
          </cell>
          <cell r="BW355">
            <v>1139</v>
          </cell>
          <cell r="BX355">
            <v>0</v>
          </cell>
          <cell r="BY355">
            <v>0</v>
          </cell>
          <cell r="BZ355">
            <v>0</v>
          </cell>
          <cell r="CA355">
            <v>0</v>
          </cell>
          <cell r="CB355">
            <v>0</v>
          </cell>
          <cell r="CC355">
            <v>0</v>
          </cell>
          <cell r="CE355">
            <v>1139</v>
          </cell>
          <cell r="CF355">
            <v>0</v>
          </cell>
          <cell r="CG355">
            <v>1139</v>
          </cell>
          <cell r="CH355">
            <v>0</v>
          </cell>
          <cell r="CI355">
            <v>0</v>
          </cell>
          <cell r="CJ355">
            <v>0</v>
          </cell>
          <cell r="CK355">
            <v>0</v>
          </cell>
          <cell r="CL355">
            <v>0</v>
          </cell>
          <cell r="CM355">
            <v>0</v>
          </cell>
          <cell r="CO355">
            <v>1139</v>
          </cell>
          <cell r="CP355">
            <v>0</v>
          </cell>
          <cell r="CQ355">
            <v>1139</v>
          </cell>
          <cell r="CR355">
            <v>0</v>
          </cell>
          <cell r="CS355">
            <v>0</v>
          </cell>
          <cell r="CT355">
            <v>0</v>
          </cell>
          <cell r="CU355">
            <v>0</v>
          </cell>
          <cell r="CV355">
            <v>0</v>
          </cell>
          <cell r="CW355">
            <v>0</v>
          </cell>
          <cell r="CY355">
            <v>1139</v>
          </cell>
          <cell r="CZ355">
            <v>0</v>
          </cell>
          <cell r="DA355">
            <v>1139</v>
          </cell>
          <cell r="DB355">
            <v>0</v>
          </cell>
          <cell r="DC355">
            <v>0</v>
          </cell>
          <cell r="DD355">
            <v>0</v>
          </cell>
          <cell r="DE355">
            <v>0</v>
          </cell>
          <cell r="DF355">
            <v>0</v>
          </cell>
          <cell r="DG355">
            <v>0</v>
          </cell>
          <cell r="DI355">
            <v>2706</v>
          </cell>
          <cell r="DJ355">
            <v>11073</v>
          </cell>
          <cell r="DK355">
            <v>0</v>
          </cell>
          <cell r="DL355">
            <v>11073</v>
          </cell>
          <cell r="DM355">
            <v>11073</v>
          </cell>
          <cell r="DN355">
            <v>0</v>
          </cell>
          <cell r="DO355">
            <v>11073</v>
          </cell>
          <cell r="DP355">
            <v>0</v>
          </cell>
          <cell r="DQ355">
            <v>0</v>
          </cell>
          <cell r="DR355">
            <v>0</v>
          </cell>
          <cell r="DS355">
            <v>0</v>
          </cell>
          <cell r="DT355">
            <v>22146</v>
          </cell>
          <cell r="DU355">
            <v>0</v>
          </cell>
          <cell r="DW355">
            <v>0</v>
          </cell>
          <cell r="DX355">
            <v>0</v>
          </cell>
          <cell r="DY355">
            <v>4820</v>
          </cell>
          <cell r="DZ355">
            <v>6934</v>
          </cell>
          <cell r="EA355">
            <v>9110</v>
          </cell>
          <cell r="EB355">
            <v>11286</v>
          </cell>
          <cell r="EC355">
            <v>13462</v>
          </cell>
          <cell r="ED355">
            <v>15740</v>
          </cell>
          <cell r="EE355">
            <v>18018</v>
          </cell>
          <cell r="EF355">
            <v>20296</v>
          </cell>
          <cell r="EG355">
            <v>22574</v>
          </cell>
          <cell r="EH355">
            <v>24852</v>
          </cell>
          <cell r="EI355">
            <v>147092</v>
          </cell>
          <cell r="EK355">
            <v>0</v>
          </cell>
          <cell r="EL355">
            <v>0</v>
          </cell>
          <cell r="EM355">
            <v>32.133333333333333</v>
          </cell>
          <cell r="EN355">
            <v>46.226666666666667</v>
          </cell>
          <cell r="EO355">
            <v>60.733333333333327</v>
          </cell>
          <cell r="EP355">
            <v>75.239999999999995</v>
          </cell>
          <cell r="EQ355">
            <v>89.74666666666667</v>
          </cell>
          <cell r="ER355">
            <v>104.93333333333334</v>
          </cell>
          <cell r="ES355">
            <v>129.12899999999999</v>
          </cell>
          <cell r="ET355">
            <v>145.45466666666667</v>
          </cell>
          <cell r="EU355">
            <v>161.78033333333335</v>
          </cell>
          <cell r="EV355">
            <v>178.10599999999999</v>
          </cell>
          <cell r="EW355">
            <v>1023.4833333333333</v>
          </cell>
          <cell r="EY355">
            <v>61352</v>
          </cell>
          <cell r="EZ355">
            <v>8</v>
          </cell>
          <cell r="FA355">
            <v>409.01333333333332</v>
          </cell>
          <cell r="FB355">
            <v>85740</v>
          </cell>
          <cell r="FC355">
            <v>8.6</v>
          </cell>
          <cell r="FD355">
            <v>614.47</v>
          </cell>
          <cell r="FE355">
            <v>1023.4833333333333</v>
          </cell>
          <cell r="FF355">
            <v>25875</v>
          </cell>
          <cell r="FH355">
            <v>25875</v>
          </cell>
        </row>
        <row r="356">
          <cell r="B356">
            <v>9511</v>
          </cell>
          <cell r="C356" t="str">
            <v>05.12.2007</v>
          </cell>
          <cell r="D356" t="str">
            <v>Pagare Sanjay Vasant</v>
          </cell>
          <cell r="F356">
            <v>3045</v>
          </cell>
          <cell r="H356">
            <v>1353</v>
          </cell>
          <cell r="I356">
            <v>1353</v>
          </cell>
          <cell r="J356">
            <v>2706</v>
          </cell>
          <cell r="K356">
            <v>-339</v>
          </cell>
          <cell r="M356">
            <v>1057</v>
          </cell>
          <cell r="N356">
            <v>0</v>
          </cell>
          <cell r="O356">
            <v>1057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W356">
            <v>1057</v>
          </cell>
          <cell r="X356">
            <v>0</v>
          </cell>
          <cell r="Y356">
            <v>1057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G356">
            <v>1088</v>
          </cell>
          <cell r="AH356">
            <v>0</v>
          </cell>
          <cell r="AI356">
            <v>1088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Q356">
            <v>1088</v>
          </cell>
          <cell r="AR356">
            <v>0</v>
          </cell>
          <cell r="AS356">
            <v>1088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BA356">
            <v>1088</v>
          </cell>
          <cell r="BB356">
            <v>0</v>
          </cell>
          <cell r="BC356">
            <v>1088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K356">
            <v>1139</v>
          </cell>
          <cell r="BL356">
            <v>0</v>
          </cell>
          <cell r="BM356">
            <v>1139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>
            <v>0</v>
          </cell>
          <cell r="BS356">
            <v>0</v>
          </cell>
          <cell r="BU356">
            <v>1139</v>
          </cell>
          <cell r="BV356">
            <v>0</v>
          </cell>
          <cell r="BW356">
            <v>1139</v>
          </cell>
          <cell r="BX356">
            <v>0</v>
          </cell>
          <cell r="BY356">
            <v>0</v>
          </cell>
          <cell r="BZ356">
            <v>0</v>
          </cell>
          <cell r="CA356">
            <v>0</v>
          </cell>
          <cell r="CB356">
            <v>0</v>
          </cell>
          <cell r="CC356">
            <v>0</v>
          </cell>
          <cell r="CE356">
            <v>1139</v>
          </cell>
          <cell r="CF356">
            <v>0</v>
          </cell>
          <cell r="CG356">
            <v>1139</v>
          </cell>
          <cell r="CH356">
            <v>0</v>
          </cell>
          <cell r="CI356">
            <v>0</v>
          </cell>
          <cell r="CJ356">
            <v>0</v>
          </cell>
          <cell r="CK356">
            <v>0</v>
          </cell>
          <cell r="CL356">
            <v>0</v>
          </cell>
          <cell r="CM356">
            <v>0</v>
          </cell>
          <cell r="CO356">
            <v>1139</v>
          </cell>
          <cell r="CP356">
            <v>0</v>
          </cell>
          <cell r="CQ356">
            <v>1139</v>
          </cell>
          <cell r="CR356">
            <v>0</v>
          </cell>
          <cell r="CS356">
            <v>0</v>
          </cell>
          <cell r="CT356">
            <v>0</v>
          </cell>
          <cell r="CU356">
            <v>0</v>
          </cell>
          <cell r="CV356">
            <v>0</v>
          </cell>
          <cell r="CW356">
            <v>0</v>
          </cell>
          <cell r="CY356">
            <v>1139</v>
          </cell>
          <cell r="CZ356">
            <v>0</v>
          </cell>
          <cell r="DA356">
            <v>1139</v>
          </cell>
          <cell r="DB356">
            <v>0</v>
          </cell>
          <cell r="DC356">
            <v>0</v>
          </cell>
          <cell r="DD356">
            <v>0</v>
          </cell>
          <cell r="DE356">
            <v>0</v>
          </cell>
          <cell r="DF356">
            <v>0</v>
          </cell>
          <cell r="DG356">
            <v>0</v>
          </cell>
          <cell r="DI356">
            <v>2706</v>
          </cell>
          <cell r="DJ356">
            <v>11073</v>
          </cell>
          <cell r="DK356">
            <v>0</v>
          </cell>
          <cell r="DL356">
            <v>11073</v>
          </cell>
          <cell r="DM356">
            <v>11073</v>
          </cell>
          <cell r="DN356">
            <v>0</v>
          </cell>
          <cell r="DO356">
            <v>11073</v>
          </cell>
          <cell r="DP356">
            <v>0</v>
          </cell>
          <cell r="DQ356">
            <v>0</v>
          </cell>
          <cell r="DR356">
            <v>0</v>
          </cell>
          <cell r="DS356">
            <v>0</v>
          </cell>
          <cell r="DT356">
            <v>22146</v>
          </cell>
          <cell r="DU356">
            <v>0</v>
          </cell>
          <cell r="DW356">
            <v>0</v>
          </cell>
          <cell r="DX356">
            <v>0</v>
          </cell>
          <cell r="DY356">
            <v>4820</v>
          </cell>
          <cell r="DZ356">
            <v>6934</v>
          </cell>
          <cell r="EA356">
            <v>9110</v>
          </cell>
          <cell r="EB356">
            <v>11286</v>
          </cell>
          <cell r="EC356">
            <v>13462</v>
          </cell>
          <cell r="ED356">
            <v>15740</v>
          </cell>
          <cell r="EE356">
            <v>18018</v>
          </cell>
          <cell r="EF356">
            <v>20296</v>
          </cell>
          <cell r="EG356">
            <v>22574</v>
          </cell>
          <cell r="EH356">
            <v>24852</v>
          </cell>
          <cell r="EI356">
            <v>147092</v>
          </cell>
          <cell r="EK356">
            <v>0</v>
          </cell>
          <cell r="EL356">
            <v>0</v>
          </cell>
          <cell r="EM356">
            <v>32.133333333333333</v>
          </cell>
          <cell r="EN356">
            <v>46.226666666666667</v>
          </cell>
          <cell r="EO356">
            <v>60.733333333333327</v>
          </cell>
          <cell r="EP356">
            <v>75.239999999999995</v>
          </cell>
          <cell r="EQ356">
            <v>89.74666666666667</v>
          </cell>
          <cell r="ER356">
            <v>104.93333333333334</v>
          </cell>
          <cell r="ES356">
            <v>129.12899999999999</v>
          </cell>
          <cell r="ET356">
            <v>145.45466666666667</v>
          </cell>
          <cell r="EU356">
            <v>161.78033333333335</v>
          </cell>
          <cell r="EV356">
            <v>178.10599999999999</v>
          </cell>
          <cell r="EW356">
            <v>1023.4833333333333</v>
          </cell>
          <cell r="EY356">
            <v>61352</v>
          </cell>
          <cell r="EZ356">
            <v>8</v>
          </cell>
          <cell r="FA356">
            <v>409.01333333333332</v>
          </cell>
          <cell r="FB356">
            <v>85740</v>
          </cell>
          <cell r="FC356">
            <v>8.6</v>
          </cell>
          <cell r="FD356">
            <v>614.47</v>
          </cell>
          <cell r="FE356">
            <v>1023.4833333333333</v>
          </cell>
          <cell r="FF356">
            <v>25875</v>
          </cell>
          <cell r="FH356">
            <v>25875</v>
          </cell>
        </row>
        <row r="357">
          <cell r="B357">
            <v>9522</v>
          </cell>
          <cell r="C357" t="str">
            <v>05.12.2007</v>
          </cell>
          <cell r="D357" t="str">
            <v>Gohil Sarika Ramesh</v>
          </cell>
          <cell r="F357">
            <v>2030</v>
          </cell>
          <cell r="H357">
            <v>900</v>
          </cell>
          <cell r="I357">
            <v>900</v>
          </cell>
          <cell r="J357">
            <v>1800</v>
          </cell>
          <cell r="K357">
            <v>-230</v>
          </cell>
          <cell r="M357">
            <v>1057</v>
          </cell>
          <cell r="N357">
            <v>0</v>
          </cell>
          <cell r="O357">
            <v>1057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W357">
            <v>1057</v>
          </cell>
          <cell r="X357">
            <v>0</v>
          </cell>
          <cell r="Y357">
            <v>1057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G357">
            <v>1088</v>
          </cell>
          <cell r="AH357">
            <v>0</v>
          </cell>
          <cell r="AI357">
            <v>1088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Q357">
            <v>1088</v>
          </cell>
          <cell r="AR357">
            <v>0</v>
          </cell>
          <cell r="AS357">
            <v>1088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BA357">
            <v>1088</v>
          </cell>
          <cell r="BB357">
            <v>0</v>
          </cell>
          <cell r="BC357">
            <v>1088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K357">
            <v>1139</v>
          </cell>
          <cell r="BL357">
            <v>0</v>
          </cell>
          <cell r="BM357">
            <v>1139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  <cell r="BS357">
            <v>0</v>
          </cell>
          <cell r="BU357">
            <v>1139</v>
          </cell>
          <cell r="BV357">
            <v>0</v>
          </cell>
          <cell r="BW357">
            <v>1139</v>
          </cell>
          <cell r="BX357">
            <v>0</v>
          </cell>
          <cell r="BY357">
            <v>0</v>
          </cell>
          <cell r="BZ357">
            <v>0</v>
          </cell>
          <cell r="CA357">
            <v>0</v>
          </cell>
          <cell r="CB357">
            <v>0</v>
          </cell>
          <cell r="CC357">
            <v>0</v>
          </cell>
          <cell r="CE357">
            <v>1139</v>
          </cell>
          <cell r="CF357">
            <v>0</v>
          </cell>
          <cell r="CG357">
            <v>1139</v>
          </cell>
          <cell r="CH357">
            <v>0</v>
          </cell>
          <cell r="CI357">
            <v>0</v>
          </cell>
          <cell r="CJ357">
            <v>0</v>
          </cell>
          <cell r="CK357">
            <v>0</v>
          </cell>
          <cell r="CL357">
            <v>0</v>
          </cell>
          <cell r="CM357">
            <v>0</v>
          </cell>
          <cell r="CO357">
            <v>1139</v>
          </cell>
          <cell r="CP357">
            <v>0</v>
          </cell>
          <cell r="CQ357">
            <v>1139</v>
          </cell>
          <cell r="CR357">
            <v>0</v>
          </cell>
          <cell r="CS357">
            <v>0</v>
          </cell>
          <cell r="CT357">
            <v>0</v>
          </cell>
          <cell r="CU357">
            <v>0</v>
          </cell>
          <cell r="CV357">
            <v>0</v>
          </cell>
          <cell r="CW357">
            <v>0</v>
          </cell>
          <cell r="CY357">
            <v>1139</v>
          </cell>
          <cell r="CZ357">
            <v>0</v>
          </cell>
          <cell r="DA357">
            <v>1139</v>
          </cell>
          <cell r="DB357">
            <v>0</v>
          </cell>
          <cell r="DC357">
            <v>0</v>
          </cell>
          <cell r="DD357">
            <v>0</v>
          </cell>
          <cell r="DE357">
            <v>0</v>
          </cell>
          <cell r="DF357">
            <v>0</v>
          </cell>
          <cell r="DG357">
            <v>0</v>
          </cell>
          <cell r="DI357">
            <v>1800</v>
          </cell>
          <cell r="DJ357">
            <v>11073</v>
          </cell>
          <cell r="DK357">
            <v>0</v>
          </cell>
          <cell r="DL357">
            <v>11073</v>
          </cell>
          <cell r="DM357">
            <v>11073</v>
          </cell>
          <cell r="DN357">
            <v>0</v>
          </cell>
          <cell r="DO357">
            <v>11073</v>
          </cell>
          <cell r="DP357">
            <v>0</v>
          </cell>
          <cell r="DQ357">
            <v>0</v>
          </cell>
          <cell r="DR357">
            <v>0</v>
          </cell>
          <cell r="DS357">
            <v>0</v>
          </cell>
          <cell r="DT357">
            <v>22146</v>
          </cell>
          <cell r="DU357">
            <v>0</v>
          </cell>
          <cell r="DW357">
            <v>0</v>
          </cell>
          <cell r="DX357">
            <v>0</v>
          </cell>
          <cell r="DY357">
            <v>3914</v>
          </cell>
          <cell r="DZ357">
            <v>6028</v>
          </cell>
          <cell r="EA357">
            <v>8204</v>
          </cell>
          <cell r="EB357">
            <v>10380</v>
          </cell>
          <cell r="EC357">
            <v>12556</v>
          </cell>
          <cell r="ED357">
            <v>14834</v>
          </cell>
          <cell r="EE357">
            <v>17112</v>
          </cell>
          <cell r="EF357">
            <v>19390</v>
          </cell>
          <cell r="EG357">
            <v>21668</v>
          </cell>
          <cell r="EH357">
            <v>23946</v>
          </cell>
          <cell r="EI357">
            <v>138032</v>
          </cell>
          <cell r="EK357">
            <v>0</v>
          </cell>
          <cell r="EL357">
            <v>0</v>
          </cell>
          <cell r="EM357">
            <v>26.093333333333334</v>
          </cell>
          <cell r="EN357">
            <v>40.186666666666667</v>
          </cell>
          <cell r="EO357">
            <v>54.693333333333335</v>
          </cell>
          <cell r="EP357">
            <v>69.2</v>
          </cell>
          <cell r="EQ357">
            <v>83.706666666666663</v>
          </cell>
          <cell r="ER357">
            <v>98.893333333333331</v>
          </cell>
          <cell r="ES357">
            <v>122.63599999999998</v>
          </cell>
          <cell r="ET357">
            <v>138.96166666666667</v>
          </cell>
          <cell r="EU357">
            <v>155.28733333333332</v>
          </cell>
          <cell r="EV357">
            <v>171.61300000000003</v>
          </cell>
          <cell r="EW357">
            <v>961.27133333333336</v>
          </cell>
          <cell r="EY357">
            <v>55916</v>
          </cell>
          <cell r="EZ357">
            <v>8</v>
          </cell>
          <cell r="FA357">
            <v>372.77333333333331</v>
          </cell>
          <cell r="FB357">
            <v>82116</v>
          </cell>
          <cell r="FC357">
            <v>8.6</v>
          </cell>
          <cell r="FD357">
            <v>588.49799999999993</v>
          </cell>
          <cell r="FE357">
            <v>961.27133333333325</v>
          </cell>
          <cell r="FF357">
            <v>24907</v>
          </cell>
          <cell r="FH357">
            <v>24907</v>
          </cell>
        </row>
        <row r="358">
          <cell r="B358">
            <v>9531</v>
          </cell>
          <cell r="C358" t="str">
            <v>05.12.2007</v>
          </cell>
          <cell r="D358" t="str">
            <v>Khambait Sunanda Raghunath</v>
          </cell>
          <cell r="F358">
            <v>1015</v>
          </cell>
          <cell r="H358">
            <v>450</v>
          </cell>
          <cell r="I358">
            <v>450</v>
          </cell>
          <cell r="J358">
            <v>900</v>
          </cell>
          <cell r="K358">
            <v>-115</v>
          </cell>
          <cell r="M358">
            <v>1057</v>
          </cell>
          <cell r="N358">
            <v>0</v>
          </cell>
          <cell r="O358">
            <v>1057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W358">
            <v>1057</v>
          </cell>
          <cell r="X358">
            <v>0</v>
          </cell>
          <cell r="Y358">
            <v>1057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G358">
            <v>1088</v>
          </cell>
          <cell r="AH358">
            <v>0</v>
          </cell>
          <cell r="AI358">
            <v>1088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Q358">
            <v>1088</v>
          </cell>
          <cell r="AR358">
            <v>0</v>
          </cell>
          <cell r="AS358">
            <v>1088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BA358">
            <v>1088</v>
          </cell>
          <cell r="BB358">
            <v>0</v>
          </cell>
          <cell r="BC358">
            <v>1088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K358">
            <v>1139</v>
          </cell>
          <cell r="BL358">
            <v>0</v>
          </cell>
          <cell r="BM358">
            <v>1139</v>
          </cell>
          <cell r="BN358">
            <v>0</v>
          </cell>
          <cell r="BO358">
            <v>0</v>
          </cell>
          <cell r="BP358">
            <v>0</v>
          </cell>
          <cell r="BQ358">
            <v>0</v>
          </cell>
          <cell r="BR358">
            <v>0</v>
          </cell>
          <cell r="BS358">
            <v>0</v>
          </cell>
          <cell r="BU358">
            <v>1139</v>
          </cell>
          <cell r="BV358">
            <v>0</v>
          </cell>
          <cell r="BW358">
            <v>1139</v>
          </cell>
          <cell r="BX358">
            <v>0</v>
          </cell>
          <cell r="BY358">
            <v>0</v>
          </cell>
          <cell r="BZ358">
            <v>0</v>
          </cell>
          <cell r="CA358">
            <v>0</v>
          </cell>
          <cell r="CB358">
            <v>0</v>
          </cell>
          <cell r="CC358">
            <v>0</v>
          </cell>
          <cell r="CE358">
            <v>1139</v>
          </cell>
          <cell r="CF358">
            <v>0</v>
          </cell>
          <cell r="CG358">
            <v>1139</v>
          </cell>
          <cell r="CH358">
            <v>0</v>
          </cell>
          <cell r="CI358">
            <v>0</v>
          </cell>
          <cell r="CJ358">
            <v>0</v>
          </cell>
          <cell r="CK358">
            <v>0</v>
          </cell>
          <cell r="CL358">
            <v>0</v>
          </cell>
          <cell r="CM358">
            <v>0</v>
          </cell>
          <cell r="CO358">
            <v>1139</v>
          </cell>
          <cell r="CP358">
            <v>0</v>
          </cell>
          <cell r="CQ358">
            <v>1139</v>
          </cell>
          <cell r="CR358">
            <v>0</v>
          </cell>
          <cell r="CS358">
            <v>0</v>
          </cell>
          <cell r="CT358">
            <v>0</v>
          </cell>
          <cell r="CU358">
            <v>0</v>
          </cell>
          <cell r="CV358">
            <v>0</v>
          </cell>
          <cell r="CW358">
            <v>0</v>
          </cell>
          <cell r="CY358">
            <v>1139</v>
          </cell>
          <cell r="CZ358">
            <v>0</v>
          </cell>
          <cell r="DA358">
            <v>1139</v>
          </cell>
          <cell r="DB358">
            <v>0</v>
          </cell>
          <cell r="DC358">
            <v>0</v>
          </cell>
          <cell r="DD358">
            <v>0</v>
          </cell>
          <cell r="DE358">
            <v>0</v>
          </cell>
          <cell r="DF358">
            <v>0</v>
          </cell>
          <cell r="DG358">
            <v>0</v>
          </cell>
          <cell r="DI358">
            <v>900</v>
          </cell>
          <cell r="DJ358">
            <v>11073</v>
          </cell>
          <cell r="DK358">
            <v>0</v>
          </cell>
          <cell r="DL358">
            <v>11073</v>
          </cell>
          <cell r="DM358">
            <v>11073</v>
          </cell>
          <cell r="DN358">
            <v>0</v>
          </cell>
          <cell r="DO358">
            <v>11073</v>
          </cell>
          <cell r="DP358">
            <v>0</v>
          </cell>
          <cell r="DQ358">
            <v>0</v>
          </cell>
          <cell r="DR358">
            <v>0</v>
          </cell>
          <cell r="DS358">
            <v>0</v>
          </cell>
          <cell r="DT358">
            <v>22146</v>
          </cell>
          <cell r="DU358">
            <v>0</v>
          </cell>
          <cell r="DW358">
            <v>0</v>
          </cell>
          <cell r="DX358">
            <v>0</v>
          </cell>
          <cell r="DY358">
            <v>3014</v>
          </cell>
          <cell r="DZ358">
            <v>5128</v>
          </cell>
          <cell r="EA358">
            <v>7304</v>
          </cell>
          <cell r="EB358">
            <v>9480</v>
          </cell>
          <cell r="EC358">
            <v>11656</v>
          </cell>
          <cell r="ED358">
            <v>13934</v>
          </cell>
          <cell r="EE358">
            <v>16212</v>
          </cell>
          <cell r="EF358">
            <v>18490</v>
          </cell>
          <cell r="EG358">
            <v>20768</v>
          </cell>
          <cell r="EH358">
            <v>23046</v>
          </cell>
          <cell r="EI358">
            <v>129032</v>
          </cell>
          <cell r="EK358">
            <v>0</v>
          </cell>
          <cell r="EL358">
            <v>0</v>
          </cell>
          <cell r="EM358">
            <v>20.093333333333334</v>
          </cell>
          <cell r="EN358">
            <v>34.186666666666667</v>
          </cell>
          <cell r="EO358">
            <v>48.693333333333335</v>
          </cell>
          <cell r="EP358">
            <v>63.199999999999996</v>
          </cell>
          <cell r="EQ358">
            <v>77.706666666666663</v>
          </cell>
          <cell r="ER358">
            <v>92.893333333333331</v>
          </cell>
          <cell r="ES358">
            <v>116.18599999999998</v>
          </cell>
          <cell r="ET358">
            <v>132.51166666666668</v>
          </cell>
          <cell r="EU358">
            <v>148.83733333333331</v>
          </cell>
          <cell r="EV358">
            <v>165.16300000000001</v>
          </cell>
          <cell r="EW358">
            <v>899.47133333333329</v>
          </cell>
          <cell r="EY358">
            <v>50516</v>
          </cell>
          <cell r="EZ358">
            <v>8</v>
          </cell>
          <cell r="FA358">
            <v>336.77333333333337</v>
          </cell>
          <cell r="FB358">
            <v>78516</v>
          </cell>
          <cell r="FC358">
            <v>8.6</v>
          </cell>
          <cell r="FD358">
            <v>562.69799999999998</v>
          </cell>
          <cell r="FE358">
            <v>899.4713333333334</v>
          </cell>
          <cell r="FF358">
            <v>23945</v>
          </cell>
          <cell r="FH358">
            <v>23945</v>
          </cell>
        </row>
        <row r="359">
          <cell r="B359">
            <v>9534</v>
          </cell>
          <cell r="C359" t="str">
            <v>05.12.2007</v>
          </cell>
          <cell r="D359" t="str">
            <v>Pandav Bakubai Suresh</v>
          </cell>
          <cell r="F359">
            <v>1015</v>
          </cell>
          <cell r="H359">
            <v>450</v>
          </cell>
          <cell r="I359">
            <v>450</v>
          </cell>
          <cell r="J359">
            <v>900</v>
          </cell>
          <cell r="K359">
            <v>-115</v>
          </cell>
          <cell r="M359">
            <v>1057</v>
          </cell>
          <cell r="N359">
            <v>0</v>
          </cell>
          <cell r="O359">
            <v>1057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W359">
            <v>1057</v>
          </cell>
          <cell r="X359">
            <v>0</v>
          </cell>
          <cell r="Y359">
            <v>1057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G359">
            <v>1088</v>
          </cell>
          <cell r="AH359">
            <v>0</v>
          </cell>
          <cell r="AI359">
            <v>1088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Q359">
            <v>1088</v>
          </cell>
          <cell r="AR359">
            <v>0</v>
          </cell>
          <cell r="AS359">
            <v>1088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BA359">
            <v>1088</v>
          </cell>
          <cell r="BB359">
            <v>0</v>
          </cell>
          <cell r="BC359">
            <v>1088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K359">
            <v>1139</v>
          </cell>
          <cell r="BL359">
            <v>0</v>
          </cell>
          <cell r="BM359">
            <v>1139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  <cell r="BS359">
            <v>0</v>
          </cell>
          <cell r="BU359">
            <v>1139</v>
          </cell>
          <cell r="BV359">
            <v>0</v>
          </cell>
          <cell r="BW359">
            <v>1139</v>
          </cell>
          <cell r="BX359">
            <v>0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C359">
            <v>0</v>
          </cell>
          <cell r="CE359">
            <v>1139</v>
          </cell>
          <cell r="CF359">
            <v>0</v>
          </cell>
          <cell r="CG359">
            <v>1139</v>
          </cell>
          <cell r="CH359">
            <v>0</v>
          </cell>
          <cell r="CI359">
            <v>0</v>
          </cell>
          <cell r="CJ359">
            <v>0</v>
          </cell>
          <cell r="CK359">
            <v>0</v>
          </cell>
          <cell r="CL359">
            <v>0</v>
          </cell>
          <cell r="CM359">
            <v>0</v>
          </cell>
          <cell r="CO359">
            <v>1139</v>
          </cell>
          <cell r="CP359">
            <v>0</v>
          </cell>
          <cell r="CQ359">
            <v>1139</v>
          </cell>
          <cell r="CR359">
            <v>0</v>
          </cell>
          <cell r="CS359">
            <v>0</v>
          </cell>
          <cell r="CT359">
            <v>0</v>
          </cell>
          <cell r="CU359">
            <v>0</v>
          </cell>
          <cell r="CV359">
            <v>0</v>
          </cell>
          <cell r="CW359">
            <v>0</v>
          </cell>
          <cell r="CY359">
            <v>1139</v>
          </cell>
          <cell r="CZ359">
            <v>0</v>
          </cell>
          <cell r="DA359">
            <v>1139</v>
          </cell>
          <cell r="DB359">
            <v>0</v>
          </cell>
          <cell r="DC359">
            <v>0</v>
          </cell>
          <cell r="DD359">
            <v>0</v>
          </cell>
          <cell r="DE359">
            <v>0</v>
          </cell>
          <cell r="DF359">
            <v>0</v>
          </cell>
          <cell r="DG359">
            <v>0</v>
          </cell>
          <cell r="DI359">
            <v>900</v>
          </cell>
          <cell r="DJ359">
            <v>11073</v>
          </cell>
          <cell r="DK359">
            <v>0</v>
          </cell>
          <cell r="DL359">
            <v>11073</v>
          </cell>
          <cell r="DM359">
            <v>11073</v>
          </cell>
          <cell r="DN359">
            <v>0</v>
          </cell>
          <cell r="DO359">
            <v>11073</v>
          </cell>
          <cell r="DP359">
            <v>0</v>
          </cell>
          <cell r="DQ359">
            <v>0</v>
          </cell>
          <cell r="DR359">
            <v>0</v>
          </cell>
          <cell r="DS359">
            <v>0</v>
          </cell>
          <cell r="DT359">
            <v>22146</v>
          </cell>
          <cell r="DU359">
            <v>0</v>
          </cell>
          <cell r="DW359">
            <v>0</v>
          </cell>
          <cell r="DX359">
            <v>0</v>
          </cell>
          <cell r="DY359">
            <v>3014</v>
          </cell>
          <cell r="DZ359">
            <v>5128</v>
          </cell>
          <cell r="EA359">
            <v>7304</v>
          </cell>
          <cell r="EB359">
            <v>9480</v>
          </cell>
          <cell r="EC359">
            <v>11656</v>
          </cell>
          <cell r="ED359">
            <v>13934</v>
          </cell>
          <cell r="EE359">
            <v>16212</v>
          </cell>
          <cell r="EF359">
            <v>18490</v>
          </cell>
          <cell r="EG359">
            <v>20768</v>
          </cell>
          <cell r="EH359">
            <v>23046</v>
          </cell>
          <cell r="EI359">
            <v>129032</v>
          </cell>
          <cell r="EK359">
            <v>0</v>
          </cell>
          <cell r="EL359">
            <v>0</v>
          </cell>
          <cell r="EM359">
            <v>20.093333333333334</v>
          </cell>
          <cell r="EN359">
            <v>34.186666666666667</v>
          </cell>
          <cell r="EO359">
            <v>48.693333333333335</v>
          </cell>
          <cell r="EP359">
            <v>63.199999999999996</v>
          </cell>
          <cell r="EQ359">
            <v>77.706666666666663</v>
          </cell>
          <cell r="ER359">
            <v>92.893333333333331</v>
          </cell>
          <cell r="ES359">
            <v>116.18599999999998</v>
          </cell>
          <cell r="ET359">
            <v>132.51166666666668</v>
          </cell>
          <cell r="EU359">
            <v>148.83733333333331</v>
          </cell>
          <cell r="EV359">
            <v>165.16300000000001</v>
          </cell>
          <cell r="EW359">
            <v>899.47133333333329</v>
          </cell>
          <cell r="EY359">
            <v>50516</v>
          </cell>
          <cell r="EZ359">
            <v>8</v>
          </cell>
          <cell r="FA359">
            <v>336.77333333333337</v>
          </cell>
          <cell r="FB359">
            <v>78516</v>
          </cell>
          <cell r="FC359">
            <v>8.6</v>
          </cell>
          <cell r="FD359">
            <v>562.69799999999998</v>
          </cell>
          <cell r="FE359">
            <v>899.4713333333334</v>
          </cell>
          <cell r="FF359">
            <v>23945</v>
          </cell>
          <cell r="FH359">
            <v>23945</v>
          </cell>
        </row>
        <row r="360">
          <cell r="B360">
            <v>9536</v>
          </cell>
          <cell r="C360" t="str">
            <v>05.12.2007</v>
          </cell>
          <cell r="D360" t="str">
            <v>Thavari Yogeshkumar Balwantsingh</v>
          </cell>
          <cell r="F360">
            <v>1015</v>
          </cell>
          <cell r="H360">
            <v>450</v>
          </cell>
          <cell r="I360">
            <v>450</v>
          </cell>
          <cell r="J360">
            <v>900</v>
          </cell>
          <cell r="K360">
            <v>-115</v>
          </cell>
          <cell r="M360">
            <v>1057</v>
          </cell>
          <cell r="N360">
            <v>0</v>
          </cell>
          <cell r="O360">
            <v>1057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W360">
            <v>1057</v>
          </cell>
          <cell r="X360">
            <v>0</v>
          </cell>
          <cell r="Y360">
            <v>1057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G360">
            <v>1088</v>
          </cell>
          <cell r="AH360">
            <v>0</v>
          </cell>
          <cell r="AI360">
            <v>1088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Q360">
            <v>1088</v>
          </cell>
          <cell r="AR360">
            <v>0</v>
          </cell>
          <cell r="AS360">
            <v>1088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BA360">
            <v>1088</v>
          </cell>
          <cell r="BB360">
            <v>0</v>
          </cell>
          <cell r="BC360">
            <v>1088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K360">
            <v>1139</v>
          </cell>
          <cell r="BL360">
            <v>0</v>
          </cell>
          <cell r="BM360">
            <v>1139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  <cell r="BS360">
            <v>0</v>
          </cell>
          <cell r="BU360">
            <v>1139</v>
          </cell>
          <cell r="BV360">
            <v>0</v>
          </cell>
          <cell r="BW360">
            <v>1139</v>
          </cell>
          <cell r="BX360">
            <v>0</v>
          </cell>
          <cell r="BY360">
            <v>0</v>
          </cell>
          <cell r="BZ360">
            <v>0</v>
          </cell>
          <cell r="CA360">
            <v>0</v>
          </cell>
          <cell r="CB360">
            <v>0</v>
          </cell>
          <cell r="CC360">
            <v>0</v>
          </cell>
          <cell r="CE360">
            <v>1139</v>
          </cell>
          <cell r="CF360">
            <v>0</v>
          </cell>
          <cell r="CG360">
            <v>1139</v>
          </cell>
          <cell r="CH360">
            <v>0</v>
          </cell>
          <cell r="CI360">
            <v>0</v>
          </cell>
          <cell r="CJ360">
            <v>0</v>
          </cell>
          <cell r="CK360">
            <v>0</v>
          </cell>
          <cell r="CL360">
            <v>0</v>
          </cell>
          <cell r="CM360">
            <v>0</v>
          </cell>
          <cell r="CO360">
            <v>1139</v>
          </cell>
          <cell r="CP360">
            <v>0</v>
          </cell>
          <cell r="CQ360">
            <v>1139</v>
          </cell>
          <cell r="CR360">
            <v>0</v>
          </cell>
          <cell r="CS360">
            <v>0</v>
          </cell>
          <cell r="CT360">
            <v>0</v>
          </cell>
          <cell r="CU360">
            <v>0</v>
          </cell>
          <cell r="CV360">
            <v>0</v>
          </cell>
          <cell r="CW360">
            <v>0</v>
          </cell>
          <cell r="CY360">
            <v>1139</v>
          </cell>
          <cell r="CZ360">
            <v>0</v>
          </cell>
          <cell r="DA360">
            <v>1139</v>
          </cell>
          <cell r="DB360">
            <v>0</v>
          </cell>
          <cell r="DC360">
            <v>0</v>
          </cell>
          <cell r="DD360">
            <v>0</v>
          </cell>
          <cell r="DE360">
            <v>0</v>
          </cell>
          <cell r="DF360">
            <v>0</v>
          </cell>
          <cell r="DG360">
            <v>0</v>
          </cell>
          <cell r="DI360">
            <v>900</v>
          </cell>
          <cell r="DJ360">
            <v>11073</v>
          </cell>
          <cell r="DK360">
            <v>0</v>
          </cell>
          <cell r="DL360">
            <v>11073</v>
          </cell>
          <cell r="DM360">
            <v>11073</v>
          </cell>
          <cell r="DN360">
            <v>0</v>
          </cell>
          <cell r="DO360">
            <v>11073</v>
          </cell>
          <cell r="DP360">
            <v>0</v>
          </cell>
          <cell r="DQ360">
            <v>0</v>
          </cell>
          <cell r="DR360">
            <v>0</v>
          </cell>
          <cell r="DS360">
            <v>0</v>
          </cell>
          <cell r="DT360">
            <v>22146</v>
          </cell>
          <cell r="DU360">
            <v>0</v>
          </cell>
          <cell r="DW360">
            <v>0</v>
          </cell>
          <cell r="DX360">
            <v>0</v>
          </cell>
          <cell r="DY360">
            <v>3014</v>
          </cell>
          <cell r="DZ360">
            <v>5128</v>
          </cell>
          <cell r="EA360">
            <v>7304</v>
          </cell>
          <cell r="EB360">
            <v>9480</v>
          </cell>
          <cell r="EC360">
            <v>11656</v>
          </cell>
          <cell r="ED360">
            <v>13934</v>
          </cell>
          <cell r="EE360">
            <v>16212</v>
          </cell>
          <cell r="EF360">
            <v>18490</v>
          </cell>
          <cell r="EG360">
            <v>20768</v>
          </cell>
          <cell r="EH360">
            <v>23046</v>
          </cell>
          <cell r="EI360">
            <v>129032</v>
          </cell>
          <cell r="EK360">
            <v>0</v>
          </cell>
          <cell r="EL360">
            <v>0</v>
          </cell>
          <cell r="EM360">
            <v>20.093333333333334</v>
          </cell>
          <cell r="EN360">
            <v>34.186666666666667</v>
          </cell>
          <cell r="EO360">
            <v>48.693333333333335</v>
          </cell>
          <cell r="EP360">
            <v>63.199999999999996</v>
          </cell>
          <cell r="EQ360">
            <v>77.706666666666663</v>
          </cell>
          <cell r="ER360">
            <v>92.893333333333331</v>
          </cell>
          <cell r="ES360">
            <v>116.18599999999998</v>
          </cell>
          <cell r="ET360">
            <v>132.51166666666668</v>
          </cell>
          <cell r="EU360">
            <v>148.83733333333331</v>
          </cell>
          <cell r="EV360">
            <v>165.16300000000001</v>
          </cell>
          <cell r="EW360">
            <v>899.47133333333329</v>
          </cell>
          <cell r="EY360">
            <v>50516</v>
          </cell>
          <cell r="EZ360">
            <v>8</v>
          </cell>
          <cell r="FA360">
            <v>336.77333333333337</v>
          </cell>
          <cell r="FB360">
            <v>78516</v>
          </cell>
          <cell r="FC360">
            <v>8.6</v>
          </cell>
          <cell r="FD360">
            <v>562.69799999999998</v>
          </cell>
          <cell r="FE360">
            <v>899.4713333333334</v>
          </cell>
          <cell r="FF360">
            <v>23945</v>
          </cell>
          <cell r="FH360">
            <v>23945</v>
          </cell>
        </row>
        <row r="361">
          <cell r="B361">
            <v>9515</v>
          </cell>
          <cell r="C361" t="str">
            <v>10.12.2007</v>
          </cell>
          <cell r="D361" t="str">
            <v>Lahori Surendrasingh Amarsingh</v>
          </cell>
          <cell r="F361">
            <v>3045</v>
          </cell>
          <cell r="H361">
            <v>5453</v>
          </cell>
          <cell r="I361">
            <v>5453</v>
          </cell>
          <cell r="J361">
            <v>10906</v>
          </cell>
          <cell r="K361">
            <v>7861</v>
          </cell>
          <cell r="M361">
            <v>1057</v>
          </cell>
          <cell r="N361">
            <v>0</v>
          </cell>
          <cell r="O361">
            <v>1057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W361">
            <v>1057</v>
          </cell>
          <cell r="X361">
            <v>0</v>
          </cell>
          <cell r="Y361">
            <v>1057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G361">
            <v>1088</v>
          </cell>
          <cell r="AH361">
            <v>0</v>
          </cell>
          <cell r="AI361">
            <v>1088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Q361">
            <v>1088</v>
          </cell>
          <cell r="AR361">
            <v>0</v>
          </cell>
          <cell r="AS361">
            <v>1088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BA361">
            <v>1088</v>
          </cell>
          <cell r="BB361">
            <v>0</v>
          </cell>
          <cell r="BC361">
            <v>1088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K361">
            <v>1139</v>
          </cell>
          <cell r="BL361">
            <v>0</v>
          </cell>
          <cell r="BM361">
            <v>1139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U361">
            <v>1139</v>
          </cell>
          <cell r="BV361">
            <v>0</v>
          </cell>
          <cell r="BW361">
            <v>1139</v>
          </cell>
          <cell r="BX361">
            <v>0</v>
          </cell>
          <cell r="BY361">
            <v>0</v>
          </cell>
          <cell r="BZ361">
            <v>0</v>
          </cell>
          <cell r="CA361">
            <v>0</v>
          </cell>
          <cell r="CB361">
            <v>0</v>
          </cell>
          <cell r="CC361">
            <v>0</v>
          </cell>
          <cell r="CE361">
            <v>1139</v>
          </cell>
          <cell r="CF361">
            <v>0</v>
          </cell>
          <cell r="CG361">
            <v>1139</v>
          </cell>
          <cell r="CH361">
            <v>0</v>
          </cell>
          <cell r="CI361">
            <v>0</v>
          </cell>
          <cell r="CJ361">
            <v>0</v>
          </cell>
          <cell r="CK361">
            <v>0</v>
          </cell>
          <cell r="CL361">
            <v>0</v>
          </cell>
          <cell r="CM361">
            <v>0</v>
          </cell>
          <cell r="CO361">
            <v>1139</v>
          </cell>
          <cell r="CP361">
            <v>0</v>
          </cell>
          <cell r="CQ361">
            <v>1139</v>
          </cell>
          <cell r="CR361">
            <v>0</v>
          </cell>
          <cell r="CS361">
            <v>0</v>
          </cell>
          <cell r="CT361">
            <v>0</v>
          </cell>
          <cell r="CU361">
            <v>0</v>
          </cell>
          <cell r="CV361">
            <v>0</v>
          </cell>
          <cell r="CW361">
            <v>0</v>
          </cell>
          <cell r="CY361">
            <v>1139</v>
          </cell>
          <cell r="CZ361">
            <v>0</v>
          </cell>
          <cell r="DA361">
            <v>1139</v>
          </cell>
          <cell r="DB361">
            <v>0</v>
          </cell>
          <cell r="DC361">
            <v>0</v>
          </cell>
          <cell r="DD361">
            <v>0</v>
          </cell>
          <cell r="DE361">
            <v>0</v>
          </cell>
          <cell r="DF361">
            <v>0</v>
          </cell>
          <cell r="DG361">
            <v>0</v>
          </cell>
          <cell r="DI361">
            <v>10906</v>
          </cell>
          <cell r="DJ361">
            <v>11073</v>
          </cell>
          <cell r="DK361">
            <v>0</v>
          </cell>
          <cell r="DL361">
            <v>11073</v>
          </cell>
          <cell r="DM361">
            <v>11073</v>
          </cell>
          <cell r="DN361">
            <v>0</v>
          </cell>
          <cell r="DO361">
            <v>11073</v>
          </cell>
          <cell r="DP361">
            <v>0</v>
          </cell>
          <cell r="DQ361">
            <v>0</v>
          </cell>
          <cell r="DR361">
            <v>0</v>
          </cell>
          <cell r="DS361">
            <v>0</v>
          </cell>
          <cell r="DT361">
            <v>22146</v>
          </cell>
          <cell r="DU361">
            <v>0</v>
          </cell>
          <cell r="DW361">
            <v>0</v>
          </cell>
          <cell r="DX361">
            <v>0</v>
          </cell>
          <cell r="DY361">
            <v>13020</v>
          </cell>
          <cell r="DZ361">
            <v>15134</v>
          </cell>
          <cell r="EA361">
            <v>17310</v>
          </cell>
          <cell r="EB361">
            <v>19486</v>
          </cell>
          <cell r="EC361">
            <v>21662</v>
          </cell>
          <cell r="ED361">
            <v>23940</v>
          </cell>
          <cell r="EE361">
            <v>26218</v>
          </cell>
          <cell r="EF361">
            <v>28496</v>
          </cell>
          <cell r="EG361">
            <v>30774</v>
          </cell>
          <cell r="EH361">
            <v>33052</v>
          </cell>
          <cell r="EI361">
            <v>229092</v>
          </cell>
          <cell r="EK361">
            <v>0</v>
          </cell>
          <cell r="EL361">
            <v>0</v>
          </cell>
          <cell r="EM361">
            <v>86.8</v>
          </cell>
          <cell r="EN361">
            <v>100.89333333333333</v>
          </cell>
          <cell r="EO361">
            <v>115.39999999999999</v>
          </cell>
          <cell r="EP361">
            <v>129.90666666666667</v>
          </cell>
          <cell r="EQ361">
            <v>144.41333333333333</v>
          </cell>
          <cell r="ER361">
            <v>159.6</v>
          </cell>
          <cell r="ES361">
            <v>187.89566666666667</v>
          </cell>
          <cell r="ET361">
            <v>204.22133333333332</v>
          </cell>
          <cell r="EU361">
            <v>220.547</v>
          </cell>
          <cell r="EV361">
            <v>236.87266666666667</v>
          </cell>
          <cell r="EW361">
            <v>1586.55</v>
          </cell>
          <cell r="EY361">
            <v>110552</v>
          </cell>
          <cell r="EZ361">
            <v>8</v>
          </cell>
          <cell r="FA361">
            <v>737.01333333333332</v>
          </cell>
          <cell r="FB361">
            <v>118540</v>
          </cell>
          <cell r="FC361">
            <v>8.6</v>
          </cell>
          <cell r="FD361">
            <v>849.53666666666675</v>
          </cell>
          <cell r="FE361">
            <v>1586.5500000000002</v>
          </cell>
          <cell r="FF361">
            <v>34639</v>
          </cell>
          <cell r="FH361">
            <v>34639</v>
          </cell>
        </row>
        <row r="362">
          <cell r="B362">
            <v>9530</v>
          </cell>
          <cell r="C362" t="str">
            <v>10.12.2007</v>
          </cell>
          <cell r="D362" t="str">
            <v>Revar Mahesh Kalidas</v>
          </cell>
          <cell r="F362">
            <v>1015</v>
          </cell>
          <cell r="H362">
            <v>450</v>
          </cell>
          <cell r="I362">
            <v>450</v>
          </cell>
          <cell r="J362">
            <v>900</v>
          </cell>
          <cell r="K362">
            <v>-115</v>
          </cell>
          <cell r="M362">
            <v>1057</v>
          </cell>
          <cell r="N362">
            <v>0</v>
          </cell>
          <cell r="O362">
            <v>1057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W362">
            <v>1057</v>
          </cell>
          <cell r="X362">
            <v>0</v>
          </cell>
          <cell r="Y362">
            <v>1057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G362">
            <v>1088</v>
          </cell>
          <cell r="AH362">
            <v>0</v>
          </cell>
          <cell r="AI362">
            <v>1088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Q362">
            <v>1088</v>
          </cell>
          <cell r="AR362">
            <v>0</v>
          </cell>
          <cell r="AS362">
            <v>1088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BA362">
            <v>1088</v>
          </cell>
          <cell r="BB362">
            <v>0</v>
          </cell>
          <cell r="BC362">
            <v>1088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K362">
            <v>1139</v>
          </cell>
          <cell r="BL362">
            <v>0</v>
          </cell>
          <cell r="BM362">
            <v>1139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U362">
            <v>1139</v>
          </cell>
          <cell r="BV362">
            <v>0</v>
          </cell>
          <cell r="BW362">
            <v>1139</v>
          </cell>
          <cell r="BX362">
            <v>0</v>
          </cell>
          <cell r="BY362">
            <v>0</v>
          </cell>
          <cell r="BZ362">
            <v>0</v>
          </cell>
          <cell r="CA362">
            <v>0</v>
          </cell>
          <cell r="CB362">
            <v>0</v>
          </cell>
          <cell r="CC362">
            <v>0</v>
          </cell>
          <cell r="CE362">
            <v>1139</v>
          </cell>
          <cell r="CF362">
            <v>0</v>
          </cell>
          <cell r="CG362">
            <v>1139</v>
          </cell>
          <cell r="CH362">
            <v>0</v>
          </cell>
          <cell r="CI362">
            <v>0</v>
          </cell>
          <cell r="CJ362">
            <v>0</v>
          </cell>
          <cell r="CK362">
            <v>0</v>
          </cell>
          <cell r="CL362">
            <v>0</v>
          </cell>
          <cell r="CM362">
            <v>0</v>
          </cell>
          <cell r="CO362">
            <v>1139</v>
          </cell>
          <cell r="CP362">
            <v>0</v>
          </cell>
          <cell r="CQ362">
            <v>1139</v>
          </cell>
          <cell r="CR362">
            <v>0</v>
          </cell>
          <cell r="CS362">
            <v>0</v>
          </cell>
          <cell r="CT362">
            <v>0</v>
          </cell>
          <cell r="CU362">
            <v>0</v>
          </cell>
          <cell r="CV362">
            <v>0</v>
          </cell>
          <cell r="CW362">
            <v>0</v>
          </cell>
          <cell r="CY362">
            <v>1139</v>
          </cell>
          <cell r="CZ362">
            <v>0</v>
          </cell>
          <cell r="DA362">
            <v>1139</v>
          </cell>
          <cell r="DB362">
            <v>0</v>
          </cell>
          <cell r="DC362">
            <v>0</v>
          </cell>
          <cell r="DD362">
            <v>0</v>
          </cell>
          <cell r="DE362">
            <v>0</v>
          </cell>
          <cell r="DF362">
            <v>0</v>
          </cell>
          <cell r="DG362">
            <v>0</v>
          </cell>
          <cell r="DI362">
            <v>900</v>
          </cell>
          <cell r="DJ362">
            <v>11073</v>
          </cell>
          <cell r="DK362">
            <v>0</v>
          </cell>
          <cell r="DL362">
            <v>11073</v>
          </cell>
          <cell r="DM362">
            <v>11073</v>
          </cell>
          <cell r="DN362">
            <v>0</v>
          </cell>
          <cell r="DO362">
            <v>11073</v>
          </cell>
          <cell r="DP362">
            <v>0</v>
          </cell>
          <cell r="DQ362">
            <v>0</v>
          </cell>
          <cell r="DR362">
            <v>0</v>
          </cell>
          <cell r="DS362">
            <v>0</v>
          </cell>
          <cell r="DT362">
            <v>22146</v>
          </cell>
          <cell r="DU362">
            <v>0</v>
          </cell>
          <cell r="DW362">
            <v>0</v>
          </cell>
          <cell r="DX362">
            <v>0</v>
          </cell>
          <cell r="DY362">
            <v>3014</v>
          </cell>
          <cell r="DZ362">
            <v>5128</v>
          </cell>
          <cell r="EA362">
            <v>7304</v>
          </cell>
          <cell r="EB362">
            <v>9480</v>
          </cell>
          <cell r="EC362">
            <v>11656</v>
          </cell>
          <cell r="ED362">
            <v>13934</v>
          </cell>
          <cell r="EE362">
            <v>16212</v>
          </cell>
          <cell r="EF362">
            <v>18490</v>
          </cell>
          <cell r="EG362">
            <v>20768</v>
          </cell>
          <cell r="EH362">
            <v>23046</v>
          </cell>
          <cell r="EI362">
            <v>129032</v>
          </cell>
          <cell r="EK362">
            <v>0</v>
          </cell>
          <cell r="EL362">
            <v>0</v>
          </cell>
          <cell r="EM362">
            <v>20.093333333333334</v>
          </cell>
          <cell r="EN362">
            <v>34.186666666666667</v>
          </cell>
          <cell r="EO362">
            <v>48.693333333333335</v>
          </cell>
          <cell r="EP362">
            <v>63.199999999999996</v>
          </cell>
          <cell r="EQ362">
            <v>77.706666666666663</v>
          </cell>
          <cell r="ER362">
            <v>92.893333333333331</v>
          </cell>
          <cell r="ES362">
            <v>116.18599999999998</v>
          </cell>
          <cell r="ET362">
            <v>132.51166666666668</v>
          </cell>
          <cell r="EU362">
            <v>148.83733333333331</v>
          </cell>
          <cell r="EV362">
            <v>165.16300000000001</v>
          </cell>
          <cell r="EW362">
            <v>899.47133333333329</v>
          </cell>
          <cell r="EY362">
            <v>50516</v>
          </cell>
          <cell r="EZ362">
            <v>8</v>
          </cell>
          <cell r="FA362">
            <v>336.77333333333337</v>
          </cell>
          <cell r="FB362">
            <v>78516</v>
          </cell>
          <cell r="FC362">
            <v>8.6</v>
          </cell>
          <cell r="FD362">
            <v>562.69799999999998</v>
          </cell>
          <cell r="FE362">
            <v>899.4713333333334</v>
          </cell>
          <cell r="FF362">
            <v>23945</v>
          </cell>
          <cell r="FH362">
            <v>23945</v>
          </cell>
        </row>
        <row r="363">
          <cell r="B363">
            <v>9516</v>
          </cell>
          <cell r="C363" t="str">
            <v>11.12.2007</v>
          </cell>
          <cell r="D363" t="str">
            <v>Ranshur Sunil Keru</v>
          </cell>
          <cell r="F363">
            <v>2030</v>
          </cell>
          <cell r="H363">
            <v>900</v>
          </cell>
          <cell r="I363">
            <v>900</v>
          </cell>
          <cell r="J363">
            <v>1800</v>
          </cell>
          <cell r="K363">
            <v>-230</v>
          </cell>
          <cell r="M363">
            <v>1057</v>
          </cell>
          <cell r="N363">
            <v>0</v>
          </cell>
          <cell r="O363">
            <v>1057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W363">
            <v>1057</v>
          </cell>
          <cell r="X363">
            <v>0</v>
          </cell>
          <cell r="Y363">
            <v>1057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G363">
            <v>1088</v>
          </cell>
          <cell r="AH363">
            <v>0</v>
          </cell>
          <cell r="AI363">
            <v>1088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Q363">
            <v>1088</v>
          </cell>
          <cell r="AR363">
            <v>0</v>
          </cell>
          <cell r="AS363">
            <v>1088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BA363">
            <v>1088</v>
          </cell>
          <cell r="BB363">
            <v>0</v>
          </cell>
          <cell r="BC363">
            <v>1088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K363">
            <v>1139</v>
          </cell>
          <cell r="BL363">
            <v>0</v>
          </cell>
          <cell r="BM363">
            <v>1139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U363">
            <v>1139</v>
          </cell>
          <cell r="BV363">
            <v>0</v>
          </cell>
          <cell r="BW363">
            <v>1139</v>
          </cell>
          <cell r="BX363">
            <v>0</v>
          </cell>
          <cell r="BY363">
            <v>0</v>
          </cell>
          <cell r="BZ363">
            <v>0</v>
          </cell>
          <cell r="CA363">
            <v>0</v>
          </cell>
          <cell r="CB363">
            <v>0</v>
          </cell>
          <cell r="CC363">
            <v>0</v>
          </cell>
          <cell r="CE363">
            <v>1139</v>
          </cell>
          <cell r="CF363">
            <v>0</v>
          </cell>
          <cell r="CG363">
            <v>1139</v>
          </cell>
          <cell r="CH363">
            <v>0</v>
          </cell>
          <cell r="CI363">
            <v>0</v>
          </cell>
          <cell r="CJ363">
            <v>0</v>
          </cell>
          <cell r="CK363">
            <v>0</v>
          </cell>
          <cell r="CL363">
            <v>0</v>
          </cell>
          <cell r="CM363">
            <v>0</v>
          </cell>
          <cell r="CO363">
            <v>1139</v>
          </cell>
          <cell r="CP363">
            <v>0</v>
          </cell>
          <cell r="CQ363">
            <v>1139</v>
          </cell>
          <cell r="CR363">
            <v>0</v>
          </cell>
          <cell r="CS363">
            <v>0</v>
          </cell>
          <cell r="CT363">
            <v>0</v>
          </cell>
          <cell r="CU363">
            <v>0</v>
          </cell>
          <cell r="CV363">
            <v>0</v>
          </cell>
          <cell r="CW363">
            <v>0</v>
          </cell>
          <cell r="CY363">
            <v>1139</v>
          </cell>
          <cell r="CZ363">
            <v>0</v>
          </cell>
          <cell r="DA363">
            <v>1139</v>
          </cell>
          <cell r="DB363">
            <v>0</v>
          </cell>
          <cell r="DC363">
            <v>0</v>
          </cell>
          <cell r="DD363">
            <v>0</v>
          </cell>
          <cell r="DE363">
            <v>0</v>
          </cell>
          <cell r="DF363">
            <v>0</v>
          </cell>
          <cell r="DG363">
            <v>0</v>
          </cell>
          <cell r="DI363">
            <v>1800</v>
          </cell>
          <cell r="DJ363">
            <v>11073</v>
          </cell>
          <cell r="DK363">
            <v>0</v>
          </cell>
          <cell r="DL363">
            <v>11073</v>
          </cell>
          <cell r="DM363">
            <v>11073</v>
          </cell>
          <cell r="DN363">
            <v>0</v>
          </cell>
          <cell r="DO363">
            <v>11073</v>
          </cell>
          <cell r="DP363">
            <v>0</v>
          </cell>
          <cell r="DQ363">
            <v>0</v>
          </cell>
          <cell r="DR363">
            <v>0</v>
          </cell>
          <cell r="DS363">
            <v>0</v>
          </cell>
          <cell r="DT363">
            <v>22146</v>
          </cell>
          <cell r="DU363">
            <v>0</v>
          </cell>
          <cell r="DW363">
            <v>0</v>
          </cell>
          <cell r="DX363">
            <v>0</v>
          </cell>
          <cell r="DY363">
            <v>3914</v>
          </cell>
          <cell r="DZ363">
            <v>6028</v>
          </cell>
          <cell r="EA363">
            <v>8204</v>
          </cell>
          <cell r="EB363">
            <v>10380</v>
          </cell>
          <cell r="EC363">
            <v>12556</v>
          </cell>
          <cell r="ED363">
            <v>14834</v>
          </cell>
          <cell r="EE363">
            <v>17112</v>
          </cell>
          <cell r="EF363">
            <v>19390</v>
          </cell>
          <cell r="EG363">
            <v>21668</v>
          </cell>
          <cell r="EH363">
            <v>23946</v>
          </cell>
          <cell r="EI363">
            <v>138032</v>
          </cell>
          <cell r="EK363">
            <v>0</v>
          </cell>
          <cell r="EL363">
            <v>0</v>
          </cell>
          <cell r="EM363">
            <v>26.093333333333334</v>
          </cell>
          <cell r="EN363">
            <v>40.186666666666667</v>
          </cell>
          <cell r="EO363">
            <v>54.693333333333335</v>
          </cell>
          <cell r="EP363">
            <v>69.2</v>
          </cell>
          <cell r="EQ363">
            <v>83.706666666666663</v>
          </cell>
          <cell r="ER363">
            <v>98.893333333333331</v>
          </cell>
          <cell r="ES363">
            <v>122.63599999999998</v>
          </cell>
          <cell r="ET363">
            <v>138.96166666666667</v>
          </cell>
          <cell r="EU363">
            <v>155.28733333333332</v>
          </cell>
          <cell r="EV363">
            <v>171.61300000000003</v>
          </cell>
          <cell r="EW363">
            <v>961.27133333333336</v>
          </cell>
          <cell r="EY363">
            <v>55916</v>
          </cell>
          <cell r="EZ363">
            <v>8</v>
          </cell>
          <cell r="FA363">
            <v>372.77333333333331</v>
          </cell>
          <cell r="FB363">
            <v>82116</v>
          </cell>
          <cell r="FC363">
            <v>8.6</v>
          </cell>
          <cell r="FD363">
            <v>588.49799999999993</v>
          </cell>
          <cell r="FE363">
            <v>961.27133333333325</v>
          </cell>
          <cell r="FF363">
            <v>24907</v>
          </cell>
          <cell r="FH363">
            <v>24907</v>
          </cell>
        </row>
        <row r="364">
          <cell r="B364">
            <v>9518</v>
          </cell>
          <cell r="C364" t="str">
            <v>11.12.2007</v>
          </cell>
          <cell r="D364" t="str">
            <v>Kale Sandeep Gajanan</v>
          </cell>
          <cell r="F364">
            <v>2030</v>
          </cell>
          <cell r="H364">
            <v>900</v>
          </cell>
          <cell r="I364">
            <v>900</v>
          </cell>
          <cell r="J364">
            <v>1800</v>
          </cell>
          <cell r="K364">
            <v>-230</v>
          </cell>
          <cell r="M364">
            <v>1057</v>
          </cell>
          <cell r="N364">
            <v>0</v>
          </cell>
          <cell r="O364">
            <v>1057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W364">
            <v>1057</v>
          </cell>
          <cell r="X364">
            <v>0</v>
          </cell>
          <cell r="Y364">
            <v>1057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G364">
            <v>1088</v>
          </cell>
          <cell r="AH364">
            <v>0</v>
          </cell>
          <cell r="AI364">
            <v>1088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Q364">
            <v>1088</v>
          </cell>
          <cell r="AR364">
            <v>0</v>
          </cell>
          <cell r="AS364">
            <v>1088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BA364">
            <v>1088</v>
          </cell>
          <cell r="BB364">
            <v>0</v>
          </cell>
          <cell r="BC364">
            <v>1088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K364">
            <v>1139</v>
          </cell>
          <cell r="BL364">
            <v>0</v>
          </cell>
          <cell r="BM364">
            <v>1139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U364">
            <v>1139</v>
          </cell>
          <cell r="BV364">
            <v>0</v>
          </cell>
          <cell r="BW364">
            <v>1139</v>
          </cell>
          <cell r="BX364">
            <v>0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C364">
            <v>0</v>
          </cell>
          <cell r="CE364">
            <v>1139</v>
          </cell>
          <cell r="CF364">
            <v>0</v>
          </cell>
          <cell r="CG364">
            <v>1139</v>
          </cell>
          <cell r="CH364">
            <v>0</v>
          </cell>
          <cell r="CI364">
            <v>0</v>
          </cell>
          <cell r="CJ364">
            <v>0</v>
          </cell>
          <cell r="CK364">
            <v>0</v>
          </cell>
          <cell r="CL364">
            <v>0</v>
          </cell>
          <cell r="CM364">
            <v>0</v>
          </cell>
          <cell r="CO364">
            <v>1139</v>
          </cell>
          <cell r="CP364">
            <v>0</v>
          </cell>
          <cell r="CQ364">
            <v>1139</v>
          </cell>
          <cell r="CR364">
            <v>0</v>
          </cell>
          <cell r="CS364">
            <v>0</v>
          </cell>
          <cell r="CT364">
            <v>0</v>
          </cell>
          <cell r="CU364">
            <v>0</v>
          </cell>
          <cell r="CV364">
            <v>0</v>
          </cell>
          <cell r="CW364">
            <v>0</v>
          </cell>
          <cell r="CY364">
            <v>1139</v>
          </cell>
          <cell r="CZ364">
            <v>0</v>
          </cell>
          <cell r="DA364">
            <v>1139</v>
          </cell>
          <cell r="DB364">
            <v>0</v>
          </cell>
          <cell r="DC364">
            <v>0</v>
          </cell>
          <cell r="DD364">
            <v>0</v>
          </cell>
          <cell r="DE364">
            <v>0</v>
          </cell>
          <cell r="DF364">
            <v>0</v>
          </cell>
          <cell r="DG364">
            <v>0</v>
          </cell>
          <cell r="DI364">
            <v>1800</v>
          </cell>
          <cell r="DJ364">
            <v>11073</v>
          </cell>
          <cell r="DK364">
            <v>0</v>
          </cell>
          <cell r="DL364">
            <v>11073</v>
          </cell>
          <cell r="DM364">
            <v>11073</v>
          </cell>
          <cell r="DN364">
            <v>0</v>
          </cell>
          <cell r="DO364">
            <v>11073</v>
          </cell>
          <cell r="DP364">
            <v>0</v>
          </cell>
          <cell r="DQ364">
            <v>0</v>
          </cell>
          <cell r="DR364">
            <v>0</v>
          </cell>
          <cell r="DS364">
            <v>0</v>
          </cell>
          <cell r="DT364">
            <v>22146</v>
          </cell>
          <cell r="DU364">
            <v>0</v>
          </cell>
          <cell r="DW364">
            <v>0</v>
          </cell>
          <cell r="DX364">
            <v>0</v>
          </cell>
          <cell r="DY364">
            <v>3914</v>
          </cell>
          <cell r="DZ364">
            <v>6028</v>
          </cell>
          <cell r="EA364">
            <v>8204</v>
          </cell>
          <cell r="EB364">
            <v>10380</v>
          </cell>
          <cell r="EC364">
            <v>12556</v>
          </cell>
          <cell r="ED364">
            <v>14834</v>
          </cell>
          <cell r="EE364">
            <v>17112</v>
          </cell>
          <cell r="EF364">
            <v>19390</v>
          </cell>
          <cell r="EG364">
            <v>21668</v>
          </cell>
          <cell r="EH364">
            <v>23946</v>
          </cell>
          <cell r="EI364">
            <v>138032</v>
          </cell>
          <cell r="EK364">
            <v>0</v>
          </cell>
          <cell r="EL364">
            <v>0</v>
          </cell>
          <cell r="EM364">
            <v>26.093333333333334</v>
          </cell>
          <cell r="EN364">
            <v>40.186666666666667</v>
          </cell>
          <cell r="EO364">
            <v>54.693333333333335</v>
          </cell>
          <cell r="EP364">
            <v>69.2</v>
          </cell>
          <cell r="EQ364">
            <v>83.706666666666663</v>
          </cell>
          <cell r="ER364">
            <v>98.893333333333331</v>
          </cell>
          <cell r="ES364">
            <v>122.63599999999998</v>
          </cell>
          <cell r="ET364">
            <v>138.96166666666667</v>
          </cell>
          <cell r="EU364">
            <v>155.28733333333332</v>
          </cell>
          <cell r="EV364">
            <v>171.61300000000003</v>
          </cell>
          <cell r="EW364">
            <v>961.27133333333336</v>
          </cell>
          <cell r="EY364">
            <v>55916</v>
          </cell>
          <cell r="EZ364">
            <v>8</v>
          </cell>
          <cell r="FA364">
            <v>372.77333333333331</v>
          </cell>
          <cell r="FB364">
            <v>82116</v>
          </cell>
          <cell r="FC364">
            <v>8.6</v>
          </cell>
          <cell r="FD364">
            <v>588.49799999999993</v>
          </cell>
          <cell r="FE364">
            <v>961.27133333333325</v>
          </cell>
          <cell r="FF364">
            <v>24907</v>
          </cell>
          <cell r="FH364">
            <v>24907</v>
          </cell>
        </row>
        <row r="365">
          <cell r="B365">
            <v>9521</v>
          </cell>
          <cell r="C365" t="str">
            <v>11.12.2007</v>
          </cell>
          <cell r="D365" t="str">
            <v>Kamble Meena Sampat</v>
          </cell>
          <cell r="F365">
            <v>1996</v>
          </cell>
          <cell r="H365">
            <v>900</v>
          </cell>
          <cell r="I365">
            <v>900</v>
          </cell>
          <cell r="J365">
            <v>1800</v>
          </cell>
          <cell r="K365">
            <v>-196</v>
          </cell>
          <cell r="M365">
            <v>1057</v>
          </cell>
          <cell r="N365">
            <v>0</v>
          </cell>
          <cell r="O365">
            <v>1057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W365">
            <v>1057</v>
          </cell>
          <cell r="X365">
            <v>0</v>
          </cell>
          <cell r="Y365">
            <v>1057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G365">
            <v>1088</v>
          </cell>
          <cell r="AH365">
            <v>0</v>
          </cell>
          <cell r="AI365">
            <v>1088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Q365">
            <v>1088</v>
          </cell>
          <cell r="AR365">
            <v>0</v>
          </cell>
          <cell r="AS365">
            <v>1088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BA365">
            <v>1088</v>
          </cell>
          <cell r="BB365">
            <v>0</v>
          </cell>
          <cell r="BC365">
            <v>1088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K365">
            <v>1139</v>
          </cell>
          <cell r="BL365">
            <v>0</v>
          </cell>
          <cell r="BM365">
            <v>1139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U365">
            <v>1139</v>
          </cell>
          <cell r="BV365">
            <v>0</v>
          </cell>
          <cell r="BW365">
            <v>1139</v>
          </cell>
          <cell r="BX365">
            <v>0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C365">
            <v>0</v>
          </cell>
          <cell r="CE365">
            <v>1139</v>
          </cell>
          <cell r="CF365">
            <v>0</v>
          </cell>
          <cell r="CG365">
            <v>1139</v>
          </cell>
          <cell r="CH365">
            <v>0</v>
          </cell>
          <cell r="CI365">
            <v>0</v>
          </cell>
          <cell r="CJ365">
            <v>0</v>
          </cell>
          <cell r="CK365">
            <v>0</v>
          </cell>
          <cell r="CL365">
            <v>0</v>
          </cell>
          <cell r="CM365">
            <v>0</v>
          </cell>
          <cell r="CO365">
            <v>1139</v>
          </cell>
          <cell r="CP365">
            <v>0</v>
          </cell>
          <cell r="CQ365">
            <v>1139</v>
          </cell>
          <cell r="CR365">
            <v>0</v>
          </cell>
          <cell r="CS365">
            <v>0</v>
          </cell>
          <cell r="CT365">
            <v>0</v>
          </cell>
          <cell r="CU365">
            <v>0</v>
          </cell>
          <cell r="CV365">
            <v>0</v>
          </cell>
          <cell r="CW365">
            <v>0</v>
          </cell>
          <cell r="CY365">
            <v>1139</v>
          </cell>
          <cell r="CZ365">
            <v>0</v>
          </cell>
          <cell r="DA365">
            <v>1139</v>
          </cell>
          <cell r="DB365">
            <v>0</v>
          </cell>
          <cell r="DC365">
            <v>0</v>
          </cell>
          <cell r="DD365">
            <v>0</v>
          </cell>
          <cell r="DE365">
            <v>0</v>
          </cell>
          <cell r="DF365">
            <v>0</v>
          </cell>
          <cell r="DG365">
            <v>0</v>
          </cell>
          <cell r="DI365">
            <v>1800</v>
          </cell>
          <cell r="DJ365">
            <v>11073</v>
          </cell>
          <cell r="DK365">
            <v>0</v>
          </cell>
          <cell r="DL365">
            <v>11073</v>
          </cell>
          <cell r="DM365">
            <v>11073</v>
          </cell>
          <cell r="DN365">
            <v>0</v>
          </cell>
          <cell r="DO365">
            <v>11073</v>
          </cell>
          <cell r="DP365">
            <v>0</v>
          </cell>
          <cell r="DQ365">
            <v>0</v>
          </cell>
          <cell r="DR365">
            <v>0</v>
          </cell>
          <cell r="DS365">
            <v>0</v>
          </cell>
          <cell r="DT365">
            <v>22146</v>
          </cell>
          <cell r="DU365">
            <v>0</v>
          </cell>
          <cell r="DW365">
            <v>0</v>
          </cell>
          <cell r="DX365">
            <v>0</v>
          </cell>
          <cell r="DY365">
            <v>3914</v>
          </cell>
          <cell r="DZ365">
            <v>6028</v>
          </cell>
          <cell r="EA365">
            <v>8204</v>
          </cell>
          <cell r="EB365">
            <v>10380</v>
          </cell>
          <cell r="EC365">
            <v>12556</v>
          </cell>
          <cell r="ED365">
            <v>14834</v>
          </cell>
          <cell r="EE365">
            <v>17112</v>
          </cell>
          <cell r="EF365">
            <v>19390</v>
          </cell>
          <cell r="EG365">
            <v>21668</v>
          </cell>
          <cell r="EH365">
            <v>23946</v>
          </cell>
          <cell r="EI365">
            <v>138032</v>
          </cell>
          <cell r="EK365">
            <v>0</v>
          </cell>
          <cell r="EL365">
            <v>0</v>
          </cell>
          <cell r="EM365">
            <v>26.093333333333334</v>
          </cell>
          <cell r="EN365">
            <v>40.186666666666667</v>
          </cell>
          <cell r="EO365">
            <v>54.693333333333335</v>
          </cell>
          <cell r="EP365">
            <v>69.2</v>
          </cell>
          <cell r="EQ365">
            <v>83.706666666666663</v>
          </cell>
          <cell r="ER365">
            <v>98.893333333333331</v>
          </cell>
          <cell r="ES365">
            <v>122.63599999999998</v>
          </cell>
          <cell r="ET365">
            <v>138.96166666666667</v>
          </cell>
          <cell r="EU365">
            <v>155.28733333333332</v>
          </cell>
          <cell r="EV365">
            <v>171.61300000000003</v>
          </cell>
          <cell r="EW365">
            <v>961.27133333333336</v>
          </cell>
          <cell r="EY365">
            <v>55916</v>
          </cell>
          <cell r="EZ365">
            <v>8</v>
          </cell>
          <cell r="FA365">
            <v>372.77333333333331</v>
          </cell>
          <cell r="FB365">
            <v>82116</v>
          </cell>
          <cell r="FC365">
            <v>8.6</v>
          </cell>
          <cell r="FD365">
            <v>588.49799999999993</v>
          </cell>
          <cell r="FE365">
            <v>961.27133333333325</v>
          </cell>
          <cell r="FF365">
            <v>24907</v>
          </cell>
          <cell r="FH365">
            <v>24907</v>
          </cell>
        </row>
        <row r="366">
          <cell r="B366">
            <v>9535</v>
          </cell>
          <cell r="C366" t="str">
            <v>11.12.2007</v>
          </cell>
          <cell r="D366" t="str">
            <v>Gogaliya Nisha Sunil</v>
          </cell>
          <cell r="F366">
            <v>1015</v>
          </cell>
          <cell r="H366">
            <v>450</v>
          </cell>
          <cell r="I366">
            <v>450</v>
          </cell>
          <cell r="J366">
            <v>900</v>
          </cell>
          <cell r="K366">
            <v>-115</v>
          </cell>
          <cell r="M366">
            <v>1057</v>
          </cell>
          <cell r="N366">
            <v>0</v>
          </cell>
          <cell r="O366">
            <v>1057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W366">
            <v>1057</v>
          </cell>
          <cell r="X366">
            <v>0</v>
          </cell>
          <cell r="Y366">
            <v>1057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G366">
            <v>1088</v>
          </cell>
          <cell r="AH366">
            <v>0</v>
          </cell>
          <cell r="AI366">
            <v>1088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Q366">
            <v>1088</v>
          </cell>
          <cell r="AR366">
            <v>0</v>
          </cell>
          <cell r="AS366">
            <v>1088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BA366">
            <v>1088</v>
          </cell>
          <cell r="BB366">
            <v>0</v>
          </cell>
          <cell r="BC366">
            <v>1088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K366">
            <v>1139</v>
          </cell>
          <cell r="BL366">
            <v>0</v>
          </cell>
          <cell r="BM366">
            <v>1139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U366">
            <v>1139</v>
          </cell>
          <cell r="BV366">
            <v>0</v>
          </cell>
          <cell r="BW366">
            <v>1139</v>
          </cell>
          <cell r="BX366">
            <v>0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C366">
            <v>0</v>
          </cell>
          <cell r="CE366">
            <v>1139</v>
          </cell>
          <cell r="CF366">
            <v>0</v>
          </cell>
          <cell r="CG366">
            <v>1139</v>
          </cell>
          <cell r="CH366">
            <v>0</v>
          </cell>
          <cell r="CI366">
            <v>0</v>
          </cell>
          <cell r="CJ366">
            <v>0</v>
          </cell>
          <cell r="CK366">
            <v>0</v>
          </cell>
          <cell r="CL366">
            <v>0</v>
          </cell>
          <cell r="CM366">
            <v>0</v>
          </cell>
          <cell r="CO366">
            <v>1139</v>
          </cell>
          <cell r="CP366">
            <v>0</v>
          </cell>
          <cell r="CQ366">
            <v>1139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  <cell r="CV366">
            <v>0</v>
          </cell>
          <cell r="CW366">
            <v>0</v>
          </cell>
          <cell r="CY366">
            <v>1139</v>
          </cell>
          <cell r="CZ366">
            <v>0</v>
          </cell>
          <cell r="DA366">
            <v>1139</v>
          </cell>
          <cell r="DB366">
            <v>0</v>
          </cell>
          <cell r="DC366">
            <v>0</v>
          </cell>
          <cell r="DD366">
            <v>0</v>
          </cell>
          <cell r="DE366">
            <v>0</v>
          </cell>
          <cell r="DF366">
            <v>0</v>
          </cell>
          <cell r="DG366">
            <v>0</v>
          </cell>
          <cell r="DI366">
            <v>900</v>
          </cell>
          <cell r="DJ366">
            <v>11073</v>
          </cell>
          <cell r="DK366">
            <v>0</v>
          </cell>
          <cell r="DL366">
            <v>11073</v>
          </cell>
          <cell r="DM366">
            <v>11073</v>
          </cell>
          <cell r="DN366">
            <v>0</v>
          </cell>
          <cell r="DO366">
            <v>11073</v>
          </cell>
          <cell r="DP366">
            <v>0</v>
          </cell>
          <cell r="DQ366">
            <v>0</v>
          </cell>
          <cell r="DR366">
            <v>0</v>
          </cell>
          <cell r="DS366">
            <v>0</v>
          </cell>
          <cell r="DT366">
            <v>22146</v>
          </cell>
          <cell r="DU366">
            <v>0</v>
          </cell>
          <cell r="DW366">
            <v>0</v>
          </cell>
          <cell r="DX366">
            <v>0</v>
          </cell>
          <cell r="DY366">
            <v>3014</v>
          </cell>
          <cell r="DZ366">
            <v>5128</v>
          </cell>
          <cell r="EA366">
            <v>7304</v>
          </cell>
          <cell r="EB366">
            <v>9480</v>
          </cell>
          <cell r="EC366">
            <v>11656</v>
          </cell>
          <cell r="ED366">
            <v>13934</v>
          </cell>
          <cell r="EE366">
            <v>16212</v>
          </cell>
          <cell r="EF366">
            <v>18490</v>
          </cell>
          <cell r="EG366">
            <v>20768</v>
          </cell>
          <cell r="EH366">
            <v>23046</v>
          </cell>
          <cell r="EI366">
            <v>129032</v>
          </cell>
          <cell r="EK366">
            <v>0</v>
          </cell>
          <cell r="EL366">
            <v>0</v>
          </cell>
          <cell r="EM366">
            <v>20.093333333333334</v>
          </cell>
          <cell r="EN366">
            <v>34.186666666666667</v>
          </cell>
          <cell r="EO366">
            <v>48.693333333333335</v>
          </cell>
          <cell r="EP366">
            <v>63.199999999999996</v>
          </cell>
          <cell r="EQ366">
            <v>77.706666666666663</v>
          </cell>
          <cell r="ER366">
            <v>92.893333333333331</v>
          </cell>
          <cell r="ES366">
            <v>116.18599999999998</v>
          </cell>
          <cell r="ET366">
            <v>132.51166666666668</v>
          </cell>
          <cell r="EU366">
            <v>148.83733333333331</v>
          </cell>
          <cell r="EV366">
            <v>165.16300000000001</v>
          </cell>
          <cell r="EW366">
            <v>899.47133333333329</v>
          </cell>
          <cell r="EY366">
            <v>50516</v>
          </cell>
          <cell r="EZ366">
            <v>8</v>
          </cell>
          <cell r="FA366">
            <v>336.77333333333337</v>
          </cell>
          <cell r="FB366">
            <v>78516</v>
          </cell>
          <cell r="FC366">
            <v>8.6</v>
          </cell>
          <cell r="FD366">
            <v>562.69799999999998</v>
          </cell>
          <cell r="FE366">
            <v>899.4713333333334</v>
          </cell>
          <cell r="FF366">
            <v>23945</v>
          </cell>
          <cell r="FH366">
            <v>23945</v>
          </cell>
        </row>
        <row r="367">
          <cell r="B367">
            <v>9523</v>
          </cell>
          <cell r="C367" t="str">
            <v>12.12.2007</v>
          </cell>
          <cell r="D367" t="str">
            <v>Chincholkar Ashok Vishnu</v>
          </cell>
          <cell r="F367">
            <v>1015</v>
          </cell>
          <cell r="G367">
            <v>16481</v>
          </cell>
          <cell r="H367">
            <v>450</v>
          </cell>
          <cell r="I367">
            <v>450</v>
          </cell>
          <cell r="J367">
            <v>900</v>
          </cell>
          <cell r="K367">
            <v>-115</v>
          </cell>
          <cell r="M367">
            <v>1057</v>
          </cell>
          <cell r="N367">
            <v>0</v>
          </cell>
          <cell r="O367">
            <v>1057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W367">
            <v>1057</v>
          </cell>
          <cell r="X367">
            <v>0</v>
          </cell>
          <cell r="Y367">
            <v>1057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G367">
            <v>1088</v>
          </cell>
          <cell r="AH367">
            <v>0</v>
          </cell>
          <cell r="AI367">
            <v>1088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Q367">
            <v>1088</v>
          </cell>
          <cell r="AR367">
            <v>0</v>
          </cell>
          <cell r="AS367">
            <v>1088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BA367">
            <v>1088</v>
          </cell>
          <cell r="BB367">
            <v>0</v>
          </cell>
          <cell r="BC367">
            <v>1088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K367">
            <v>1139</v>
          </cell>
          <cell r="BL367">
            <v>0</v>
          </cell>
          <cell r="BM367">
            <v>1139</v>
          </cell>
          <cell r="BN367">
            <v>0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U367">
            <v>1139</v>
          </cell>
          <cell r="BV367">
            <v>0</v>
          </cell>
          <cell r="BW367">
            <v>1139</v>
          </cell>
          <cell r="BX367">
            <v>0</v>
          </cell>
          <cell r="BY367">
            <v>0</v>
          </cell>
          <cell r="BZ367">
            <v>0</v>
          </cell>
          <cell r="CA367">
            <v>0</v>
          </cell>
          <cell r="CB367">
            <v>0</v>
          </cell>
          <cell r="CC367">
            <v>0</v>
          </cell>
          <cell r="CE367">
            <v>1139</v>
          </cell>
          <cell r="CF367">
            <v>0</v>
          </cell>
          <cell r="CG367">
            <v>1139</v>
          </cell>
          <cell r="CH367">
            <v>0</v>
          </cell>
          <cell r="CI367">
            <v>0</v>
          </cell>
          <cell r="CJ367">
            <v>0</v>
          </cell>
          <cell r="CK367">
            <v>0</v>
          </cell>
          <cell r="CL367">
            <v>0</v>
          </cell>
          <cell r="CM367">
            <v>0</v>
          </cell>
          <cell r="CO367">
            <v>1139</v>
          </cell>
          <cell r="CP367">
            <v>0</v>
          </cell>
          <cell r="CQ367">
            <v>1139</v>
          </cell>
          <cell r="CR367">
            <v>0</v>
          </cell>
          <cell r="CS367">
            <v>0</v>
          </cell>
          <cell r="CT367">
            <v>0</v>
          </cell>
          <cell r="CU367">
            <v>0</v>
          </cell>
          <cell r="CV367">
            <v>0</v>
          </cell>
          <cell r="CW367">
            <v>0</v>
          </cell>
          <cell r="CY367">
            <v>1139</v>
          </cell>
          <cell r="CZ367">
            <v>0</v>
          </cell>
          <cell r="DA367">
            <v>1139</v>
          </cell>
          <cell r="DB367">
            <v>0</v>
          </cell>
          <cell r="DC367">
            <v>0</v>
          </cell>
          <cell r="DD367">
            <v>0</v>
          </cell>
          <cell r="DE367">
            <v>0</v>
          </cell>
          <cell r="DF367">
            <v>0</v>
          </cell>
          <cell r="DG367">
            <v>0</v>
          </cell>
          <cell r="DI367">
            <v>900</v>
          </cell>
          <cell r="DJ367">
            <v>11073</v>
          </cell>
          <cell r="DK367">
            <v>0</v>
          </cell>
          <cell r="DL367">
            <v>11073</v>
          </cell>
          <cell r="DM367">
            <v>11073</v>
          </cell>
          <cell r="DN367">
            <v>0</v>
          </cell>
          <cell r="DO367">
            <v>11073</v>
          </cell>
          <cell r="DP367">
            <v>0</v>
          </cell>
          <cell r="DQ367">
            <v>0</v>
          </cell>
          <cell r="DR367">
            <v>0</v>
          </cell>
          <cell r="DS367">
            <v>0</v>
          </cell>
          <cell r="DT367">
            <v>22146</v>
          </cell>
          <cell r="DU367">
            <v>0</v>
          </cell>
          <cell r="DW367">
            <v>0</v>
          </cell>
          <cell r="DX367">
            <v>0</v>
          </cell>
          <cell r="DY367">
            <v>3014</v>
          </cell>
          <cell r="DZ367">
            <v>5128</v>
          </cell>
          <cell r="EA367">
            <v>7304</v>
          </cell>
          <cell r="EB367">
            <v>9480</v>
          </cell>
          <cell r="EC367">
            <v>11656</v>
          </cell>
          <cell r="ED367">
            <v>13934</v>
          </cell>
          <cell r="EE367">
            <v>16212</v>
          </cell>
          <cell r="EF367">
            <v>18490</v>
          </cell>
          <cell r="EG367">
            <v>20768</v>
          </cell>
          <cell r="EH367">
            <v>23046</v>
          </cell>
          <cell r="EI367">
            <v>129032</v>
          </cell>
          <cell r="EK367">
            <v>0</v>
          </cell>
          <cell r="EL367">
            <v>0</v>
          </cell>
          <cell r="EM367">
            <v>20.093333333333334</v>
          </cell>
          <cell r="EN367">
            <v>34.186666666666667</v>
          </cell>
          <cell r="EO367">
            <v>48.693333333333335</v>
          </cell>
          <cell r="EP367">
            <v>63.199999999999996</v>
          </cell>
          <cell r="EQ367">
            <v>77.706666666666663</v>
          </cell>
          <cell r="ER367">
            <v>92.893333333333331</v>
          </cell>
          <cell r="ES367">
            <v>116.18599999999998</v>
          </cell>
          <cell r="ET367">
            <v>132.51166666666668</v>
          </cell>
          <cell r="EU367">
            <v>148.83733333333331</v>
          </cell>
          <cell r="EV367">
            <v>165.16300000000001</v>
          </cell>
          <cell r="EW367">
            <v>899.47133333333329</v>
          </cell>
          <cell r="EY367">
            <v>50516</v>
          </cell>
          <cell r="EZ367">
            <v>8</v>
          </cell>
          <cell r="FA367">
            <v>336.77333333333337</v>
          </cell>
          <cell r="FB367">
            <v>78516</v>
          </cell>
          <cell r="FC367">
            <v>8.6</v>
          </cell>
          <cell r="FD367">
            <v>562.69799999999998</v>
          </cell>
          <cell r="FE367">
            <v>899.4713333333334</v>
          </cell>
          <cell r="FF367">
            <v>23945</v>
          </cell>
          <cell r="FH367">
            <v>23945</v>
          </cell>
        </row>
        <row r="368">
          <cell r="B368">
            <v>9525</v>
          </cell>
          <cell r="C368" t="str">
            <v>12.12.2007</v>
          </cell>
          <cell r="D368" t="str">
            <v>Salve Gurudatta Sadashiv</v>
          </cell>
          <cell r="F368">
            <v>1015</v>
          </cell>
          <cell r="G368">
            <v>16481</v>
          </cell>
          <cell r="H368">
            <v>450</v>
          </cell>
          <cell r="I368">
            <v>450</v>
          </cell>
          <cell r="J368">
            <v>900</v>
          </cell>
          <cell r="K368">
            <v>-115</v>
          </cell>
          <cell r="M368">
            <v>1057</v>
          </cell>
          <cell r="N368">
            <v>0</v>
          </cell>
          <cell r="O368">
            <v>1057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W368">
            <v>1057</v>
          </cell>
          <cell r="X368">
            <v>0</v>
          </cell>
          <cell r="Y368">
            <v>1057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G368">
            <v>1088</v>
          </cell>
          <cell r="AH368">
            <v>0</v>
          </cell>
          <cell r="AI368">
            <v>1088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Q368">
            <v>1088</v>
          </cell>
          <cell r="AR368">
            <v>0</v>
          </cell>
          <cell r="AS368">
            <v>1088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BA368">
            <v>1088</v>
          </cell>
          <cell r="BB368">
            <v>0</v>
          </cell>
          <cell r="BC368">
            <v>1088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K368">
            <v>1139</v>
          </cell>
          <cell r="BL368">
            <v>0</v>
          </cell>
          <cell r="BM368">
            <v>1139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U368">
            <v>1139</v>
          </cell>
          <cell r="BV368">
            <v>0</v>
          </cell>
          <cell r="BW368">
            <v>1139</v>
          </cell>
          <cell r="BX368">
            <v>0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0</v>
          </cell>
          <cell r="CE368">
            <v>1139</v>
          </cell>
          <cell r="CF368">
            <v>0</v>
          </cell>
          <cell r="CG368">
            <v>1139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  <cell r="CL368">
            <v>0</v>
          </cell>
          <cell r="CM368">
            <v>0</v>
          </cell>
          <cell r="CO368">
            <v>1139</v>
          </cell>
          <cell r="CP368">
            <v>0</v>
          </cell>
          <cell r="CQ368">
            <v>1139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W368">
            <v>0</v>
          </cell>
          <cell r="CY368">
            <v>1139</v>
          </cell>
          <cell r="CZ368">
            <v>0</v>
          </cell>
          <cell r="DA368">
            <v>1139</v>
          </cell>
          <cell r="DB368">
            <v>0</v>
          </cell>
          <cell r="DC368">
            <v>0</v>
          </cell>
          <cell r="DD368">
            <v>0</v>
          </cell>
          <cell r="DE368">
            <v>0</v>
          </cell>
          <cell r="DF368">
            <v>0</v>
          </cell>
          <cell r="DG368">
            <v>0</v>
          </cell>
          <cell r="DI368">
            <v>900</v>
          </cell>
          <cell r="DJ368">
            <v>11073</v>
          </cell>
          <cell r="DK368">
            <v>0</v>
          </cell>
          <cell r="DL368">
            <v>11073</v>
          </cell>
          <cell r="DM368">
            <v>11073</v>
          </cell>
          <cell r="DN368">
            <v>0</v>
          </cell>
          <cell r="DO368">
            <v>11073</v>
          </cell>
          <cell r="DP368">
            <v>0</v>
          </cell>
          <cell r="DQ368">
            <v>0</v>
          </cell>
          <cell r="DR368">
            <v>0</v>
          </cell>
          <cell r="DS368">
            <v>0</v>
          </cell>
          <cell r="DT368">
            <v>22146</v>
          </cell>
          <cell r="DU368">
            <v>0</v>
          </cell>
          <cell r="DW368">
            <v>0</v>
          </cell>
          <cell r="DX368">
            <v>0</v>
          </cell>
          <cell r="DY368">
            <v>3014</v>
          </cell>
          <cell r="DZ368">
            <v>5128</v>
          </cell>
          <cell r="EA368">
            <v>7304</v>
          </cell>
          <cell r="EB368">
            <v>9480</v>
          </cell>
          <cell r="EC368">
            <v>11656</v>
          </cell>
          <cell r="ED368">
            <v>13934</v>
          </cell>
          <cell r="EE368">
            <v>16212</v>
          </cell>
          <cell r="EF368">
            <v>18490</v>
          </cell>
          <cell r="EG368">
            <v>20768</v>
          </cell>
          <cell r="EH368">
            <v>23046</v>
          </cell>
          <cell r="EI368">
            <v>129032</v>
          </cell>
          <cell r="EK368">
            <v>0</v>
          </cell>
          <cell r="EL368">
            <v>0</v>
          </cell>
          <cell r="EM368">
            <v>20.093333333333334</v>
          </cell>
          <cell r="EN368">
            <v>34.186666666666667</v>
          </cell>
          <cell r="EO368">
            <v>48.693333333333335</v>
          </cell>
          <cell r="EP368">
            <v>63.199999999999996</v>
          </cell>
          <cell r="EQ368">
            <v>77.706666666666663</v>
          </cell>
          <cell r="ER368">
            <v>92.893333333333331</v>
          </cell>
          <cell r="ES368">
            <v>116.18599999999998</v>
          </cell>
          <cell r="ET368">
            <v>132.51166666666668</v>
          </cell>
          <cell r="EU368">
            <v>148.83733333333331</v>
          </cell>
          <cell r="EV368">
            <v>165.16300000000001</v>
          </cell>
          <cell r="EW368">
            <v>899.47133333333329</v>
          </cell>
          <cell r="EY368">
            <v>50516</v>
          </cell>
          <cell r="EZ368">
            <v>8</v>
          </cell>
          <cell r="FA368">
            <v>336.77333333333337</v>
          </cell>
          <cell r="FB368">
            <v>78516</v>
          </cell>
          <cell r="FC368">
            <v>8.6</v>
          </cell>
          <cell r="FD368">
            <v>562.69799999999998</v>
          </cell>
          <cell r="FE368">
            <v>899.4713333333334</v>
          </cell>
          <cell r="FF368">
            <v>23945</v>
          </cell>
          <cell r="FH368">
            <v>23945</v>
          </cell>
        </row>
        <row r="369">
          <cell r="B369">
            <v>9529</v>
          </cell>
          <cell r="C369" t="str">
            <v>12.12.2007</v>
          </cell>
          <cell r="D369" t="str">
            <v>Ahire Sangita Yogesh</v>
          </cell>
          <cell r="F369">
            <v>1015</v>
          </cell>
          <cell r="G369">
            <v>15946</v>
          </cell>
          <cell r="H369">
            <v>450</v>
          </cell>
          <cell r="I369">
            <v>450</v>
          </cell>
          <cell r="J369">
            <v>900</v>
          </cell>
          <cell r="K369">
            <v>-115</v>
          </cell>
          <cell r="M369">
            <v>1057</v>
          </cell>
          <cell r="N369">
            <v>0</v>
          </cell>
          <cell r="O369">
            <v>1057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W369">
            <v>1057</v>
          </cell>
          <cell r="X369">
            <v>0</v>
          </cell>
          <cell r="Y369">
            <v>1057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G369">
            <v>1088</v>
          </cell>
          <cell r="AH369">
            <v>0</v>
          </cell>
          <cell r="AI369">
            <v>1088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Q369">
            <v>1088</v>
          </cell>
          <cell r="AR369">
            <v>0</v>
          </cell>
          <cell r="AS369">
            <v>1088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BA369">
            <v>1088</v>
          </cell>
          <cell r="BB369">
            <v>0</v>
          </cell>
          <cell r="BC369">
            <v>1088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K369">
            <v>1139</v>
          </cell>
          <cell r="BL369">
            <v>0</v>
          </cell>
          <cell r="BM369">
            <v>1139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U369">
            <v>1139</v>
          </cell>
          <cell r="BV369">
            <v>0</v>
          </cell>
          <cell r="BW369">
            <v>1139</v>
          </cell>
          <cell r="BX369">
            <v>0</v>
          </cell>
          <cell r="BY369">
            <v>0</v>
          </cell>
          <cell r="BZ369">
            <v>0</v>
          </cell>
          <cell r="CA369">
            <v>0</v>
          </cell>
          <cell r="CB369">
            <v>0</v>
          </cell>
          <cell r="CC369">
            <v>0</v>
          </cell>
          <cell r="CE369">
            <v>1139</v>
          </cell>
          <cell r="CF369">
            <v>0</v>
          </cell>
          <cell r="CG369">
            <v>1139</v>
          </cell>
          <cell r="CH369">
            <v>0</v>
          </cell>
          <cell r="CI369">
            <v>0</v>
          </cell>
          <cell r="CJ369">
            <v>0</v>
          </cell>
          <cell r="CK369">
            <v>0</v>
          </cell>
          <cell r="CL369">
            <v>0</v>
          </cell>
          <cell r="CM369">
            <v>0</v>
          </cell>
          <cell r="CO369">
            <v>1139</v>
          </cell>
          <cell r="CP369">
            <v>0</v>
          </cell>
          <cell r="CQ369">
            <v>1139</v>
          </cell>
          <cell r="CR369">
            <v>0</v>
          </cell>
          <cell r="CS369">
            <v>0</v>
          </cell>
          <cell r="CT369">
            <v>0</v>
          </cell>
          <cell r="CU369">
            <v>0</v>
          </cell>
          <cell r="CV369">
            <v>0</v>
          </cell>
          <cell r="CW369">
            <v>0</v>
          </cell>
          <cell r="CY369">
            <v>1139</v>
          </cell>
          <cell r="CZ369">
            <v>0</v>
          </cell>
          <cell r="DA369">
            <v>1139</v>
          </cell>
          <cell r="DB369">
            <v>0</v>
          </cell>
          <cell r="DC369">
            <v>0</v>
          </cell>
          <cell r="DD369">
            <v>0</v>
          </cell>
          <cell r="DE369">
            <v>0</v>
          </cell>
          <cell r="DF369">
            <v>0</v>
          </cell>
          <cell r="DG369">
            <v>0</v>
          </cell>
          <cell r="DI369">
            <v>900</v>
          </cell>
          <cell r="DJ369">
            <v>11073</v>
          </cell>
          <cell r="DK369">
            <v>0</v>
          </cell>
          <cell r="DL369">
            <v>11073</v>
          </cell>
          <cell r="DM369">
            <v>11073</v>
          </cell>
          <cell r="DN369">
            <v>0</v>
          </cell>
          <cell r="DO369">
            <v>11073</v>
          </cell>
          <cell r="DP369">
            <v>0</v>
          </cell>
          <cell r="DQ369">
            <v>0</v>
          </cell>
          <cell r="DR369">
            <v>0</v>
          </cell>
          <cell r="DS369">
            <v>0</v>
          </cell>
          <cell r="DT369">
            <v>22146</v>
          </cell>
          <cell r="DU369">
            <v>0</v>
          </cell>
          <cell r="DW369">
            <v>0</v>
          </cell>
          <cell r="DX369">
            <v>0</v>
          </cell>
          <cell r="DY369">
            <v>3014</v>
          </cell>
          <cell r="DZ369">
            <v>5128</v>
          </cell>
          <cell r="EA369">
            <v>7304</v>
          </cell>
          <cell r="EB369">
            <v>9480</v>
          </cell>
          <cell r="EC369">
            <v>11656</v>
          </cell>
          <cell r="ED369">
            <v>13934</v>
          </cell>
          <cell r="EE369">
            <v>16212</v>
          </cell>
          <cell r="EF369">
            <v>18490</v>
          </cell>
          <cell r="EG369">
            <v>20768</v>
          </cell>
          <cell r="EH369">
            <v>23046</v>
          </cell>
          <cell r="EI369">
            <v>129032</v>
          </cell>
          <cell r="EK369">
            <v>0</v>
          </cell>
          <cell r="EL369">
            <v>0</v>
          </cell>
          <cell r="EM369">
            <v>20.093333333333334</v>
          </cell>
          <cell r="EN369">
            <v>34.186666666666667</v>
          </cell>
          <cell r="EO369">
            <v>48.693333333333335</v>
          </cell>
          <cell r="EP369">
            <v>63.199999999999996</v>
          </cell>
          <cell r="EQ369">
            <v>77.706666666666663</v>
          </cell>
          <cell r="ER369">
            <v>92.893333333333331</v>
          </cell>
          <cell r="ES369">
            <v>116.18599999999998</v>
          </cell>
          <cell r="ET369">
            <v>132.51166666666668</v>
          </cell>
          <cell r="EU369">
            <v>148.83733333333331</v>
          </cell>
          <cell r="EV369">
            <v>165.16300000000001</v>
          </cell>
          <cell r="EW369">
            <v>899.47133333333329</v>
          </cell>
          <cell r="EY369">
            <v>50516</v>
          </cell>
          <cell r="EZ369">
            <v>8</v>
          </cell>
          <cell r="FA369">
            <v>336.77333333333337</v>
          </cell>
          <cell r="FB369">
            <v>78516</v>
          </cell>
          <cell r="FC369">
            <v>8.6</v>
          </cell>
          <cell r="FD369">
            <v>562.69799999999998</v>
          </cell>
          <cell r="FE369">
            <v>899.4713333333334</v>
          </cell>
          <cell r="FF369">
            <v>23945</v>
          </cell>
          <cell r="FH369">
            <v>23945</v>
          </cell>
        </row>
        <row r="370">
          <cell r="B370">
            <v>9571</v>
          </cell>
          <cell r="C370" t="str">
            <v>12.12.2007</v>
          </cell>
          <cell r="D370" t="str">
            <v>Lokhande Ravindra Barku</v>
          </cell>
          <cell r="F370">
            <v>1015</v>
          </cell>
          <cell r="H370">
            <v>450</v>
          </cell>
          <cell r="I370">
            <v>450</v>
          </cell>
          <cell r="J370">
            <v>900</v>
          </cell>
          <cell r="K370">
            <v>-115</v>
          </cell>
          <cell r="M370">
            <v>1057</v>
          </cell>
          <cell r="N370">
            <v>0</v>
          </cell>
          <cell r="O370">
            <v>1057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W370">
            <v>1057</v>
          </cell>
          <cell r="X370">
            <v>0</v>
          </cell>
          <cell r="Y370">
            <v>1057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G370">
            <v>1088</v>
          </cell>
          <cell r="AH370">
            <v>0</v>
          </cell>
          <cell r="AI370">
            <v>1088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Q370">
            <v>1088</v>
          </cell>
          <cell r="AR370">
            <v>0</v>
          </cell>
          <cell r="AS370">
            <v>1088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BA370">
            <v>1088</v>
          </cell>
          <cell r="BB370">
            <v>0</v>
          </cell>
          <cell r="BC370">
            <v>1088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K370">
            <v>1139</v>
          </cell>
          <cell r="BL370">
            <v>0</v>
          </cell>
          <cell r="BM370">
            <v>1139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U370">
            <v>1139</v>
          </cell>
          <cell r="BV370">
            <v>0</v>
          </cell>
          <cell r="BW370">
            <v>1139</v>
          </cell>
          <cell r="BX370">
            <v>0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0</v>
          </cell>
          <cell r="CE370">
            <v>1139</v>
          </cell>
          <cell r="CF370">
            <v>0</v>
          </cell>
          <cell r="CG370">
            <v>1139</v>
          </cell>
          <cell r="CH370">
            <v>0</v>
          </cell>
          <cell r="CI370">
            <v>0</v>
          </cell>
          <cell r="CJ370">
            <v>0</v>
          </cell>
          <cell r="CK370">
            <v>0</v>
          </cell>
          <cell r="CL370">
            <v>0</v>
          </cell>
          <cell r="CM370">
            <v>0</v>
          </cell>
          <cell r="CO370">
            <v>1139</v>
          </cell>
          <cell r="CP370">
            <v>0</v>
          </cell>
          <cell r="CQ370">
            <v>1139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CW370">
            <v>0</v>
          </cell>
          <cell r="CY370">
            <v>1139</v>
          </cell>
          <cell r="CZ370">
            <v>0</v>
          </cell>
          <cell r="DA370">
            <v>1139</v>
          </cell>
          <cell r="DB370">
            <v>0</v>
          </cell>
          <cell r="DC370">
            <v>0</v>
          </cell>
          <cell r="DD370">
            <v>0</v>
          </cell>
          <cell r="DE370">
            <v>0</v>
          </cell>
          <cell r="DF370">
            <v>0</v>
          </cell>
          <cell r="DG370">
            <v>0</v>
          </cell>
          <cell r="DI370">
            <v>900</v>
          </cell>
          <cell r="DJ370">
            <v>11073</v>
          </cell>
          <cell r="DK370">
            <v>0</v>
          </cell>
          <cell r="DL370">
            <v>11073</v>
          </cell>
          <cell r="DM370">
            <v>11073</v>
          </cell>
          <cell r="DN370">
            <v>0</v>
          </cell>
          <cell r="DO370">
            <v>11073</v>
          </cell>
          <cell r="DP370">
            <v>0</v>
          </cell>
          <cell r="DQ370">
            <v>0</v>
          </cell>
          <cell r="DR370">
            <v>0</v>
          </cell>
          <cell r="DS370">
            <v>0</v>
          </cell>
          <cell r="DT370">
            <v>22146</v>
          </cell>
          <cell r="DU370">
            <v>0</v>
          </cell>
          <cell r="DW370">
            <v>0</v>
          </cell>
          <cell r="DX370">
            <v>0</v>
          </cell>
          <cell r="DY370">
            <v>3014</v>
          </cell>
          <cell r="DZ370">
            <v>5128</v>
          </cell>
          <cell r="EA370">
            <v>7304</v>
          </cell>
          <cell r="EB370">
            <v>9480</v>
          </cell>
          <cell r="EC370">
            <v>11656</v>
          </cell>
          <cell r="ED370">
            <v>13934</v>
          </cell>
          <cell r="EE370">
            <v>16212</v>
          </cell>
          <cell r="EF370">
            <v>18490</v>
          </cell>
          <cell r="EG370">
            <v>20768</v>
          </cell>
          <cell r="EH370">
            <v>23046</v>
          </cell>
          <cell r="EI370">
            <v>129032</v>
          </cell>
          <cell r="EK370">
            <v>0</v>
          </cell>
          <cell r="EL370">
            <v>0</v>
          </cell>
          <cell r="EM370">
            <v>20.093333333333334</v>
          </cell>
          <cell r="EN370">
            <v>34.186666666666667</v>
          </cell>
          <cell r="EO370">
            <v>48.693333333333335</v>
          </cell>
          <cell r="EP370">
            <v>63.199999999999996</v>
          </cell>
          <cell r="EQ370">
            <v>77.706666666666663</v>
          </cell>
          <cell r="ER370">
            <v>92.893333333333331</v>
          </cell>
          <cell r="ES370">
            <v>116.18599999999998</v>
          </cell>
          <cell r="ET370">
            <v>132.51166666666668</v>
          </cell>
          <cell r="EU370">
            <v>148.83733333333331</v>
          </cell>
          <cell r="EV370">
            <v>165.16300000000001</v>
          </cell>
          <cell r="EW370">
            <v>899.47133333333329</v>
          </cell>
          <cell r="EY370">
            <v>50516</v>
          </cell>
          <cell r="EZ370">
            <v>8</v>
          </cell>
          <cell r="FA370">
            <v>336.77333333333337</v>
          </cell>
          <cell r="FB370">
            <v>78516</v>
          </cell>
          <cell r="FC370">
            <v>8.6</v>
          </cell>
          <cell r="FD370">
            <v>562.69799999999998</v>
          </cell>
          <cell r="FE370">
            <v>899.4713333333334</v>
          </cell>
          <cell r="FF370">
            <v>23945</v>
          </cell>
          <cell r="FH370">
            <v>23945</v>
          </cell>
        </row>
        <row r="371">
          <cell r="B371">
            <v>9581</v>
          </cell>
          <cell r="C371" t="str">
            <v>12.12.2007</v>
          </cell>
          <cell r="D371" t="str">
            <v>Kale Indubai Subhash</v>
          </cell>
          <cell r="F371">
            <v>0</v>
          </cell>
          <cell r="G371">
            <v>15946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G371">
            <v>1057</v>
          </cell>
          <cell r="AH371">
            <v>0</v>
          </cell>
          <cell r="AI371">
            <v>1057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Q371">
            <v>1088</v>
          </cell>
          <cell r="AR371">
            <v>0</v>
          </cell>
          <cell r="AS371">
            <v>1088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BA371">
            <v>1088</v>
          </cell>
          <cell r="BB371">
            <v>0</v>
          </cell>
          <cell r="BC371">
            <v>1088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K371">
            <v>1139</v>
          </cell>
          <cell r="BL371">
            <v>0</v>
          </cell>
          <cell r="BM371">
            <v>1139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U371">
            <v>1139</v>
          </cell>
          <cell r="BV371">
            <v>0</v>
          </cell>
          <cell r="BW371">
            <v>1139</v>
          </cell>
          <cell r="BX371">
            <v>0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0</v>
          </cell>
          <cell r="CE371">
            <v>1139</v>
          </cell>
          <cell r="CF371">
            <v>0</v>
          </cell>
          <cell r="CG371">
            <v>1139</v>
          </cell>
          <cell r="CH371">
            <v>0</v>
          </cell>
          <cell r="CI371">
            <v>0</v>
          </cell>
          <cell r="CJ371">
            <v>0</v>
          </cell>
          <cell r="CK371">
            <v>0</v>
          </cell>
          <cell r="CL371">
            <v>0</v>
          </cell>
          <cell r="CM371">
            <v>0</v>
          </cell>
          <cell r="CO371">
            <v>1139</v>
          </cell>
          <cell r="CP371">
            <v>0</v>
          </cell>
          <cell r="CQ371">
            <v>1139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CW371">
            <v>0</v>
          </cell>
          <cell r="CY371">
            <v>1139</v>
          </cell>
          <cell r="CZ371">
            <v>0</v>
          </cell>
          <cell r="DA371">
            <v>1139</v>
          </cell>
          <cell r="DB371">
            <v>0</v>
          </cell>
          <cell r="DC371">
            <v>0</v>
          </cell>
          <cell r="DD371">
            <v>0</v>
          </cell>
          <cell r="DE371">
            <v>0</v>
          </cell>
          <cell r="DF371">
            <v>0</v>
          </cell>
          <cell r="DG371">
            <v>0</v>
          </cell>
          <cell r="DI371">
            <v>0</v>
          </cell>
          <cell r="DJ371">
            <v>8928</v>
          </cell>
          <cell r="DK371">
            <v>0</v>
          </cell>
          <cell r="DL371">
            <v>8928</v>
          </cell>
          <cell r="DM371">
            <v>8928</v>
          </cell>
          <cell r="DN371">
            <v>0</v>
          </cell>
          <cell r="DO371">
            <v>8928</v>
          </cell>
          <cell r="DP371">
            <v>0</v>
          </cell>
          <cell r="DQ371">
            <v>0</v>
          </cell>
          <cell r="DR371">
            <v>0</v>
          </cell>
          <cell r="DS371">
            <v>0</v>
          </cell>
          <cell r="DT371">
            <v>17856</v>
          </cell>
          <cell r="DU371">
            <v>0</v>
          </cell>
          <cell r="DW371">
            <v>0</v>
          </cell>
          <cell r="DX371">
            <v>0</v>
          </cell>
          <cell r="DY371">
            <v>0</v>
          </cell>
          <cell r="DZ371">
            <v>0</v>
          </cell>
          <cell r="EA371">
            <v>2114</v>
          </cell>
          <cell r="EB371">
            <v>4290</v>
          </cell>
          <cell r="EC371">
            <v>6466</v>
          </cell>
          <cell r="ED371">
            <v>8744</v>
          </cell>
          <cell r="EE371">
            <v>11022</v>
          </cell>
          <cell r="EF371">
            <v>13300</v>
          </cell>
          <cell r="EG371">
            <v>15578</v>
          </cell>
          <cell r="EH371">
            <v>17856</v>
          </cell>
          <cell r="EI371">
            <v>79370</v>
          </cell>
          <cell r="EK371">
            <v>0</v>
          </cell>
          <cell r="EL371">
            <v>0</v>
          </cell>
          <cell r="EM371">
            <v>0</v>
          </cell>
          <cell r="EN371">
            <v>0</v>
          </cell>
          <cell r="EO371">
            <v>14.093333333333334</v>
          </cell>
          <cell r="EP371">
            <v>28.599999999999998</v>
          </cell>
          <cell r="EQ371">
            <v>43.106666666666662</v>
          </cell>
          <cell r="ER371">
            <v>58.293333333333329</v>
          </cell>
          <cell r="ES371">
            <v>78.991</v>
          </cell>
          <cell r="ET371">
            <v>95.316666666666663</v>
          </cell>
          <cell r="EU371">
            <v>111.64233333333333</v>
          </cell>
          <cell r="EV371">
            <v>127.968</v>
          </cell>
          <cell r="EW371">
            <v>558.01133333333325</v>
          </cell>
          <cell r="EY371">
            <v>21614</v>
          </cell>
          <cell r="EZ371">
            <v>8</v>
          </cell>
          <cell r="FA371">
            <v>144.09333333333333</v>
          </cell>
          <cell r="FB371">
            <v>57756</v>
          </cell>
          <cell r="FC371">
            <v>8.6</v>
          </cell>
          <cell r="FD371">
            <v>413.91799999999995</v>
          </cell>
          <cell r="FE371">
            <v>558.01133333333325</v>
          </cell>
          <cell r="FF371">
            <v>18414</v>
          </cell>
          <cell r="FH371">
            <v>18414</v>
          </cell>
        </row>
        <row r="372">
          <cell r="B372">
            <v>9527</v>
          </cell>
          <cell r="C372" t="str">
            <v>13.12.2007</v>
          </cell>
          <cell r="D372" t="str">
            <v>Kale Santosh Murlidhar</v>
          </cell>
          <cell r="F372">
            <v>1015</v>
          </cell>
          <cell r="G372">
            <v>15938</v>
          </cell>
          <cell r="H372">
            <v>450</v>
          </cell>
          <cell r="I372">
            <v>450</v>
          </cell>
          <cell r="J372">
            <v>900</v>
          </cell>
          <cell r="K372">
            <v>-115</v>
          </cell>
          <cell r="M372">
            <v>1057</v>
          </cell>
          <cell r="N372">
            <v>0</v>
          </cell>
          <cell r="O372">
            <v>1057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W372">
            <v>1057</v>
          </cell>
          <cell r="X372">
            <v>0</v>
          </cell>
          <cell r="Y372">
            <v>1057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G372">
            <v>1088</v>
          </cell>
          <cell r="AH372">
            <v>0</v>
          </cell>
          <cell r="AI372">
            <v>1088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Q372">
            <v>1088</v>
          </cell>
          <cell r="AR372">
            <v>0</v>
          </cell>
          <cell r="AS372">
            <v>1088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BA372">
            <v>1088</v>
          </cell>
          <cell r="BB372">
            <v>0</v>
          </cell>
          <cell r="BC372">
            <v>1088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K372">
            <v>1139</v>
          </cell>
          <cell r="BL372">
            <v>0</v>
          </cell>
          <cell r="BM372">
            <v>1139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U372">
            <v>1139</v>
          </cell>
          <cell r="BV372">
            <v>0</v>
          </cell>
          <cell r="BW372">
            <v>1139</v>
          </cell>
          <cell r="BX372">
            <v>0</v>
          </cell>
          <cell r="BY372">
            <v>0</v>
          </cell>
          <cell r="BZ372">
            <v>0</v>
          </cell>
          <cell r="CA372">
            <v>0</v>
          </cell>
          <cell r="CB372">
            <v>0</v>
          </cell>
          <cell r="CC372">
            <v>0</v>
          </cell>
          <cell r="CE372">
            <v>1139</v>
          </cell>
          <cell r="CF372">
            <v>0</v>
          </cell>
          <cell r="CG372">
            <v>1139</v>
          </cell>
          <cell r="CH372">
            <v>0</v>
          </cell>
          <cell r="CI372">
            <v>0</v>
          </cell>
          <cell r="CJ372">
            <v>0</v>
          </cell>
          <cell r="CK372">
            <v>0</v>
          </cell>
          <cell r="CL372">
            <v>0</v>
          </cell>
          <cell r="CM372">
            <v>0</v>
          </cell>
          <cell r="CO372">
            <v>1139</v>
          </cell>
          <cell r="CP372">
            <v>0</v>
          </cell>
          <cell r="CQ372">
            <v>1139</v>
          </cell>
          <cell r="CR372">
            <v>0</v>
          </cell>
          <cell r="CS372">
            <v>0</v>
          </cell>
          <cell r="CT372">
            <v>0</v>
          </cell>
          <cell r="CU372">
            <v>0</v>
          </cell>
          <cell r="CV372">
            <v>0</v>
          </cell>
          <cell r="CW372">
            <v>0</v>
          </cell>
          <cell r="CY372">
            <v>1139</v>
          </cell>
          <cell r="CZ372">
            <v>0</v>
          </cell>
          <cell r="DA372">
            <v>1139</v>
          </cell>
          <cell r="DB372">
            <v>0</v>
          </cell>
          <cell r="DC372">
            <v>0</v>
          </cell>
          <cell r="DD372">
            <v>0</v>
          </cell>
          <cell r="DE372">
            <v>0</v>
          </cell>
          <cell r="DF372">
            <v>0</v>
          </cell>
          <cell r="DG372">
            <v>0</v>
          </cell>
          <cell r="DI372">
            <v>900</v>
          </cell>
          <cell r="DJ372">
            <v>11073</v>
          </cell>
          <cell r="DK372">
            <v>0</v>
          </cell>
          <cell r="DL372">
            <v>11073</v>
          </cell>
          <cell r="DM372">
            <v>11073</v>
          </cell>
          <cell r="DN372">
            <v>0</v>
          </cell>
          <cell r="DO372">
            <v>11073</v>
          </cell>
          <cell r="DP372">
            <v>0</v>
          </cell>
          <cell r="DQ372">
            <v>0</v>
          </cell>
          <cell r="DR372">
            <v>0</v>
          </cell>
          <cell r="DS372">
            <v>0</v>
          </cell>
          <cell r="DT372">
            <v>22146</v>
          </cell>
          <cell r="DU372">
            <v>0</v>
          </cell>
          <cell r="DW372">
            <v>0</v>
          </cell>
          <cell r="DX372">
            <v>0</v>
          </cell>
          <cell r="DY372">
            <v>3014</v>
          </cell>
          <cell r="DZ372">
            <v>5128</v>
          </cell>
          <cell r="EA372">
            <v>7304</v>
          </cell>
          <cell r="EB372">
            <v>9480</v>
          </cell>
          <cell r="EC372">
            <v>11656</v>
          </cell>
          <cell r="ED372">
            <v>13934</v>
          </cell>
          <cell r="EE372">
            <v>16212</v>
          </cell>
          <cell r="EF372">
            <v>18490</v>
          </cell>
          <cell r="EG372">
            <v>20768</v>
          </cell>
          <cell r="EH372">
            <v>23046</v>
          </cell>
          <cell r="EI372">
            <v>129032</v>
          </cell>
          <cell r="EK372">
            <v>0</v>
          </cell>
          <cell r="EL372">
            <v>0</v>
          </cell>
          <cell r="EM372">
            <v>20.093333333333334</v>
          </cell>
          <cell r="EN372">
            <v>34.186666666666667</v>
          </cell>
          <cell r="EO372">
            <v>48.693333333333335</v>
          </cell>
          <cell r="EP372">
            <v>63.199999999999996</v>
          </cell>
          <cell r="EQ372">
            <v>77.706666666666663</v>
          </cell>
          <cell r="ER372">
            <v>92.893333333333331</v>
          </cell>
          <cell r="ES372">
            <v>116.18599999999998</v>
          </cell>
          <cell r="ET372">
            <v>132.51166666666668</v>
          </cell>
          <cell r="EU372">
            <v>148.83733333333331</v>
          </cell>
          <cell r="EV372">
            <v>165.16300000000001</v>
          </cell>
          <cell r="EW372">
            <v>899.47133333333329</v>
          </cell>
          <cell r="EY372">
            <v>50516</v>
          </cell>
          <cell r="EZ372">
            <v>8</v>
          </cell>
          <cell r="FA372">
            <v>336.77333333333337</v>
          </cell>
          <cell r="FB372">
            <v>78516</v>
          </cell>
          <cell r="FC372">
            <v>8.6</v>
          </cell>
          <cell r="FD372">
            <v>562.69799999999998</v>
          </cell>
          <cell r="FE372">
            <v>899.4713333333334</v>
          </cell>
          <cell r="FF372">
            <v>23945</v>
          </cell>
          <cell r="FH372">
            <v>23945</v>
          </cell>
        </row>
        <row r="373">
          <cell r="B373">
            <v>9528</v>
          </cell>
          <cell r="C373" t="str">
            <v>13.12.2007</v>
          </cell>
          <cell r="D373" t="str">
            <v>Wagh Eknath Bhaskar</v>
          </cell>
          <cell r="F373">
            <v>1015</v>
          </cell>
          <cell r="G373">
            <v>15938</v>
          </cell>
          <cell r="H373">
            <v>450</v>
          </cell>
          <cell r="I373">
            <v>450</v>
          </cell>
          <cell r="J373">
            <v>900</v>
          </cell>
          <cell r="K373">
            <v>-115</v>
          </cell>
          <cell r="M373">
            <v>1057</v>
          </cell>
          <cell r="N373">
            <v>0</v>
          </cell>
          <cell r="O373">
            <v>1057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W373">
            <v>1057</v>
          </cell>
          <cell r="X373">
            <v>0</v>
          </cell>
          <cell r="Y373">
            <v>1057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G373">
            <v>1088</v>
          </cell>
          <cell r="AH373">
            <v>0</v>
          </cell>
          <cell r="AI373">
            <v>1088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Q373">
            <v>1088</v>
          </cell>
          <cell r="AR373">
            <v>0</v>
          </cell>
          <cell r="AS373">
            <v>1088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BA373">
            <v>1088</v>
          </cell>
          <cell r="BB373">
            <v>0</v>
          </cell>
          <cell r="BC373">
            <v>1088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K373">
            <v>1139</v>
          </cell>
          <cell r="BL373">
            <v>0</v>
          </cell>
          <cell r="BM373">
            <v>1139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U373">
            <v>1139</v>
          </cell>
          <cell r="BV373">
            <v>0</v>
          </cell>
          <cell r="BW373">
            <v>1139</v>
          </cell>
          <cell r="BX373">
            <v>0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0</v>
          </cell>
          <cell r="CE373">
            <v>1139</v>
          </cell>
          <cell r="CF373">
            <v>0</v>
          </cell>
          <cell r="CG373">
            <v>1139</v>
          </cell>
          <cell r="CH373">
            <v>0</v>
          </cell>
          <cell r="CI373">
            <v>0</v>
          </cell>
          <cell r="CJ373">
            <v>0</v>
          </cell>
          <cell r="CK373">
            <v>0</v>
          </cell>
          <cell r="CL373">
            <v>0</v>
          </cell>
          <cell r="CM373">
            <v>0</v>
          </cell>
          <cell r="CO373">
            <v>1139</v>
          </cell>
          <cell r="CP373">
            <v>0</v>
          </cell>
          <cell r="CQ373">
            <v>1139</v>
          </cell>
          <cell r="CR373">
            <v>0</v>
          </cell>
          <cell r="CS373">
            <v>0</v>
          </cell>
          <cell r="CT373">
            <v>0</v>
          </cell>
          <cell r="CU373">
            <v>0</v>
          </cell>
          <cell r="CV373">
            <v>0</v>
          </cell>
          <cell r="CW373">
            <v>0</v>
          </cell>
          <cell r="CY373">
            <v>1139</v>
          </cell>
          <cell r="CZ373">
            <v>0</v>
          </cell>
          <cell r="DA373">
            <v>1139</v>
          </cell>
          <cell r="DB373">
            <v>0</v>
          </cell>
          <cell r="DC373">
            <v>0</v>
          </cell>
          <cell r="DD373">
            <v>0</v>
          </cell>
          <cell r="DE373">
            <v>0</v>
          </cell>
          <cell r="DF373">
            <v>0</v>
          </cell>
          <cell r="DG373">
            <v>0</v>
          </cell>
          <cell r="DI373">
            <v>900</v>
          </cell>
          <cell r="DJ373">
            <v>11073</v>
          </cell>
          <cell r="DK373">
            <v>0</v>
          </cell>
          <cell r="DL373">
            <v>11073</v>
          </cell>
          <cell r="DM373">
            <v>11073</v>
          </cell>
          <cell r="DN373">
            <v>0</v>
          </cell>
          <cell r="DO373">
            <v>11073</v>
          </cell>
          <cell r="DP373">
            <v>0</v>
          </cell>
          <cell r="DQ373">
            <v>0</v>
          </cell>
          <cell r="DR373">
            <v>0</v>
          </cell>
          <cell r="DS373">
            <v>0</v>
          </cell>
          <cell r="DT373">
            <v>22146</v>
          </cell>
          <cell r="DU373">
            <v>0</v>
          </cell>
          <cell r="DW373">
            <v>0</v>
          </cell>
          <cell r="DX373">
            <v>0</v>
          </cell>
          <cell r="DY373">
            <v>3014</v>
          </cell>
          <cell r="DZ373">
            <v>5128</v>
          </cell>
          <cell r="EA373">
            <v>7304</v>
          </cell>
          <cell r="EB373">
            <v>9480</v>
          </cell>
          <cell r="EC373">
            <v>11656</v>
          </cell>
          <cell r="ED373">
            <v>13934</v>
          </cell>
          <cell r="EE373">
            <v>16212</v>
          </cell>
          <cell r="EF373">
            <v>18490</v>
          </cell>
          <cell r="EG373">
            <v>20768</v>
          </cell>
          <cell r="EH373">
            <v>23046</v>
          </cell>
          <cell r="EI373">
            <v>129032</v>
          </cell>
          <cell r="EK373">
            <v>0</v>
          </cell>
          <cell r="EL373">
            <v>0</v>
          </cell>
          <cell r="EM373">
            <v>20.093333333333334</v>
          </cell>
          <cell r="EN373">
            <v>34.186666666666667</v>
          </cell>
          <cell r="EO373">
            <v>48.693333333333335</v>
          </cell>
          <cell r="EP373">
            <v>63.199999999999996</v>
          </cell>
          <cell r="EQ373">
            <v>77.706666666666663</v>
          </cell>
          <cell r="ER373">
            <v>92.893333333333331</v>
          </cell>
          <cell r="ES373">
            <v>116.18599999999998</v>
          </cell>
          <cell r="ET373">
            <v>132.51166666666668</v>
          </cell>
          <cell r="EU373">
            <v>148.83733333333331</v>
          </cell>
          <cell r="EV373">
            <v>165.16300000000001</v>
          </cell>
          <cell r="EW373">
            <v>899.47133333333329</v>
          </cell>
          <cell r="EY373">
            <v>50516</v>
          </cell>
          <cell r="EZ373">
            <v>8</v>
          </cell>
          <cell r="FA373">
            <v>336.77333333333337</v>
          </cell>
          <cell r="FB373">
            <v>78516</v>
          </cell>
          <cell r="FC373">
            <v>8.6</v>
          </cell>
          <cell r="FD373">
            <v>562.69799999999998</v>
          </cell>
          <cell r="FE373">
            <v>899.4713333333334</v>
          </cell>
          <cell r="FF373">
            <v>23945</v>
          </cell>
          <cell r="FH373">
            <v>23945</v>
          </cell>
        </row>
        <row r="374">
          <cell r="B374">
            <v>9532</v>
          </cell>
          <cell r="C374" t="str">
            <v>15.12.2007</v>
          </cell>
          <cell r="D374" t="str">
            <v>Chavan Renudevi Dharmpal</v>
          </cell>
          <cell r="F374">
            <v>1015</v>
          </cell>
          <cell r="H374">
            <v>450</v>
          </cell>
          <cell r="I374">
            <v>450</v>
          </cell>
          <cell r="J374">
            <v>900</v>
          </cell>
          <cell r="K374">
            <v>-115</v>
          </cell>
          <cell r="M374">
            <v>1057</v>
          </cell>
          <cell r="N374">
            <v>0</v>
          </cell>
          <cell r="O374">
            <v>1057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W374">
            <v>1057</v>
          </cell>
          <cell r="X374">
            <v>0</v>
          </cell>
          <cell r="Y374">
            <v>1057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G374">
            <v>1088</v>
          </cell>
          <cell r="AH374">
            <v>0</v>
          </cell>
          <cell r="AI374">
            <v>1088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Q374">
            <v>1088</v>
          </cell>
          <cell r="AR374">
            <v>0</v>
          </cell>
          <cell r="AS374">
            <v>1088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BA374">
            <v>1088</v>
          </cell>
          <cell r="BB374">
            <v>0</v>
          </cell>
          <cell r="BC374">
            <v>1088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K374">
            <v>1139</v>
          </cell>
          <cell r="BL374">
            <v>0</v>
          </cell>
          <cell r="BM374">
            <v>1139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U374">
            <v>1139</v>
          </cell>
          <cell r="BV374">
            <v>0</v>
          </cell>
          <cell r="BW374">
            <v>1139</v>
          </cell>
          <cell r="BX374">
            <v>0</v>
          </cell>
          <cell r="BY374">
            <v>0</v>
          </cell>
          <cell r="BZ374">
            <v>0</v>
          </cell>
          <cell r="CA374">
            <v>0</v>
          </cell>
          <cell r="CB374">
            <v>0</v>
          </cell>
          <cell r="CC374">
            <v>0</v>
          </cell>
          <cell r="CE374">
            <v>1139</v>
          </cell>
          <cell r="CF374">
            <v>0</v>
          </cell>
          <cell r="CG374">
            <v>1139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  <cell r="CL374">
            <v>0</v>
          </cell>
          <cell r="CM374">
            <v>0</v>
          </cell>
          <cell r="CO374">
            <v>1139</v>
          </cell>
          <cell r="CP374">
            <v>0</v>
          </cell>
          <cell r="CQ374">
            <v>1139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CW374">
            <v>0</v>
          </cell>
          <cell r="CY374">
            <v>1139</v>
          </cell>
          <cell r="CZ374">
            <v>0</v>
          </cell>
          <cell r="DA374">
            <v>1139</v>
          </cell>
          <cell r="DB374">
            <v>0</v>
          </cell>
          <cell r="DC374">
            <v>0</v>
          </cell>
          <cell r="DD374">
            <v>0</v>
          </cell>
          <cell r="DE374">
            <v>0</v>
          </cell>
          <cell r="DF374">
            <v>0</v>
          </cell>
          <cell r="DG374">
            <v>0</v>
          </cell>
          <cell r="DI374">
            <v>900</v>
          </cell>
          <cell r="DJ374">
            <v>11073</v>
          </cell>
          <cell r="DK374">
            <v>0</v>
          </cell>
          <cell r="DL374">
            <v>11073</v>
          </cell>
          <cell r="DM374">
            <v>11073</v>
          </cell>
          <cell r="DN374">
            <v>0</v>
          </cell>
          <cell r="DO374">
            <v>11073</v>
          </cell>
          <cell r="DP374">
            <v>0</v>
          </cell>
          <cell r="DQ374">
            <v>0</v>
          </cell>
          <cell r="DR374">
            <v>0</v>
          </cell>
          <cell r="DS374">
            <v>0</v>
          </cell>
          <cell r="DT374">
            <v>22146</v>
          </cell>
          <cell r="DU374">
            <v>0</v>
          </cell>
          <cell r="DW374">
            <v>0</v>
          </cell>
          <cell r="DX374">
            <v>0</v>
          </cell>
          <cell r="DY374">
            <v>3014</v>
          </cell>
          <cell r="DZ374">
            <v>5128</v>
          </cell>
          <cell r="EA374">
            <v>7304</v>
          </cell>
          <cell r="EB374">
            <v>9480</v>
          </cell>
          <cell r="EC374">
            <v>11656</v>
          </cell>
          <cell r="ED374">
            <v>13934</v>
          </cell>
          <cell r="EE374">
            <v>16212</v>
          </cell>
          <cell r="EF374">
            <v>18490</v>
          </cell>
          <cell r="EG374">
            <v>20768</v>
          </cell>
          <cell r="EH374">
            <v>23046</v>
          </cell>
          <cell r="EI374">
            <v>129032</v>
          </cell>
          <cell r="EK374">
            <v>0</v>
          </cell>
          <cell r="EL374">
            <v>0</v>
          </cell>
          <cell r="EM374">
            <v>20.093333333333334</v>
          </cell>
          <cell r="EN374">
            <v>34.186666666666667</v>
          </cell>
          <cell r="EO374">
            <v>48.693333333333335</v>
          </cell>
          <cell r="EP374">
            <v>63.199999999999996</v>
          </cell>
          <cell r="EQ374">
            <v>77.706666666666663</v>
          </cell>
          <cell r="ER374">
            <v>92.893333333333331</v>
          </cell>
          <cell r="ES374">
            <v>116.18599999999998</v>
          </cell>
          <cell r="ET374">
            <v>132.51166666666668</v>
          </cell>
          <cell r="EU374">
            <v>148.83733333333331</v>
          </cell>
          <cell r="EV374">
            <v>165.16300000000001</v>
          </cell>
          <cell r="EW374">
            <v>899.47133333333329</v>
          </cell>
          <cell r="EY374">
            <v>50516</v>
          </cell>
          <cell r="EZ374">
            <v>8</v>
          </cell>
          <cell r="FA374">
            <v>336.77333333333337</v>
          </cell>
          <cell r="FB374">
            <v>78516</v>
          </cell>
          <cell r="FC374">
            <v>8.6</v>
          </cell>
          <cell r="FD374">
            <v>562.69799999999998</v>
          </cell>
          <cell r="FE374">
            <v>899.4713333333334</v>
          </cell>
          <cell r="FF374">
            <v>23945</v>
          </cell>
          <cell r="FH374">
            <v>23945</v>
          </cell>
        </row>
        <row r="375">
          <cell r="B375">
            <v>9537</v>
          </cell>
          <cell r="C375" t="str">
            <v>08.01.2008</v>
          </cell>
          <cell r="D375" t="str">
            <v>Parche Rohit Sunil</v>
          </cell>
          <cell r="F375">
            <v>1015</v>
          </cell>
          <cell r="H375">
            <v>450</v>
          </cell>
          <cell r="I375">
            <v>450</v>
          </cell>
          <cell r="J375">
            <v>900</v>
          </cell>
          <cell r="K375">
            <v>-115</v>
          </cell>
          <cell r="M375">
            <v>1057</v>
          </cell>
          <cell r="N375">
            <v>0</v>
          </cell>
          <cell r="O375">
            <v>1057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W375">
            <v>1057</v>
          </cell>
          <cell r="X375">
            <v>0</v>
          </cell>
          <cell r="Y375">
            <v>1057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G375">
            <v>1088</v>
          </cell>
          <cell r="AH375">
            <v>0</v>
          </cell>
          <cell r="AI375">
            <v>1088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Q375">
            <v>1088</v>
          </cell>
          <cell r="AR375">
            <v>0</v>
          </cell>
          <cell r="AS375">
            <v>1088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BA375">
            <v>1088</v>
          </cell>
          <cell r="BB375">
            <v>0</v>
          </cell>
          <cell r="BC375">
            <v>1088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K375">
            <v>1139</v>
          </cell>
          <cell r="BL375">
            <v>0</v>
          </cell>
          <cell r="BM375">
            <v>1139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U375">
            <v>1139</v>
          </cell>
          <cell r="BV375">
            <v>0</v>
          </cell>
          <cell r="BW375">
            <v>1139</v>
          </cell>
          <cell r="BX375">
            <v>0</v>
          </cell>
          <cell r="BY375">
            <v>0</v>
          </cell>
          <cell r="BZ375">
            <v>0</v>
          </cell>
          <cell r="CA375">
            <v>0</v>
          </cell>
          <cell r="CB375">
            <v>0</v>
          </cell>
          <cell r="CC375">
            <v>0</v>
          </cell>
          <cell r="CE375">
            <v>1139</v>
          </cell>
          <cell r="CF375">
            <v>0</v>
          </cell>
          <cell r="CG375">
            <v>1139</v>
          </cell>
          <cell r="CH375">
            <v>0</v>
          </cell>
          <cell r="CI375">
            <v>0</v>
          </cell>
          <cell r="CJ375">
            <v>0</v>
          </cell>
          <cell r="CK375">
            <v>0</v>
          </cell>
          <cell r="CL375">
            <v>0</v>
          </cell>
          <cell r="CM375">
            <v>0</v>
          </cell>
          <cell r="CO375">
            <v>1139</v>
          </cell>
          <cell r="CP375">
            <v>0</v>
          </cell>
          <cell r="CQ375">
            <v>1139</v>
          </cell>
          <cell r="CR375">
            <v>0</v>
          </cell>
          <cell r="CS375">
            <v>0</v>
          </cell>
          <cell r="CT375">
            <v>0</v>
          </cell>
          <cell r="CU375">
            <v>0</v>
          </cell>
          <cell r="CV375">
            <v>0</v>
          </cell>
          <cell r="CW375">
            <v>0</v>
          </cell>
          <cell r="CY375">
            <v>1139</v>
          </cell>
          <cell r="CZ375">
            <v>0</v>
          </cell>
          <cell r="DA375">
            <v>1139</v>
          </cell>
          <cell r="DB375">
            <v>0</v>
          </cell>
          <cell r="DC375">
            <v>0</v>
          </cell>
          <cell r="DD375">
            <v>0</v>
          </cell>
          <cell r="DE375">
            <v>0</v>
          </cell>
          <cell r="DF375">
            <v>0</v>
          </cell>
          <cell r="DG375">
            <v>0</v>
          </cell>
          <cell r="DI375">
            <v>900</v>
          </cell>
          <cell r="DJ375">
            <v>11073</v>
          </cell>
          <cell r="DK375">
            <v>0</v>
          </cell>
          <cell r="DL375">
            <v>11073</v>
          </cell>
          <cell r="DM375">
            <v>11073</v>
          </cell>
          <cell r="DN375">
            <v>0</v>
          </cell>
          <cell r="DO375">
            <v>11073</v>
          </cell>
          <cell r="DP375">
            <v>0</v>
          </cell>
          <cell r="DQ375">
            <v>0</v>
          </cell>
          <cell r="DR375">
            <v>0</v>
          </cell>
          <cell r="DS375">
            <v>0</v>
          </cell>
          <cell r="DT375">
            <v>22146</v>
          </cell>
          <cell r="DU375">
            <v>0</v>
          </cell>
          <cell r="DW375">
            <v>0</v>
          </cell>
          <cell r="DX375">
            <v>0</v>
          </cell>
          <cell r="DY375">
            <v>3014</v>
          </cell>
          <cell r="DZ375">
            <v>5128</v>
          </cell>
          <cell r="EA375">
            <v>7304</v>
          </cell>
          <cell r="EB375">
            <v>9480</v>
          </cell>
          <cell r="EC375">
            <v>11656</v>
          </cell>
          <cell r="ED375">
            <v>13934</v>
          </cell>
          <cell r="EE375">
            <v>16212</v>
          </cell>
          <cell r="EF375">
            <v>18490</v>
          </cell>
          <cell r="EG375">
            <v>20768</v>
          </cell>
          <cell r="EH375">
            <v>23046</v>
          </cell>
          <cell r="EI375">
            <v>129032</v>
          </cell>
          <cell r="EK375">
            <v>0</v>
          </cell>
          <cell r="EL375">
            <v>0</v>
          </cell>
          <cell r="EM375">
            <v>20.093333333333334</v>
          </cell>
          <cell r="EN375">
            <v>34.186666666666667</v>
          </cell>
          <cell r="EO375">
            <v>48.693333333333335</v>
          </cell>
          <cell r="EP375">
            <v>63.199999999999996</v>
          </cell>
          <cell r="EQ375">
            <v>77.706666666666663</v>
          </cell>
          <cell r="ER375">
            <v>92.893333333333331</v>
          </cell>
          <cell r="ES375">
            <v>116.18599999999998</v>
          </cell>
          <cell r="ET375">
            <v>132.51166666666668</v>
          </cell>
          <cell r="EU375">
            <v>148.83733333333331</v>
          </cell>
          <cell r="EV375">
            <v>165.16300000000001</v>
          </cell>
          <cell r="EW375">
            <v>899.47133333333329</v>
          </cell>
          <cell r="EY375">
            <v>50516</v>
          </cell>
          <cell r="EZ375">
            <v>8</v>
          </cell>
          <cell r="FA375">
            <v>336.77333333333337</v>
          </cell>
          <cell r="FB375">
            <v>78516</v>
          </cell>
          <cell r="FC375">
            <v>8.6</v>
          </cell>
          <cell r="FD375">
            <v>562.69799999999998</v>
          </cell>
          <cell r="FE375">
            <v>899.4713333333334</v>
          </cell>
          <cell r="FF375">
            <v>23945</v>
          </cell>
          <cell r="FH375">
            <v>23945</v>
          </cell>
        </row>
        <row r="376">
          <cell r="B376">
            <v>9517</v>
          </cell>
          <cell r="C376" t="str">
            <v>15.01.2008</v>
          </cell>
          <cell r="D376" t="str">
            <v>Jagtap Sushil Tulsidas</v>
          </cell>
          <cell r="F376">
            <v>2030</v>
          </cell>
          <cell r="H376">
            <v>900</v>
          </cell>
          <cell r="I376">
            <v>900</v>
          </cell>
          <cell r="J376">
            <v>1800</v>
          </cell>
          <cell r="K376">
            <v>-230</v>
          </cell>
          <cell r="M376">
            <v>1057</v>
          </cell>
          <cell r="N376">
            <v>0</v>
          </cell>
          <cell r="O376">
            <v>1057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W376">
            <v>1057</v>
          </cell>
          <cell r="X376">
            <v>0</v>
          </cell>
          <cell r="Y376">
            <v>1057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G376">
            <v>1088</v>
          </cell>
          <cell r="AH376">
            <v>0</v>
          </cell>
          <cell r="AI376">
            <v>1088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Q376">
            <v>1088</v>
          </cell>
          <cell r="AR376">
            <v>0</v>
          </cell>
          <cell r="AS376">
            <v>1088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BA376">
            <v>1088</v>
          </cell>
          <cell r="BB376">
            <v>0</v>
          </cell>
          <cell r="BC376">
            <v>1088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K376">
            <v>1139</v>
          </cell>
          <cell r="BL376">
            <v>0</v>
          </cell>
          <cell r="BM376">
            <v>1139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U376">
            <v>1139</v>
          </cell>
          <cell r="BV376">
            <v>0</v>
          </cell>
          <cell r="BW376">
            <v>1139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B376">
            <v>0</v>
          </cell>
          <cell r="CC376">
            <v>0</v>
          </cell>
          <cell r="CE376">
            <v>1139</v>
          </cell>
          <cell r="CF376">
            <v>0</v>
          </cell>
          <cell r="CG376">
            <v>1139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  <cell r="CL376">
            <v>0</v>
          </cell>
          <cell r="CM376">
            <v>0</v>
          </cell>
          <cell r="CO376">
            <v>1139</v>
          </cell>
          <cell r="CP376">
            <v>0</v>
          </cell>
          <cell r="CQ376">
            <v>1139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W376">
            <v>0</v>
          </cell>
          <cell r="CY376">
            <v>1139</v>
          </cell>
          <cell r="CZ376">
            <v>0</v>
          </cell>
          <cell r="DA376">
            <v>1139</v>
          </cell>
          <cell r="DB376">
            <v>0</v>
          </cell>
          <cell r="DC376">
            <v>0</v>
          </cell>
          <cell r="DD376">
            <v>0</v>
          </cell>
          <cell r="DE376">
            <v>0</v>
          </cell>
          <cell r="DF376">
            <v>0</v>
          </cell>
          <cell r="DG376">
            <v>0</v>
          </cell>
          <cell r="DI376">
            <v>1800</v>
          </cell>
          <cell r="DJ376">
            <v>11073</v>
          </cell>
          <cell r="DK376">
            <v>0</v>
          </cell>
          <cell r="DL376">
            <v>11073</v>
          </cell>
          <cell r="DM376">
            <v>11073</v>
          </cell>
          <cell r="DN376">
            <v>0</v>
          </cell>
          <cell r="DO376">
            <v>11073</v>
          </cell>
          <cell r="DP376">
            <v>0</v>
          </cell>
          <cell r="DQ376">
            <v>0</v>
          </cell>
          <cell r="DR376">
            <v>0</v>
          </cell>
          <cell r="DS376">
            <v>0</v>
          </cell>
          <cell r="DT376">
            <v>22146</v>
          </cell>
          <cell r="DU376">
            <v>0</v>
          </cell>
          <cell r="DW376">
            <v>0</v>
          </cell>
          <cell r="DX376">
            <v>0</v>
          </cell>
          <cell r="DY376">
            <v>3914</v>
          </cell>
          <cell r="DZ376">
            <v>6028</v>
          </cell>
          <cell r="EA376">
            <v>8204</v>
          </cell>
          <cell r="EB376">
            <v>10380</v>
          </cell>
          <cell r="EC376">
            <v>12556</v>
          </cell>
          <cell r="ED376">
            <v>14834</v>
          </cell>
          <cell r="EE376">
            <v>17112</v>
          </cell>
          <cell r="EF376">
            <v>19390</v>
          </cell>
          <cell r="EG376">
            <v>21668</v>
          </cell>
          <cell r="EH376">
            <v>23946</v>
          </cell>
          <cell r="EI376">
            <v>138032</v>
          </cell>
          <cell r="EK376">
            <v>0</v>
          </cell>
          <cell r="EL376">
            <v>0</v>
          </cell>
          <cell r="EM376">
            <v>26.093333333333334</v>
          </cell>
          <cell r="EN376">
            <v>40.186666666666667</v>
          </cell>
          <cell r="EO376">
            <v>54.693333333333335</v>
          </cell>
          <cell r="EP376">
            <v>69.2</v>
          </cell>
          <cell r="EQ376">
            <v>83.706666666666663</v>
          </cell>
          <cell r="ER376">
            <v>98.893333333333331</v>
          </cell>
          <cell r="ES376">
            <v>122.63599999999998</v>
          </cell>
          <cell r="ET376">
            <v>138.96166666666667</v>
          </cell>
          <cell r="EU376">
            <v>155.28733333333332</v>
          </cell>
          <cell r="EV376">
            <v>171.61300000000003</v>
          </cell>
          <cell r="EW376">
            <v>961.27133333333336</v>
          </cell>
          <cell r="EY376">
            <v>55916</v>
          </cell>
          <cell r="EZ376">
            <v>8</v>
          </cell>
          <cell r="FA376">
            <v>372.77333333333331</v>
          </cell>
          <cell r="FB376">
            <v>82116</v>
          </cell>
          <cell r="FC376">
            <v>8.6</v>
          </cell>
          <cell r="FD376">
            <v>588.49799999999993</v>
          </cell>
          <cell r="FE376">
            <v>961.27133333333325</v>
          </cell>
          <cell r="FF376">
            <v>24907</v>
          </cell>
          <cell r="FH376">
            <v>24907</v>
          </cell>
        </row>
        <row r="377">
          <cell r="B377">
            <v>9570</v>
          </cell>
          <cell r="C377" t="str">
            <v>25.01.2008</v>
          </cell>
          <cell r="D377" t="str">
            <v>Piwal Sheela Suresh</v>
          </cell>
          <cell r="F377">
            <v>1015</v>
          </cell>
          <cell r="H377">
            <v>450</v>
          </cell>
          <cell r="I377">
            <v>450</v>
          </cell>
          <cell r="J377">
            <v>900</v>
          </cell>
          <cell r="K377">
            <v>-115</v>
          </cell>
          <cell r="M377">
            <v>1057</v>
          </cell>
          <cell r="N377">
            <v>0</v>
          </cell>
          <cell r="O377">
            <v>1057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W377">
            <v>1057</v>
          </cell>
          <cell r="X377">
            <v>0</v>
          </cell>
          <cell r="Y377">
            <v>1057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G377">
            <v>1088</v>
          </cell>
          <cell r="AH377">
            <v>0</v>
          </cell>
          <cell r="AI377">
            <v>1088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Q377">
            <v>1088</v>
          </cell>
          <cell r="AR377">
            <v>0</v>
          </cell>
          <cell r="AS377">
            <v>1088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BA377">
            <v>1088</v>
          </cell>
          <cell r="BB377">
            <v>0</v>
          </cell>
          <cell r="BC377">
            <v>1088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K377">
            <v>1139</v>
          </cell>
          <cell r="BL377">
            <v>0</v>
          </cell>
          <cell r="BM377">
            <v>1139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U377">
            <v>1139</v>
          </cell>
          <cell r="BV377">
            <v>0</v>
          </cell>
          <cell r="BW377">
            <v>1139</v>
          </cell>
          <cell r="BX377">
            <v>0</v>
          </cell>
          <cell r="BY377">
            <v>0</v>
          </cell>
          <cell r="BZ377">
            <v>0</v>
          </cell>
          <cell r="CA377">
            <v>0</v>
          </cell>
          <cell r="CB377">
            <v>0</v>
          </cell>
          <cell r="CC377">
            <v>0</v>
          </cell>
          <cell r="CE377">
            <v>1139</v>
          </cell>
          <cell r="CF377">
            <v>0</v>
          </cell>
          <cell r="CG377">
            <v>1139</v>
          </cell>
          <cell r="CH377">
            <v>0</v>
          </cell>
          <cell r="CI377">
            <v>0</v>
          </cell>
          <cell r="CJ377">
            <v>0</v>
          </cell>
          <cell r="CK377">
            <v>0</v>
          </cell>
          <cell r="CL377">
            <v>0</v>
          </cell>
          <cell r="CM377">
            <v>0</v>
          </cell>
          <cell r="CO377">
            <v>1139</v>
          </cell>
          <cell r="CP377">
            <v>0</v>
          </cell>
          <cell r="CQ377">
            <v>1139</v>
          </cell>
          <cell r="CR377">
            <v>0</v>
          </cell>
          <cell r="CS377">
            <v>0</v>
          </cell>
          <cell r="CT377">
            <v>0</v>
          </cell>
          <cell r="CU377">
            <v>0</v>
          </cell>
          <cell r="CV377">
            <v>0</v>
          </cell>
          <cell r="CW377">
            <v>0</v>
          </cell>
          <cell r="CY377">
            <v>1139</v>
          </cell>
          <cell r="CZ377">
            <v>0</v>
          </cell>
          <cell r="DA377">
            <v>1139</v>
          </cell>
          <cell r="DB377">
            <v>0</v>
          </cell>
          <cell r="DC377">
            <v>0</v>
          </cell>
          <cell r="DD377">
            <v>0</v>
          </cell>
          <cell r="DE377">
            <v>0</v>
          </cell>
          <cell r="DF377">
            <v>0</v>
          </cell>
          <cell r="DG377">
            <v>0</v>
          </cell>
          <cell r="DI377">
            <v>900</v>
          </cell>
          <cell r="DJ377">
            <v>11073</v>
          </cell>
          <cell r="DK377">
            <v>0</v>
          </cell>
          <cell r="DL377">
            <v>11073</v>
          </cell>
          <cell r="DM377">
            <v>11073</v>
          </cell>
          <cell r="DN377">
            <v>0</v>
          </cell>
          <cell r="DO377">
            <v>11073</v>
          </cell>
          <cell r="DP377">
            <v>0</v>
          </cell>
          <cell r="DQ377">
            <v>0</v>
          </cell>
          <cell r="DR377">
            <v>0</v>
          </cell>
          <cell r="DS377">
            <v>0</v>
          </cell>
          <cell r="DT377">
            <v>22146</v>
          </cell>
          <cell r="DU377">
            <v>0</v>
          </cell>
          <cell r="DW377">
            <v>0</v>
          </cell>
          <cell r="DX377">
            <v>0</v>
          </cell>
          <cell r="DY377">
            <v>3014</v>
          </cell>
          <cell r="DZ377">
            <v>5128</v>
          </cell>
          <cell r="EA377">
            <v>7304</v>
          </cell>
          <cell r="EB377">
            <v>9480</v>
          </cell>
          <cell r="EC377">
            <v>11656</v>
          </cell>
          <cell r="ED377">
            <v>13934</v>
          </cell>
          <cell r="EE377">
            <v>16212</v>
          </cell>
          <cell r="EF377">
            <v>18490</v>
          </cell>
          <cell r="EG377">
            <v>20768</v>
          </cell>
          <cell r="EH377">
            <v>23046</v>
          </cell>
          <cell r="EI377">
            <v>129032</v>
          </cell>
          <cell r="EK377">
            <v>0</v>
          </cell>
          <cell r="EL377">
            <v>0</v>
          </cell>
          <cell r="EM377">
            <v>20.093333333333334</v>
          </cell>
          <cell r="EN377">
            <v>34.186666666666667</v>
          </cell>
          <cell r="EO377">
            <v>48.693333333333335</v>
          </cell>
          <cell r="EP377">
            <v>63.199999999999996</v>
          </cell>
          <cell r="EQ377">
            <v>77.706666666666663</v>
          </cell>
          <cell r="ER377">
            <v>92.893333333333331</v>
          </cell>
          <cell r="ES377">
            <v>116.18599999999998</v>
          </cell>
          <cell r="ET377">
            <v>132.51166666666668</v>
          </cell>
          <cell r="EU377">
            <v>148.83733333333331</v>
          </cell>
          <cell r="EV377">
            <v>165.16300000000001</v>
          </cell>
          <cell r="EW377">
            <v>899.47133333333329</v>
          </cell>
          <cell r="EY377">
            <v>50516</v>
          </cell>
          <cell r="EZ377">
            <v>8</v>
          </cell>
          <cell r="FA377">
            <v>336.77333333333337</v>
          </cell>
          <cell r="FB377">
            <v>78516</v>
          </cell>
          <cell r="FC377">
            <v>8.6</v>
          </cell>
          <cell r="FD377">
            <v>562.69799999999998</v>
          </cell>
          <cell r="FE377">
            <v>899.4713333333334</v>
          </cell>
          <cell r="FF377">
            <v>23945</v>
          </cell>
          <cell r="FH377">
            <v>23945</v>
          </cell>
        </row>
        <row r="378">
          <cell r="B378">
            <v>9582</v>
          </cell>
          <cell r="C378" t="str">
            <v>16.02.2008</v>
          </cell>
          <cell r="D378" t="str">
            <v>Londhe Sachin Suresh</v>
          </cell>
          <cell r="F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  <cell r="CL378">
            <v>0</v>
          </cell>
          <cell r="CM378">
            <v>0</v>
          </cell>
          <cell r="CO378">
            <v>0</v>
          </cell>
          <cell r="CP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W378">
            <v>0</v>
          </cell>
          <cell r="CY378">
            <v>0</v>
          </cell>
          <cell r="CZ378">
            <v>0</v>
          </cell>
          <cell r="DA378">
            <v>0</v>
          </cell>
          <cell r="DB378">
            <v>0</v>
          </cell>
          <cell r="DC378">
            <v>0</v>
          </cell>
          <cell r="DD378">
            <v>0</v>
          </cell>
          <cell r="DE378">
            <v>0</v>
          </cell>
          <cell r="DF378">
            <v>0</v>
          </cell>
          <cell r="DG378">
            <v>0</v>
          </cell>
          <cell r="DI378">
            <v>0</v>
          </cell>
          <cell r="DJ378">
            <v>0</v>
          </cell>
          <cell r="DK378">
            <v>0</v>
          </cell>
          <cell r="DL378">
            <v>0</v>
          </cell>
          <cell r="DM378">
            <v>0</v>
          </cell>
          <cell r="DN378">
            <v>0</v>
          </cell>
          <cell r="DO378">
            <v>0</v>
          </cell>
          <cell r="DP378">
            <v>0</v>
          </cell>
          <cell r="DQ378">
            <v>0</v>
          </cell>
          <cell r="DR378">
            <v>0</v>
          </cell>
          <cell r="DS378">
            <v>0</v>
          </cell>
          <cell r="DT378">
            <v>0</v>
          </cell>
          <cell r="DU378">
            <v>0</v>
          </cell>
          <cell r="DW378">
            <v>0</v>
          </cell>
          <cell r="DX378">
            <v>0</v>
          </cell>
          <cell r="DY378">
            <v>0</v>
          </cell>
          <cell r="DZ378">
            <v>0</v>
          </cell>
          <cell r="EA378">
            <v>0</v>
          </cell>
          <cell r="EB378">
            <v>0</v>
          </cell>
          <cell r="EC378">
            <v>0</v>
          </cell>
          <cell r="ED378">
            <v>0</v>
          </cell>
          <cell r="EE378">
            <v>0</v>
          </cell>
          <cell r="EF378">
            <v>0</v>
          </cell>
          <cell r="EG378">
            <v>0</v>
          </cell>
          <cell r="EH378">
            <v>0</v>
          </cell>
          <cell r="EI378">
            <v>0</v>
          </cell>
          <cell r="EK378">
            <v>0</v>
          </cell>
          <cell r="EL378">
            <v>0</v>
          </cell>
          <cell r="EM378">
            <v>0</v>
          </cell>
          <cell r="EN378">
            <v>0</v>
          </cell>
          <cell r="EO378">
            <v>0</v>
          </cell>
          <cell r="EP378">
            <v>0</v>
          </cell>
          <cell r="EQ378">
            <v>0</v>
          </cell>
          <cell r="ER378">
            <v>0</v>
          </cell>
          <cell r="ES378">
            <v>0</v>
          </cell>
          <cell r="ET378">
            <v>0</v>
          </cell>
          <cell r="EU378">
            <v>0</v>
          </cell>
          <cell r="EV378">
            <v>0</v>
          </cell>
          <cell r="EW378">
            <v>0</v>
          </cell>
          <cell r="EY378">
            <v>0</v>
          </cell>
          <cell r="EZ378">
            <v>8</v>
          </cell>
          <cell r="FA378">
            <v>0</v>
          </cell>
          <cell r="FB378">
            <v>0</v>
          </cell>
          <cell r="FC378">
            <v>8.6</v>
          </cell>
          <cell r="FD378">
            <v>0</v>
          </cell>
          <cell r="FE378">
            <v>0</v>
          </cell>
          <cell r="FF378">
            <v>0</v>
          </cell>
          <cell r="FH378">
            <v>0</v>
          </cell>
        </row>
        <row r="379">
          <cell r="B379">
            <v>9632</v>
          </cell>
          <cell r="C379" t="str">
            <v>21.02.2008</v>
          </cell>
          <cell r="D379" t="str">
            <v>Bhujbal Shashikant Jeevan</v>
          </cell>
          <cell r="F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0</v>
          </cell>
          <cell r="CK379">
            <v>0</v>
          </cell>
          <cell r="CL379">
            <v>0</v>
          </cell>
          <cell r="CM379">
            <v>0</v>
          </cell>
          <cell r="CO379">
            <v>1106</v>
          </cell>
          <cell r="CP379">
            <v>0</v>
          </cell>
          <cell r="CQ379">
            <v>1106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CW379">
            <v>0</v>
          </cell>
          <cell r="CY379">
            <v>1106</v>
          </cell>
          <cell r="CZ379">
            <v>0</v>
          </cell>
          <cell r="DA379">
            <v>1106</v>
          </cell>
          <cell r="DB379">
            <v>0</v>
          </cell>
          <cell r="DC379">
            <v>0</v>
          </cell>
          <cell r="DD379">
            <v>0</v>
          </cell>
          <cell r="DE379">
            <v>0</v>
          </cell>
          <cell r="DF379">
            <v>0</v>
          </cell>
          <cell r="DG379">
            <v>0</v>
          </cell>
          <cell r="DI379">
            <v>0</v>
          </cell>
          <cell r="DJ379">
            <v>2212</v>
          </cell>
          <cell r="DK379">
            <v>0</v>
          </cell>
          <cell r="DL379">
            <v>2212</v>
          </cell>
          <cell r="DM379">
            <v>2212</v>
          </cell>
          <cell r="DN379">
            <v>0</v>
          </cell>
          <cell r="DO379">
            <v>2212</v>
          </cell>
          <cell r="DP379">
            <v>0</v>
          </cell>
          <cell r="DQ379">
            <v>0</v>
          </cell>
          <cell r="DR379">
            <v>0</v>
          </cell>
          <cell r="DS379">
            <v>0</v>
          </cell>
          <cell r="DT379">
            <v>4424</v>
          </cell>
          <cell r="DU379">
            <v>0</v>
          </cell>
          <cell r="DW379">
            <v>0</v>
          </cell>
          <cell r="DX379">
            <v>0</v>
          </cell>
          <cell r="DY379">
            <v>0</v>
          </cell>
          <cell r="DZ379">
            <v>0</v>
          </cell>
          <cell r="EA379">
            <v>0</v>
          </cell>
          <cell r="EB379">
            <v>0</v>
          </cell>
          <cell r="EC379">
            <v>0</v>
          </cell>
          <cell r="ED379">
            <v>0</v>
          </cell>
          <cell r="EE379">
            <v>0</v>
          </cell>
          <cell r="EF379">
            <v>0</v>
          </cell>
          <cell r="EG379">
            <v>2212</v>
          </cell>
          <cell r="EH379">
            <v>4424</v>
          </cell>
          <cell r="EI379">
            <v>6636</v>
          </cell>
          <cell r="EK379">
            <v>0</v>
          </cell>
          <cell r="EL379">
            <v>0</v>
          </cell>
          <cell r="EM379">
            <v>0</v>
          </cell>
          <cell r="EN379">
            <v>0</v>
          </cell>
          <cell r="EO379">
            <v>0</v>
          </cell>
          <cell r="EP379">
            <v>0</v>
          </cell>
          <cell r="EQ379">
            <v>0</v>
          </cell>
          <cell r="ER379">
            <v>0</v>
          </cell>
          <cell r="ES379">
            <v>0</v>
          </cell>
          <cell r="ET379">
            <v>0</v>
          </cell>
          <cell r="EU379">
            <v>15.852666666666666</v>
          </cell>
          <cell r="EV379">
            <v>31.705333333333332</v>
          </cell>
          <cell r="EW379">
            <v>47.558</v>
          </cell>
          <cell r="EY379">
            <v>0</v>
          </cell>
          <cell r="EZ379">
            <v>8</v>
          </cell>
          <cell r="FA379">
            <v>0</v>
          </cell>
          <cell r="FB379">
            <v>6636</v>
          </cell>
          <cell r="FC379">
            <v>8.6</v>
          </cell>
          <cell r="FD379">
            <v>47.558</v>
          </cell>
          <cell r="FE379">
            <v>47.558</v>
          </cell>
          <cell r="FF379">
            <v>4472</v>
          </cell>
          <cell r="FH379">
            <v>4472</v>
          </cell>
        </row>
        <row r="380">
          <cell r="B380">
            <v>9576</v>
          </cell>
          <cell r="C380" t="str">
            <v>19.03.2008</v>
          </cell>
          <cell r="D380" t="str">
            <v>Jadhav Vicky Shantaram</v>
          </cell>
          <cell r="F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M380">
            <v>1057</v>
          </cell>
          <cell r="N380">
            <v>0</v>
          </cell>
          <cell r="O380">
            <v>1057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W380">
            <v>1057</v>
          </cell>
          <cell r="X380">
            <v>0</v>
          </cell>
          <cell r="Y380">
            <v>1057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G380">
            <v>1088</v>
          </cell>
          <cell r="AH380">
            <v>0</v>
          </cell>
          <cell r="AI380">
            <v>1088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Q380">
            <v>1088</v>
          </cell>
          <cell r="AR380">
            <v>0</v>
          </cell>
          <cell r="AS380">
            <v>1088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BA380">
            <v>1088</v>
          </cell>
          <cell r="BB380">
            <v>0</v>
          </cell>
          <cell r="BC380">
            <v>1088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K380">
            <v>1139</v>
          </cell>
          <cell r="BL380">
            <v>0</v>
          </cell>
          <cell r="BM380">
            <v>1139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U380">
            <v>1139</v>
          </cell>
          <cell r="BV380">
            <v>0</v>
          </cell>
          <cell r="BW380">
            <v>1139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E380">
            <v>1139</v>
          </cell>
          <cell r="CF380">
            <v>0</v>
          </cell>
          <cell r="CG380">
            <v>1139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O380">
            <v>1139</v>
          </cell>
          <cell r="CP380">
            <v>0</v>
          </cell>
          <cell r="CQ380">
            <v>1139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>
            <v>0</v>
          </cell>
          <cell r="CY380">
            <v>1139</v>
          </cell>
          <cell r="CZ380">
            <v>0</v>
          </cell>
          <cell r="DA380">
            <v>1139</v>
          </cell>
          <cell r="DB380">
            <v>0</v>
          </cell>
          <cell r="DC380">
            <v>0</v>
          </cell>
          <cell r="DD380">
            <v>0</v>
          </cell>
          <cell r="DE380">
            <v>0</v>
          </cell>
          <cell r="DF380">
            <v>0</v>
          </cell>
          <cell r="DG380">
            <v>0</v>
          </cell>
          <cell r="DI380">
            <v>0</v>
          </cell>
          <cell r="DJ380">
            <v>11073</v>
          </cell>
          <cell r="DK380">
            <v>0</v>
          </cell>
          <cell r="DL380">
            <v>11073</v>
          </cell>
          <cell r="DM380">
            <v>11073</v>
          </cell>
          <cell r="DN380">
            <v>0</v>
          </cell>
          <cell r="DO380">
            <v>11073</v>
          </cell>
          <cell r="DP380">
            <v>0</v>
          </cell>
          <cell r="DQ380">
            <v>0</v>
          </cell>
          <cell r="DR380">
            <v>0</v>
          </cell>
          <cell r="DS380">
            <v>0</v>
          </cell>
          <cell r="DT380">
            <v>22146</v>
          </cell>
          <cell r="DU380">
            <v>0</v>
          </cell>
          <cell r="DW380">
            <v>0</v>
          </cell>
          <cell r="DX380">
            <v>0</v>
          </cell>
          <cell r="DY380">
            <v>2114</v>
          </cell>
          <cell r="DZ380">
            <v>4228</v>
          </cell>
          <cell r="EA380">
            <v>6404</v>
          </cell>
          <cell r="EB380">
            <v>8580</v>
          </cell>
          <cell r="EC380">
            <v>10756</v>
          </cell>
          <cell r="ED380">
            <v>13034</v>
          </cell>
          <cell r="EE380">
            <v>15312</v>
          </cell>
          <cell r="EF380">
            <v>17590</v>
          </cell>
          <cell r="EG380">
            <v>19868</v>
          </cell>
          <cell r="EH380">
            <v>22146</v>
          </cell>
          <cell r="EI380">
            <v>120032</v>
          </cell>
          <cell r="EK380">
            <v>0</v>
          </cell>
          <cell r="EL380">
            <v>0</v>
          </cell>
          <cell r="EM380">
            <v>14.093333333333334</v>
          </cell>
          <cell r="EN380">
            <v>28.186666666666667</v>
          </cell>
          <cell r="EO380">
            <v>42.693333333333335</v>
          </cell>
          <cell r="EP380">
            <v>57.199999999999996</v>
          </cell>
          <cell r="EQ380">
            <v>71.706666666666663</v>
          </cell>
          <cell r="ER380">
            <v>86.893333333333331</v>
          </cell>
          <cell r="ES380">
            <v>109.73599999999999</v>
          </cell>
          <cell r="ET380">
            <v>126.06166666666667</v>
          </cell>
          <cell r="EU380">
            <v>142.38733333333332</v>
          </cell>
          <cell r="EV380">
            <v>158.71299999999999</v>
          </cell>
          <cell r="EW380">
            <v>837.67133333333322</v>
          </cell>
          <cell r="EY380">
            <v>45116</v>
          </cell>
          <cell r="EZ380">
            <v>8</v>
          </cell>
          <cell r="FA380">
            <v>300.77333333333337</v>
          </cell>
          <cell r="FB380">
            <v>74916</v>
          </cell>
          <cell r="FC380">
            <v>8.6</v>
          </cell>
          <cell r="FD380">
            <v>536.89800000000002</v>
          </cell>
          <cell r="FE380">
            <v>837.67133333333345</v>
          </cell>
          <cell r="FF380">
            <v>22984</v>
          </cell>
          <cell r="FH380">
            <v>22984</v>
          </cell>
        </row>
        <row r="381">
          <cell r="B381">
            <v>9586</v>
          </cell>
          <cell r="C381" t="str">
            <v>19.03.2008</v>
          </cell>
          <cell r="D381" t="str">
            <v>Jadhav Nitin Krishana</v>
          </cell>
          <cell r="F381">
            <v>0</v>
          </cell>
          <cell r="G381">
            <v>16409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Q381">
            <v>1057</v>
          </cell>
          <cell r="AR381">
            <v>0</v>
          </cell>
          <cell r="AS381">
            <v>1057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BA381">
            <v>1057</v>
          </cell>
          <cell r="BB381">
            <v>0</v>
          </cell>
          <cell r="BC381">
            <v>1057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K381">
            <v>1106</v>
          </cell>
          <cell r="BL381">
            <v>0</v>
          </cell>
          <cell r="BM381">
            <v>1106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U381">
            <v>1106</v>
          </cell>
          <cell r="BV381">
            <v>0</v>
          </cell>
          <cell r="BW381">
            <v>1106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E381">
            <v>1106</v>
          </cell>
          <cell r="CF381">
            <v>0</v>
          </cell>
          <cell r="CG381">
            <v>1106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O381">
            <v>1106</v>
          </cell>
          <cell r="CP381">
            <v>0</v>
          </cell>
          <cell r="CQ381">
            <v>1106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W381">
            <v>0</v>
          </cell>
          <cell r="CY381">
            <v>1106</v>
          </cell>
          <cell r="CZ381">
            <v>0</v>
          </cell>
          <cell r="DA381">
            <v>1106</v>
          </cell>
          <cell r="DB381">
            <v>0</v>
          </cell>
          <cell r="DC381">
            <v>0</v>
          </cell>
          <cell r="DD381">
            <v>0</v>
          </cell>
          <cell r="DE381">
            <v>0</v>
          </cell>
          <cell r="DF381">
            <v>0</v>
          </cell>
          <cell r="DG381">
            <v>0</v>
          </cell>
          <cell r="DI381">
            <v>0</v>
          </cell>
          <cell r="DJ381">
            <v>7644</v>
          </cell>
          <cell r="DK381">
            <v>0</v>
          </cell>
          <cell r="DL381">
            <v>7644</v>
          </cell>
          <cell r="DM381">
            <v>7644</v>
          </cell>
          <cell r="DN381">
            <v>0</v>
          </cell>
          <cell r="DO381">
            <v>7644</v>
          </cell>
          <cell r="DP381">
            <v>0</v>
          </cell>
          <cell r="DQ381">
            <v>0</v>
          </cell>
          <cell r="DR381">
            <v>0</v>
          </cell>
          <cell r="DS381">
            <v>0</v>
          </cell>
          <cell r="DT381">
            <v>15288</v>
          </cell>
          <cell r="DU381">
            <v>0</v>
          </cell>
          <cell r="DW381">
            <v>0</v>
          </cell>
          <cell r="DX381">
            <v>0</v>
          </cell>
          <cell r="DY381">
            <v>0</v>
          </cell>
          <cell r="DZ381">
            <v>0</v>
          </cell>
          <cell r="EA381">
            <v>0</v>
          </cell>
          <cell r="EB381">
            <v>2114</v>
          </cell>
          <cell r="EC381">
            <v>4228</v>
          </cell>
          <cell r="ED381">
            <v>6440</v>
          </cell>
          <cell r="EE381">
            <v>8652</v>
          </cell>
          <cell r="EF381">
            <v>10864</v>
          </cell>
          <cell r="EG381">
            <v>13076</v>
          </cell>
          <cell r="EH381">
            <v>15288</v>
          </cell>
          <cell r="EI381">
            <v>60662</v>
          </cell>
          <cell r="EK381">
            <v>0</v>
          </cell>
          <cell r="EL381">
            <v>0</v>
          </cell>
          <cell r="EM381">
            <v>0</v>
          </cell>
          <cell r="EN381">
            <v>0</v>
          </cell>
          <cell r="EO381">
            <v>0</v>
          </cell>
          <cell r="EP381">
            <v>14.093333333333334</v>
          </cell>
          <cell r="EQ381">
            <v>28.186666666666667</v>
          </cell>
          <cell r="ER381">
            <v>42.933333333333337</v>
          </cell>
          <cell r="ES381">
            <v>62.006</v>
          </cell>
          <cell r="ET381">
            <v>77.858666666666664</v>
          </cell>
          <cell r="EU381">
            <v>93.711333333333314</v>
          </cell>
          <cell r="EV381">
            <v>109.56399999999998</v>
          </cell>
          <cell r="EW381">
            <v>428.3533333333333</v>
          </cell>
          <cell r="EY381">
            <v>12782</v>
          </cell>
          <cell r="EZ381">
            <v>8</v>
          </cell>
          <cell r="FA381">
            <v>85.213333333333324</v>
          </cell>
          <cell r="FB381">
            <v>47880</v>
          </cell>
          <cell r="FC381">
            <v>8.6</v>
          </cell>
          <cell r="FD381">
            <v>343.14000000000004</v>
          </cell>
          <cell r="FE381">
            <v>428.35333333333335</v>
          </cell>
          <cell r="FF381">
            <v>15716</v>
          </cell>
          <cell r="FH381">
            <v>15716</v>
          </cell>
        </row>
        <row r="382">
          <cell r="B382">
            <v>9577</v>
          </cell>
          <cell r="C382" t="str">
            <v>24.03.2008</v>
          </cell>
          <cell r="D382" t="str">
            <v>Phule Pratima Nitin</v>
          </cell>
          <cell r="F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M382">
            <v>1057</v>
          </cell>
          <cell r="N382">
            <v>0</v>
          </cell>
          <cell r="O382">
            <v>1057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W382">
            <v>1057</v>
          </cell>
          <cell r="X382">
            <v>0</v>
          </cell>
          <cell r="Y382">
            <v>1057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G382">
            <v>1088</v>
          </cell>
          <cell r="AH382">
            <v>0</v>
          </cell>
          <cell r="AI382">
            <v>1088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Q382">
            <v>1088</v>
          </cell>
          <cell r="AR382">
            <v>0</v>
          </cell>
          <cell r="AS382">
            <v>1088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BA382">
            <v>1088</v>
          </cell>
          <cell r="BB382">
            <v>0</v>
          </cell>
          <cell r="BC382">
            <v>1088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K382">
            <v>1139</v>
          </cell>
          <cell r="BL382">
            <v>0</v>
          </cell>
          <cell r="BM382">
            <v>1139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U382">
            <v>1139</v>
          </cell>
          <cell r="BV382">
            <v>0</v>
          </cell>
          <cell r="BW382">
            <v>1139</v>
          </cell>
          <cell r="BX382">
            <v>0</v>
          </cell>
          <cell r="BY382">
            <v>0</v>
          </cell>
          <cell r="BZ382">
            <v>0</v>
          </cell>
          <cell r="CA382">
            <v>0</v>
          </cell>
          <cell r="CB382">
            <v>0</v>
          </cell>
          <cell r="CC382">
            <v>0</v>
          </cell>
          <cell r="CE382">
            <v>1139</v>
          </cell>
          <cell r="CF382">
            <v>0</v>
          </cell>
          <cell r="CG382">
            <v>1139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  <cell r="CL382">
            <v>0</v>
          </cell>
          <cell r="CM382">
            <v>0</v>
          </cell>
          <cell r="CO382">
            <v>1139</v>
          </cell>
          <cell r="CP382">
            <v>0</v>
          </cell>
          <cell r="CQ382">
            <v>1139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  <cell r="CW382">
            <v>0</v>
          </cell>
          <cell r="CY382">
            <v>1139</v>
          </cell>
          <cell r="CZ382">
            <v>0</v>
          </cell>
          <cell r="DA382">
            <v>1139</v>
          </cell>
          <cell r="DB382">
            <v>0</v>
          </cell>
          <cell r="DC382">
            <v>0</v>
          </cell>
          <cell r="DD382">
            <v>0</v>
          </cell>
          <cell r="DE382">
            <v>0</v>
          </cell>
          <cell r="DF382">
            <v>0</v>
          </cell>
          <cell r="DG382">
            <v>0</v>
          </cell>
          <cell r="DI382">
            <v>0</v>
          </cell>
          <cell r="DJ382">
            <v>11073</v>
          </cell>
          <cell r="DK382">
            <v>0</v>
          </cell>
          <cell r="DL382">
            <v>11073</v>
          </cell>
          <cell r="DM382">
            <v>11073</v>
          </cell>
          <cell r="DN382">
            <v>0</v>
          </cell>
          <cell r="DO382">
            <v>11073</v>
          </cell>
          <cell r="DP382">
            <v>0</v>
          </cell>
          <cell r="DQ382">
            <v>0</v>
          </cell>
          <cell r="DR382">
            <v>0</v>
          </cell>
          <cell r="DS382">
            <v>0</v>
          </cell>
          <cell r="DT382">
            <v>22146</v>
          </cell>
          <cell r="DU382">
            <v>0</v>
          </cell>
          <cell r="DW382">
            <v>0</v>
          </cell>
          <cell r="DX382">
            <v>0</v>
          </cell>
          <cell r="DY382">
            <v>2114</v>
          </cell>
          <cell r="DZ382">
            <v>4228</v>
          </cell>
          <cell r="EA382">
            <v>6404</v>
          </cell>
          <cell r="EB382">
            <v>8580</v>
          </cell>
          <cell r="EC382">
            <v>10756</v>
          </cell>
          <cell r="ED382">
            <v>13034</v>
          </cell>
          <cell r="EE382">
            <v>15312</v>
          </cell>
          <cell r="EF382">
            <v>17590</v>
          </cell>
          <cell r="EG382">
            <v>19868</v>
          </cell>
          <cell r="EH382">
            <v>22146</v>
          </cell>
          <cell r="EI382">
            <v>120032</v>
          </cell>
          <cell r="EK382">
            <v>0</v>
          </cell>
          <cell r="EL382">
            <v>0</v>
          </cell>
          <cell r="EM382">
            <v>14.093333333333334</v>
          </cell>
          <cell r="EN382">
            <v>28.186666666666667</v>
          </cell>
          <cell r="EO382">
            <v>42.693333333333335</v>
          </cell>
          <cell r="EP382">
            <v>57.199999999999996</v>
          </cell>
          <cell r="EQ382">
            <v>71.706666666666663</v>
          </cell>
          <cell r="ER382">
            <v>86.893333333333331</v>
          </cell>
          <cell r="ES382">
            <v>109.73599999999999</v>
          </cell>
          <cell r="ET382">
            <v>126.06166666666667</v>
          </cell>
          <cell r="EU382">
            <v>142.38733333333332</v>
          </cell>
          <cell r="EV382">
            <v>158.71299999999999</v>
          </cell>
          <cell r="EW382">
            <v>837.67133333333322</v>
          </cell>
          <cell r="EY382">
            <v>45116</v>
          </cell>
          <cell r="EZ382">
            <v>8</v>
          </cell>
          <cell r="FA382">
            <v>300.77333333333337</v>
          </cell>
          <cell r="FB382">
            <v>74916</v>
          </cell>
          <cell r="FC382">
            <v>8.6</v>
          </cell>
          <cell r="FD382">
            <v>536.89800000000002</v>
          </cell>
          <cell r="FE382">
            <v>837.67133333333345</v>
          </cell>
          <cell r="FF382">
            <v>22984</v>
          </cell>
          <cell r="FH382">
            <v>22984</v>
          </cell>
        </row>
        <row r="383">
          <cell r="B383">
            <v>9578</v>
          </cell>
          <cell r="C383" t="str">
            <v>01.04.2008</v>
          </cell>
          <cell r="D383" t="str">
            <v>Gadekar Nirmala Santosh</v>
          </cell>
          <cell r="F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M383">
            <v>1057</v>
          </cell>
          <cell r="N383">
            <v>0</v>
          </cell>
          <cell r="O383">
            <v>1057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W383">
            <v>1057</v>
          </cell>
          <cell r="X383">
            <v>0</v>
          </cell>
          <cell r="Y383">
            <v>1057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G383">
            <v>1088</v>
          </cell>
          <cell r="AH383">
            <v>0</v>
          </cell>
          <cell r="AI383">
            <v>1088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Q383">
            <v>1088</v>
          </cell>
          <cell r="AR383">
            <v>0</v>
          </cell>
          <cell r="AS383">
            <v>1088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BA383">
            <v>1088</v>
          </cell>
          <cell r="BB383">
            <v>0</v>
          </cell>
          <cell r="BC383">
            <v>1088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K383">
            <v>1139</v>
          </cell>
          <cell r="BL383">
            <v>0</v>
          </cell>
          <cell r="BM383">
            <v>1139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U383">
            <v>1139</v>
          </cell>
          <cell r="BV383">
            <v>0</v>
          </cell>
          <cell r="BW383">
            <v>1139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E383">
            <v>1139</v>
          </cell>
          <cell r="CF383">
            <v>0</v>
          </cell>
          <cell r="CG383">
            <v>1139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O383">
            <v>1139</v>
          </cell>
          <cell r="CP383">
            <v>0</v>
          </cell>
          <cell r="CQ383">
            <v>1139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0</v>
          </cell>
          <cell r="CY383">
            <v>1139</v>
          </cell>
          <cell r="CZ383">
            <v>0</v>
          </cell>
          <cell r="DA383">
            <v>1139</v>
          </cell>
          <cell r="DB383">
            <v>0</v>
          </cell>
          <cell r="DC383">
            <v>0</v>
          </cell>
          <cell r="DD383">
            <v>0</v>
          </cell>
          <cell r="DE383">
            <v>0</v>
          </cell>
          <cell r="DF383">
            <v>0</v>
          </cell>
          <cell r="DG383">
            <v>0</v>
          </cell>
          <cell r="DI383">
            <v>0</v>
          </cell>
          <cell r="DJ383">
            <v>11073</v>
          </cell>
          <cell r="DK383">
            <v>0</v>
          </cell>
          <cell r="DL383">
            <v>11073</v>
          </cell>
          <cell r="DM383">
            <v>11073</v>
          </cell>
          <cell r="DN383">
            <v>0</v>
          </cell>
          <cell r="DO383">
            <v>11073</v>
          </cell>
          <cell r="DP383">
            <v>0</v>
          </cell>
          <cell r="DQ383">
            <v>0</v>
          </cell>
          <cell r="DR383">
            <v>0</v>
          </cell>
          <cell r="DS383">
            <v>0</v>
          </cell>
          <cell r="DT383">
            <v>22146</v>
          </cell>
          <cell r="DU383">
            <v>0</v>
          </cell>
          <cell r="DW383">
            <v>0</v>
          </cell>
          <cell r="DX383">
            <v>0</v>
          </cell>
          <cell r="DY383">
            <v>2114</v>
          </cell>
          <cell r="DZ383">
            <v>4228</v>
          </cell>
          <cell r="EA383">
            <v>6404</v>
          </cell>
          <cell r="EB383">
            <v>8580</v>
          </cell>
          <cell r="EC383">
            <v>10756</v>
          </cell>
          <cell r="ED383">
            <v>13034</v>
          </cell>
          <cell r="EE383">
            <v>15312</v>
          </cell>
          <cell r="EF383">
            <v>17590</v>
          </cell>
          <cell r="EG383">
            <v>19868</v>
          </cell>
          <cell r="EH383">
            <v>22146</v>
          </cell>
          <cell r="EI383">
            <v>120032</v>
          </cell>
          <cell r="EK383">
            <v>0</v>
          </cell>
          <cell r="EL383">
            <v>0</v>
          </cell>
          <cell r="EM383">
            <v>14.093333333333334</v>
          </cell>
          <cell r="EN383">
            <v>28.186666666666667</v>
          </cell>
          <cell r="EO383">
            <v>42.693333333333335</v>
          </cell>
          <cell r="EP383">
            <v>57.199999999999996</v>
          </cell>
          <cell r="EQ383">
            <v>71.706666666666663</v>
          </cell>
          <cell r="ER383">
            <v>86.893333333333331</v>
          </cell>
          <cell r="ES383">
            <v>109.73599999999999</v>
          </cell>
          <cell r="ET383">
            <v>126.06166666666667</v>
          </cell>
          <cell r="EU383">
            <v>142.38733333333332</v>
          </cell>
          <cell r="EV383">
            <v>158.71299999999999</v>
          </cell>
          <cell r="EW383">
            <v>837.67133333333322</v>
          </cell>
          <cell r="EY383">
            <v>45116</v>
          </cell>
          <cell r="EZ383">
            <v>8</v>
          </cell>
          <cell r="FA383">
            <v>300.77333333333337</v>
          </cell>
          <cell r="FB383">
            <v>74916</v>
          </cell>
          <cell r="FC383">
            <v>8.6</v>
          </cell>
          <cell r="FD383">
            <v>536.89800000000002</v>
          </cell>
          <cell r="FE383">
            <v>837.67133333333345</v>
          </cell>
          <cell r="FF383">
            <v>22984</v>
          </cell>
          <cell r="FH383">
            <v>22984</v>
          </cell>
        </row>
        <row r="384">
          <cell r="B384">
            <v>9583</v>
          </cell>
          <cell r="C384" t="str">
            <v>01.04.2008</v>
          </cell>
          <cell r="D384" t="str">
            <v>Ujjainwal Rekha Dharmendra</v>
          </cell>
          <cell r="F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W384">
            <v>0</v>
          </cell>
          <cell r="CY384">
            <v>0</v>
          </cell>
          <cell r="CZ384">
            <v>0</v>
          </cell>
          <cell r="DA384">
            <v>0</v>
          </cell>
          <cell r="DB384">
            <v>0</v>
          </cell>
          <cell r="DC384">
            <v>0</v>
          </cell>
          <cell r="DD384">
            <v>0</v>
          </cell>
          <cell r="DE384">
            <v>0</v>
          </cell>
          <cell r="DF384">
            <v>0</v>
          </cell>
          <cell r="DG384">
            <v>0</v>
          </cell>
          <cell r="DI384">
            <v>0</v>
          </cell>
          <cell r="DJ384">
            <v>0</v>
          </cell>
          <cell r="DK384">
            <v>0</v>
          </cell>
          <cell r="DL384">
            <v>0</v>
          </cell>
          <cell r="DM384">
            <v>0</v>
          </cell>
          <cell r="DN384">
            <v>0</v>
          </cell>
          <cell r="DO384">
            <v>0</v>
          </cell>
          <cell r="DP384">
            <v>0</v>
          </cell>
          <cell r="DQ384">
            <v>0</v>
          </cell>
          <cell r="DR384">
            <v>0</v>
          </cell>
          <cell r="DS384">
            <v>0</v>
          </cell>
          <cell r="DT384">
            <v>0</v>
          </cell>
          <cell r="DU384">
            <v>0</v>
          </cell>
          <cell r="DW384">
            <v>0</v>
          </cell>
          <cell r="DX384">
            <v>0</v>
          </cell>
          <cell r="DY384">
            <v>0</v>
          </cell>
          <cell r="DZ384">
            <v>0</v>
          </cell>
          <cell r="EA384">
            <v>0</v>
          </cell>
          <cell r="EB384">
            <v>0</v>
          </cell>
          <cell r="EC384">
            <v>0</v>
          </cell>
          <cell r="ED384">
            <v>0</v>
          </cell>
          <cell r="EE384">
            <v>0</v>
          </cell>
          <cell r="EF384">
            <v>0</v>
          </cell>
          <cell r="EG384">
            <v>0</v>
          </cell>
          <cell r="EH384">
            <v>0</v>
          </cell>
          <cell r="EI384">
            <v>0</v>
          </cell>
          <cell r="EK384">
            <v>0</v>
          </cell>
          <cell r="EL384">
            <v>0</v>
          </cell>
          <cell r="EM384">
            <v>0</v>
          </cell>
          <cell r="EN384">
            <v>0</v>
          </cell>
          <cell r="EO384">
            <v>0</v>
          </cell>
          <cell r="EP384">
            <v>0</v>
          </cell>
          <cell r="EQ384">
            <v>0</v>
          </cell>
          <cell r="ER384">
            <v>0</v>
          </cell>
          <cell r="ES384">
            <v>0</v>
          </cell>
          <cell r="ET384">
            <v>0</v>
          </cell>
          <cell r="EU384">
            <v>0</v>
          </cell>
          <cell r="EV384">
            <v>0</v>
          </cell>
          <cell r="EW384">
            <v>0</v>
          </cell>
          <cell r="EY384">
            <v>0</v>
          </cell>
          <cell r="EZ384">
            <v>8</v>
          </cell>
          <cell r="FA384">
            <v>0</v>
          </cell>
          <cell r="FB384">
            <v>0</v>
          </cell>
          <cell r="FC384">
            <v>8.6</v>
          </cell>
          <cell r="FD384">
            <v>0</v>
          </cell>
          <cell r="FE384">
            <v>0</v>
          </cell>
          <cell r="FF384">
            <v>0</v>
          </cell>
          <cell r="FH384">
            <v>0</v>
          </cell>
        </row>
        <row r="385">
          <cell r="B385">
            <v>9588</v>
          </cell>
          <cell r="C385" t="str">
            <v>02.04.2008</v>
          </cell>
          <cell r="D385" t="str">
            <v>Maru Bhavna Dhuda</v>
          </cell>
          <cell r="F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Q385">
            <v>1057</v>
          </cell>
          <cell r="AR385">
            <v>0</v>
          </cell>
          <cell r="AS385">
            <v>1057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BA385">
            <v>1057</v>
          </cell>
          <cell r="BB385">
            <v>0</v>
          </cell>
          <cell r="BC385">
            <v>1057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K385">
            <v>1106</v>
          </cell>
          <cell r="BL385">
            <v>0</v>
          </cell>
          <cell r="BM385">
            <v>1106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U385">
            <v>1106</v>
          </cell>
          <cell r="BV385">
            <v>0</v>
          </cell>
          <cell r="BW385">
            <v>1106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E385">
            <v>1106</v>
          </cell>
          <cell r="CF385">
            <v>0</v>
          </cell>
          <cell r="CG385">
            <v>1106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O385">
            <v>1106</v>
          </cell>
          <cell r="CP385">
            <v>0</v>
          </cell>
          <cell r="CQ385">
            <v>1106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Y385">
            <v>1106</v>
          </cell>
          <cell r="CZ385">
            <v>0</v>
          </cell>
          <cell r="DA385">
            <v>1106</v>
          </cell>
          <cell r="DB385">
            <v>0</v>
          </cell>
          <cell r="DC385">
            <v>0</v>
          </cell>
          <cell r="DD385">
            <v>0</v>
          </cell>
          <cell r="DE385">
            <v>0</v>
          </cell>
          <cell r="DF385">
            <v>0</v>
          </cell>
          <cell r="DG385">
            <v>0</v>
          </cell>
          <cell r="DI385">
            <v>0</v>
          </cell>
          <cell r="DJ385">
            <v>7644</v>
          </cell>
          <cell r="DK385">
            <v>0</v>
          </cell>
          <cell r="DL385">
            <v>7644</v>
          </cell>
          <cell r="DM385">
            <v>7644</v>
          </cell>
          <cell r="DN385">
            <v>0</v>
          </cell>
          <cell r="DO385">
            <v>7644</v>
          </cell>
          <cell r="DP385">
            <v>0</v>
          </cell>
          <cell r="DQ385">
            <v>0</v>
          </cell>
          <cell r="DR385">
            <v>0</v>
          </cell>
          <cell r="DS385">
            <v>0</v>
          </cell>
          <cell r="DT385">
            <v>15288</v>
          </cell>
          <cell r="DU385">
            <v>0</v>
          </cell>
          <cell r="DW385">
            <v>0</v>
          </cell>
          <cell r="DX385">
            <v>0</v>
          </cell>
          <cell r="DY385">
            <v>0</v>
          </cell>
          <cell r="DZ385">
            <v>0</v>
          </cell>
          <cell r="EA385">
            <v>0</v>
          </cell>
          <cell r="EB385">
            <v>2114</v>
          </cell>
          <cell r="EC385">
            <v>4228</v>
          </cell>
          <cell r="ED385">
            <v>6440</v>
          </cell>
          <cell r="EE385">
            <v>8652</v>
          </cell>
          <cell r="EF385">
            <v>10864</v>
          </cell>
          <cell r="EG385">
            <v>13076</v>
          </cell>
          <cell r="EH385">
            <v>15288</v>
          </cell>
          <cell r="EI385">
            <v>60662</v>
          </cell>
          <cell r="EK385">
            <v>0</v>
          </cell>
          <cell r="EL385">
            <v>0</v>
          </cell>
          <cell r="EM385">
            <v>0</v>
          </cell>
          <cell r="EN385">
            <v>0</v>
          </cell>
          <cell r="EO385">
            <v>0</v>
          </cell>
          <cell r="EP385">
            <v>14.093333333333334</v>
          </cell>
          <cell r="EQ385">
            <v>28.186666666666667</v>
          </cell>
          <cell r="ER385">
            <v>42.933333333333337</v>
          </cell>
          <cell r="ES385">
            <v>62.006</v>
          </cell>
          <cell r="ET385">
            <v>77.858666666666664</v>
          </cell>
          <cell r="EU385">
            <v>93.711333333333314</v>
          </cell>
          <cell r="EV385">
            <v>109.56399999999998</v>
          </cell>
          <cell r="EW385">
            <v>428.3533333333333</v>
          </cell>
          <cell r="EY385">
            <v>12782</v>
          </cell>
          <cell r="EZ385">
            <v>8</v>
          </cell>
          <cell r="FA385">
            <v>85.213333333333324</v>
          </cell>
          <cell r="FB385">
            <v>47880</v>
          </cell>
          <cell r="FC385">
            <v>8.6</v>
          </cell>
          <cell r="FD385">
            <v>343.14000000000004</v>
          </cell>
          <cell r="FE385">
            <v>428.35333333333335</v>
          </cell>
          <cell r="FF385">
            <v>15716</v>
          </cell>
          <cell r="FH385">
            <v>15716</v>
          </cell>
        </row>
        <row r="386">
          <cell r="B386">
            <v>9580</v>
          </cell>
          <cell r="C386" t="str">
            <v>03.04.2008</v>
          </cell>
          <cell r="D386" t="str">
            <v>Kagada Sanjay Mahavir</v>
          </cell>
          <cell r="F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0</v>
          </cell>
          <cell r="CK386">
            <v>0</v>
          </cell>
          <cell r="CL386">
            <v>0</v>
          </cell>
          <cell r="CM386">
            <v>0</v>
          </cell>
          <cell r="CO386">
            <v>0</v>
          </cell>
          <cell r="CP386">
            <v>0</v>
          </cell>
          <cell r="CQ386">
            <v>0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>
            <v>0</v>
          </cell>
          <cell r="CY386">
            <v>0</v>
          </cell>
          <cell r="CZ386">
            <v>0</v>
          </cell>
          <cell r="DA386">
            <v>0</v>
          </cell>
          <cell r="DB386">
            <v>0</v>
          </cell>
          <cell r="DC386">
            <v>0</v>
          </cell>
          <cell r="DD386">
            <v>0</v>
          </cell>
          <cell r="DE386">
            <v>0</v>
          </cell>
          <cell r="DF386">
            <v>0</v>
          </cell>
          <cell r="DG386">
            <v>0</v>
          </cell>
          <cell r="DI386">
            <v>0</v>
          </cell>
          <cell r="DJ386">
            <v>0</v>
          </cell>
          <cell r="DK386">
            <v>0</v>
          </cell>
          <cell r="DL386">
            <v>0</v>
          </cell>
          <cell r="DM386">
            <v>0</v>
          </cell>
          <cell r="DN386">
            <v>0</v>
          </cell>
          <cell r="DO386">
            <v>0</v>
          </cell>
          <cell r="DP386">
            <v>0</v>
          </cell>
          <cell r="DQ386">
            <v>0</v>
          </cell>
          <cell r="DR386">
            <v>0</v>
          </cell>
          <cell r="DS386">
            <v>0</v>
          </cell>
          <cell r="DT386">
            <v>0</v>
          </cell>
          <cell r="DU386">
            <v>0</v>
          </cell>
          <cell r="DW386">
            <v>0</v>
          </cell>
          <cell r="DX386">
            <v>0</v>
          </cell>
          <cell r="DY386">
            <v>0</v>
          </cell>
          <cell r="DZ386">
            <v>0</v>
          </cell>
          <cell r="EA386">
            <v>0</v>
          </cell>
          <cell r="EB386">
            <v>0</v>
          </cell>
          <cell r="EC386">
            <v>0</v>
          </cell>
          <cell r="ED386">
            <v>0</v>
          </cell>
          <cell r="EE386">
            <v>0</v>
          </cell>
          <cell r="EF386">
            <v>0</v>
          </cell>
          <cell r="EG386">
            <v>0</v>
          </cell>
          <cell r="EH386">
            <v>0</v>
          </cell>
          <cell r="EI386">
            <v>0</v>
          </cell>
          <cell r="EK386">
            <v>0</v>
          </cell>
          <cell r="EL386">
            <v>0</v>
          </cell>
          <cell r="EM386">
            <v>0</v>
          </cell>
          <cell r="EN386">
            <v>0</v>
          </cell>
          <cell r="EO386">
            <v>0</v>
          </cell>
          <cell r="EP386">
            <v>0</v>
          </cell>
          <cell r="EQ386">
            <v>0</v>
          </cell>
          <cell r="ER386">
            <v>0</v>
          </cell>
          <cell r="ES386">
            <v>0</v>
          </cell>
          <cell r="ET386">
            <v>0</v>
          </cell>
          <cell r="EU386">
            <v>0</v>
          </cell>
          <cell r="EV386">
            <v>0</v>
          </cell>
          <cell r="EW386">
            <v>0</v>
          </cell>
          <cell r="EY386">
            <v>0</v>
          </cell>
          <cell r="EZ386">
            <v>8</v>
          </cell>
          <cell r="FA386">
            <v>0</v>
          </cell>
          <cell r="FB386">
            <v>0</v>
          </cell>
          <cell r="FC386">
            <v>8.6</v>
          </cell>
          <cell r="FD386">
            <v>0</v>
          </cell>
          <cell r="FE386">
            <v>0</v>
          </cell>
          <cell r="FF386">
            <v>0</v>
          </cell>
          <cell r="FH386">
            <v>0</v>
          </cell>
        </row>
        <row r="387">
          <cell r="B387">
            <v>10180</v>
          </cell>
          <cell r="C387" t="str">
            <v>05.04.2008</v>
          </cell>
          <cell r="D387" t="str">
            <v>Pawar Deepak Pannalal</v>
          </cell>
          <cell r="F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>
            <v>0</v>
          </cell>
          <cell r="BZ387">
            <v>0</v>
          </cell>
          <cell r="CA387">
            <v>0</v>
          </cell>
          <cell r="CB387">
            <v>0</v>
          </cell>
          <cell r="CC387">
            <v>0</v>
          </cell>
          <cell r="CE387">
            <v>0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0</v>
          </cell>
          <cell r="CK387">
            <v>0</v>
          </cell>
          <cell r="CL387">
            <v>0</v>
          </cell>
          <cell r="CM387">
            <v>0</v>
          </cell>
          <cell r="CO387">
            <v>0</v>
          </cell>
          <cell r="CP387">
            <v>0</v>
          </cell>
          <cell r="CQ387">
            <v>0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  <cell r="CV387">
            <v>0</v>
          </cell>
          <cell r="CW387">
            <v>0</v>
          </cell>
          <cell r="CY387">
            <v>0</v>
          </cell>
          <cell r="CZ387">
            <v>0</v>
          </cell>
          <cell r="DA387">
            <v>0</v>
          </cell>
          <cell r="DB387">
            <v>0</v>
          </cell>
          <cell r="DC387">
            <v>0</v>
          </cell>
          <cell r="DD387">
            <v>0</v>
          </cell>
          <cell r="DE387">
            <v>0</v>
          </cell>
          <cell r="DF387">
            <v>0</v>
          </cell>
          <cell r="DG387">
            <v>0</v>
          </cell>
          <cell r="DI387">
            <v>0</v>
          </cell>
          <cell r="DJ387">
            <v>0</v>
          </cell>
          <cell r="DK387">
            <v>0</v>
          </cell>
          <cell r="DL387">
            <v>0</v>
          </cell>
          <cell r="DM387">
            <v>0</v>
          </cell>
          <cell r="DN387">
            <v>0</v>
          </cell>
          <cell r="DO387">
            <v>0</v>
          </cell>
          <cell r="DP387">
            <v>0</v>
          </cell>
          <cell r="DQ387">
            <v>0</v>
          </cell>
          <cell r="DR387">
            <v>0</v>
          </cell>
          <cell r="DS387">
            <v>0</v>
          </cell>
          <cell r="DT387">
            <v>0</v>
          </cell>
          <cell r="DU387">
            <v>0</v>
          </cell>
          <cell r="DW387">
            <v>0</v>
          </cell>
          <cell r="DX387">
            <v>0</v>
          </cell>
          <cell r="DY387">
            <v>0</v>
          </cell>
          <cell r="DZ387">
            <v>0</v>
          </cell>
          <cell r="EA387">
            <v>0</v>
          </cell>
          <cell r="EB387">
            <v>0</v>
          </cell>
          <cell r="EC387">
            <v>0</v>
          </cell>
          <cell r="ED387">
            <v>0</v>
          </cell>
          <cell r="EE387">
            <v>0</v>
          </cell>
          <cell r="EF387">
            <v>0</v>
          </cell>
          <cell r="EG387">
            <v>0</v>
          </cell>
          <cell r="EH387">
            <v>0</v>
          </cell>
          <cell r="EI387">
            <v>0</v>
          </cell>
          <cell r="EK387">
            <v>0</v>
          </cell>
          <cell r="EL387">
            <v>0</v>
          </cell>
          <cell r="EM387">
            <v>0</v>
          </cell>
          <cell r="EN387">
            <v>0</v>
          </cell>
          <cell r="EO387">
            <v>0</v>
          </cell>
          <cell r="EP387">
            <v>0</v>
          </cell>
          <cell r="EQ387">
            <v>0</v>
          </cell>
          <cell r="ER387">
            <v>0</v>
          </cell>
          <cell r="ES387">
            <v>0</v>
          </cell>
          <cell r="ET387">
            <v>0</v>
          </cell>
          <cell r="EU387">
            <v>0</v>
          </cell>
          <cell r="EV387">
            <v>0</v>
          </cell>
          <cell r="EW387">
            <v>0</v>
          </cell>
          <cell r="EY387">
            <v>0</v>
          </cell>
          <cell r="EZ387">
            <v>8</v>
          </cell>
          <cell r="FA387">
            <v>0</v>
          </cell>
          <cell r="FB387">
            <v>0</v>
          </cell>
          <cell r="FC387">
            <v>8.6</v>
          </cell>
          <cell r="FD387">
            <v>0</v>
          </cell>
          <cell r="FE387">
            <v>0</v>
          </cell>
          <cell r="FF387">
            <v>0</v>
          </cell>
          <cell r="FH387">
            <v>0</v>
          </cell>
        </row>
        <row r="388">
          <cell r="B388">
            <v>9085</v>
          </cell>
          <cell r="C388" t="str">
            <v>23.04.2008</v>
          </cell>
          <cell r="D388" t="str">
            <v>Gundda Gurulingppa Hanumanta</v>
          </cell>
          <cell r="F388">
            <v>45506</v>
          </cell>
          <cell r="G388">
            <v>53175</v>
          </cell>
          <cell r="H388">
            <v>16413</v>
          </cell>
          <cell r="I388">
            <v>16413</v>
          </cell>
          <cell r="J388">
            <v>32826</v>
          </cell>
          <cell r="K388">
            <v>-12680</v>
          </cell>
          <cell r="M388">
            <v>1686</v>
          </cell>
          <cell r="N388">
            <v>0</v>
          </cell>
          <cell r="O388">
            <v>1686</v>
          </cell>
          <cell r="P388">
            <v>0</v>
          </cell>
          <cell r="Q388">
            <v>1050</v>
          </cell>
          <cell r="R388">
            <v>0</v>
          </cell>
          <cell r="S388">
            <v>0</v>
          </cell>
          <cell r="T388">
            <v>1050</v>
          </cell>
          <cell r="U388">
            <v>0</v>
          </cell>
          <cell r="W388">
            <v>1686</v>
          </cell>
          <cell r="X388">
            <v>0</v>
          </cell>
          <cell r="Y388">
            <v>1686</v>
          </cell>
          <cell r="Z388">
            <v>0</v>
          </cell>
          <cell r="AA388">
            <v>1050</v>
          </cell>
          <cell r="AB388">
            <v>0</v>
          </cell>
          <cell r="AC388">
            <v>0</v>
          </cell>
          <cell r="AD388">
            <v>1050</v>
          </cell>
          <cell r="AE388">
            <v>0</v>
          </cell>
          <cell r="AG388">
            <v>1686</v>
          </cell>
          <cell r="AH388">
            <v>0</v>
          </cell>
          <cell r="AI388">
            <v>1686</v>
          </cell>
          <cell r="AJ388">
            <v>0</v>
          </cell>
          <cell r="AK388">
            <v>1050</v>
          </cell>
          <cell r="AL388">
            <v>0</v>
          </cell>
          <cell r="AM388">
            <v>0</v>
          </cell>
          <cell r="AN388">
            <v>1050</v>
          </cell>
          <cell r="AO388">
            <v>0</v>
          </cell>
          <cell r="AQ388">
            <v>1686</v>
          </cell>
          <cell r="AR388">
            <v>0</v>
          </cell>
          <cell r="AS388">
            <v>1686</v>
          </cell>
          <cell r="AT388">
            <v>0</v>
          </cell>
          <cell r="AU388">
            <v>1050</v>
          </cell>
          <cell r="AV388">
            <v>0</v>
          </cell>
          <cell r="AW388">
            <v>0</v>
          </cell>
          <cell r="AX388">
            <v>1050</v>
          </cell>
          <cell r="AY388">
            <v>0</v>
          </cell>
          <cell r="BA388">
            <v>1686</v>
          </cell>
          <cell r="BB388">
            <v>0</v>
          </cell>
          <cell r="BC388">
            <v>1686</v>
          </cell>
          <cell r="BD388">
            <v>0</v>
          </cell>
          <cell r="BE388">
            <v>1050</v>
          </cell>
          <cell r="BF388">
            <v>0</v>
          </cell>
          <cell r="BG388">
            <v>0</v>
          </cell>
          <cell r="BH388">
            <v>1050</v>
          </cell>
          <cell r="BI388">
            <v>0</v>
          </cell>
          <cell r="BK388">
            <v>1764</v>
          </cell>
          <cell r="BL388">
            <v>0</v>
          </cell>
          <cell r="BM388">
            <v>1764</v>
          </cell>
          <cell r="BN388">
            <v>0</v>
          </cell>
          <cell r="BO388">
            <v>1050</v>
          </cell>
          <cell r="BP388">
            <v>0</v>
          </cell>
          <cell r="BQ388">
            <v>0</v>
          </cell>
          <cell r="BR388">
            <v>1050</v>
          </cell>
          <cell r="BS388">
            <v>0</v>
          </cell>
          <cell r="BU388">
            <v>1764</v>
          </cell>
          <cell r="BV388">
            <v>0</v>
          </cell>
          <cell r="BW388">
            <v>1764</v>
          </cell>
          <cell r="BX388">
            <v>0</v>
          </cell>
          <cell r="BY388">
            <v>1050</v>
          </cell>
          <cell r="BZ388">
            <v>0</v>
          </cell>
          <cell r="CA388">
            <v>0</v>
          </cell>
          <cell r="CB388">
            <v>1050</v>
          </cell>
          <cell r="CC388">
            <v>0</v>
          </cell>
          <cell r="CE388">
            <v>1764</v>
          </cell>
          <cell r="CF388">
            <v>0</v>
          </cell>
          <cell r="CG388">
            <v>1764</v>
          </cell>
          <cell r="CH388">
            <v>0</v>
          </cell>
          <cell r="CI388">
            <v>1050</v>
          </cell>
          <cell r="CJ388">
            <v>0</v>
          </cell>
          <cell r="CK388">
            <v>0</v>
          </cell>
          <cell r="CL388">
            <v>1050</v>
          </cell>
          <cell r="CM388">
            <v>0</v>
          </cell>
          <cell r="CO388">
            <v>1764</v>
          </cell>
          <cell r="CP388">
            <v>0</v>
          </cell>
          <cell r="CQ388">
            <v>1764</v>
          </cell>
          <cell r="CR388">
            <v>0</v>
          </cell>
          <cell r="CS388">
            <v>1050</v>
          </cell>
          <cell r="CT388">
            <v>0</v>
          </cell>
          <cell r="CU388">
            <v>0</v>
          </cell>
          <cell r="CV388">
            <v>1050</v>
          </cell>
          <cell r="CW388">
            <v>0</v>
          </cell>
          <cell r="CY388">
            <v>1764</v>
          </cell>
          <cell r="CZ388">
            <v>0</v>
          </cell>
          <cell r="DA388">
            <v>1764</v>
          </cell>
          <cell r="DB388">
            <v>0</v>
          </cell>
          <cell r="DC388">
            <v>1050</v>
          </cell>
          <cell r="DD388">
            <v>0</v>
          </cell>
          <cell r="DE388">
            <v>0</v>
          </cell>
          <cell r="DF388">
            <v>1050</v>
          </cell>
          <cell r="DG388">
            <v>0</v>
          </cell>
          <cell r="DI388">
            <v>32826</v>
          </cell>
          <cell r="DJ388">
            <v>17250</v>
          </cell>
          <cell r="DK388">
            <v>0</v>
          </cell>
          <cell r="DL388">
            <v>17250</v>
          </cell>
          <cell r="DM388">
            <v>17250</v>
          </cell>
          <cell r="DN388">
            <v>0</v>
          </cell>
          <cell r="DO388">
            <v>17250</v>
          </cell>
          <cell r="DP388">
            <v>10500</v>
          </cell>
          <cell r="DQ388">
            <v>0</v>
          </cell>
          <cell r="DR388">
            <v>0</v>
          </cell>
          <cell r="DS388">
            <v>10500</v>
          </cell>
          <cell r="DT388">
            <v>45000</v>
          </cell>
          <cell r="DU388">
            <v>0</v>
          </cell>
          <cell r="DW388">
            <v>0</v>
          </cell>
          <cell r="DX388">
            <v>0</v>
          </cell>
          <cell r="DY388">
            <v>37248</v>
          </cell>
          <cell r="DZ388">
            <v>41670</v>
          </cell>
          <cell r="EA388">
            <v>46092</v>
          </cell>
          <cell r="EB388">
            <v>50514</v>
          </cell>
          <cell r="EC388">
            <v>54936</v>
          </cell>
          <cell r="ED388">
            <v>59514</v>
          </cell>
          <cell r="EE388">
            <v>64092</v>
          </cell>
          <cell r="EF388">
            <v>68670</v>
          </cell>
          <cell r="EG388">
            <v>73248</v>
          </cell>
          <cell r="EH388">
            <v>77826</v>
          </cell>
          <cell r="EI388">
            <v>573810</v>
          </cell>
          <cell r="EK388">
            <v>0</v>
          </cell>
          <cell r="EL388">
            <v>0</v>
          </cell>
          <cell r="EM388">
            <v>248.32000000000002</v>
          </cell>
          <cell r="EN388">
            <v>277.8</v>
          </cell>
          <cell r="EO388">
            <v>307.28000000000003</v>
          </cell>
          <cell r="EP388">
            <v>336.76</v>
          </cell>
          <cell r="EQ388">
            <v>366.24</v>
          </cell>
          <cell r="ER388">
            <v>396.76</v>
          </cell>
          <cell r="ES388">
            <v>459.32599999999996</v>
          </cell>
          <cell r="ET388">
            <v>492.13499999999999</v>
          </cell>
          <cell r="EU388">
            <v>524.94399999999996</v>
          </cell>
          <cell r="EV388">
            <v>557.75300000000004</v>
          </cell>
          <cell r="EW388">
            <v>3967.3180000000002</v>
          </cell>
          <cell r="EY388">
            <v>289974</v>
          </cell>
          <cell r="EZ388">
            <v>8</v>
          </cell>
          <cell r="FA388">
            <v>1933.1599999999999</v>
          </cell>
          <cell r="FB388">
            <v>283836</v>
          </cell>
          <cell r="FC388">
            <v>8.6</v>
          </cell>
          <cell r="FD388">
            <v>2034.1580000000001</v>
          </cell>
          <cell r="FE388">
            <v>3967.3180000000002</v>
          </cell>
          <cell r="FF388">
            <v>81793</v>
          </cell>
          <cell r="FH388">
            <v>81793</v>
          </cell>
        </row>
        <row r="389">
          <cell r="B389">
            <v>9086</v>
          </cell>
          <cell r="C389" t="str">
            <v>23.04.2008</v>
          </cell>
          <cell r="D389" t="str">
            <v>Dhage Prabhakar Mahadev</v>
          </cell>
          <cell r="F389">
            <v>45663</v>
          </cell>
          <cell r="G389">
            <v>53175</v>
          </cell>
          <cell r="H389">
            <v>22838</v>
          </cell>
          <cell r="I389">
            <v>22838</v>
          </cell>
          <cell r="J389">
            <v>45676</v>
          </cell>
          <cell r="K389">
            <v>13</v>
          </cell>
          <cell r="M389">
            <v>1686</v>
          </cell>
          <cell r="N389">
            <v>0</v>
          </cell>
          <cell r="O389">
            <v>1686</v>
          </cell>
          <cell r="P389">
            <v>0</v>
          </cell>
          <cell r="Q389">
            <v>1880</v>
          </cell>
          <cell r="R389">
            <v>0</v>
          </cell>
          <cell r="S389">
            <v>0</v>
          </cell>
          <cell r="T389">
            <v>1880</v>
          </cell>
          <cell r="U389">
            <v>0</v>
          </cell>
          <cell r="W389">
            <v>1686</v>
          </cell>
          <cell r="X389">
            <v>0</v>
          </cell>
          <cell r="Y389">
            <v>1686</v>
          </cell>
          <cell r="Z389">
            <v>0</v>
          </cell>
          <cell r="AA389">
            <v>1880</v>
          </cell>
          <cell r="AB389">
            <v>0</v>
          </cell>
          <cell r="AC389">
            <v>0</v>
          </cell>
          <cell r="AD389">
            <v>1880</v>
          </cell>
          <cell r="AE389">
            <v>0</v>
          </cell>
          <cell r="AG389">
            <v>1686</v>
          </cell>
          <cell r="AH389">
            <v>0</v>
          </cell>
          <cell r="AI389">
            <v>1686</v>
          </cell>
          <cell r="AJ389">
            <v>0</v>
          </cell>
          <cell r="AK389">
            <v>1880</v>
          </cell>
          <cell r="AL389">
            <v>0</v>
          </cell>
          <cell r="AM389">
            <v>0</v>
          </cell>
          <cell r="AN389">
            <v>1880</v>
          </cell>
          <cell r="AO389">
            <v>0</v>
          </cell>
          <cell r="AQ389">
            <v>1686</v>
          </cell>
          <cell r="AR389">
            <v>0</v>
          </cell>
          <cell r="AS389">
            <v>1686</v>
          </cell>
          <cell r="AT389">
            <v>0</v>
          </cell>
          <cell r="AU389">
            <v>1880</v>
          </cell>
          <cell r="AV389">
            <v>0</v>
          </cell>
          <cell r="AW389">
            <v>0</v>
          </cell>
          <cell r="AX389">
            <v>1880</v>
          </cell>
          <cell r="AY389">
            <v>0</v>
          </cell>
          <cell r="BA389">
            <v>1686</v>
          </cell>
          <cell r="BB389">
            <v>0</v>
          </cell>
          <cell r="BC389">
            <v>1686</v>
          </cell>
          <cell r="BD389">
            <v>0</v>
          </cell>
          <cell r="BE389">
            <v>1880</v>
          </cell>
          <cell r="BF389">
            <v>0</v>
          </cell>
          <cell r="BG389">
            <v>0</v>
          </cell>
          <cell r="BH389">
            <v>1880</v>
          </cell>
          <cell r="BI389">
            <v>0</v>
          </cell>
          <cell r="BK389">
            <v>1764</v>
          </cell>
          <cell r="BL389">
            <v>0</v>
          </cell>
          <cell r="BM389">
            <v>1764</v>
          </cell>
          <cell r="BN389">
            <v>0</v>
          </cell>
          <cell r="BO389">
            <v>1880</v>
          </cell>
          <cell r="BP389">
            <v>0</v>
          </cell>
          <cell r="BQ389">
            <v>0</v>
          </cell>
          <cell r="BR389">
            <v>1880</v>
          </cell>
          <cell r="BS389">
            <v>0</v>
          </cell>
          <cell r="BU389">
            <v>1764</v>
          </cell>
          <cell r="BV389">
            <v>0</v>
          </cell>
          <cell r="BW389">
            <v>1764</v>
          </cell>
          <cell r="BX389">
            <v>0</v>
          </cell>
          <cell r="BY389">
            <v>1880</v>
          </cell>
          <cell r="BZ389">
            <v>0</v>
          </cell>
          <cell r="CA389">
            <v>0</v>
          </cell>
          <cell r="CB389">
            <v>1880</v>
          </cell>
          <cell r="CC389">
            <v>0</v>
          </cell>
          <cell r="CE389">
            <v>1764</v>
          </cell>
          <cell r="CF389">
            <v>0</v>
          </cell>
          <cell r="CG389">
            <v>1764</v>
          </cell>
          <cell r="CH389">
            <v>0</v>
          </cell>
          <cell r="CI389">
            <v>1880</v>
          </cell>
          <cell r="CJ389">
            <v>0</v>
          </cell>
          <cell r="CK389">
            <v>0</v>
          </cell>
          <cell r="CL389">
            <v>1880</v>
          </cell>
          <cell r="CM389">
            <v>0</v>
          </cell>
          <cell r="CO389">
            <v>1764</v>
          </cell>
          <cell r="CP389">
            <v>0</v>
          </cell>
          <cell r="CQ389">
            <v>1764</v>
          </cell>
          <cell r="CR389">
            <v>0</v>
          </cell>
          <cell r="CS389">
            <v>1880</v>
          </cell>
          <cell r="CT389">
            <v>0</v>
          </cell>
          <cell r="CU389">
            <v>0</v>
          </cell>
          <cell r="CV389">
            <v>1880</v>
          </cell>
          <cell r="CW389">
            <v>0</v>
          </cell>
          <cell r="CY389">
            <v>1764</v>
          </cell>
          <cell r="CZ389">
            <v>0</v>
          </cell>
          <cell r="DA389">
            <v>1764</v>
          </cell>
          <cell r="DB389">
            <v>0</v>
          </cell>
          <cell r="DC389">
            <v>1880</v>
          </cell>
          <cell r="DD389">
            <v>0</v>
          </cell>
          <cell r="DE389">
            <v>0</v>
          </cell>
          <cell r="DF389">
            <v>1880</v>
          </cell>
          <cell r="DG389">
            <v>0</v>
          </cell>
          <cell r="DI389">
            <v>45676</v>
          </cell>
          <cell r="DJ389">
            <v>17250</v>
          </cell>
          <cell r="DK389">
            <v>0</v>
          </cell>
          <cell r="DL389">
            <v>17250</v>
          </cell>
          <cell r="DM389">
            <v>17250</v>
          </cell>
          <cell r="DN389">
            <v>0</v>
          </cell>
          <cell r="DO389">
            <v>17250</v>
          </cell>
          <cell r="DP389">
            <v>18800</v>
          </cell>
          <cell r="DQ389">
            <v>0</v>
          </cell>
          <cell r="DR389">
            <v>0</v>
          </cell>
          <cell r="DS389">
            <v>18800</v>
          </cell>
          <cell r="DT389">
            <v>53300</v>
          </cell>
          <cell r="DU389">
            <v>0</v>
          </cell>
          <cell r="DW389">
            <v>0</v>
          </cell>
          <cell r="DX389">
            <v>0</v>
          </cell>
          <cell r="DY389">
            <v>50928</v>
          </cell>
          <cell r="DZ389">
            <v>56180</v>
          </cell>
          <cell r="EA389">
            <v>61432</v>
          </cell>
          <cell r="EB389">
            <v>66684</v>
          </cell>
          <cell r="EC389">
            <v>71936</v>
          </cell>
          <cell r="ED389">
            <v>77344</v>
          </cell>
          <cell r="EE389">
            <v>82752</v>
          </cell>
          <cell r="EF389">
            <v>88160</v>
          </cell>
          <cell r="EG389">
            <v>93568</v>
          </cell>
          <cell r="EH389">
            <v>98976</v>
          </cell>
          <cell r="EI389">
            <v>747960</v>
          </cell>
          <cell r="EK389">
            <v>0</v>
          </cell>
          <cell r="EL389">
            <v>0</v>
          </cell>
          <cell r="EM389">
            <v>339.52</v>
          </cell>
          <cell r="EN389">
            <v>374.5333333333333</v>
          </cell>
          <cell r="EO389">
            <v>409.54666666666668</v>
          </cell>
          <cell r="EP389">
            <v>444.56</v>
          </cell>
          <cell r="EQ389">
            <v>479.57333333333332</v>
          </cell>
          <cell r="ER389">
            <v>515.62666666666667</v>
          </cell>
          <cell r="ES389">
            <v>593.05599999999993</v>
          </cell>
          <cell r="ET389">
            <v>631.81333333333339</v>
          </cell>
          <cell r="EU389">
            <v>670.57066666666663</v>
          </cell>
          <cell r="EV389">
            <v>709.32799999999997</v>
          </cell>
          <cell r="EW389">
            <v>5168.1280000000006</v>
          </cell>
          <cell r="EY389">
            <v>384504</v>
          </cell>
          <cell r="EZ389">
            <v>8</v>
          </cell>
          <cell r="FA389">
            <v>2563.36</v>
          </cell>
          <cell r="FB389">
            <v>363456</v>
          </cell>
          <cell r="FC389">
            <v>8.6</v>
          </cell>
          <cell r="FD389">
            <v>2604.768</v>
          </cell>
          <cell r="FE389">
            <v>5168.1280000000006</v>
          </cell>
          <cell r="FF389">
            <v>104144</v>
          </cell>
          <cell r="FH389">
            <v>104144</v>
          </cell>
        </row>
        <row r="390">
          <cell r="B390">
            <v>9102</v>
          </cell>
          <cell r="C390" t="str">
            <v>23.04.2008</v>
          </cell>
          <cell r="D390" t="str">
            <v>Patel Manjanath Hariprasad</v>
          </cell>
          <cell r="F390">
            <v>40373</v>
          </cell>
          <cell r="G390">
            <v>46805</v>
          </cell>
          <cell r="H390">
            <v>21406</v>
          </cell>
          <cell r="I390">
            <v>21406</v>
          </cell>
          <cell r="J390">
            <v>42812</v>
          </cell>
          <cell r="K390">
            <v>2439</v>
          </cell>
          <cell r="M390">
            <v>1485</v>
          </cell>
          <cell r="N390">
            <v>0</v>
          </cell>
          <cell r="O390">
            <v>1485</v>
          </cell>
          <cell r="P390">
            <v>0</v>
          </cell>
          <cell r="Q390">
            <v>990</v>
          </cell>
          <cell r="R390">
            <v>0</v>
          </cell>
          <cell r="S390">
            <v>0</v>
          </cell>
          <cell r="T390">
            <v>990</v>
          </cell>
          <cell r="U390">
            <v>0</v>
          </cell>
          <cell r="W390">
            <v>1485</v>
          </cell>
          <cell r="X390">
            <v>0</v>
          </cell>
          <cell r="Y390">
            <v>1485</v>
          </cell>
          <cell r="Z390">
            <v>0</v>
          </cell>
          <cell r="AA390">
            <v>990</v>
          </cell>
          <cell r="AB390">
            <v>0</v>
          </cell>
          <cell r="AC390">
            <v>0</v>
          </cell>
          <cell r="AD390">
            <v>990</v>
          </cell>
          <cell r="AE390">
            <v>0</v>
          </cell>
          <cell r="AG390">
            <v>1485</v>
          </cell>
          <cell r="AH390">
            <v>0</v>
          </cell>
          <cell r="AI390">
            <v>1485</v>
          </cell>
          <cell r="AJ390">
            <v>0</v>
          </cell>
          <cell r="AK390">
            <v>990</v>
          </cell>
          <cell r="AL390">
            <v>0</v>
          </cell>
          <cell r="AM390">
            <v>0</v>
          </cell>
          <cell r="AN390">
            <v>990</v>
          </cell>
          <cell r="AO390">
            <v>0</v>
          </cell>
          <cell r="AQ390">
            <v>1485</v>
          </cell>
          <cell r="AR390">
            <v>0</v>
          </cell>
          <cell r="AS390">
            <v>1485</v>
          </cell>
          <cell r="AT390">
            <v>0</v>
          </cell>
          <cell r="AU390">
            <v>990</v>
          </cell>
          <cell r="AV390">
            <v>0</v>
          </cell>
          <cell r="AW390">
            <v>0</v>
          </cell>
          <cell r="AX390">
            <v>990</v>
          </cell>
          <cell r="AY390">
            <v>0</v>
          </cell>
          <cell r="BA390">
            <v>1485</v>
          </cell>
          <cell r="BB390">
            <v>0</v>
          </cell>
          <cell r="BC390">
            <v>1485</v>
          </cell>
          <cell r="BD390">
            <v>0</v>
          </cell>
          <cell r="BE390">
            <v>990</v>
          </cell>
          <cell r="BF390">
            <v>0</v>
          </cell>
          <cell r="BG390">
            <v>0</v>
          </cell>
          <cell r="BH390">
            <v>990</v>
          </cell>
          <cell r="BI390">
            <v>0</v>
          </cell>
          <cell r="BK390">
            <v>1554</v>
          </cell>
          <cell r="BL390">
            <v>0</v>
          </cell>
          <cell r="BM390">
            <v>1554</v>
          </cell>
          <cell r="BN390">
            <v>0</v>
          </cell>
          <cell r="BO390">
            <v>990</v>
          </cell>
          <cell r="BP390">
            <v>0</v>
          </cell>
          <cell r="BQ390">
            <v>0</v>
          </cell>
          <cell r="BR390">
            <v>990</v>
          </cell>
          <cell r="BS390">
            <v>0</v>
          </cell>
          <cell r="BU390">
            <v>1554</v>
          </cell>
          <cell r="BV390">
            <v>0</v>
          </cell>
          <cell r="BW390">
            <v>1554</v>
          </cell>
          <cell r="BX390">
            <v>0</v>
          </cell>
          <cell r="BY390">
            <v>990</v>
          </cell>
          <cell r="BZ390">
            <v>0</v>
          </cell>
          <cell r="CA390">
            <v>0</v>
          </cell>
          <cell r="CB390">
            <v>990</v>
          </cell>
          <cell r="CC390">
            <v>0</v>
          </cell>
          <cell r="CE390">
            <v>1554</v>
          </cell>
          <cell r="CF390">
            <v>0</v>
          </cell>
          <cell r="CG390">
            <v>1554</v>
          </cell>
          <cell r="CH390">
            <v>0</v>
          </cell>
          <cell r="CI390">
            <v>990</v>
          </cell>
          <cell r="CJ390">
            <v>0</v>
          </cell>
          <cell r="CK390">
            <v>0</v>
          </cell>
          <cell r="CL390">
            <v>990</v>
          </cell>
          <cell r="CM390">
            <v>0</v>
          </cell>
          <cell r="CO390">
            <v>1554</v>
          </cell>
          <cell r="CP390">
            <v>0</v>
          </cell>
          <cell r="CQ390">
            <v>1554</v>
          </cell>
          <cell r="CR390">
            <v>0</v>
          </cell>
          <cell r="CS390">
            <v>990</v>
          </cell>
          <cell r="CT390">
            <v>0</v>
          </cell>
          <cell r="CU390">
            <v>0</v>
          </cell>
          <cell r="CV390">
            <v>990</v>
          </cell>
          <cell r="CW390">
            <v>0</v>
          </cell>
          <cell r="CY390">
            <v>1554</v>
          </cell>
          <cell r="CZ390">
            <v>0</v>
          </cell>
          <cell r="DA390">
            <v>1554</v>
          </cell>
          <cell r="DB390">
            <v>0</v>
          </cell>
          <cell r="DC390">
            <v>990</v>
          </cell>
          <cell r="DD390">
            <v>0</v>
          </cell>
          <cell r="DE390">
            <v>0</v>
          </cell>
          <cell r="DF390">
            <v>990</v>
          </cell>
          <cell r="DG390">
            <v>0</v>
          </cell>
          <cell r="DI390">
            <v>42812</v>
          </cell>
          <cell r="DJ390">
            <v>15195</v>
          </cell>
          <cell r="DK390">
            <v>0</v>
          </cell>
          <cell r="DL390">
            <v>15195</v>
          </cell>
          <cell r="DM390">
            <v>15195</v>
          </cell>
          <cell r="DN390">
            <v>0</v>
          </cell>
          <cell r="DO390">
            <v>15195</v>
          </cell>
          <cell r="DP390">
            <v>9900</v>
          </cell>
          <cell r="DQ390">
            <v>0</v>
          </cell>
          <cell r="DR390">
            <v>0</v>
          </cell>
          <cell r="DS390">
            <v>9900</v>
          </cell>
          <cell r="DT390">
            <v>40290</v>
          </cell>
          <cell r="DU390">
            <v>0</v>
          </cell>
          <cell r="DW390">
            <v>0</v>
          </cell>
          <cell r="DX390">
            <v>0</v>
          </cell>
          <cell r="DY390">
            <v>46772</v>
          </cell>
          <cell r="DZ390">
            <v>50732</v>
          </cell>
          <cell r="EA390">
            <v>54692</v>
          </cell>
          <cell r="EB390">
            <v>58652</v>
          </cell>
          <cell r="EC390">
            <v>62612</v>
          </cell>
          <cell r="ED390">
            <v>66710</v>
          </cell>
          <cell r="EE390">
            <v>70808</v>
          </cell>
          <cell r="EF390">
            <v>74906</v>
          </cell>
          <cell r="EG390">
            <v>79004</v>
          </cell>
          <cell r="EH390">
            <v>83102</v>
          </cell>
          <cell r="EI390">
            <v>647990</v>
          </cell>
          <cell r="EK390">
            <v>0</v>
          </cell>
          <cell r="EL390">
            <v>0</v>
          </cell>
          <cell r="EM390">
            <v>311.81333333333333</v>
          </cell>
          <cell r="EN390">
            <v>338.21333333333331</v>
          </cell>
          <cell r="EO390">
            <v>364.61333333333329</v>
          </cell>
          <cell r="EP390">
            <v>391.01333333333332</v>
          </cell>
          <cell r="EQ390">
            <v>417.41333333333336</v>
          </cell>
          <cell r="ER390">
            <v>444.73333333333335</v>
          </cell>
          <cell r="ES390">
            <v>507.45733333333328</v>
          </cell>
          <cell r="ET390">
            <v>536.82633333333331</v>
          </cell>
          <cell r="EU390">
            <v>566.19533333333334</v>
          </cell>
          <cell r="EV390">
            <v>595.56433333333337</v>
          </cell>
          <cell r="EW390">
            <v>4473.8433333333342</v>
          </cell>
          <cell r="EY390">
            <v>340170</v>
          </cell>
          <cell r="EZ390">
            <v>8</v>
          </cell>
          <cell r="FA390">
            <v>2267.7999999999997</v>
          </cell>
          <cell r="FB390">
            <v>307820</v>
          </cell>
          <cell r="FC390">
            <v>8.6</v>
          </cell>
          <cell r="FD390">
            <v>2206.0433333333335</v>
          </cell>
          <cell r="FE390">
            <v>4473.8433333333332</v>
          </cell>
          <cell r="FF390">
            <v>87576</v>
          </cell>
          <cell r="FH390">
            <v>87576</v>
          </cell>
        </row>
        <row r="391">
          <cell r="B391">
            <v>9134</v>
          </cell>
          <cell r="C391" t="str">
            <v>23.04.2008</v>
          </cell>
          <cell r="D391" t="str">
            <v>Sonawane Namdev Zipru (Retired on 31-05-2013)</v>
          </cell>
          <cell r="F391">
            <v>28329</v>
          </cell>
          <cell r="G391">
            <v>32766</v>
          </cell>
          <cell r="H391">
            <v>77593</v>
          </cell>
          <cell r="I391">
            <v>77593</v>
          </cell>
          <cell r="J391">
            <v>155186</v>
          </cell>
          <cell r="K391">
            <v>126857</v>
          </cell>
          <cell r="M391">
            <v>1057</v>
          </cell>
          <cell r="N391">
            <v>0</v>
          </cell>
          <cell r="O391">
            <v>1057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W391">
            <v>1057</v>
          </cell>
          <cell r="X391">
            <v>0</v>
          </cell>
          <cell r="Y391">
            <v>1057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G391">
            <v>1057</v>
          </cell>
          <cell r="AH391">
            <v>0</v>
          </cell>
          <cell r="AI391">
            <v>1057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Q391">
            <v>1057</v>
          </cell>
          <cell r="AR391">
            <v>0</v>
          </cell>
          <cell r="AS391">
            <v>1057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BA391">
            <v>1057</v>
          </cell>
          <cell r="BB391">
            <v>0</v>
          </cell>
          <cell r="BC391">
            <v>1057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K391">
            <v>1106</v>
          </cell>
          <cell r="BL391">
            <v>0</v>
          </cell>
          <cell r="BM391">
            <v>1106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U391">
            <v>1106</v>
          </cell>
          <cell r="BV391">
            <v>0</v>
          </cell>
          <cell r="BW391">
            <v>1106</v>
          </cell>
          <cell r="BX391">
            <v>0</v>
          </cell>
          <cell r="BY391">
            <v>0</v>
          </cell>
          <cell r="BZ391">
            <v>0</v>
          </cell>
          <cell r="CA391">
            <v>0</v>
          </cell>
          <cell r="CB391">
            <v>0</v>
          </cell>
          <cell r="CC391">
            <v>0</v>
          </cell>
          <cell r="CE391">
            <v>1106</v>
          </cell>
          <cell r="CF391">
            <v>0</v>
          </cell>
          <cell r="CG391">
            <v>1106</v>
          </cell>
          <cell r="CH391">
            <v>0</v>
          </cell>
          <cell r="CI391">
            <v>0</v>
          </cell>
          <cell r="CJ391">
            <v>0</v>
          </cell>
          <cell r="CK391">
            <v>0</v>
          </cell>
          <cell r="CL391">
            <v>0</v>
          </cell>
          <cell r="CM391">
            <v>0</v>
          </cell>
          <cell r="CO391">
            <v>1106</v>
          </cell>
          <cell r="CP391">
            <v>0</v>
          </cell>
          <cell r="CQ391">
            <v>1106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W391">
            <v>0</v>
          </cell>
          <cell r="CY391">
            <v>1106</v>
          </cell>
          <cell r="CZ391">
            <v>0</v>
          </cell>
          <cell r="DA391">
            <v>1106</v>
          </cell>
          <cell r="DB391">
            <v>0</v>
          </cell>
          <cell r="DC391">
            <v>0</v>
          </cell>
          <cell r="DD391">
            <v>0</v>
          </cell>
          <cell r="DE391">
            <v>0</v>
          </cell>
          <cell r="DF391">
            <v>0</v>
          </cell>
          <cell r="DG391">
            <v>0</v>
          </cell>
          <cell r="DI391">
            <v>155186</v>
          </cell>
          <cell r="DJ391">
            <v>10815</v>
          </cell>
          <cell r="DK391">
            <v>0</v>
          </cell>
          <cell r="DL391">
            <v>10815</v>
          </cell>
          <cell r="DM391">
            <v>10815</v>
          </cell>
          <cell r="DN391">
            <v>0</v>
          </cell>
          <cell r="DO391">
            <v>10815</v>
          </cell>
          <cell r="DP391">
            <v>0</v>
          </cell>
          <cell r="DQ391">
            <v>0</v>
          </cell>
          <cell r="DR391">
            <v>0</v>
          </cell>
          <cell r="DS391">
            <v>0</v>
          </cell>
          <cell r="DT391">
            <v>21630</v>
          </cell>
          <cell r="DU391">
            <v>0</v>
          </cell>
          <cell r="DW391">
            <v>0</v>
          </cell>
          <cell r="DX391">
            <v>0</v>
          </cell>
          <cell r="DY391">
            <v>157300</v>
          </cell>
          <cell r="DZ391">
            <v>159414</v>
          </cell>
          <cell r="EA391">
            <v>161528</v>
          </cell>
          <cell r="EB391">
            <v>163642</v>
          </cell>
          <cell r="EC391">
            <v>165756</v>
          </cell>
          <cell r="ED391">
            <v>167968</v>
          </cell>
          <cell r="EE391">
            <v>170180</v>
          </cell>
          <cell r="EF391">
            <v>172392</v>
          </cell>
          <cell r="EG391">
            <v>174604</v>
          </cell>
          <cell r="EH391">
            <v>176816</v>
          </cell>
          <cell r="EI391">
            <v>1669600</v>
          </cell>
          <cell r="EK391">
            <v>0</v>
          </cell>
          <cell r="EL391">
            <v>0</v>
          </cell>
          <cell r="EM391">
            <v>1048.6666666666667</v>
          </cell>
          <cell r="EN391">
            <v>1062.76</v>
          </cell>
          <cell r="EO391">
            <v>1076.8533333333332</v>
          </cell>
          <cell r="EP391">
            <v>1090.9466666666667</v>
          </cell>
          <cell r="EQ391">
            <v>1105.04</v>
          </cell>
          <cell r="ER391">
            <v>1119.7866666666666</v>
          </cell>
          <cell r="ES391">
            <v>1219.6233333333332</v>
          </cell>
          <cell r="ET391">
            <v>1235.4759999999999</v>
          </cell>
          <cell r="EU391">
            <v>1251.3286666666665</v>
          </cell>
          <cell r="EV391">
            <v>1267.1813333333332</v>
          </cell>
          <cell r="EW391">
            <v>11477.662666666667</v>
          </cell>
          <cell r="EY391">
            <v>975608</v>
          </cell>
          <cell r="EZ391">
            <v>8</v>
          </cell>
          <cell r="FA391">
            <v>6504.0533333333333</v>
          </cell>
          <cell r="FB391">
            <v>693992</v>
          </cell>
          <cell r="FC391">
            <v>8.6</v>
          </cell>
          <cell r="FD391">
            <v>4973.6093333333338</v>
          </cell>
          <cell r="FE391">
            <v>11477.662666666667</v>
          </cell>
          <cell r="FF391">
            <v>188294</v>
          </cell>
          <cell r="FH391">
            <v>188294</v>
          </cell>
        </row>
        <row r="392">
          <cell r="B392">
            <v>9611</v>
          </cell>
          <cell r="C392" t="str">
            <v>29.04.2008</v>
          </cell>
          <cell r="D392" t="str">
            <v>Padaya Pankaj Bhanji</v>
          </cell>
          <cell r="F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W392">
            <v>0</v>
          </cell>
          <cell r="X392">
            <v>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K392">
            <v>0</v>
          </cell>
          <cell r="BL392">
            <v>0</v>
          </cell>
          <cell r="BM392">
            <v>0</v>
          </cell>
          <cell r="BN392">
            <v>0</v>
          </cell>
          <cell r="BO392">
            <v>0</v>
          </cell>
          <cell r="BP392">
            <v>0</v>
          </cell>
          <cell r="BQ392">
            <v>0</v>
          </cell>
          <cell r="BR392">
            <v>0</v>
          </cell>
          <cell r="BS392">
            <v>0</v>
          </cell>
          <cell r="BU392">
            <v>1106</v>
          </cell>
          <cell r="BV392">
            <v>0</v>
          </cell>
          <cell r="BW392">
            <v>1106</v>
          </cell>
          <cell r="BX392">
            <v>0</v>
          </cell>
          <cell r="BY392">
            <v>0</v>
          </cell>
          <cell r="BZ392">
            <v>0</v>
          </cell>
          <cell r="CA392">
            <v>0</v>
          </cell>
          <cell r="CB392">
            <v>0</v>
          </cell>
          <cell r="CC392">
            <v>0</v>
          </cell>
          <cell r="CE392">
            <v>1106</v>
          </cell>
          <cell r="CF392">
            <v>0</v>
          </cell>
          <cell r="CG392">
            <v>1106</v>
          </cell>
          <cell r="CH392">
            <v>0</v>
          </cell>
          <cell r="CI392">
            <v>0</v>
          </cell>
          <cell r="CJ392">
            <v>0</v>
          </cell>
          <cell r="CK392">
            <v>0</v>
          </cell>
          <cell r="CL392">
            <v>0</v>
          </cell>
          <cell r="CM392">
            <v>0</v>
          </cell>
          <cell r="CO392">
            <v>1106</v>
          </cell>
          <cell r="CP392">
            <v>0</v>
          </cell>
          <cell r="CQ392">
            <v>1106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  <cell r="CV392">
            <v>0</v>
          </cell>
          <cell r="CW392">
            <v>0</v>
          </cell>
          <cell r="CY392">
            <v>1106</v>
          </cell>
          <cell r="CZ392">
            <v>0</v>
          </cell>
          <cell r="DA392">
            <v>1106</v>
          </cell>
          <cell r="DB392">
            <v>0</v>
          </cell>
          <cell r="DC392">
            <v>0</v>
          </cell>
          <cell r="DD392">
            <v>0</v>
          </cell>
          <cell r="DE392">
            <v>0</v>
          </cell>
          <cell r="DF392">
            <v>0</v>
          </cell>
          <cell r="DG392">
            <v>0</v>
          </cell>
          <cell r="DI392">
            <v>0</v>
          </cell>
          <cell r="DJ392">
            <v>4424</v>
          </cell>
          <cell r="DK392">
            <v>0</v>
          </cell>
          <cell r="DL392">
            <v>4424</v>
          </cell>
          <cell r="DM392">
            <v>4424</v>
          </cell>
          <cell r="DN392">
            <v>0</v>
          </cell>
          <cell r="DO392">
            <v>4424</v>
          </cell>
          <cell r="DP392">
            <v>0</v>
          </cell>
          <cell r="DQ392">
            <v>0</v>
          </cell>
          <cell r="DR392">
            <v>0</v>
          </cell>
          <cell r="DS392">
            <v>0</v>
          </cell>
          <cell r="DT392">
            <v>8848</v>
          </cell>
          <cell r="DU392">
            <v>0</v>
          </cell>
          <cell r="DW392">
            <v>0</v>
          </cell>
          <cell r="DX392">
            <v>0</v>
          </cell>
          <cell r="DY392">
            <v>0</v>
          </cell>
          <cell r="DZ392">
            <v>0</v>
          </cell>
          <cell r="EA392">
            <v>0</v>
          </cell>
          <cell r="EB392">
            <v>0</v>
          </cell>
          <cell r="EC392">
            <v>0</v>
          </cell>
          <cell r="ED392">
            <v>0</v>
          </cell>
          <cell r="EE392">
            <v>2212</v>
          </cell>
          <cell r="EF392">
            <v>4424</v>
          </cell>
          <cell r="EG392">
            <v>6636</v>
          </cell>
          <cell r="EH392">
            <v>8848</v>
          </cell>
          <cell r="EI392">
            <v>22120</v>
          </cell>
          <cell r="EK392">
            <v>0</v>
          </cell>
          <cell r="EL392">
            <v>0</v>
          </cell>
          <cell r="EM392">
            <v>0</v>
          </cell>
          <cell r="EN392">
            <v>0</v>
          </cell>
          <cell r="EO392">
            <v>0</v>
          </cell>
          <cell r="EP392">
            <v>0</v>
          </cell>
          <cell r="EQ392">
            <v>0</v>
          </cell>
          <cell r="ER392">
            <v>0</v>
          </cell>
          <cell r="ES392">
            <v>15.852666666666666</v>
          </cell>
          <cell r="ET392">
            <v>31.705333333333332</v>
          </cell>
          <cell r="EU392">
            <v>47.558</v>
          </cell>
          <cell r="EV392">
            <v>63.410666666666664</v>
          </cell>
          <cell r="EW392">
            <v>158.52666666666667</v>
          </cell>
          <cell r="EY392">
            <v>0</v>
          </cell>
          <cell r="EZ392">
            <v>8</v>
          </cell>
          <cell r="FA392">
            <v>0</v>
          </cell>
          <cell r="FB392">
            <v>22120</v>
          </cell>
          <cell r="FC392">
            <v>8.6</v>
          </cell>
          <cell r="FD392">
            <v>158.52666666666667</v>
          </cell>
          <cell r="FE392">
            <v>158.52666666666667</v>
          </cell>
          <cell r="FF392">
            <v>9007</v>
          </cell>
          <cell r="FH392">
            <v>9007</v>
          </cell>
        </row>
        <row r="393">
          <cell r="B393">
            <v>9223</v>
          </cell>
          <cell r="C393" t="str">
            <v>30.04.2008</v>
          </cell>
          <cell r="D393" t="str">
            <v>Mokashi (Kulkarni) Dipali Sandip</v>
          </cell>
          <cell r="F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0</v>
          </cell>
          <cell r="CK393">
            <v>0</v>
          </cell>
          <cell r="CL393">
            <v>0</v>
          </cell>
          <cell r="CM393">
            <v>0</v>
          </cell>
          <cell r="CO393">
            <v>0</v>
          </cell>
          <cell r="CP393">
            <v>0</v>
          </cell>
          <cell r="CQ393">
            <v>0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W393">
            <v>0</v>
          </cell>
          <cell r="CY393">
            <v>0</v>
          </cell>
          <cell r="CZ393">
            <v>0</v>
          </cell>
          <cell r="DA393">
            <v>0</v>
          </cell>
          <cell r="DB393">
            <v>0</v>
          </cell>
          <cell r="DC393">
            <v>0</v>
          </cell>
          <cell r="DD393">
            <v>0</v>
          </cell>
          <cell r="DE393">
            <v>0</v>
          </cell>
          <cell r="DF393">
            <v>0</v>
          </cell>
          <cell r="DG393">
            <v>0</v>
          </cell>
          <cell r="DI393">
            <v>0</v>
          </cell>
          <cell r="DJ393">
            <v>0</v>
          </cell>
          <cell r="DK393">
            <v>0</v>
          </cell>
          <cell r="DL393">
            <v>0</v>
          </cell>
          <cell r="DM393">
            <v>0</v>
          </cell>
          <cell r="DN393">
            <v>0</v>
          </cell>
          <cell r="DO393">
            <v>0</v>
          </cell>
          <cell r="DP393">
            <v>0</v>
          </cell>
          <cell r="DQ393">
            <v>0</v>
          </cell>
          <cell r="DR393">
            <v>0</v>
          </cell>
          <cell r="DS393">
            <v>0</v>
          </cell>
          <cell r="DT393">
            <v>0</v>
          </cell>
          <cell r="DU393">
            <v>0</v>
          </cell>
          <cell r="DW393">
            <v>0</v>
          </cell>
          <cell r="DX393">
            <v>0</v>
          </cell>
          <cell r="DY393">
            <v>0</v>
          </cell>
          <cell r="DZ393">
            <v>0</v>
          </cell>
          <cell r="EA393">
            <v>0</v>
          </cell>
          <cell r="EB393">
            <v>0</v>
          </cell>
          <cell r="EC393">
            <v>0</v>
          </cell>
          <cell r="ED393">
            <v>0</v>
          </cell>
          <cell r="EE393">
            <v>0</v>
          </cell>
          <cell r="EF393">
            <v>0</v>
          </cell>
          <cell r="EG393">
            <v>0</v>
          </cell>
          <cell r="EH393">
            <v>0</v>
          </cell>
          <cell r="EI393">
            <v>0</v>
          </cell>
          <cell r="EK393">
            <v>0</v>
          </cell>
          <cell r="EL393">
            <v>0</v>
          </cell>
          <cell r="EM393">
            <v>0</v>
          </cell>
          <cell r="EN393">
            <v>0</v>
          </cell>
          <cell r="EO393">
            <v>0</v>
          </cell>
          <cell r="EP393">
            <v>0</v>
          </cell>
          <cell r="EQ393">
            <v>0</v>
          </cell>
          <cell r="ER393">
            <v>0</v>
          </cell>
          <cell r="ES393">
            <v>0</v>
          </cell>
          <cell r="ET393">
            <v>0</v>
          </cell>
          <cell r="EU393">
            <v>0</v>
          </cell>
          <cell r="EV393">
            <v>0</v>
          </cell>
          <cell r="EW393">
            <v>0</v>
          </cell>
          <cell r="EY393">
            <v>0</v>
          </cell>
          <cell r="EZ393">
            <v>8</v>
          </cell>
          <cell r="FA393">
            <v>0</v>
          </cell>
          <cell r="FB393">
            <v>0</v>
          </cell>
          <cell r="FC393">
            <v>8.6</v>
          </cell>
          <cell r="FD393">
            <v>0</v>
          </cell>
          <cell r="FE393">
            <v>0</v>
          </cell>
          <cell r="FF393">
            <v>0</v>
          </cell>
          <cell r="FH393">
            <v>0</v>
          </cell>
        </row>
        <row r="394">
          <cell r="B394">
            <v>9225</v>
          </cell>
          <cell r="C394" t="str">
            <v>30.04.2008</v>
          </cell>
          <cell r="D394" t="str">
            <v>Sonar Rajendra Bhika</v>
          </cell>
          <cell r="F394">
            <v>50893</v>
          </cell>
          <cell r="G394">
            <v>68084</v>
          </cell>
          <cell r="H394">
            <v>28042</v>
          </cell>
          <cell r="I394">
            <v>28042</v>
          </cell>
          <cell r="J394">
            <v>56084</v>
          </cell>
          <cell r="K394">
            <v>5191</v>
          </cell>
          <cell r="M394">
            <v>2308</v>
          </cell>
          <cell r="N394">
            <v>0</v>
          </cell>
          <cell r="O394">
            <v>2308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W394">
            <v>2308</v>
          </cell>
          <cell r="X394">
            <v>0</v>
          </cell>
          <cell r="Y394">
            <v>2308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G394">
            <v>2378</v>
          </cell>
          <cell r="AH394">
            <v>0</v>
          </cell>
          <cell r="AI394">
            <v>2378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Q394">
            <v>2378</v>
          </cell>
          <cell r="AR394">
            <v>0</v>
          </cell>
          <cell r="AS394">
            <v>2378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BA394">
            <v>2378</v>
          </cell>
          <cell r="BB394">
            <v>0</v>
          </cell>
          <cell r="BC394">
            <v>2378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K394">
            <v>2488</v>
          </cell>
          <cell r="BL394">
            <v>0</v>
          </cell>
          <cell r="BM394">
            <v>2488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U394">
            <v>2488</v>
          </cell>
          <cell r="BV394">
            <v>0</v>
          </cell>
          <cell r="BW394">
            <v>2488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E394">
            <v>2488</v>
          </cell>
          <cell r="CF394">
            <v>0</v>
          </cell>
          <cell r="CG394">
            <v>2488</v>
          </cell>
          <cell r="CH394">
            <v>0</v>
          </cell>
          <cell r="CI394">
            <v>0</v>
          </cell>
          <cell r="CJ394">
            <v>0</v>
          </cell>
          <cell r="CK394">
            <v>0</v>
          </cell>
          <cell r="CL394">
            <v>0</v>
          </cell>
          <cell r="CM394">
            <v>0</v>
          </cell>
          <cell r="CO394">
            <v>2488</v>
          </cell>
          <cell r="CP394">
            <v>0</v>
          </cell>
          <cell r="CQ394">
            <v>2488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W394">
            <v>0</v>
          </cell>
          <cell r="CY394">
            <v>2488</v>
          </cell>
          <cell r="CZ394">
            <v>0</v>
          </cell>
          <cell r="DA394">
            <v>2488</v>
          </cell>
          <cell r="DB394">
            <v>0</v>
          </cell>
          <cell r="DC394">
            <v>0</v>
          </cell>
          <cell r="DD394">
            <v>0</v>
          </cell>
          <cell r="DE394">
            <v>0</v>
          </cell>
          <cell r="DF394">
            <v>0</v>
          </cell>
          <cell r="DG394">
            <v>0</v>
          </cell>
          <cell r="DI394">
            <v>56084</v>
          </cell>
          <cell r="DJ394">
            <v>24190</v>
          </cell>
          <cell r="DK394">
            <v>0</v>
          </cell>
          <cell r="DL394">
            <v>24190</v>
          </cell>
          <cell r="DM394">
            <v>24190</v>
          </cell>
          <cell r="DN394">
            <v>0</v>
          </cell>
          <cell r="DO394">
            <v>24190</v>
          </cell>
          <cell r="DP394">
            <v>0</v>
          </cell>
          <cell r="DQ394">
            <v>0</v>
          </cell>
          <cell r="DR394">
            <v>0</v>
          </cell>
          <cell r="DS394">
            <v>0</v>
          </cell>
          <cell r="DT394">
            <v>48380</v>
          </cell>
          <cell r="DU394">
            <v>0</v>
          </cell>
          <cell r="DW394">
            <v>0</v>
          </cell>
          <cell r="DX394">
            <v>0</v>
          </cell>
          <cell r="DY394">
            <v>60700</v>
          </cell>
          <cell r="DZ394">
            <v>65316</v>
          </cell>
          <cell r="EA394">
            <v>70072</v>
          </cell>
          <cell r="EB394">
            <v>74828</v>
          </cell>
          <cell r="EC394">
            <v>79584</v>
          </cell>
          <cell r="ED394">
            <v>84560</v>
          </cell>
          <cell r="EE394">
            <v>89536</v>
          </cell>
          <cell r="EF394">
            <v>94512</v>
          </cell>
          <cell r="EG394">
            <v>99488</v>
          </cell>
          <cell r="EH394">
            <v>104464</v>
          </cell>
          <cell r="EI394">
            <v>823060</v>
          </cell>
          <cell r="EK394">
            <v>0</v>
          </cell>
          <cell r="EL394">
            <v>0</v>
          </cell>
          <cell r="EM394">
            <v>404.66666666666669</v>
          </cell>
          <cell r="EN394">
            <v>435.44</v>
          </cell>
          <cell r="EO394">
            <v>467.1466666666667</v>
          </cell>
          <cell r="EP394">
            <v>498.8533333333333</v>
          </cell>
          <cell r="EQ394">
            <v>530.56000000000006</v>
          </cell>
          <cell r="ER394">
            <v>563.73333333333335</v>
          </cell>
          <cell r="ES394">
            <v>641.67466666666667</v>
          </cell>
          <cell r="ET394">
            <v>677.3359999999999</v>
          </cell>
          <cell r="EU394">
            <v>712.99733333333324</v>
          </cell>
          <cell r="EV394">
            <v>748.65866666666659</v>
          </cell>
          <cell r="EW394">
            <v>5681.0666666666657</v>
          </cell>
          <cell r="EY394">
            <v>435060</v>
          </cell>
          <cell r="EZ394">
            <v>8</v>
          </cell>
          <cell r="FA394">
            <v>2900.4</v>
          </cell>
          <cell r="FB394">
            <v>388000</v>
          </cell>
          <cell r="FC394">
            <v>8.6</v>
          </cell>
          <cell r="FD394">
            <v>2780.6666666666665</v>
          </cell>
          <cell r="FE394">
            <v>5681.0666666666666</v>
          </cell>
          <cell r="FF394">
            <v>110145</v>
          </cell>
          <cell r="FH394">
            <v>110145</v>
          </cell>
        </row>
        <row r="395">
          <cell r="B395">
            <v>9226</v>
          </cell>
          <cell r="C395" t="str">
            <v>30.04.2008</v>
          </cell>
          <cell r="D395" t="str">
            <v>Boravake Leena Narayan</v>
          </cell>
          <cell r="F395">
            <v>50893</v>
          </cell>
          <cell r="G395">
            <v>68084</v>
          </cell>
          <cell r="H395">
            <v>36302</v>
          </cell>
          <cell r="I395">
            <v>36302</v>
          </cell>
          <cell r="J395">
            <v>72604</v>
          </cell>
          <cell r="K395">
            <v>21711</v>
          </cell>
          <cell r="M395">
            <v>2308</v>
          </cell>
          <cell r="N395">
            <v>0</v>
          </cell>
          <cell r="O395">
            <v>2308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W395">
            <v>2308</v>
          </cell>
          <cell r="X395">
            <v>0</v>
          </cell>
          <cell r="Y395">
            <v>2308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G395">
            <v>2378</v>
          </cell>
          <cell r="AH395">
            <v>0</v>
          </cell>
          <cell r="AI395">
            <v>2378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Q395">
            <v>2378</v>
          </cell>
          <cell r="AR395">
            <v>0</v>
          </cell>
          <cell r="AS395">
            <v>2378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BA395">
            <v>2378</v>
          </cell>
          <cell r="BB395">
            <v>0</v>
          </cell>
          <cell r="BC395">
            <v>2378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K395">
            <v>2488</v>
          </cell>
          <cell r="BL395">
            <v>0</v>
          </cell>
          <cell r="BM395">
            <v>2488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U395">
            <v>2488</v>
          </cell>
          <cell r="BV395">
            <v>0</v>
          </cell>
          <cell r="BW395">
            <v>2488</v>
          </cell>
          <cell r="BX395">
            <v>0</v>
          </cell>
          <cell r="BY395">
            <v>0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  <cell r="CE395">
            <v>2488</v>
          </cell>
          <cell r="CF395">
            <v>0</v>
          </cell>
          <cell r="CG395">
            <v>2488</v>
          </cell>
          <cell r="CH395">
            <v>0</v>
          </cell>
          <cell r="CI395">
            <v>0</v>
          </cell>
          <cell r="CJ395">
            <v>0</v>
          </cell>
          <cell r="CK395">
            <v>0</v>
          </cell>
          <cell r="CL395">
            <v>0</v>
          </cell>
          <cell r="CM395">
            <v>0</v>
          </cell>
          <cell r="CO395">
            <v>2488</v>
          </cell>
          <cell r="CP395">
            <v>0</v>
          </cell>
          <cell r="CQ395">
            <v>2488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W395">
            <v>0</v>
          </cell>
          <cell r="CY395">
            <v>2488</v>
          </cell>
          <cell r="CZ395">
            <v>0</v>
          </cell>
          <cell r="DA395">
            <v>2488</v>
          </cell>
          <cell r="DB395">
            <v>0</v>
          </cell>
          <cell r="DC395">
            <v>0</v>
          </cell>
          <cell r="DD395">
            <v>0</v>
          </cell>
          <cell r="DE395">
            <v>0</v>
          </cell>
          <cell r="DF395">
            <v>0</v>
          </cell>
          <cell r="DG395">
            <v>0</v>
          </cell>
          <cell r="DI395">
            <v>72604</v>
          </cell>
          <cell r="DJ395">
            <v>24190</v>
          </cell>
          <cell r="DK395">
            <v>0</v>
          </cell>
          <cell r="DL395">
            <v>24190</v>
          </cell>
          <cell r="DM395">
            <v>24190</v>
          </cell>
          <cell r="DN395">
            <v>0</v>
          </cell>
          <cell r="DO395">
            <v>24190</v>
          </cell>
          <cell r="DP395">
            <v>0</v>
          </cell>
          <cell r="DQ395">
            <v>0</v>
          </cell>
          <cell r="DR395">
            <v>0</v>
          </cell>
          <cell r="DS395">
            <v>0</v>
          </cell>
          <cell r="DT395">
            <v>48380</v>
          </cell>
          <cell r="DU395">
            <v>0</v>
          </cell>
          <cell r="DW395">
            <v>0</v>
          </cell>
          <cell r="DX395">
            <v>0</v>
          </cell>
          <cell r="DY395">
            <v>77220</v>
          </cell>
          <cell r="DZ395">
            <v>81836</v>
          </cell>
          <cell r="EA395">
            <v>86592</v>
          </cell>
          <cell r="EB395">
            <v>91348</v>
          </cell>
          <cell r="EC395">
            <v>96104</v>
          </cell>
          <cell r="ED395">
            <v>101080</v>
          </cell>
          <cell r="EE395">
            <v>106056</v>
          </cell>
          <cell r="EF395">
            <v>111032</v>
          </cell>
          <cell r="EG395">
            <v>116008</v>
          </cell>
          <cell r="EH395">
            <v>120984</v>
          </cell>
          <cell r="EI395">
            <v>988260</v>
          </cell>
          <cell r="EK395">
            <v>0</v>
          </cell>
          <cell r="EL395">
            <v>0</v>
          </cell>
          <cell r="EM395">
            <v>514.80000000000007</v>
          </cell>
          <cell r="EN395">
            <v>545.57333333333338</v>
          </cell>
          <cell r="EO395">
            <v>577.28</v>
          </cell>
          <cell r="EP395">
            <v>608.98666666666668</v>
          </cell>
          <cell r="EQ395">
            <v>640.69333333333327</v>
          </cell>
          <cell r="ER395">
            <v>673.86666666666667</v>
          </cell>
          <cell r="ES395">
            <v>760.06799999999987</v>
          </cell>
          <cell r="ET395">
            <v>795.72933333333333</v>
          </cell>
          <cell r="EU395">
            <v>831.39066666666668</v>
          </cell>
          <cell r="EV395">
            <v>867.05200000000002</v>
          </cell>
          <cell r="EW395">
            <v>6815.4400000000005</v>
          </cell>
          <cell r="EY395">
            <v>534180</v>
          </cell>
          <cell r="EZ395">
            <v>8</v>
          </cell>
          <cell r="FA395">
            <v>3561.2000000000003</v>
          </cell>
          <cell r="FB395">
            <v>454080</v>
          </cell>
          <cell r="FC395">
            <v>8.6</v>
          </cell>
          <cell r="FD395">
            <v>3254.24</v>
          </cell>
          <cell r="FE395">
            <v>6815.4400000000005</v>
          </cell>
          <cell r="FF395">
            <v>127799</v>
          </cell>
          <cell r="FH395">
            <v>127799</v>
          </cell>
        </row>
        <row r="396">
          <cell r="B396">
            <v>9227</v>
          </cell>
          <cell r="C396" t="str">
            <v>30.04.2008</v>
          </cell>
          <cell r="D396" t="str">
            <v>Malode Somnath Motiram</v>
          </cell>
          <cell r="F396">
            <v>50893</v>
          </cell>
          <cell r="G396">
            <v>68084</v>
          </cell>
          <cell r="H396">
            <v>42562</v>
          </cell>
          <cell r="I396">
            <v>42562</v>
          </cell>
          <cell r="J396">
            <v>85124</v>
          </cell>
          <cell r="K396">
            <v>34231</v>
          </cell>
          <cell r="M396">
            <v>2308</v>
          </cell>
          <cell r="N396">
            <v>0</v>
          </cell>
          <cell r="O396">
            <v>2308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W396">
            <v>2308</v>
          </cell>
          <cell r="X396">
            <v>0</v>
          </cell>
          <cell r="Y396">
            <v>2308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G396">
            <v>2378</v>
          </cell>
          <cell r="AH396">
            <v>0</v>
          </cell>
          <cell r="AI396">
            <v>2378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Q396">
            <v>2378</v>
          </cell>
          <cell r="AR396">
            <v>0</v>
          </cell>
          <cell r="AS396">
            <v>2378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BA396">
            <v>2378</v>
          </cell>
          <cell r="BB396">
            <v>0</v>
          </cell>
          <cell r="BC396">
            <v>2378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K396">
            <v>2488</v>
          </cell>
          <cell r="BL396">
            <v>0</v>
          </cell>
          <cell r="BM396">
            <v>2488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U396">
            <v>2488</v>
          </cell>
          <cell r="BV396">
            <v>0</v>
          </cell>
          <cell r="BW396">
            <v>2488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E396">
            <v>2488</v>
          </cell>
          <cell r="CF396">
            <v>0</v>
          </cell>
          <cell r="CG396">
            <v>2488</v>
          </cell>
          <cell r="CH396">
            <v>0</v>
          </cell>
          <cell r="CI396">
            <v>0</v>
          </cell>
          <cell r="CJ396">
            <v>0</v>
          </cell>
          <cell r="CK396">
            <v>0</v>
          </cell>
          <cell r="CL396">
            <v>0</v>
          </cell>
          <cell r="CM396">
            <v>0</v>
          </cell>
          <cell r="CO396">
            <v>2488</v>
          </cell>
          <cell r="CP396">
            <v>0</v>
          </cell>
          <cell r="CQ396">
            <v>2488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  <cell r="CV396">
            <v>0</v>
          </cell>
          <cell r="CW396">
            <v>0</v>
          </cell>
          <cell r="CY396">
            <v>2488</v>
          </cell>
          <cell r="CZ396">
            <v>0</v>
          </cell>
          <cell r="DA396">
            <v>2488</v>
          </cell>
          <cell r="DB396">
            <v>0</v>
          </cell>
          <cell r="DC396">
            <v>0</v>
          </cell>
          <cell r="DD396">
            <v>0</v>
          </cell>
          <cell r="DE396">
            <v>0</v>
          </cell>
          <cell r="DF396">
            <v>0</v>
          </cell>
          <cell r="DG396">
            <v>0</v>
          </cell>
          <cell r="DI396">
            <v>85124</v>
          </cell>
          <cell r="DJ396">
            <v>24190</v>
          </cell>
          <cell r="DK396">
            <v>0</v>
          </cell>
          <cell r="DL396">
            <v>24190</v>
          </cell>
          <cell r="DM396">
            <v>24190</v>
          </cell>
          <cell r="DN396">
            <v>0</v>
          </cell>
          <cell r="DO396">
            <v>24190</v>
          </cell>
          <cell r="DP396">
            <v>0</v>
          </cell>
          <cell r="DQ396">
            <v>0</v>
          </cell>
          <cell r="DR396">
            <v>0</v>
          </cell>
          <cell r="DS396">
            <v>0</v>
          </cell>
          <cell r="DT396">
            <v>48380</v>
          </cell>
          <cell r="DU396">
            <v>0</v>
          </cell>
          <cell r="DW396">
            <v>0</v>
          </cell>
          <cell r="DX396">
            <v>0</v>
          </cell>
          <cell r="DY396">
            <v>89740</v>
          </cell>
          <cell r="DZ396">
            <v>94356</v>
          </cell>
          <cell r="EA396">
            <v>99112</v>
          </cell>
          <cell r="EB396">
            <v>103868</v>
          </cell>
          <cell r="EC396">
            <v>108624</v>
          </cell>
          <cell r="ED396">
            <v>113600</v>
          </cell>
          <cell r="EE396">
            <v>118576</v>
          </cell>
          <cell r="EF396">
            <v>123552</v>
          </cell>
          <cell r="EG396">
            <v>128528</v>
          </cell>
          <cell r="EH396">
            <v>133504</v>
          </cell>
          <cell r="EI396">
            <v>1113460</v>
          </cell>
          <cell r="EK396">
            <v>0</v>
          </cell>
          <cell r="EL396">
            <v>0</v>
          </cell>
          <cell r="EM396">
            <v>598.26666666666665</v>
          </cell>
          <cell r="EN396">
            <v>629.04</v>
          </cell>
          <cell r="EO396">
            <v>660.74666666666667</v>
          </cell>
          <cell r="EP396">
            <v>692.45333333333338</v>
          </cell>
          <cell r="EQ396">
            <v>724.16</v>
          </cell>
          <cell r="ER396">
            <v>757.33333333333337</v>
          </cell>
          <cell r="ES396">
            <v>849.79466666666667</v>
          </cell>
          <cell r="ET396">
            <v>885.45600000000002</v>
          </cell>
          <cell r="EU396">
            <v>921.11733333333348</v>
          </cell>
          <cell r="EV396">
            <v>956.7786666666666</v>
          </cell>
          <cell r="EW396">
            <v>7675.1466666666674</v>
          </cell>
          <cell r="EY396">
            <v>609300</v>
          </cell>
          <cell r="EZ396">
            <v>8</v>
          </cell>
          <cell r="FA396">
            <v>4062</v>
          </cell>
          <cell r="FB396">
            <v>504160</v>
          </cell>
          <cell r="FC396">
            <v>8.6</v>
          </cell>
          <cell r="FD396">
            <v>3613.146666666667</v>
          </cell>
          <cell r="FE396">
            <v>7675.1466666666674</v>
          </cell>
          <cell r="FF396">
            <v>141179</v>
          </cell>
          <cell r="FH396">
            <v>141179</v>
          </cell>
        </row>
        <row r="397">
          <cell r="B397">
            <v>9228</v>
          </cell>
          <cell r="C397" t="str">
            <v>30.04.2008</v>
          </cell>
          <cell r="D397" t="str">
            <v>Kuldhar Bhaskar Babban</v>
          </cell>
          <cell r="F397">
            <v>50893</v>
          </cell>
          <cell r="G397">
            <v>68084</v>
          </cell>
          <cell r="H397">
            <v>28042</v>
          </cell>
          <cell r="I397">
            <v>28042</v>
          </cell>
          <cell r="J397">
            <v>56084</v>
          </cell>
          <cell r="K397">
            <v>5191</v>
          </cell>
          <cell r="M397">
            <v>2308</v>
          </cell>
          <cell r="N397">
            <v>0</v>
          </cell>
          <cell r="O397">
            <v>2308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W397">
            <v>2308</v>
          </cell>
          <cell r="X397">
            <v>0</v>
          </cell>
          <cell r="Y397">
            <v>2308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G397">
            <v>2378</v>
          </cell>
          <cell r="AH397">
            <v>0</v>
          </cell>
          <cell r="AI397">
            <v>2378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Q397">
            <v>2378</v>
          </cell>
          <cell r="AR397">
            <v>0</v>
          </cell>
          <cell r="AS397">
            <v>2378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BA397">
            <v>2378</v>
          </cell>
          <cell r="BB397">
            <v>0</v>
          </cell>
          <cell r="BC397">
            <v>2378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K397">
            <v>2488</v>
          </cell>
          <cell r="BL397">
            <v>0</v>
          </cell>
          <cell r="BM397">
            <v>2488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U397">
            <v>2488</v>
          </cell>
          <cell r="BV397">
            <v>0</v>
          </cell>
          <cell r="BW397">
            <v>2488</v>
          </cell>
          <cell r="BX397">
            <v>0</v>
          </cell>
          <cell r="BY397">
            <v>0</v>
          </cell>
          <cell r="BZ397">
            <v>0</v>
          </cell>
          <cell r="CA397">
            <v>0</v>
          </cell>
          <cell r="CB397">
            <v>0</v>
          </cell>
          <cell r="CC397">
            <v>0</v>
          </cell>
          <cell r="CE397">
            <v>2488</v>
          </cell>
          <cell r="CF397">
            <v>0</v>
          </cell>
          <cell r="CG397">
            <v>2488</v>
          </cell>
          <cell r="CH397">
            <v>0</v>
          </cell>
          <cell r="CI397">
            <v>0</v>
          </cell>
          <cell r="CJ397">
            <v>0</v>
          </cell>
          <cell r="CK397">
            <v>0</v>
          </cell>
          <cell r="CL397">
            <v>0</v>
          </cell>
          <cell r="CM397">
            <v>0</v>
          </cell>
          <cell r="CO397">
            <v>2488</v>
          </cell>
          <cell r="CP397">
            <v>0</v>
          </cell>
          <cell r="CQ397">
            <v>2488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  <cell r="CV397">
            <v>0</v>
          </cell>
          <cell r="CW397">
            <v>0</v>
          </cell>
          <cell r="CY397">
            <v>2488</v>
          </cell>
          <cell r="CZ397">
            <v>0</v>
          </cell>
          <cell r="DA397">
            <v>2488</v>
          </cell>
          <cell r="DB397">
            <v>0</v>
          </cell>
          <cell r="DC397">
            <v>0</v>
          </cell>
          <cell r="DD397">
            <v>0</v>
          </cell>
          <cell r="DE397">
            <v>0</v>
          </cell>
          <cell r="DF397">
            <v>0</v>
          </cell>
          <cell r="DG397">
            <v>0</v>
          </cell>
          <cell r="DI397">
            <v>56084</v>
          </cell>
          <cell r="DJ397">
            <v>24190</v>
          </cell>
          <cell r="DK397">
            <v>0</v>
          </cell>
          <cell r="DL397">
            <v>24190</v>
          </cell>
          <cell r="DM397">
            <v>24190</v>
          </cell>
          <cell r="DN397">
            <v>0</v>
          </cell>
          <cell r="DO397">
            <v>24190</v>
          </cell>
          <cell r="DP397">
            <v>0</v>
          </cell>
          <cell r="DQ397">
            <v>0</v>
          </cell>
          <cell r="DR397">
            <v>0</v>
          </cell>
          <cell r="DS397">
            <v>0</v>
          </cell>
          <cell r="DT397">
            <v>48380</v>
          </cell>
          <cell r="DU397">
            <v>0</v>
          </cell>
          <cell r="DW397">
            <v>0</v>
          </cell>
          <cell r="DX397">
            <v>0</v>
          </cell>
          <cell r="DY397">
            <v>60700</v>
          </cell>
          <cell r="DZ397">
            <v>65316</v>
          </cell>
          <cell r="EA397">
            <v>70072</v>
          </cell>
          <cell r="EB397">
            <v>74828</v>
          </cell>
          <cell r="EC397">
            <v>79584</v>
          </cell>
          <cell r="ED397">
            <v>84560</v>
          </cell>
          <cell r="EE397">
            <v>89536</v>
          </cell>
          <cell r="EF397">
            <v>94512</v>
          </cell>
          <cell r="EG397">
            <v>99488</v>
          </cell>
          <cell r="EH397">
            <v>104464</v>
          </cell>
          <cell r="EI397">
            <v>823060</v>
          </cell>
          <cell r="EK397">
            <v>0</v>
          </cell>
          <cell r="EL397">
            <v>0</v>
          </cell>
          <cell r="EM397">
            <v>404.66666666666669</v>
          </cell>
          <cell r="EN397">
            <v>435.44</v>
          </cell>
          <cell r="EO397">
            <v>467.1466666666667</v>
          </cell>
          <cell r="EP397">
            <v>498.8533333333333</v>
          </cell>
          <cell r="EQ397">
            <v>530.56000000000006</v>
          </cell>
          <cell r="ER397">
            <v>563.73333333333335</v>
          </cell>
          <cell r="ES397">
            <v>641.67466666666667</v>
          </cell>
          <cell r="ET397">
            <v>677.3359999999999</v>
          </cell>
          <cell r="EU397">
            <v>712.99733333333324</v>
          </cell>
          <cell r="EV397">
            <v>748.65866666666659</v>
          </cell>
          <cell r="EW397">
            <v>5681.0666666666657</v>
          </cell>
          <cell r="EY397">
            <v>435060</v>
          </cell>
          <cell r="EZ397">
            <v>8</v>
          </cell>
          <cell r="FA397">
            <v>2900.4</v>
          </cell>
          <cell r="FB397">
            <v>388000</v>
          </cell>
          <cell r="FC397">
            <v>8.6</v>
          </cell>
          <cell r="FD397">
            <v>2780.6666666666665</v>
          </cell>
          <cell r="FE397">
            <v>5681.0666666666666</v>
          </cell>
          <cell r="FF397">
            <v>110145</v>
          </cell>
          <cell r="FH397">
            <v>110145</v>
          </cell>
        </row>
        <row r="398">
          <cell r="B398">
            <v>9229</v>
          </cell>
          <cell r="C398" t="str">
            <v>30.04.2008</v>
          </cell>
          <cell r="D398" t="str">
            <v>Patil Yogesh Nimba</v>
          </cell>
          <cell r="F398">
            <v>50893</v>
          </cell>
          <cell r="G398">
            <v>68084</v>
          </cell>
          <cell r="H398">
            <v>30042</v>
          </cell>
          <cell r="I398">
            <v>30042</v>
          </cell>
          <cell r="J398">
            <v>60084</v>
          </cell>
          <cell r="K398">
            <v>9191</v>
          </cell>
          <cell r="M398">
            <v>2308</v>
          </cell>
          <cell r="N398">
            <v>0</v>
          </cell>
          <cell r="O398">
            <v>2308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W398">
            <v>2308</v>
          </cell>
          <cell r="X398">
            <v>0</v>
          </cell>
          <cell r="Y398">
            <v>2308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G398">
            <v>2378</v>
          </cell>
          <cell r="AH398">
            <v>0</v>
          </cell>
          <cell r="AI398">
            <v>2378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Q398">
            <v>2378</v>
          </cell>
          <cell r="AR398">
            <v>0</v>
          </cell>
          <cell r="AS398">
            <v>2378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BA398">
            <v>2378</v>
          </cell>
          <cell r="BB398">
            <v>0</v>
          </cell>
          <cell r="BC398">
            <v>2378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K398">
            <v>2488</v>
          </cell>
          <cell r="BL398">
            <v>0</v>
          </cell>
          <cell r="BM398">
            <v>2488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U398">
            <v>2488</v>
          </cell>
          <cell r="BV398">
            <v>0</v>
          </cell>
          <cell r="BW398">
            <v>2488</v>
          </cell>
          <cell r="BX398">
            <v>0</v>
          </cell>
          <cell r="BY398">
            <v>0</v>
          </cell>
          <cell r="BZ398">
            <v>0</v>
          </cell>
          <cell r="CA398">
            <v>0</v>
          </cell>
          <cell r="CB398">
            <v>0</v>
          </cell>
          <cell r="CC398">
            <v>0</v>
          </cell>
          <cell r="CE398">
            <v>2488</v>
          </cell>
          <cell r="CF398">
            <v>0</v>
          </cell>
          <cell r="CG398">
            <v>2488</v>
          </cell>
          <cell r="CH398">
            <v>0</v>
          </cell>
          <cell r="CI398">
            <v>0</v>
          </cell>
          <cell r="CJ398">
            <v>0</v>
          </cell>
          <cell r="CK398">
            <v>0</v>
          </cell>
          <cell r="CL398">
            <v>0</v>
          </cell>
          <cell r="CM398">
            <v>0</v>
          </cell>
          <cell r="CO398">
            <v>2488</v>
          </cell>
          <cell r="CP398">
            <v>0</v>
          </cell>
          <cell r="CQ398">
            <v>2488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CW398">
            <v>0</v>
          </cell>
          <cell r="CY398">
            <v>2488</v>
          </cell>
          <cell r="CZ398">
            <v>0</v>
          </cell>
          <cell r="DA398">
            <v>2488</v>
          </cell>
          <cell r="DB398">
            <v>0</v>
          </cell>
          <cell r="DC398">
            <v>0</v>
          </cell>
          <cell r="DD398">
            <v>0</v>
          </cell>
          <cell r="DE398">
            <v>0</v>
          </cell>
          <cell r="DF398">
            <v>0</v>
          </cell>
          <cell r="DG398">
            <v>0</v>
          </cell>
          <cell r="DI398">
            <v>60084</v>
          </cell>
          <cell r="DJ398">
            <v>24190</v>
          </cell>
          <cell r="DK398">
            <v>0</v>
          </cell>
          <cell r="DL398">
            <v>24190</v>
          </cell>
          <cell r="DM398">
            <v>24190</v>
          </cell>
          <cell r="DN398">
            <v>0</v>
          </cell>
          <cell r="DO398">
            <v>24190</v>
          </cell>
          <cell r="DP398">
            <v>0</v>
          </cell>
          <cell r="DQ398">
            <v>0</v>
          </cell>
          <cell r="DR398">
            <v>0</v>
          </cell>
          <cell r="DS398">
            <v>0</v>
          </cell>
          <cell r="DT398">
            <v>48380</v>
          </cell>
          <cell r="DU398">
            <v>0</v>
          </cell>
          <cell r="DW398">
            <v>0</v>
          </cell>
          <cell r="DX398">
            <v>0</v>
          </cell>
          <cell r="DY398">
            <v>64700</v>
          </cell>
          <cell r="DZ398">
            <v>69316</v>
          </cell>
          <cell r="EA398">
            <v>74072</v>
          </cell>
          <cell r="EB398">
            <v>78828</v>
          </cell>
          <cell r="EC398">
            <v>83584</v>
          </cell>
          <cell r="ED398">
            <v>88560</v>
          </cell>
          <cell r="EE398">
            <v>93536</v>
          </cell>
          <cell r="EF398">
            <v>98512</v>
          </cell>
          <cell r="EG398">
            <v>103488</v>
          </cell>
          <cell r="EH398">
            <v>108464</v>
          </cell>
          <cell r="EI398">
            <v>863060</v>
          </cell>
          <cell r="EK398">
            <v>0</v>
          </cell>
          <cell r="EL398">
            <v>0</v>
          </cell>
          <cell r="EM398">
            <v>431.33333333333331</v>
          </cell>
          <cell r="EN398">
            <v>462.10666666666663</v>
          </cell>
          <cell r="EO398">
            <v>493.81333333333333</v>
          </cell>
          <cell r="EP398">
            <v>525.52</v>
          </cell>
          <cell r="EQ398">
            <v>557.22666666666669</v>
          </cell>
          <cell r="ER398">
            <v>590.4</v>
          </cell>
          <cell r="ES398">
            <v>670.3413333333333</v>
          </cell>
          <cell r="ET398">
            <v>706.00266666666664</v>
          </cell>
          <cell r="EU398">
            <v>741.66399999999987</v>
          </cell>
          <cell r="EV398">
            <v>777.32533333333322</v>
          </cell>
          <cell r="EW398">
            <v>5955.7333333333327</v>
          </cell>
          <cell r="EY398">
            <v>459060</v>
          </cell>
          <cell r="EZ398">
            <v>8</v>
          </cell>
          <cell r="FA398">
            <v>3060.4</v>
          </cell>
          <cell r="FB398">
            <v>404000</v>
          </cell>
          <cell r="FC398">
            <v>8.6</v>
          </cell>
          <cell r="FD398">
            <v>2895.3333333333335</v>
          </cell>
          <cell r="FE398">
            <v>5955.7333333333336</v>
          </cell>
          <cell r="FF398">
            <v>114420</v>
          </cell>
          <cell r="FH398">
            <v>114420</v>
          </cell>
        </row>
        <row r="399">
          <cell r="B399">
            <v>9230</v>
          </cell>
          <cell r="C399" t="str">
            <v>30.04.2008</v>
          </cell>
          <cell r="D399" t="str">
            <v>Tamboli Sameena Sattar</v>
          </cell>
          <cell r="F399">
            <v>50893</v>
          </cell>
          <cell r="G399">
            <v>68084</v>
          </cell>
          <cell r="H399">
            <v>30042</v>
          </cell>
          <cell r="I399">
            <v>30042</v>
          </cell>
          <cell r="J399">
            <v>60084</v>
          </cell>
          <cell r="K399">
            <v>9191</v>
          </cell>
          <cell r="M399">
            <v>2308</v>
          </cell>
          <cell r="N399">
            <v>0</v>
          </cell>
          <cell r="O399">
            <v>2308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W399">
            <v>2308</v>
          </cell>
          <cell r="X399">
            <v>0</v>
          </cell>
          <cell r="Y399">
            <v>2308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G399">
            <v>2378</v>
          </cell>
          <cell r="AH399">
            <v>0</v>
          </cell>
          <cell r="AI399">
            <v>2378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Q399">
            <v>2378</v>
          </cell>
          <cell r="AR399">
            <v>0</v>
          </cell>
          <cell r="AS399">
            <v>2378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BA399">
            <v>2378</v>
          </cell>
          <cell r="BB399">
            <v>0</v>
          </cell>
          <cell r="BC399">
            <v>2378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K399">
            <v>2488</v>
          </cell>
          <cell r="BL399">
            <v>0</v>
          </cell>
          <cell r="BM399">
            <v>2488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U399">
            <v>2488</v>
          </cell>
          <cell r="BV399">
            <v>0</v>
          </cell>
          <cell r="BW399">
            <v>2488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E399">
            <v>2488</v>
          </cell>
          <cell r="CF399">
            <v>0</v>
          </cell>
          <cell r="CG399">
            <v>2488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O399">
            <v>2488</v>
          </cell>
          <cell r="CP399">
            <v>0</v>
          </cell>
          <cell r="CQ399">
            <v>2488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W399">
            <v>0</v>
          </cell>
          <cell r="CY399">
            <v>2488</v>
          </cell>
          <cell r="CZ399">
            <v>0</v>
          </cell>
          <cell r="DA399">
            <v>2488</v>
          </cell>
          <cell r="DB399">
            <v>0</v>
          </cell>
          <cell r="DC399">
            <v>0</v>
          </cell>
          <cell r="DD399">
            <v>0</v>
          </cell>
          <cell r="DE399">
            <v>0</v>
          </cell>
          <cell r="DF399">
            <v>0</v>
          </cell>
          <cell r="DG399">
            <v>0</v>
          </cell>
          <cell r="DI399">
            <v>60084</v>
          </cell>
          <cell r="DJ399">
            <v>24190</v>
          </cell>
          <cell r="DK399">
            <v>0</v>
          </cell>
          <cell r="DL399">
            <v>24190</v>
          </cell>
          <cell r="DM399">
            <v>24190</v>
          </cell>
          <cell r="DN399">
            <v>0</v>
          </cell>
          <cell r="DO399">
            <v>24190</v>
          </cell>
          <cell r="DP399">
            <v>0</v>
          </cell>
          <cell r="DQ399">
            <v>0</v>
          </cell>
          <cell r="DR399">
            <v>0</v>
          </cell>
          <cell r="DS399">
            <v>0</v>
          </cell>
          <cell r="DT399">
            <v>48380</v>
          </cell>
          <cell r="DU399">
            <v>0</v>
          </cell>
          <cell r="DW399">
            <v>0</v>
          </cell>
          <cell r="DX399">
            <v>0</v>
          </cell>
          <cell r="DY399">
            <v>64700</v>
          </cell>
          <cell r="DZ399">
            <v>69316</v>
          </cell>
          <cell r="EA399">
            <v>74072</v>
          </cell>
          <cell r="EB399">
            <v>78828</v>
          </cell>
          <cell r="EC399">
            <v>83584</v>
          </cell>
          <cell r="ED399">
            <v>88560</v>
          </cell>
          <cell r="EE399">
            <v>93536</v>
          </cell>
          <cell r="EF399">
            <v>98512</v>
          </cell>
          <cell r="EG399">
            <v>103488</v>
          </cell>
          <cell r="EH399">
            <v>108464</v>
          </cell>
          <cell r="EI399">
            <v>863060</v>
          </cell>
          <cell r="EK399">
            <v>0</v>
          </cell>
          <cell r="EL399">
            <v>0</v>
          </cell>
          <cell r="EM399">
            <v>431.33333333333331</v>
          </cell>
          <cell r="EN399">
            <v>462.10666666666663</v>
          </cell>
          <cell r="EO399">
            <v>493.81333333333333</v>
          </cell>
          <cell r="EP399">
            <v>525.52</v>
          </cell>
          <cell r="EQ399">
            <v>557.22666666666669</v>
          </cell>
          <cell r="ER399">
            <v>590.4</v>
          </cell>
          <cell r="ES399">
            <v>670.3413333333333</v>
          </cell>
          <cell r="ET399">
            <v>706.00266666666664</v>
          </cell>
          <cell r="EU399">
            <v>741.66399999999987</v>
          </cell>
          <cell r="EV399">
            <v>777.32533333333322</v>
          </cell>
          <cell r="EW399">
            <v>5955.7333333333327</v>
          </cell>
          <cell r="EY399">
            <v>459060</v>
          </cell>
          <cell r="EZ399">
            <v>8</v>
          </cell>
          <cell r="FA399">
            <v>3060.4</v>
          </cell>
          <cell r="FB399">
            <v>404000</v>
          </cell>
          <cell r="FC399">
            <v>8.6</v>
          </cell>
          <cell r="FD399">
            <v>2895.3333333333335</v>
          </cell>
          <cell r="FE399">
            <v>5955.7333333333336</v>
          </cell>
          <cell r="FF399">
            <v>114420</v>
          </cell>
          <cell r="FH399">
            <v>114420</v>
          </cell>
        </row>
        <row r="400">
          <cell r="B400">
            <v>9231</v>
          </cell>
          <cell r="C400" t="str">
            <v>30.04.2008</v>
          </cell>
          <cell r="D400" t="str">
            <v>Shirode Suryakant Pralhad</v>
          </cell>
          <cell r="F400">
            <v>50893</v>
          </cell>
          <cell r="G400">
            <v>68084</v>
          </cell>
          <cell r="H400">
            <v>30042</v>
          </cell>
          <cell r="I400">
            <v>30042</v>
          </cell>
          <cell r="J400">
            <v>60084</v>
          </cell>
          <cell r="K400">
            <v>9191</v>
          </cell>
          <cell r="M400">
            <v>2308</v>
          </cell>
          <cell r="N400">
            <v>0</v>
          </cell>
          <cell r="O400">
            <v>2308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W400">
            <v>2308</v>
          </cell>
          <cell r="X400">
            <v>0</v>
          </cell>
          <cell r="Y400">
            <v>2308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G400">
            <v>2378</v>
          </cell>
          <cell r="AH400">
            <v>0</v>
          </cell>
          <cell r="AI400">
            <v>2378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Q400">
            <v>2378</v>
          </cell>
          <cell r="AR400">
            <v>0</v>
          </cell>
          <cell r="AS400">
            <v>2378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BA400">
            <v>2378</v>
          </cell>
          <cell r="BB400">
            <v>0</v>
          </cell>
          <cell r="BC400">
            <v>2378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K400">
            <v>2488</v>
          </cell>
          <cell r="BL400">
            <v>0</v>
          </cell>
          <cell r="BM400">
            <v>2488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U400">
            <v>2488</v>
          </cell>
          <cell r="BV400">
            <v>0</v>
          </cell>
          <cell r="BW400">
            <v>2488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E400">
            <v>2488</v>
          </cell>
          <cell r="CF400">
            <v>0</v>
          </cell>
          <cell r="CG400">
            <v>2488</v>
          </cell>
          <cell r="CH400">
            <v>0</v>
          </cell>
          <cell r="CI400">
            <v>0</v>
          </cell>
          <cell r="CJ400">
            <v>0</v>
          </cell>
          <cell r="CK400">
            <v>0</v>
          </cell>
          <cell r="CL400">
            <v>0</v>
          </cell>
          <cell r="CM400">
            <v>0</v>
          </cell>
          <cell r="CO400">
            <v>2488</v>
          </cell>
          <cell r="CP400">
            <v>0</v>
          </cell>
          <cell r="CQ400">
            <v>2488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W400">
            <v>0</v>
          </cell>
          <cell r="CY400">
            <v>2488</v>
          </cell>
          <cell r="CZ400">
            <v>0</v>
          </cell>
          <cell r="DA400">
            <v>2488</v>
          </cell>
          <cell r="DB400">
            <v>0</v>
          </cell>
          <cell r="DC400">
            <v>0</v>
          </cell>
          <cell r="DD400">
            <v>0</v>
          </cell>
          <cell r="DE400">
            <v>0</v>
          </cell>
          <cell r="DF400">
            <v>0</v>
          </cell>
          <cell r="DG400">
            <v>0</v>
          </cell>
          <cell r="DI400">
            <v>60084</v>
          </cell>
          <cell r="DJ400">
            <v>24190</v>
          </cell>
          <cell r="DK400">
            <v>0</v>
          </cell>
          <cell r="DL400">
            <v>24190</v>
          </cell>
          <cell r="DM400">
            <v>24190</v>
          </cell>
          <cell r="DN400">
            <v>0</v>
          </cell>
          <cell r="DO400">
            <v>24190</v>
          </cell>
          <cell r="DP400">
            <v>0</v>
          </cell>
          <cell r="DQ400">
            <v>0</v>
          </cell>
          <cell r="DR400">
            <v>0</v>
          </cell>
          <cell r="DS400">
            <v>0</v>
          </cell>
          <cell r="DT400">
            <v>48380</v>
          </cell>
          <cell r="DU400">
            <v>0</v>
          </cell>
          <cell r="DW400">
            <v>0</v>
          </cell>
          <cell r="DX400">
            <v>0</v>
          </cell>
          <cell r="DY400">
            <v>64700</v>
          </cell>
          <cell r="DZ400">
            <v>69316</v>
          </cell>
          <cell r="EA400">
            <v>74072</v>
          </cell>
          <cell r="EB400">
            <v>78828</v>
          </cell>
          <cell r="EC400">
            <v>83584</v>
          </cell>
          <cell r="ED400">
            <v>88560</v>
          </cell>
          <cell r="EE400">
            <v>93536</v>
          </cell>
          <cell r="EF400">
            <v>98512</v>
          </cell>
          <cell r="EG400">
            <v>103488</v>
          </cell>
          <cell r="EH400">
            <v>108464</v>
          </cell>
          <cell r="EI400">
            <v>863060</v>
          </cell>
          <cell r="EK400">
            <v>0</v>
          </cell>
          <cell r="EL400">
            <v>0</v>
          </cell>
          <cell r="EM400">
            <v>431.33333333333331</v>
          </cell>
          <cell r="EN400">
            <v>462.10666666666663</v>
          </cell>
          <cell r="EO400">
            <v>493.81333333333333</v>
          </cell>
          <cell r="EP400">
            <v>525.52</v>
          </cell>
          <cell r="EQ400">
            <v>557.22666666666669</v>
          </cell>
          <cell r="ER400">
            <v>590.4</v>
          </cell>
          <cell r="ES400">
            <v>670.3413333333333</v>
          </cell>
          <cell r="ET400">
            <v>706.00266666666664</v>
          </cell>
          <cell r="EU400">
            <v>741.66399999999987</v>
          </cell>
          <cell r="EV400">
            <v>777.32533333333322</v>
          </cell>
          <cell r="EW400">
            <v>5955.7333333333327</v>
          </cell>
          <cell r="EY400">
            <v>459060</v>
          </cell>
          <cell r="EZ400">
            <v>8</v>
          </cell>
          <cell r="FA400">
            <v>3060.4</v>
          </cell>
          <cell r="FB400">
            <v>404000</v>
          </cell>
          <cell r="FC400">
            <v>8.6</v>
          </cell>
          <cell r="FD400">
            <v>2895.3333333333335</v>
          </cell>
          <cell r="FE400">
            <v>5955.7333333333336</v>
          </cell>
          <cell r="FF400">
            <v>114420</v>
          </cell>
          <cell r="FH400">
            <v>114420</v>
          </cell>
        </row>
        <row r="401">
          <cell r="B401">
            <v>9244</v>
          </cell>
          <cell r="C401" t="str">
            <v>30.04.2008</v>
          </cell>
          <cell r="D401" t="str">
            <v>Gite Sunita Anil</v>
          </cell>
          <cell r="F401">
            <v>50893</v>
          </cell>
          <cell r="G401">
            <v>68084</v>
          </cell>
          <cell r="H401">
            <v>96403</v>
          </cell>
          <cell r="I401">
            <v>96403</v>
          </cell>
          <cell r="J401">
            <v>192806</v>
          </cell>
          <cell r="K401">
            <v>141913</v>
          </cell>
          <cell r="M401">
            <v>2308</v>
          </cell>
          <cell r="N401">
            <v>0</v>
          </cell>
          <cell r="O401">
            <v>2308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W401">
            <v>2308</v>
          </cell>
          <cell r="X401">
            <v>0</v>
          </cell>
          <cell r="Y401">
            <v>2308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G401">
            <v>2378</v>
          </cell>
          <cell r="AH401">
            <v>0</v>
          </cell>
          <cell r="AI401">
            <v>2378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Q401">
            <v>2378</v>
          </cell>
          <cell r="AR401">
            <v>0</v>
          </cell>
          <cell r="AS401">
            <v>2378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BA401">
            <v>2378</v>
          </cell>
          <cell r="BB401">
            <v>0</v>
          </cell>
          <cell r="BC401">
            <v>2378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K401">
            <v>2488</v>
          </cell>
          <cell r="BL401">
            <v>0</v>
          </cell>
          <cell r="BM401">
            <v>2488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U401">
            <v>2488</v>
          </cell>
          <cell r="BV401">
            <v>0</v>
          </cell>
          <cell r="BW401">
            <v>2488</v>
          </cell>
          <cell r="BX401">
            <v>0</v>
          </cell>
          <cell r="BY401">
            <v>0</v>
          </cell>
          <cell r="BZ401">
            <v>0</v>
          </cell>
          <cell r="CA401">
            <v>0</v>
          </cell>
          <cell r="CB401">
            <v>0</v>
          </cell>
          <cell r="CC401">
            <v>0</v>
          </cell>
          <cell r="CE401">
            <v>2488</v>
          </cell>
          <cell r="CF401">
            <v>0</v>
          </cell>
          <cell r="CG401">
            <v>2488</v>
          </cell>
          <cell r="CH401">
            <v>0</v>
          </cell>
          <cell r="CI401">
            <v>0</v>
          </cell>
          <cell r="CJ401">
            <v>0</v>
          </cell>
          <cell r="CK401">
            <v>0</v>
          </cell>
          <cell r="CL401">
            <v>0</v>
          </cell>
          <cell r="CM401">
            <v>0</v>
          </cell>
          <cell r="CO401">
            <v>2488</v>
          </cell>
          <cell r="CP401">
            <v>0</v>
          </cell>
          <cell r="CQ401">
            <v>2488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  <cell r="CV401">
            <v>0</v>
          </cell>
          <cell r="CW401">
            <v>0</v>
          </cell>
          <cell r="CY401">
            <v>2488</v>
          </cell>
          <cell r="CZ401">
            <v>0</v>
          </cell>
          <cell r="DA401">
            <v>2488</v>
          </cell>
          <cell r="DB401">
            <v>0</v>
          </cell>
          <cell r="DC401">
            <v>0</v>
          </cell>
          <cell r="DD401">
            <v>0</v>
          </cell>
          <cell r="DE401">
            <v>0</v>
          </cell>
          <cell r="DF401">
            <v>0</v>
          </cell>
          <cell r="DG401">
            <v>0</v>
          </cell>
          <cell r="DI401">
            <v>192806</v>
          </cell>
          <cell r="DJ401">
            <v>24190</v>
          </cell>
          <cell r="DK401">
            <v>0</v>
          </cell>
          <cell r="DL401">
            <v>24190</v>
          </cell>
          <cell r="DM401">
            <v>24190</v>
          </cell>
          <cell r="DN401">
            <v>0</v>
          </cell>
          <cell r="DO401">
            <v>24190</v>
          </cell>
          <cell r="DP401">
            <v>0</v>
          </cell>
          <cell r="DQ401">
            <v>0</v>
          </cell>
          <cell r="DR401">
            <v>0</v>
          </cell>
          <cell r="DS401">
            <v>0</v>
          </cell>
          <cell r="DT401">
            <v>48380</v>
          </cell>
          <cell r="DU401">
            <v>0</v>
          </cell>
          <cell r="DW401">
            <v>0</v>
          </cell>
          <cell r="DX401">
            <v>0</v>
          </cell>
          <cell r="DY401">
            <v>197422</v>
          </cell>
          <cell r="DZ401">
            <v>202038</v>
          </cell>
          <cell r="EA401">
            <v>206794</v>
          </cell>
          <cell r="EB401">
            <v>211550</v>
          </cell>
          <cell r="EC401">
            <v>216306</v>
          </cell>
          <cell r="ED401">
            <v>221282</v>
          </cell>
          <cell r="EE401">
            <v>226258</v>
          </cell>
          <cell r="EF401">
            <v>231234</v>
          </cell>
          <cell r="EG401">
            <v>236210</v>
          </cell>
          <cell r="EH401">
            <v>241186</v>
          </cell>
          <cell r="EI401">
            <v>2190280</v>
          </cell>
          <cell r="EK401">
            <v>0</v>
          </cell>
          <cell r="EL401">
            <v>0</v>
          </cell>
          <cell r="EM401">
            <v>1316.1466666666668</v>
          </cell>
          <cell r="EN401">
            <v>1346.92</v>
          </cell>
          <cell r="EO401">
            <v>1378.6266666666668</v>
          </cell>
          <cell r="EP401">
            <v>1410.3333333333333</v>
          </cell>
          <cell r="EQ401">
            <v>1442.04</v>
          </cell>
          <cell r="ER401">
            <v>1475.2133333333334</v>
          </cell>
          <cell r="ES401">
            <v>1621.5156666666664</v>
          </cell>
          <cell r="ET401">
            <v>1657.1769999999999</v>
          </cell>
          <cell r="EU401">
            <v>1692.8383333333334</v>
          </cell>
          <cell r="EV401">
            <v>1728.4996666666666</v>
          </cell>
          <cell r="EW401">
            <v>15069.310666666666</v>
          </cell>
          <cell r="EY401">
            <v>1255392</v>
          </cell>
          <cell r="EZ401">
            <v>8</v>
          </cell>
          <cell r="FA401">
            <v>8369.2800000000007</v>
          </cell>
          <cell r="FB401">
            <v>934888</v>
          </cell>
          <cell r="FC401">
            <v>8.6</v>
          </cell>
          <cell r="FD401">
            <v>6700.0306666666665</v>
          </cell>
          <cell r="FE401">
            <v>15069.310666666668</v>
          </cell>
          <cell r="FF401">
            <v>256255</v>
          </cell>
          <cell r="FH401">
            <v>256255</v>
          </cell>
        </row>
        <row r="402">
          <cell r="B402">
            <v>9263</v>
          </cell>
          <cell r="C402" t="str">
            <v>30.04.2008</v>
          </cell>
          <cell r="D402" t="str">
            <v>Dalavi Arjun Tukaram</v>
          </cell>
          <cell r="F402">
            <v>29719</v>
          </cell>
          <cell r="H402">
            <v>13872</v>
          </cell>
          <cell r="I402">
            <v>13872</v>
          </cell>
          <cell r="J402">
            <v>27744</v>
          </cell>
          <cell r="K402">
            <v>-1975</v>
          </cell>
          <cell r="M402">
            <v>1642</v>
          </cell>
          <cell r="N402">
            <v>0</v>
          </cell>
          <cell r="O402">
            <v>1642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W402">
            <v>1642</v>
          </cell>
          <cell r="X402">
            <v>0</v>
          </cell>
          <cell r="Y402">
            <v>1642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G402">
            <v>1692</v>
          </cell>
          <cell r="AH402">
            <v>0</v>
          </cell>
          <cell r="AI402">
            <v>1692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Q402">
            <v>1692</v>
          </cell>
          <cell r="AR402">
            <v>0</v>
          </cell>
          <cell r="AS402">
            <v>1692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BA402">
            <v>1692</v>
          </cell>
          <cell r="BB402">
            <v>0</v>
          </cell>
          <cell r="BC402">
            <v>1692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K402">
            <v>1771</v>
          </cell>
          <cell r="BL402">
            <v>0</v>
          </cell>
          <cell r="BM402">
            <v>1771</v>
          </cell>
          <cell r="BN402">
            <v>0</v>
          </cell>
          <cell r="BO402">
            <v>0</v>
          </cell>
          <cell r="BP402">
            <v>0</v>
          </cell>
          <cell r="BQ402">
            <v>0</v>
          </cell>
          <cell r="BR402">
            <v>0</v>
          </cell>
          <cell r="BS402">
            <v>0</v>
          </cell>
          <cell r="BU402">
            <v>1771</v>
          </cell>
          <cell r="BV402">
            <v>0</v>
          </cell>
          <cell r="BW402">
            <v>1771</v>
          </cell>
          <cell r="BX402">
            <v>0</v>
          </cell>
          <cell r="BY402">
            <v>0</v>
          </cell>
          <cell r="BZ402">
            <v>0</v>
          </cell>
          <cell r="CA402">
            <v>0</v>
          </cell>
          <cell r="CB402">
            <v>0</v>
          </cell>
          <cell r="CC402">
            <v>0</v>
          </cell>
          <cell r="CE402">
            <v>1771</v>
          </cell>
          <cell r="CF402">
            <v>0</v>
          </cell>
          <cell r="CG402">
            <v>1771</v>
          </cell>
          <cell r="CH402">
            <v>0</v>
          </cell>
          <cell r="CI402">
            <v>0</v>
          </cell>
          <cell r="CJ402">
            <v>0</v>
          </cell>
          <cell r="CK402">
            <v>0</v>
          </cell>
          <cell r="CL402">
            <v>0</v>
          </cell>
          <cell r="CM402">
            <v>0</v>
          </cell>
          <cell r="CO402">
            <v>1771</v>
          </cell>
          <cell r="CP402">
            <v>0</v>
          </cell>
          <cell r="CQ402">
            <v>1771</v>
          </cell>
          <cell r="CR402">
            <v>0</v>
          </cell>
          <cell r="CS402">
            <v>0</v>
          </cell>
          <cell r="CT402">
            <v>0</v>
          </cell>
          <cell r="CU402">
            <v>0</v>
          </cell>
          <cell r="CV402">
            <v>0</v>
          </cell>
          <cell r="CW402">
            <v>0</v>
          </cell>
          <cell r="CY402">
            <v>1771</v>
          </cell>
          <cell r="CZ402">
            <v>0</v>
          </cell>
          <cell r="DA402">
            <v>1771</v>
          </cell>
          <cell r="DB402">
            <v>0</v>
          </cell>
          <cell r="DC402">
            <v>0</v>
          </cell>
          <cell r="DD402">
            <v>0</v>
          </cell>
          <cell r="DE402">
            <v>0</v>
          </cell>
          <cell r="DF402">
            <v>0</v>
          </cell>
          <cell r="DG402">
            <v>0</v>
          </cell>
          <cell r="DI402">
            <v>27744</v>
          </cell>
          <cell r="DJ402">
            <v>17215</v>
          </cell>
          <cell r="DK402">
            <v>0</v>
          </cell>
          <cell r="DL402">
            <v>17215</v>
          </cell>
          <cell r="DM402">
            <v>17215</v>
          </cell>
          <cell r="DN402">
            <v>0</v>
          </cell>
          <cell r="DO402">
            <v>17215</v>
          </cell>
          <cell r="DP402">
            <v>0</v>
          </cell>
          <cell r="DQ402">
            <v>0</v>
          </cell>
          <cell r="DR402">
            <v>0</v>
          </cell>
          <cell r="DS402">
            <v>0</v>
          </cell>
          <cell r="DT402">
            <v>34430</v>
          </cell>
          <cell r="DU402">
            <v>0</v>
          </cell>
          <cell r="DW402">
            <v>0</v>
          </cell>
          <cell r="DX402">
            <v>0</v>
          </cell>
          <cell r="DY402">
            <v>31028</v>
          </cell>
          <cell r="DZ402">
            <v>34312</v>
          </cell>
          <cell r="EA402">
            <v>37696</v>
          </cell>
          <cell r="EB402">
            <v>41080</v>
          </cell>
          <cell r="EC402">
            <v>44464</v>
          </cell>
          <cell r="ED402">
            <v>48006</v>
          </cell>
          <cell r="EE402">
            <v>51548</v>
          </cell>
          <cell r="EF402">
            <v>55090</v>
          </cell>
          <cell r="EG402">
            <v>58632</v>
          </cell>
          <cell r="EH402">
            <v>62174</v>
          </cell>
          <cell r="EI402">
            <v>464030</v>
          </cell>
          <cell r="EK402">
            <v>0</v>
          </cell>
          <cell r="EL402">
            <v>0</v>
          </cell>
          <cell r="EM402">
            <v>206.85333333333332</v>
          </cell>
          <cell r="EN402">
            <v>228.74666666666667</v>
          </cell>
          <cell r="EO402">
            <v>251.30666666666664</v>
          </cell>
          <cell r="EP402">
            <v>273.86666666666667</v>
          </cell>
          <cell r="EQ402">
            <v>296.42666666666668</v>
          </cell>
          <cell r="ER402">
            <v>320.04000000000002</v>
          </cell>
          <cell r="ES402">
            <v>369.42733333333331</v>
          </cell>
          <cell r="ET402">
            <v>394.81166666666667</v>
          </cell>
          <cell r="EU402">
            <v>420.19599999999997</v>
          </cell>
          <cell r="EV402">
            <v>445.58033333333333</v>
          </cell>
          <cell r="EW402">
            <v>3207.2553333333331</v>
          </cell>
          <cell r="EY402">
            <v>236586</v>
          </cell>
          <cell r="EZ402">
            <v>8</v>
          </cell>
          <cell r="FA402">
            <v>1577.24</v>
          </cell>
          <cell r="FB402">
            <v>227444</v>
          </cell>
          <cell r="FC402">
            <v>8.6</v>
          </cell>
          <cell r="FD402">
            <v>1630.015333333333</v>
          </cell>
          <cell r="FE402">
            <v>3207.2553333333331</v>
          </cell>
          <cell r="FF402">
            <v>65381</v>
          </cell>
          <cell r="FH402">
            <v>65381</v>
          </cell>
        </row>
        <row r="403">
          <cell r="B403">
            <v>9585</v>
          </cell>
          <cell r="C403" t="str">
            <v>06.05.2008</v>
          </cell>
          <cell r="D403" t="str">
            <v>Rabhdiya Deepa Vishram</v>
          </cell>
          <cell r="F403">
            <v>0</v>
          </cell>
          <cell r="G403">
            <v>14513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Q403">
            <v>1057</v>
          </cell>
          <cell r="AR403">
            <v>0</v>
          </cell>
          <cell r="AS403">
            <v>1057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BA403">
            <v>1057</v>
          </cell>
          <cell r="BB403">
            <v>0</v>
          </cell>
          <cell r="BC403">
            <v>1057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K403">
            <v>1106</v>
          </cell>
          <cell r="BL403">
            <v>0</v>
          </cell>
          <cell r="BM403">
            <v>1106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U403">
            <v>1106</v>
          </cell>
          <cell r="BV403">
            <v>0</v>
          </cell>
          <cell r="BW403">
            <v>1106</v>
          </cell>
          <cell r="BX403">
            <v>0</v>
          </cell>
          <cell r="BY403">
            <v>0</v>
          </cell>
          <cell r="BZ403">
            <v>0</v>
          </cell>
          <cell r="CA403">
            <v>0</v>
          </cell>
          <cell r="CB403">
            <v>0</v>
          </cell>
          <cell r="CC403">
            <v>0</v>
          </cell>
          <cell r="CE403">
            <v>1106</v>
          </cell>
          <cell r="CF403">
            <v>0</v>
          </cell>
          <cell r="CG403">
            <v>1106</v>
          </cell>
          <cell r="CH403">
            <v>0</v>
          </cell>
          <cell r="CI403">
            <v>0</v>
          </cell>
          <cell r="CJ403">
            <v>0</v>
          </cell>
          <cell r="CK403">
            <v>0</v>
          </cell>
          <cell r="CL403">
            <v>0</v>
          </cell>
          <cell r="CM403">
            <v>0</v>
          </cell>
          <cell r="CO403">
            <v>1106</v>
          </cell>
          <cell r="CP403">
            <v>0</v>
          </cell>
          <cell r="CQ403">
            <v>1106</v>
          </cell>
          <cell r="CR403">
            <v>0</v>
          </cell>
          <cell r="CS403">
            <v>0</v>
          </cell>
          <cell r="CT403">
            <v>0</v>
          </cell>
          <cell r="CU403">
            <v>0</v>
          </cell>
          <cell r="CV403">
            <v>0</v>
          </cell>
          <cell r="CW403">
            <v>0</v>
          </cell>
          <cell r="CY403">
            <v>1106</v>
          </cell>
          <cell r="CZ403">
            <v>0</v>
          </cell>
          <cell r="DA403">
            <v>1106</v>
          </cell>
          <cell r="DB403">
            <v>0</v>
          </cell>
          <cell r="DC403">
            <v>0</v>
          </cell>
          <cell r="DD403">
            <v>0</v>
          </cell>
          <cell r="DE403">
            <v>0</v>
          </cell>
          <cell r="DF403">
            <v>0</v>
          </cell>
          <cell r="DG403">
            <v>0</v>
          </cell>
          <cell r="DI403">
            <v>0</v>
          </cell>
          <cell r="DJ403">
            <v>7644</v>
          </cell>
          <cell r="DK403">
            <v>0</v>
          </cell>
          <cell r="DL403">
            <v>7644</v>
          </cell>
          <cell r="DM403">
            <v>7644</v>
          </cell>
          <cell r="DN403">
            <v>0</v>
          </cell>
          <cell r="DO403">
            <v>7644</v>
          </cell>
          <cell r="DP403">
            <v>0</v>
          </cell>
          <cell r="DQ403">
            <v>0</v>
          </cell>
          <cell r="DR403">
            <v>0</v>
          </cell>
          <cell r="DS403">
            <v>0</v>
          </cell>
          <cell r="DT403">
            <v>15288</v>
          </cell>
          <cell r="DU403">
            <v>0</v>
          </cell>
          <cell r="DW403">
            <v>0</v>
          </cell>
          <cell r="DX403">
            <v>0</v>
          </cell>
          <cell r="DY403">
            <v>0</v>
          </cell>
          <cell r="DZ403">
            <v>0</v>
          </cell>
          <cell r="EA403">
            <v>0</v>
          </cell>
          <cell r="EB403">
            <v>2114</v>
          </cell>
          <cell r="EC403">
            <v>4228</v>
          </cell>
          <cell r="ED403">
            <v>6440</v>
          </cell>
          <cell r="EE403">
            <v>8652</v>
          </cell>
          <cell r="EF403">
            <v>10864</v>
          </cell>
          <cell r="EG403">
            <v>13076</v>
          </cell>
          <cell r="EH403">
            <v>15288</v>
          </cell>
          <cell r="EI403">
            <v>60662</v>
          </cell>
          <cell r="EK403">
            <v>0</v>
          </cell>
          <cell r="EL403">
            <v>0</v>
          </cell>
          <cell r="EM403">
            <v>0</v>
          </cell>
          <cell r="EN403">
            <v>0</v>
          </cell>
          <cell r="EO403">
            <v>0</v>
          </cell>
          <cell r="EP403">
            <v>14.093333333333334</v>
          </cell>
          <cell r="EQ403">
            <v>28.186666666666667</v>
          </cell>
          <cell r="ER403">
            <v>42.933333333333337</v>
          </cell>
          <cell r="ES403">
            <v>62.006</v>
          </cell>
          <cell r="ET403">
            <v>77.858666666666664</v>
          </cell>
          <cell r="EU403">
            <v>93.711333333333314</v>
          </cell>
          <cell r="EV403">
            <v>109.56399999999998</v>
          </cell>
          <cell r="EW403">
            <v>428.3533333333333</v>
          </cell>
          <cell r="EY403">
            <v>12782</v>
          </cell>
          <cell r="EZ403">
            <v>8</v>
          </cell>
          <cell r="FA403">
            <v>85.213333333333324</v>
          </cell>
          <cell r="FB403">
            <v>47880</v>
          </cell>
          <cell r="FC403">
            <v>8.6</v>
          </cell>
          <cell r="FD403">
            <v>343.14000000000004</v>
          </cell>
          <cell r="FE403">
            <v>428.35333333333335</v>
          </cell>
          <cell r="FF403">
            <v>15716</v>
          </cell>
          <cell r="FH403">
            <v>15716</v>
          </cell>
        </row>
        <row r="404">
          <cell r="B404">
            <v>9606</v>
          </cell>
          <cell r="C404" t="str">
            <v>13.05.2008</v>
          </cell>
          <cell r="D404" t="str">
            <v>Tak Ajay Ashok</v>
          </cell>
          <cell r="F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K404">
            <v>1106</v>
          </cell>
          <cell r="BL404">
            <v>0</v>
          </cell>
          <cell r="BM404">
            <v>1106</v>
          </cell>
          <cell r="BN404">
            <v>0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  <cell r="BS404">
            <v>0</v>
          </cell>
          <cell r="BU404">
            <v>1106</v>
          </cell>
          <cell r="BV404">
            <v>0</v>
          </cell>
          <cell r="BW404">
            <v>1106</v>
          </cell>
          <cell r="BX404">
            <v>0</v>
          </cell>
          <cell r="BY404">
            <v>0</v>
          </cell>
          <cell r="BZ404">
            <v>0</v>
          </cell>
          <cell r="CA404">
            <v>0</v>
          </cell>
          <cell r="CB404">
            <v>0</v>
          </cell>
          <cell r="CC404">
            <v>0</v>
          </cell>
          <cell r="CE404">
            <v>1106</v>
          </cell>
          <cell r="CF404">
            <v>0</v>
          </cell>
          <cell r="CG404">
            <v>1106</v>
          </cell>
          <cell r="CH404">
            <v>0</v>
          </cell>
          <cell r="CI404">
            <v>0</v>
          </cell>
          <cell r="CJ404">
            <v>0</v>
          </cell>
          <cell r="CK404">
            <v>0</v>
          </cell>
          <cell r="CL404">
            <v>0</v>
          </cell>
          <cell r="CM404">
            <v>0</v>
          </cell>
          <cell r="CO404">
            <v>1106</v>
          </cell>
          <cell r="CP404">
            <v>0</v>
          </cell>
          <cell r="CQ404">
            <v>1106</v>
          </cell>
          <cell r="CR404">
            <v>0</v>
          </cell>
          <cell r="CS404">
            <v>0</v>
          </cell>
          <cell r="CT404">
            <v>0</v>
          </cell>
          <cell r="CU404">
            <v>0</v>
          </cell>
          <cell r="CV404">
            <v>0</v>
          </cell>
          <cell r="CW404">
            <v>0</v>
          </cell>
          <cell r="CY404">
            <v>1106</v>
          </cell>
          <cell r="CZ404">
            <v>0</v>
          </cell>
          <cell r="DA404">
            <v>1106</v>
          </cell>
          <cell r="DB404">
            <v>0</v>
          </cell>
          <cell r="DC404">
            <v>0</v>
          </cell>
          <cell r="DD404">
            <v>0</v>
          </cell>
          <cell r="DE404">
            <v>0</v>
          </cell>
          <cell r="DF404">
            <v>0</v>
          </cell>
          <cell r="DG404">
            <v>0</v>
          </cell>
          <cell r="DI404">
            <v>0</v>
          </cell>
          <cell r="DJ404">
            <v>5530</v>
          </cell>
          <cell r="DK404">
            <v>0</v>
          </cell>
          <cell r="DL404">
            <v>5530</v>
          </cell>
          <cell r="DM404">
            <v>5530</v>
          </cell>
          <cell r="DN404">
            <v>0</v>
          </cell>
          <cell r="DO404">
            <v>5530</v>
          </cell>
          <cell r="DP404">
            <v>0</v>
          </cell>
          <cell r="DQ404">
            <v>0</v>
          </cell>
          <cell r="DR404">
            <v>0</v>
          </cell>
          <cell r="DS404">
            <v>0</v>
          </cell>
          <cell r="DT404">
            <v>11060</v>
          </cell>
          <cell r="DU404">
            <v>0</v>
          </cell>
          <cell r="DW404">
            <v>0</v>
          </cell>
          <cell r="DX404">
            <v>0</v>
          </cell>
          <cell r="DY404">
            <v>0</v>
          </cell>
          <cell r="DZ404">
            <v>0</v>
          </cell>
          <cell r="EA404">
            <v>0</v>
          </cell>
          <cell r="EB404">
            <v>0</v>
          </cell>
          <cell r="EC404">
            <v>0</v>
          </cell>
          <cell r="ED404">
            <v>2212</v>
          </cell>
          <cell r="EE404">
            <v>4424</v>
          </cell>
          <cell r="EF404">
            <v>6636</v>
          </cell>
          <cell r="EG404">
            <v>8848</v>
          </cell>
          <cell r="EH404">
            <v>11060</v>
          </cell>
          <cell r="EI404">
            <v>33180</v>
          </cell>
          <cell r="EK404">
            <v>0</v>
          </cell>
          <cell r="EL404">
            <v>0</v>
          </cell>
          <cell r="EM404">
            <v>0</v>
          </cell>
          <cell r="EN404">
            <v>0</v>
          </cell>
          <cell r="EO404">
            <v>0</v>
          </cell>
          <cell r="EP404">
            <v>0</v>
          </cell>
          <cell r="EQ404">
            <v>0</v>
          </cell>
          <cell r="ER404">
            <v>14.746666666666668</v>
          </cell>
          <cell r="ES404">
            <v>31.705333333333332</v>
          </cell>
          <cell r="ET404">
            <v>47.558</v>
          </cell>
          <cell r="EU404">
            <v>63.410666666666664</v>
          </cell>
          <cell r="EV404">
            <v>79.263333333333335</v>
          </cell>
          <cell r="EW404">
            <v>236.68399999999997</v>
          </cell>
          <cell r="EY404">
            <v>2212</v>
          </cell>
          <cell r="EZ404">
            <v>8</v>
          </cell>
          <cell r="FA404">
            <v>14.746666666666668</v>
          </cell>
          <cell r="FB404">
            <v>30968</v>
          </cell>
          <cell r="FC404">
            <v>8.6</v>
          </cell>
          <cell r="FD404">
            <v>221.93733333333333</v>
          </cell>
          <cell r="FE404">
            <v>236.684</v>
          </cell>
          <cell r="FF404">
            <v>11297</v>
          </cell>
          <cell r="FH404">
            <v>11297</v>
          </cell>
        </row>
        <row r="405">
          <cell r="B405">
            <v>9887</v>
          </cell>
          <cell r="C405" t="str">
            <v>25.05.2008</v>
          </cell>
          <cell r="D405" t="str">
            <v>Waghela Naran Devji</v>
          </cell>
          <cell r="F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K405">
            <v>0</v>
          </cell>
          <cell r="BL405">
            <v>0</v>
          </cell>
          <cell r="BM405">
            <v>0</v>
          </cell>
          <cell r="BN405">
            <v>0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  <cell r="BS405">
            <v>0</v>
          </cell>
          <cell r="BU405">
            <v>0</v>
          </cell>
          <cell r="BV405">
            <v>0</v>
          </cell>
          <cell r="BW405">
            <v>0</v>
          </cell>
          <cell r="BX405">
            <v>0</v>
          </cell>
          <cell r="BY405">
            <v>0</v>
          </cell>
          <cell r="BZ405">
            <v>0</v>
          </cell>
          <cell r="CA405">
            <v>0</v>
          </cell>
          <cell r="CB405">
            <v>0</v>
          </cell>
          <cell r="CC405">
            <v>0</v>
          </cell>
          <cell r="CE405">
            <v>0</v>
          </cell>
          <cell r="CF405">
            <v>0</v>
          </cell>
          <cell r="CG405">
            <v>0</v>
          </cell>
          <cell r="CH405">
            <v>0</v>
          </cell>
          <cell r="CI405">
            <v>0</v>
          </cell>
          <cell r="CJ405">
            <v>0</v>
          </cell>
          <cell r="CK405">
            <v>0</v>
          </cell>
          <cell r="CL405">
            <v>0</v>
          </cell>
          <cell r="CM405">
            <v>0</v>
          </cell>
          <cell r="CO405">
            <v>0</v>
          </cell>
          <cell r="CP405">
            <v>0</v>
          </cell>
          <cell r="CQ405">
            <v>0</v>
          </cell>
          <cell r="CR405">
            <v>0</v>
          </cell>
          <cell r="CS405">
            <v>0</v>
          </cell>
          <cell r="CT405">
            <v>0</v>
          </cell>
          <cell r="CU405">
            <v>0</v>
          </cell>
          <cell r="CV405">
            <v>0</v>
          </cell>
          <cell r="CW405">
            <v>0</v>
          </cell>
          <cell r="CY405">
            <v>0</v>
          </cell>
          <cell r="CZ405">
            <v>0</v>
          </cell>
          <cell r="DA405">
            <v>0</v>
          </cell>
          <cell r="DB405">
            <v>0</v>
          </cell>
          <cell r="DC405">
            <v>0</v>
          </cell>
          <cell r="DD405">
            <v>0</v>
          </cell>
          <cell r="DE405">
            <v>0</v>
          </cell>
          <cell r="DF405">
            <v>0</v>
          </cell>
          <cell r="DG405">
            <v>0</v>
          </cell>
          <cell r="DI405">
            <v>0</v>
          </cell>
          <cell r="DJ405">
            <v>0</v>
          </cell>
          <cell r="DK405">
            <v>0</v>
          </cell>
          <cell r="DL405">
            <v>0</v>
          </cell>
          <cell r="DM405">
            <v>0</v>
          </cell>
          <cell r="DN405">
            <v>0</v>
          </cell>
          <cell r="DO405">
            <v>0</v>
          </cell>
          <cell r="DP405">
            <v>0</v>
          </cell>
          <cell r="DQ405">
            <v>0</v>
          </cell>
          <cell r="DR405">
            <v>0</v>
          </cell>
          <cell r="DS405">
            <v>0</v>
          </cell>
          <cell r="DT405">
            <v>0</v>
          </cell>
          <cell r="DU405">
            <v>0</v>
          </cell>
          <cell r="DW405">
            <v>0</v>
          </cell>
          <cell r="DX405">
            <v>0</v>
          </cell>
          <cell r="DY405">
            <v>0</v>
          </cell>
          <cell r="DZ405">
            <v>0</v>
          </cell>
          <cell r="EA405">
            <v>0</v>
          </cell>
          <cell r="EB405">
            <v>0</v>
          </cell>
          <cell r="EC405">
            <v>0</v>
          </cell>
          <cell r="ED405">
            <v>0</v>
          </cell>
          <cell r="EE405">
            <v>0</v>
          </cell>
          <cell r="EF405">
            <v>0</v>
          </cell>
          <cell r="EG405">
            <v>0</v>
          </cell>
          <cell r="EH405">
            <v>0</v>
          </cell>
          <cell r="EI405">
            <v>0</v>
          </cell>
          <cell r="EK405">
            <v>0</v>
          </cell>
          <cell r="EL405">
            <v>0</v>
          </cell>
          <cell r="EM405">
            <v>0</v>
          </cell>
          <cell r="EN405">
            <v>0</v>
          </cell>
          <cell r="EO405">
            <v>0</v>
          </cell>
          <cell r="EP405">
            <v>0</v>
          </cell>
          <cell r="EQ405">
            <v>0</v>
          </cell>
          <cell r="ER405">
            <v>0</v>
          </cell>
          <cell r="ES405">
            <v>0</v>
          </cell>
          <cell r="ET405">
            <v>0</v>
          </cell>
          <cell r="EU405">
            <v>0</v>
          </cell>
          <cell r="EV405">
            <v>0</v>
          </cell>
          <cell r="EW405">
            <v>0</v>
          </cell>
          <cell r="EY405">
            <v>0</v>
          </cell>
          <cell r="EZ405">
            <v>8</v>
          </cell>
          <cell r="FA405">
            <v>0</v>
          </cell>
          <cell r="FB405">
            <v>0</v>
          </cell>
          <cell r="FC405">
            <v>8.6</v>
          </cell>
          <cell r="FD405">
            <v>0</v>
          </cell>
          <cell r="FE405">
            <v>0</v>
          </cell>
          <cell r="FF405">
            <v>0</v>
          </cell>
          <cell r="FH405">
            <v>0</v>
          </cell>
        </row>
        <row r="406">
          <cell r="B406">
            <v>9605</v>
          </cell>
          <cell r="C406" t="str">
            <v>29.05.2008</v>
          </cell>
          <cell r="D406" t="str">
            <v>Kardak Mangala Bhimrao</v>
          </cell>
          <cell r="F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K406">
            <v>1106</v>
          </cell>
          <cell r="BL406">
            <v>0</v>
          </cell>
          <cell r="BM406">
            <v>1106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  <cell r="BS406">
            <v>0</v>
          </cell>
          <cell r="BU406">
            <v>1106</v>
          </cell>
          <cell r="BV406">
            <v>0</v>
          </cell>
          <cell r="BW406">
            <v>1106</v>
          </cell>
          <cell r="BX406">
            <v>0</v>
          </cell>
          <cell r="BY406">
            <v>0</v>
          </cell>
          <cell r="BZ406">
            <v>0</v>
          </cell>
          <cell r="CA406">
            <v>0</v>
          </cell>
          <cell r="CB406">
            <v>0</v>
          </cell>
          <cell r="CC406">
            <v>0</v>
          </cell>
          <cell r="CE406">
            <v>1106</v>
          </cell>
          <cell r="CF406">
            <v>0</v>
          </cell>
          <cell r="CG406">
            <v>1106</v>
          </cell>
          <cell r="CH406">
            <v>0</v>
          </cell>
          <cell r="CI406">
            <v>0</v>
          </cell>
          <cell r="CJ406">
            <v>0</v>
          </cell>
          <cell r="CK406">
            <v>0</v>
          </cell>
          <cell r="CL406">
            <v>0</v>
          </cell>
          <cell r="CM406">
            <v>0</v>
          </cell>
          <cell r="CO406">
            <v>1106</v>
          </cell>
          <cell r="CP406">
            <v>0</v>
          </cell>
          <cell r="CQ406">
            <v>1106</v>
          </cell>
          <cell r="CR406">
            <v>0</v>
          </cell>
          <cell r="CS406">
            <v>0</v>
          </cell>
          <cell r="CT406">
            <v>0</v>
          </cell>
          <cell r="CU406">
            <v>0</v>
          </cell>
          <cell r="CV406">
            <v>0</v>
          </cell>
          <cell r="CW406">
            <v>0</v>
          </cell>
          <cell r="CY406">
            <v>1106</v>
          </cell>
          <cell r="CZ406">
            <v>0</v>
          </cell>
          <cell r="DA406">
            <v>1106</v>
          </cell>
          <cell r="DB406">
            <v>0</v>
          </cell>
          <cell r="DC406">
            <v>0</v>
          </cell>
          <cell r="DD406">
            <v>0</v>
          </cell>
          <cell r="DE406">
            <v>0</v>
          </cell>
          <cell r="DF406">
            <v>0</v>
          </cell>
          <cell r="DG406">
            <v>0</v>
          </cell>
          <cell r="DI406">
            <v>0</v>
          </cell>
          <cell r="DJ406">
            <v>5530</v>
          </cell>
          <cell r="DK406">
            <v>0</v>
          </cell>
          <cell r="DL406">
            <v>5530</v>
          </cell>
          <cell r="DM406">
            <v>5530</v>
          </cell>
          <cell r="DN406">
            <v>0</v>
          </cell>
          <cell r="DO406">
            <v>5530</v>
          </cell>
          <cell r="DP406">
            <v>0</v>
          </cell>
          <cell r="DQ406">
            <v>0</v>
          </cell>
          <cell r="DR406">
            <v>0</v>
          </cell>
          <cell r="DS406">
            <v>0</v>
          </cell>
          <cell r="DT406">
            <v>11060</v>
          </cell>
          <cell r="DU406">
            <v>0</v>
          </cell>
          <cell r="DW406">
            <v>0</v>
          </cell>
          <cell r="DX406">
            <v>0</v>
          </cell>
          <cell r="DY406">
            <v>0</v>
          </cell>
          <cell r="DZ406">
            <v>0</v>
          </cell>
          <cell r="EA406">
            <v>0</v>
          </cell>
          <cell r="EB406">
            <v>0</v>
          </cell>
          <cell r="EC406">
            <v>0</v>
          </cell>
          <cell r="ED406">
            <v>2212</v>
          </cell>
          <cell r="EE406">
            <v>4424</v>
          </cell>
          <cell r="EF406">
            <v>6636</v>
          </cell>
          <cell r="EG406">
            <v>8848</v>
          </cell>
          <cell r="EH406">
            <v>11060</v>
          </cell>
          <cell r="EI406">
            <v>33180</v>
          </cell>
          <cell r="EK406">
            <v>0</v>
          </cell>
          <cell r="EL406">
            <v>0</v>
          </cell>
          <cell r="EM406">
            <v>0</v>
          </cell>
          <cell r="EN406">
            <v>0</v>
          </cell>
          <cell r="EO406">
            <v>0</v>
          </cell>
          <cell r="EP406">
            <v>0</v>
          </cell>
          <cell r="EQ406">
            <v>0</v>
          </cell>
          <cell r="ER406">
            <v>14.746666666666668</v>
          </cell>
          <cell r="ES406">
            <v>31.705333333333332</v>
          </cell>
          <cell r="ET406">
            <v>47.558</v>
          </cell>
          <cell r="EU406">
            <v>63.410666666666664</v>
          </cell>
          <cell r="EV406">
            <v>79.263333333333335</v>
          </cell>
          <cell r="EW406">
            <v>236.68399999999997</v>
          </cell>
          <cell r="EY406">
            <v>2212</v>
          </cell>
          <cell r="EZ406">
            <v>8</v>
          </cell>
          <cell r="FA406">
            <v>14.746666666666668</v>
          </cell>
          <cell r="FB406">
            <v>30968</v>
          </cell>
          <cell r="FC406">
            <v>8.6</v>
          </cell>
          <cell r="FD406">
            <v>221.93733333333333</v>
          </cell>
          <cell r="FE406">
            <v>236.684</v>
          </cell>
          <cell r="FF406">
            <v>11297</v>
          </cell>
          <cell r="FH406">
            <v>11297</v>
          </cell>
        </row>
        <row r="407">
          <cell r="B407">
            <v>9596</v>
          </cell>
          <cell r="C407" t="str">
            <v>31.05.2008</v>
          </cell>
          <cell r="D407" t="str">
            <v>Porje Vijaya Ratan</v>
          </cell>
          <cell r="F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  <cell r="AX407">
            <v>0</v>
          </cell>
          <cell r="AY407">
            <v>0</v>
          </cell>
          <cell r="BA407">
            <v>1057</v>
          </cell>
          <cell r="BB407">
            <v>0</v>
          </cell>
          <cell r="BC407">
            <v>1057</v>
          </cell>
          <cell r="BD407">
            <v>0</v>
          </cell>
          <cell r="BE407">
            <v>0</v>
          </cell>
          <cell r="BF407">
            <v>0</v>
          </cell>
          <cell r="BG407">
            <v>0</v>
          </cell>
          <cell r="BH407">
            <v>0</v>
          </cell>
          <cell r="BI407">
            <v>0</v>
          </cell>
          <cell r="BK407">
            <v>1106</v>
          </cell>
          <cell r="BL407">
            <v>0</v>
          </cell>
          <cell r="BM407">
            <v>1106</v>
          </cell>
          <cell r="BN407">
            <v>0</v>
          </cell>
          <cell r="BO407">
            <v>0</v>
          </cell>
          <cell r="BP407">
            <v>0</v>
          </cell>
          <cell r="BQ407">
            <v>0</v>
          </cell>
          <cell r="BR407">
            <v>0</v>
          </cell>
          <cell r="BS407">
            <v>0</v>
          </cell>
          <cell r="BU407">
            <v>1106</v>
          </cell>
          <cell r="BV407">
            <v>0</v>
          </cell>
          <cell r="BW407">
            <v>1106</v>
          </cell>
          <cell r="BX407">
            <v>0</v>
          </cell>
          <cell r="BY407">
            <v>0</v>
          </cell>
          <cell r="BZ407">
            <v>0</v>
          </cell>
          <cell r="CA407">
            <v>0</v>
          </cell>
          <cell r="CB407">
            <v>0</v>
          </cell>
          <cell r="CC407">
            <v>0</v>
          </cell>
          <cell r="CE407">
            <v>1106</v>
          </cell>
          <cell r="CF407">
            <v>0</v>
          </cell>
          <cell r="CG407">
            <v>1106</v>
          </cell>
          <cell r="CH407">
            <v>0</v>
          </cell>
          <cell r="CI407">
            <v>0</v>
          </cell>
          <cell r="CJ407">
            <v>0</v>
          </cell>
          <cell r="CK407">
            <v>0</v>
          </cell>
          <cell r="CL407">
            <v>0</v>
          </cell>
          <cell r="CM407">
            <v>0</v>
          </cell>
          <cell r="CO407">
            <v>1106</v>
          </cell>
          <cell r="CP407">
            <v>0</v>
          </cell>
          <cell r="CQ407">
            <v>1106</v>
          </cell>
          <cell r="CR407">
            <v>0</v>
          </cell>
          <cell r="CS407">
            <v>0</v>
          </cell>
          <cell r="CT407">
            <v>0</v>
          </cell>
          <cell r="CU407">
            <v>0</v>
          </cell>
          <cell r="CV407">
            <v>0</v>
          </cell>
          <cell r="CW407">
            <v>0</v>
          </cell>
          <cell r="CY407">
            <v>1106</v>
          </cell>
          <cell r="CZ407">
            <v>0</v>
          </cell>
          <cell r="DA407">
            <v>1106</v>
          </cell>
          <cell r="DB407">
            <v>0</v>
          </cell>
          <cell r="DC407">
            <v>0</v>
          </cell>
          <cell r="DD407">
            <v>0</v>
          </cell>
          <cell r="DE407">
            <v>0</v>
          </cell>
          <cell r="DF407">
            <v>0</v>
          </cell>
          <cell r="DG407">
            <v>0</v>
          </cell>
          <cell r="DI407">
            <v>0</v>
          </cell>
          <cell r="DJ407">
            <v>6587</v>
          </cell>
          <cell r="DK407">
            <v>0</v>
          </cell>
          <cell r="DL407">
            <v>6587</v>
          </cell>
          <cell r="DM407">
            <v>6587</v>
          </cell>
          <cell r="DN407">
            <v>0</v>
          </cell>
          <cell r="DO407">
            <v>6587</v>
          </cell>
          <cell r="DP407">
            <v>0</v>
          </cell>
          <cell r="DQ407">
            <v>0</v>
          </cell>
          <cell r="DR407">
            <v>0</v>
          </cell>
          <cell r="DS407">
            <v>0</v>
          </cell>
          <cell r="DT407">
            <v>13174</v>
          </cell>
          <cell r="DU407">
            <v>0</v>
          </cell>
          <cell r="DW407">
            <v>0</v>
          </cell>
          <cell r="DX407">
            <v>0</v>
          </cell>
          <cell r="DY407">
            <v>0</v>
          </cell>
          <cell r="DZ407">
            <v>0</v>
          </cell>
          <cell r="EA407">
            <v>0</v>
          </cell>
          <cell r="EB407">
            <v>0</v>
          </cell>
          <cell r="EC407">
            <v>2114</v>
          </cell>
          <cell r="ED407">
            <v>4326</v>
          </cell>
          <cell r="EE407">
            <v>6538</v>
          </cell>
          <cell r="EF407">
            <v>8750</v>
          </cell>
          <cell r="EG407">
            <v>10962</v>
          </cell>
          <cell r="EH407">
            <v>13174</v>
          </cell>
          <cell r="EI407">
            <v>45864</v>
          </cell>
          <cell r="EK407">
            <v>0</v>
          </cell>
          <cell r="EL407">
            <v>0</v>
          </cell>
          <cell r="EM407">
            <v>0</v>
          </cell>
          <cell r="EN407">
            <v>0</v>
          </cell>
          <cell r="EO407">
            <v>0</v>
          </cell>
          <cell r="EP407">
            <v>0</v>
          </cell>
          <cell r="EQ407">
            <v>14.093333333333334</v>
          </cell>
          <cell r="ER407">
            <v>28.84</v>
          </cell>
          <cell r="ES407">
            <v>46.855666666666657</v>
          </cell>
          <cell r="ET407">
            <v>62.708333333333336</v>
          </cell>
          <cell r="EU407">
            <v>78.560999999999993</v>
          </cell>
          <cell r="EV407">
            <v>94.413666666666657</v>
          </cell>
          <cell r="EW407">
            <v>325.47199999999998</v>
          </cell>
          <cell r="EY407">
            <v>6440</v>
          </cell>
          <cell r="EZ407">
            <v>8</v>
          </cell>
          <cell r="FA407">
            <v>42.933333333333337</v>
          </cell>
          <cell r="FB407">
            <v>39424</v>
          </cell>
          <cell r="FC407">
            <v>8.6</v>
          </cell>
          <cell r="FD407">
            <v>282.53866666666664</v>
          </cell>
          <cell r="FE407">
            <v>325.47199999999998</v>
          </cell>
          <cell r="FF407">
            <v>13499</v>
          </cell>
          <cell r="FH407">
            <v>13499</v>
          </cell>
        </row>
        <row r="408">
          <cell r="B408">
            <v>9198</v>
          </cell>
          <cell r="C408" t="str">
            <v>02.06.2008</v>
          </cell>
          <cell r="D408" t="str">
            <v>Tak Sanjay Surajbhan</v>
          </cell>
          <cell r="F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K408">
            <v>0</v>
          </cell>
          <cell r="BL408">
            <v>0</v>
          </cell>
          <cell r="BM408">
            <v>0</v>
          </cell>
          <cell r="BN408">
            <v>0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  <cell r="BS408">
            <v>0</v>
          </cell>
          <cell r="BU408">
            <v>0</v>
          </cell>
          <cell r="BV408">
            <v>0</v>
          </cell>
          <cell r="BW408">
            <v>0</v>
          </cell>
          <cell r="BX408">
            <v>0</v>
          </cell>
          <cell r="BY408">
            <v>0</v>
          </cell>
          <cell r="BZ408">
            <v>0</v>
          </cell>
          <cell r="CA408">
            <v>0</v>
          </cell>
          <cell r="CB408">
            <v>0</v>
          </cell>
          <cell r="CC408">
            <v>0</v>
          </cell>
          <cell r="CE408">
            <v>0</v>
          </cell>
          <cell r="CF408">
            <v>0</v>
          </cell>
          <cell r="CG408">
            <v>0</v>
          </cell>
          <cell r="CH408">
            <v>0</v>
          </cell>
          <cell r="CI408">
            <v>0</v>
          </cell>
          <cell r="CJ408">
            <v>0</v>
          </cell>
          <cell r="CK408">
            <v>0</v>
          </cell>
          <cell r="CL408">
            <v>0</v>
          </cell>
          <cell r="CM408">
            <v>0</v>
          </cell>
          <cell r="CO408">
            <v>0</v>
          </cell>
          <cell r="CP408">
            <v>0</v>
          </cell>
          <cell r="CQ408">
            <v>0</v>
          </cell>
          <cell r="CR408">
            <v>0</v>
          </cell>
          <cell r="CS408">
            <v>0</v>
          </cell>
          <cell r="CT408">
            <v>0</v>
          </cell>
          <cell r="CU408">
            <v>0</v>
          </cell>
          <cell r="CV408">
            <v>0</v>
          </cell>
          <cell r="CW408">
            <v>0</v>
          </cell>
          <cell r="CY408">
            <v>0</v>
          </cell>
          <cell r="CZ408">
            <v>0</v>
          </cell>
          <cell r="DA408">
            <v>0</v>
          </cell>
          <cell r="DB408">
            <v>0</v>
          </cell>
          <cell r="DC408">
            <v>0</v>
          </cell>
          <cell r="DD408">
            <v>0</v>
          </cell>
          <cell r="DE408">
            <v>0</v>
          </cell>
          <cell r="DF408">
            <v>0</v>
          </cell>
          <cell r="DG408">
            <v>0</v>
          </cell>
          <cell r="DI408">
            <v>0</v>
          </cell>
          <cell r="DJ408">
            <v>0</v>
          </cell>
          <cell r="DK408">
            <v>0</v>
          </cell>
          <cell r="DL408">
            <v>0</v>
          </cell>
          <cell r="DM408">
            <v>0</v>
          </cell>
          <cell r="DN408">
            <v>0</v>
          </cell>
          <cell r="DO408">
            <v>0</v>
          </cell>
          <cell r="DP408">
            <v>0</v>
          </cell>
          <cell r="DQ408">
            <v>0</v>
          </cell>
          <cell r="DR408">
            <v>0</v>
          </cell>
          <cell r="DS408">
            <v>0</v>
          </cell>
          <cell r="DT408">
            <v>0</v>
          </cell>
          <cell r="DU408">
            <v>0</v>
          </cell>
          <cell r="DW408">
            <v>0</v>
          </cell>
          <cell r="DX408">
            <v>0</v>
          </cell>
          <cell r="DY408">
            <v>0</v>
          </cell>
          <cell r="DZ408">
            <v>0</v>
          </cell>
          <cell r="EA408">
            <v>0</v>
          </cell>
          <cell r="EB408">
            <v>0</v>
          </cell>
          <cell r="EC408">
            <v>0</v>
          </cell>
          <cell r="ED408">
            <v>0</v>
          </cell>
          <cell r="EE408">
            <v>0</v>
          </cell>
          <cell r="EF408">
            <v>0</v>
          </cell>
          <cell r="EG408">
            <v>0</v>
          </cell>
          <cell r="EH408">
            <v>0</v>
          </cell>
          <cell r="EI408">
            <v>0</v>
          </cell>
          <cell r="EK408">
            <v>0</v>
          </cell>
          <cell r="EL408">
            <v>0</v>
          </cell>
          <cell r="EM408">
            <v>0</v>
          </cell>
          <cell r="EN408">
            <v>0</v>
          </cell>
          <cell r="EO408">
            <v>0</v>
          </cell>
          <cell r="EP408">
            <v>0</v>
          </cell>
          <cell r="EQ408">
            <v>0</v>
          </cell>
          <cell r="ER408">
            <v>0</v>
          </cell>
          <cell r="ES408">
            <v>0</v>
          </cell>
          <cell r="ET408">
            <v>0</v>
          </cell>
          <cell r="EU408">
            <v>0</v>
          </cell>
          <cell r="EV408">
            <v>0</v>
          </cell>
          <cell r="EW408">
            <v>0</v>
          </cell>
          <cell r="EY408">
            <v>0</v>
          </cell>
          <cell r="EZ408">
            <v>8</v>
          </cell>
          <cell r="FA408">
            <v>0</v>
          </cell>
          <cell r="FB408">
            <v>0</v>
          </cell>
          <cell r="FC408">
            <v>8.6</v>
          </cell>
          <cell r="FD408">
            <v>0</v>
          </cell>
          <cell r="FE408">
            <v>0</v>
          </cell>
          <cell r="FF408">
            <v>0</v>
          </cell>
          <cell r="FH408">
            <v>0</v>
          </cell>
        </row>
        <row r="409">
          <cell r="B409">
            <v>9590</v>
          </cell>
          <cell r="C409" t="str">
            <v>05.06.2008</v>
          </cell>
          <cell r="D409" t="str">
            <v>Pagare Jayashri Suresh</v>
          </cell>
          <cell r="F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Q409">
            <v>1057</v>
          </cell>
          <cell r="AR409">
            <v>0</v>
          </cell>
          <cell r="AS409">
            <v>1057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BA409">
            <v>1057</v>
          </cell>
          <cell r="BB409">
            <v>0</v>
          </cell>
          <cell r="BC409">
            <v>1057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K409">
            <v>1106</v>
          </cell>
          <cell r="BL409">
            <v>0</v>
          </cell>
          <cell r="BM409">
            <v>1106</v>
          </cell>
          <cell r="BN409">
            <v>0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U409">
            <v>1106</v>
          </cell>
          <cell r="BV409">
            <v>0</v>
          </cell>
          <cell r="BW409">
            <v>1106</v>
          </cell>
          <cell r="BX409">
            <v>0</v>
          </cell>
          <cell r="BY409">
            <v>0</v>
          </cell>
          <cell r="BZ409">
            <v>0</v>
          </cell>
          <cell r="CA409">
            <v>0</v>
          </cell>
          <cell r="CB409">
            <v>0</v>
          </cell>
          <cell r="CC409">
            <v>0</v>
          </cell>
          <cell r="CE409">
            <v>1106</v>
          </cell>
          <cell r="CF409">
            <v>0</v>
          </cell>
          <cell r="CG409">
            <v>1106</v>
          </cell>
          <cell r="CH409">
            <v>0</v>
          </cell>
          <cell r="CI409">
            <v>0</v>
          </cell>
          <cell r="CJ409">
            <v>0</v>
          </cell>
          <cell r="CK409">
            <v>0</v>
          </cell>
          <cell r="CL409">
            <v>0</v>
          </cell>
          <cell r="CM409">
            <v>0</v>
          </cell>
          <cell r="CO409">
            <v>1106</v>
          </cell>
          <cell r="CP409">
            <v>0</v>
          </cell>
          <cell r="CQ409">
            <v>1106</v>
          </cell>
          <cell r="CR409">
            <v>0</v>
          </cell>
          <cell r="CS409">
            <v>0</v>
          </cell>
          <cell r="CT409">
            <v>0</v>
          </cell>
          <cell r="CU409">
            <v>0</v>
          </cell>
          <cell r="CV409">
            <v>0</v>
          </cell>
          <cell r="CW409">
            <v>0</v>
          </cell>
          <cell r="CY409">
            <v>1106</v>
          </cell>
          <cell r="CZ409">
            <v>0</v>
          </cell>
          <cell r="DA409">
            <v>1106</v>
          </cell>
          <cell r="DB409">
            <v>0</v>
          </cell>
          <cell r="DC409">
            <v>0</v>
          </cell>
          <cell r="DD409">
            <v>0</v>
          </cell>
          <cell r="DE409">
            <v>0</v>
          </cell>
          <cell r="DF409">
            <v>0</v>
          </cell>
          <cell r="DG409">
            <v>0</v>
          </cell>
          <cell r="DI409">
            <v>0</v>
          </cell>
          <cell r="DJ409">
            <v>7644</v>
          </cell>
          <cell r="DK409">
            <v>0</v>
          </cell>
          <cell r="DL409">
            <v>7644</v>
          </cell>
          <cell r="DM409">
            <v>7644</v>
          </cell>
          <cell r="DN409">
            <v>0</v>
          </cell>
          <cell r="DO409">
            <v>7644</v>
          </cell>
          <cell r="DP409">
            <v>0</v>
          </cell>
          <cell r="DQ409">
            <v>0</v>
          </cell>
          <cell r="DR409">
            <v>0</v>
          </cell>
          <cell r="DS409">
            <v>0</v>
          </cell>
          <cell r="DT409">
            <v>15288</v>
          </cell>
          <cell r="DU409">
            <v>0</v>
          </cell>
          <cell r="DW409">
            <v>0</v>
          </cell>
          <cell r="DX409">
            <v>0</v>
          </cell>
          <cell r="DY409">
            <v>0</v>
          </cell>
          <cell r="DZ409">
            <v>0</v>
          </cell>
          <cell r="EA409">
            <v>0</v>
          </cell>
          <cell r="EB409">
            <v>2114</v>
          </cell>
          <cell r="EC409">
            <v>4228</v>
          </cell>
          <cell r="ED409">
            <v>6440</v>
          </cell>
          <cell r="EE409">
            <v>8652</v>
          </cell>
          <cell r="EF409">
            <v>10864</v>
          </cell>
          <cell r="EG409">
            <v>13076</v>
          </cell>
          <cell r="EH409">
            <v>15288</v>
          </cell>
          <cell r="EI409">
            <v>60662</v>
          </cell>
          <cell r="EK409">
            <v>0</v>
          </cell>
          <cell r="EL409">
            <v>0</v>
          </cell>
          <cell r="EM409">
            <v>0</v>
          </cell>
          <cell r="EN409">
            <v>0</v>
          </cell>
          <cell r="EO409">
            <v>0</v>
          </cell>
          <cell r="EP409">
            <v>14.093333333333334</v>
          </cell>
          <cell r="EQ409">
            <v>28.186666666666667</v>
          </cell>
          <cell r="ER409">
            <v>42.933333333333337</v>
          </cell>
          <cell r="ES409">
            <v>62.006</v>
          </cell>
          <cell r="ET409">
            <v>77.858666666666664</v>
          </cell>
          <cell r="EU409">
            <v>93.711333333333314</v>
          </cell>
          <cell r="EV409">
            <v>109.56399999999998</v>
          </cell>
          <cell r="EW409">
            <v>428.3533333333333</v>
          </cell>
          <cell r="EY409">
            <v>12782</v>
          </cell>
          <cell r="EZ409">
            <v>8</v>
          </cell>
          <cell r="FA409">
            <v>85.213333333333324</v>
          </cell>
          <cell r="FB409">
            <v>47880</v>
          </cell>
          <cell r="FC409">
            <v>8.6</v>
          </cell>
          <cell r="FD409">
            <v>343.14000000000004</v>
          </cell>
          <cell r="FE409">
            <v>428.35333333333335</v>
          </cell>
          <cell r="FF409">
            <v>15716</v>
          </cell>
          <cell r="FH409">
            <v>15716</v>
          </cell>
        </row>
        <row r="410">
          <cell r="B410">
            <v>9604</v>
          </cell>
          <cell r="C410" t="str">
            <v>05.06.2008</v>
          </cell>
          <cell r="D410" t="str">
            <v>Goyal Vikas Kishor</v>
          </cell>
          <cell r="F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K410">
            <v>1106</v>
          </cell>
          <cell r="BL410">
            <v>0</v>
          </cell>
          <cell r="BM410">
            <v>1106</v>
          </cell>
          <cell r="BN410">
            <v>0</v>
          </cell>
          <cell r="BO410">
            <v>0</v>
          </cell>
          <cell r="BP410">
            <v>0</v>
          </cell>
          <cell r="BQ410">
            <v>0</v>
          </cell>
          <cell r="BR410">
            <v>0</v>
          </cell>
          <cell r="BS410">
            <v>0</v>
          </cell>
          <cell r="BU410">
            <v>1106</v>
          </cell>
          <cell r="BV410">
            <v>0</v>
          </cell>
          <cell r="BW410">
            <v>1106</v>
          </cell>
          <cell r="BX410">
            <v>0</v>
          </cell>
          <cell r="BY410">
            <v>0</v>
          </cell>
          <cell r="BZ410">
            <v>0</v>
          </cell>
          <cell r="CA410">
            <v>0</v>
          </cell>
          <cell r="CB410">
            <v>0</v>
          </cell>
          <cell r="CC410">
            <v>0</v>
          </cell>
          <cell r="CE410">
            <v>1106</v>
          </cell>
          <cell r="CF410">
            <v>0</v>
          </cell>
          <cell r="CG410">
            <v>1106</v>
          </cell>
          <cell r="CH410">
            <v>0</v>
          </cell>
          <cell r="CI410">
            <v>0</v>
          </cell>
          <cell r="CJ410">
            <v>0</v>
          </cell>
          <cell r="CK410">
            <v>0</v>
          </cell>
          <cell r="CL410">
            <v>0</v>
          </cell>
          <cell r="CM410">
            <v>0</v>
          </cell>
          <cell r="CO410">
            <v>1106</v>
          </cell>
          <cell r="CP410">
            <v>0</v>
          </cell>
          <cell r="CQ410">
            <v>1106</v>
          </cell>
          <cell r="CR410">
            <v>0</v>
          </cell>
          <cell r="CS410">
            <v>0</v>
          </cell>
          <cell r="CT410">
            <v>0</v>
          </cell>
          <cell r="CU410">
            <v>0</v>
          </cell>
          <cell r="CV410">
            <v>0</v>
          </cell>
          <cell r="CW410">
            <v>0</v>
          </cell>
          <cell r="CY410">
            <v>1106</v>
          </cell>
          <cell r="CZ410">
            <v>0</v>
          </cell>
          <cell r="DA410">
            <v>1106</v>
          </cell>
          <cell r="DB410">
            <v>0</v>
          </cell>
          <cell r="DC410">
            <v>0</v>
          </cell>
          <cell r="DD410">
            <v>0</v>
          </cell>
          <cell r="DE410">
            <v>0</v>
          </cell>
          <cell r="DF410">
            <v>0</v>
          </cell>
          <cell r="DG410">
            <v>0</v>
          </cell>
          <cell r="DI410">
            <v>0</v>
          </cell>
          <cell r="DJ410">
            <v>5530</v>
          </cell>
          <cell r="DK410">
            <v>0</v>
          </cell>
          <cell r="DL410">
            <v>5530</v>
          </cell>
          <cell r="DM410">
            <v>5530</v>
          </cell>
          <cell r="DN410">
            <v>0</v>
          </cell>
          <cell r="DO410">
            <v>5530</v>
          </cell>
          <cell r="DP410">
            <v>0</v>
          </cell>
          <cell r="DQ410">
            <v>0</v>
          </cell>
          <cell r="DR410">
            <v>0</v>
          </cell>
          <cell r="DS410">
            <v>0</v>
          </cell>
          <cell r="DT410">
            <v>11060</v>
          </cell>
          <cell r="DU410">
            <v>0</v>
          </cell>
          <cell r="DW410">
            <v>0</v>
          </cell>
          <cell r="DX410">
            <v>0</v>
          </cell>
          <cell r="DY410">
            <v>0</v>
          </cell>
          <cell r="DZ410">
            <v>0</v>
          </cell>
          <cell r="EA410">
            <v>0</v>
          </cell>
          <cell r="EB410">
            <v>0</v>
          </cell>
          <cell r="EC410">
            <v>0</v>
          </cell>
          <cell r="ED410">
            <v>2212</v>
          </cell>
          <cell r="EE410">
            <v>4424</v>
          </cell>
          <cell r="EF410">
            <v>6636</v>
          </cell>
          <cell r="EG410">
            <v>8848</v>
          </cell>
          <cell r="EH410">
            <v>11060</v>
          </cell>
          <cell r="EI410">
            <v>33180</v>
          </cell>
          <cell r="EK410">
            <v>0</v>
          </cell>
          <cell r="EL410">
            <v>0</v>
          </cell>
          <cell r="EM410">
            <v>0</v>
          </cell>
          <cell r="EN410">
            <v>0</v>
          </cell>
          <cell r="EO410">
            <v>0</v>
          </cell>
          <cell r="EP410">
            <v>0</v>
          </cell>
          <cell r="EQ410">
            <v>0</v>
          </cell>
          <cell r="ER410">
            <v>14.746666666666668</v>
          </cell>
          <cell r="ES410">
            <v>31.705333333333332</v>
          </cell>
          <cell r="ET410">
            <v>47.558</v>
          </cell>
          <cell r="EU410">
            <v>63.410666666666664</v>
          </cell>
          <cell r="EV410">
            <v>79.263333333333335</v>
          </cell>
          <cell r="EW410">
            <v>236.68399999999997</v>
          </cell>
          <cell r="EY410">
            <v>2212</v>
          </cell>
          <cell r="EZ410">
            <v>8</v>
          </cell>
          <cell r="FA410">
            <v>14.746666666666668</v>
          </cell>
          <cell r="FB410">
            <v>30968</v>
          </cell>
          <cell r="FC410">
            <v>8.6</v>
          </cell>
          <cell r="FD410">
            <v>221.93733333333333</v>
          </cell>
          <cell r="FE410">
            <v>236.684</v>
          </cell>
          <cell r="FF410">
            <v>11297</v>
          </cell>
          <cell r="FH410">
            <v>11297</v>
          </cell>
        </row>
        <row r="411">
          <cell r="B411">
            <v>9579</v>
          </cell>
          <cell r="C411" t="str">
            <v>09.06.2008</v>
          </cell>
          <cell r="D411" t="str">
            <v>Wagh Prakash Fakira</v>
          </cell>
          <cell r="F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G411">
            <v>0</v>
          </cell>
          <cell r="BH411">
            <v>0</v>
          </cell>
          <cell r="BI411">
            <v>0</v>
          </cell>
          <cell r="BK411">
            <v>0</v>
          </cell>
          <cell r="BL411">
            <v>0</v>
          </cell>
          <cell r="BM411">
            <v>0</v>
          </cell>
          <cell r="BN411">
            <v>0</v>
          </cell>
          <cell r="BO411">
            <v>0</v>
          </cell>
          <cell r="BP411">
            <v>0</v>
          </cell>
          <cell r="BQ411">
            <v>0</v>
          </cell>
          <cell r="BR411">
            <v>0</v>
          </cell>
          <cell r="BS411">
            <v>0</v>
          </cell>
          <cell r="BU411">
            <v>0</v>
          </cell>
          <cell r="BV411">
            <v>0</v>
          </cell>
          <cell r="BW411">
            <v>0</v>
          </cell>
          <cell r="BX411">
            <v>0</v>
          </cell>
          <cell r="BY411">
            <v>0</v>
          </cell>
          <cell r="BZ411">
            <v>0</v>
          </cell>
          <cell r="CA411">
            <v>0</v>
          </cell>
          <cell r="CB411">
            <v>0</v>
          </cell>
          <cell r="CC411">
            <v>0</v>
          </cell>
          <cell r="CE411">
            <v>0</v>
          </cell>
          <cell r="CF411">
            <v>0</v>
          </cell>
          <cell r="CG411">
            <v>0</v>
          </cell>
          <cell r="CH411">
            <v>0</v>
          </cell>
          <cell r="CI411">
            <v>0</v>
          </cell>
          <cell r="CJ411">
            <v>0</v>
          </cell>
          <cell r="CK411">
            <v>0</v>
          </cell>
          <cell r="CL411">
            <v>0</v>
          </cell>
          <cell r="CM411">
            <v>0</v>
          </cell>
          <cell r="CO411">
            <v>0</v>
          </cell>
          <cell r="CP411">
            <v>0</v>
          </cell>
          <cell r="CQ411">
            <v>0</v>
          </cell>
          <cell r="CR411">
            <v>0</v>
          </cell>
          <cell r="CS411">
            <v>0</v>
          </cell>
          <cell r="CT411">
            <v>0</v>
          </cell>
          <cell r="CU411">
            <v>0</v>
          </cell>
          <cell r="CV411">
            <v>0</v>
          </cell>
          <cell r="CW411">
            <v>0</v>
          </cell>
          <cell r="CY411">
            <v>0</v>
          </cell>
          <cell r="CZ411">
            <v>0</v>
          </cell>
          <cell r="DA411">
            <v>0</v>
          </cell>
          <cell r="DB411">
            <v>0</v>
          </cell>
          <cell r="DC411">
            <v>0</v>
          </cell>
          <cell r="DD411">
            <v>0</v>
          </cell>
          <cell r="DE411">
            <v>0</v>
          </cell>
          <cell r="DF411">
            <v>0</v>
          </cell>
          <cell r="DG411">
            <v>0</v>
          </cell>
          <cell r="DI411">
            <v>0</v>
          </cell>
          <cell r="DJ411">
            <v>0</v>
          </cell>
          <cell r="DK411">
            <v>0</v>
          </cell>
          <cell r="DL411">
            <v>0</v>
          </cell>
          <cell r="DM411">
            <v>0</v>
          </cell>
          <cell r="DN411">
            <v>0</v>
          </cell>
          <cell r="DO411">
            <v>0</v>
          </cell>
          <cell r="DP411">
            <v>0</v>
          </cell>
          <cell r="DQ411">
            <v>0</v>
          </cell>
          <cell r="DR411">
            <v>0</v>
          </cell>
          <cell r="DS411">
            <v>0</v>
          </cell>
          <cell r="DT411">
            <v>0</v>
          </cell>
          <cell r="DU411">
            <v>0</v>
          </cell>
          <cell r="DW411">
            <v>0</v>
          </cell>
          <cell r="DX411">
            <v>0</v>
          </cell>
          <cell r="DY411">
            <v>0</v>
          </cell>
          <cell r="DZ411">
            <v>0</v>
          </cell>
          <cell r="EA411">
            <v>0</v>
          </cell>
          <cell r="EB411">
            <v>0</v>
          </cell>
          <cell r="EC411">
            <v>0</v>
          </cell>
          <cell r="ED411">
            <v>0</v>
          </cell>
          <cell r="EE411">
            <v>0</v>
          </cell>
          <cell r="EF411">
            <v>0</v>
          </cell>
          <cell r="EG411">
            <v>0</v>
          </cell>
          <cell r="EH411">
            <v>0</v>
          </cell>
          <cell r="EI411">
            <v>0</v>
          </cell>
          <cell r="EK411">
            <v>0</v>
          </cell>
          <cell r="EL411">
            <v>0</v>
          </cell>
          <cell r="EM411">
            <v>0</v>
          </cell>
          <cell r="EN411">
            <v>0</v>
          </cell>
          <cell r="EO411">
            <v>0</v>
          </cell>
          <cell r="EP411">
            <v>0</v>
          </cell>
          <cell r="EQ411">
            <v>0</v>
          </cell>
          <cell r="ER411">
            <v>0</v>
          </cell>
          <cell r="ES411">
            <v>0</v>
          </cell>
          <cell r="ET411">
            <v>0</v>
          </cell>
          <cell r="EU411">
            <v>0</v>
          </cell>
          <cell r="EV411">
            <v>0</v>
          </cell>
          <cell r="EW411">
            <v>0</v>
          </cell>
          <cell r="EY411">
            <v>0</v>
          </cell>
          <cell r="EZ411">
            <v>8</v>
          </cell>
          <cell r="FA411">
            <v>0</v>
          </cell>
          <cell r="FB411">
            <v>0</v>
          </cell>
          <cell r="FC411">
            <v>8.6</v>
          </cell>
          <cell r="FD411">
            <v>0</v>
          </cell>
          <cell r="FE411">
            <v>0</v>
          </cell>
          <cell r="FF411">
            <v>0</v>
          </cell>
          <cell r="FH411">
            <v>0</v>
          </cell>
        </row>
        <row r="412">
          <cell r="B412">
            <v>9594</v>
          </cell>
          <cell r="C412" t="str">
            <v>09.06.2008</v>
          </cell>
          <cell r="D412" t="str">
            <v>Bande Amolkumar Nathu</v>
          </cell>
          <cell r="F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BA412">
            <v>2038</v>
          </cell>
          <cell r="BB412">
            <v>0</v>
          </cell>
          <cell r="BC412">
            <v>2038</v>
          </cell>
          <cell r="BD412">
            <v>0</v>
          </cell>
          <cell r="BE412">
            <v>0</v>
          </cell>
          <cell r="BF412">
            <v>0</v>
          </cell>
          <cell r="BG412">
            <v>0</v>
          </cell>
          <cell r="BH412">
            <v>0</v>
          </cell>
          <cell r="BI412">
            <v>0</v>
          </cell>
          <cell r="BK412">
            <v>2133</v>
          </cell>
          <cell r="BL412">
            <v>0</v>
          </cell>
          <cell r="BM412">
            <v>2133</v>
          </cell>
          <cell r="BN412">
            <v>0</v>
          </cell>
          <cell r="BO412">
            <v>0</v>
          </cell>
          <cell r="BP412">
            <v>0</v>
          </cell>
          <cell r="BQ412">
            <v>0</v>
          </cell>
          <cell r="BR412">
            <v>0</v>
          </cell>
          <cell r="BS412">
            <v>0</v>
          </cell>
          <cell r="BU412">
            <v>2133</v>
          </cell>
          <cell r="BV412">
            <v>0</v>
          </cell>
          <cell r="BW412">
            <v>2133</v>
          </cell>
          <cell r="BX412">
            <v>0</v>
          </cell>
          <cell r="BY412">
            <v>0</v>
          </cell>
          <cell r="BZ412">
            <v>0</v>
          </cell>
          <cell r="CA412">
            <v>0</v>
          </cell>
          <cell r="CB412">
            <v>0</v>
          </cell>
          <cell r="CC412">
            <v>0</v>
          </cell>
          <cell r="CE412">
            <v>2133</v>
          </cell>
          <cell r="CF412">
            <v>0</v>
          </cell>
          <cell r="CG412">
            <v>2133</v>
          </cell>
          <cell r="CH412">
            <v>0</v>
          </cell>
          <cell r="CI412">
            <v>0</v>
          </cell>
          <cell r="CJ412">
            <v>0</v>
          </cell>
          <cell r="CK412">
            <v>0</v>
          </cell>
          <cell r="CL412">
            <v>0</v>
          </cell>
          <cell r="CM412">
            <v>0</v>
          </cell>
          <cell r="CO412">
            <v>2133</v>
          </cell>
          <cell r="CP412">
            <v>0</v>
          </cell>
          <cell r="CQ412">
            <v>2133</v>
          </cell>
          <cell r="CR412">
            <v>0</v>
          </cell>
          <cell r="CS412">
            <v>0</v>
          </cell>
          <cell r="CT412">
            <v>0</v>
          </cell>
          <cell r="CU412">
            <v>0</v>
          </cell>
          <cell r="CV412">
            <v>0</v>
          </cell>
          <cell r="CW412">
            <v>0</v>
          </cell>
          <cell r="CY412">
            <v>2133</v>
          </cell>
          <cell r="CZ412">
            <v>0</v>
          </cell>
          <cell r="DA412">
            <v>2133</v>
          </cell>
          <cell r="DB412">
            <v>0</v>
          </cell>
          <cell r="DC412">
            <v>0</v>
          </cell>
          <cell r="DD412">
            <v>0</v>
          </cell>
          <cell r="DE412">
            <v>0</v>
          </cell>
          <cell r="DF412">
            <v>0</v>
          </cell>
          <cell r="DG412">
            <v>0</v>
          </cell>
          <cell r="DI412">
            <v>0</v>
          </cell>
          <cell r="DJ412">
            <v>12703</v>
          </cell>
          <cell r="DK412">
            <v>0</v>
          </cell>
          <cell r="DL412">
            <v>12703</v>
          </cell>
          <cell r="DM412">
            <v>12703</v>
          </cell>
          <cell r="DN412">
            <v>0</v>
          </cell>
          <cell r="DO412">
            <v>12703</v>
          </cell>
          <cell r="DP412">
            <v>0</v>
          </cell>
          <cell r="DQ412">
            <v>0</v>
          </cell>
          <cell r="DR412">
            <v>0</v>
          </cell>
          <cell r="DS412">
            <v>0</v>
          </cell>
          <cell r="DT412">
            <v>25406</v>
          </cell>
          <cell r="DU412">
            <v>0</v>
          </cell>
          <cell r="DW412">
            <v>0</v>
          </cell>
          <cell r="DX412">
            <v>0</v>
          </cell>
          <cell r="DY412">
            <v>0</v>
          </cell>
          <cell r="DZ412">
            <v>0</v>
          </cell>
          <cell r="EA412">
            <v>0</v>
          </cell>
          <cell r="EB412">
            <v>0</v>
          </cell>
          <cell r="EC412">
            <v>4076</v>
          </cell>
          <cell r="ED412">
            <v>8342</v>
          </cell>
          <cell r="EE412">
            <v>12608</v>
          </cell>
          <cell r="EF412">
            <v>16874</v>
          </cell>
          <cell r="EG412">
            <v>21140</v>
          </cell>
          <cell r="EH412">
            <v>25406</v>
          </cell>
          <cell r="EI412">
            <v>88446</v>
          </cell>
          <cell r="EK412">
            <v>0</v>
          </cell>
          <cell r="EL412">
            <v>0</v>
          </cell>
          <cell r="EM412">
            <v>0</v>
          </cell>
          <cell r="EN412">
            <v>0</v>
          </cell>
          <cell r="EO412">
            <v>0</v>
          </cell>
          <cell r="EP412">
            <v>0</v>
          </cell>
          <cell r="EQ412">
            <v>27.173333333333332</v>
          </cell>
          <cell r="ER412">
            <v>55.613333333333337</v>
          </cell>
          <cell r="ES412">
            <v>90.357333333333315</v>
          </cell>
          <cell r="ET412">
            <v>120.93033333333334</v>
          </cell>
          <cell r="EU412">
            <v>151.50333333333333</v>
          </cell>
          <cell r="EV412">
            <v>182.07633333333331</v>
          </cell>
          <cell r="EW412">
            <v>627.654</v>
          </cell>
          <cell r="EY412">
            <v>12418</v>
          </cell>
          <cell r="EZ412">
            <v>8</v>
          </cell>
          <cell r="FA412">
            <v>82.786666666666676</v>
          </cell>
          <cell r="FB412">
            <v>76028</v>
          </cell>
          <cell r="FC412">
            <v>8.6</v>
          </cell>
          <cell r="FD412">
            <v>544.86733333333325</v>
          </cell>
          <cell r="FE412">
            <v>627.65399999999988</v>
          </cell>
          <cell r="FF412">
            <v>26034</v>
          </cell>
          <cell r="FH412">
            <v>26034</v>
          </cell>
        </row>
        <row r="413">
          <cell r="B413">
            <v>9602</v>
          </cell>
          <cell r="C413" t="str">
            <v>09.06.2008</v>
          </cell>
          <cell r="D413" t="str">
            <v>Shirsath Mahesh Gorakshanath</v>
          </cell>
          <cell r="F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K413">
            <v>2133</v>
          </cell>
          <cell r="BL413">
            <v>0</v>
          </cell>
          <cell r="BM413">
            <v>2133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  <cell r="BS413">
            <v>0</v>
          </cell>
          <cell r="BU413">
            <v>2133</v>
          </cell>
          <cell r="BV413">
            <v>0</v>
          </cell>
          <cell r="BW413">
            <v>2133</v>
          </cell>
          <cell r="BX413">
            <v>0</v>
          </cell>
          <cell r="BY413">
            <v>0</v>
          </cell>
          <cell r="BZ413">
            <v>0</v>
          </cell>
          <cell r="CA413">
            <v>0</v>
          </cell>
          <cell r="CB413">
            <v>0</v>
          </cell>
          <cell r="CC413">
            <v>0</v>
          </cell>
          <cell r="CE413">
            <v>2133</v>
          </cell>
          <cell r="CF413">
            <v>0</v>
          </cell>
          <cell r="CG413">
            <v>2133</v>
          </cell>
          <cell r="CH413">
            <v>0</v>
          </cell>
          <cell r="CI413">
            <v>0</v>
          </cell>
          <cell r="CJ413">
            <v>0</v>
          </cell>
          <cell r="CK413">
            <v>0</v>
          </cell>
          <cell r="CL413">
            <v>0</v>
          </cell>
          <cell r="CM413">
            <v>0</v>
          </cell>
          <cell r="CO413">
            <v>2133</v>
          </cell>
          <cell r="CP413">
            <v>0</v>
          </cell>
          <cell r="CQ413">
            <v>2133</v>
          </cell>
          <cell r="CR413">
            <v>0</v>
          </cell>
          <cell r="CS413">
            <v>0</v>
          </cell>
          <cell r="CT413">
            <v>0</v>
          </cell>
          <cell r="CU413">
            <v>0</v>
          </cell>
          <cell r="CV413">
            <v>0</v>
          </cell>
          <cell r="CW413">
            <v>0</v>
          </cell>
          <cell r="CY413">
            <v>2133</v>
          </cell>
          <cell r="CZ413">
            <v>0</v>
          </cell>
          <cell r="DA413">
            <v>2133</v>
          </cell>
          <cell r="DB413">
            <v>0</v>
          </cell>
          <cell r="DC413">
            <v>0</v>
          </cell>
          <cell r="DD413">
            <v>0</v>
          </cell>
          <cell r="DE413">
            <v>0</v>
          </cell>
          <cell r="DF413">
            <v>0</v>
          </cell>
          <cell r="DG413">
            <v>0</v>
          </cell>
          <cell r="DI413">
            <v>0</v>
          </cell>
          <cell r="DJ413">
            <v>10665</v>
          </cell>
          <cell r="DK413">
            <v>0</v>
          </cell>
          <cell r="DL413">
            <v>10665</v>
          </cell>
          <cell r="DM413">
            <v>10665</v>
          </cell>
          <cell r="DN413">
            <v>0</v>
          </cell>
          <cell r="DO413">
            <v>10665</v>
          </cell>
          <cell r="DP413">
            <v>0</v>
          </cell>
          <cell r="DQ413">
            <v>0</v>
          </cell>
          <cell r="DR413">
            <v>0</v>
          </cell>
          <cell r="DS413">
            <v>0</v>
          </cell>
          <cell r="DT413">
            <v>21330</v>
          </cell>
          <cell r="DU413">
            <v>0</v>
          </cell>
          <cell r="DW413">
            <v>0</v>
          </cell>
          <cell r="DX413">
            <v>0</v>
          </cell>
          <cell r="DY413">
            <v>0</v>
          </cell>
          <cell r="DZ413">
            <v>0</v>
          </cell>
          <cell r="EA413">
            <v>0</v>
          </cell>
          <cell r="EB413">
            <v>0</v>
          </cell>
          <cell r="EC413">
            <v>0</v>
          </cell>
          <cell r="ED413">
            <v>4266</v>
          </cell>
          <cell r="EE413">
            <v>8532</v>
          </cell>
          <cell r="EF413">
            <v>12798</v>
          </cell>
          <cell r="EG413">
            <v>17064</v>
          </cell>
          <cell r="EH413">
            <v>21330</v>
          </cell>
          <cell r="EI413">
            <v>63990</v>
          </cell>
          <cell r="EK413">
            <v>0</v>
          </cell>
          <cell r="EL413">
            <v>0</v>
          </cell>
          <cell r="EM413">
            <v>0</v>
          </cell>
          <cell r="EN413">
            <v>0</v>
          </cell>
          <cell r="EO413">
            <v>0</v>
          </cell>
          <cell r="EP413">
            <v>0</v>
          </cell>
          <cell r="EQ413">
            <v>0</v>
          </cell>
          <cell r="ER413">
            <v>28.439999999999998</v>
          </cell>
          <cell r="ES413">
            <v>61.145999999999994</v>
          </cell>
          <cell r="ET413">
            <v>91.718999999999994</v>
          </cell>
          <cell r="EU413">
            <v>122.29199999999999</v>
          </cell>
          <cell r="EV413">
            <v>152.86500000000001</v>
          </cell>
          <cell r="EW413">
            <v>456.46199999999999</v>
          </cell>
          <cell r="EY413">
            <v>4266</v>
          </cell>
          <cell r="EZ413">
            <v>8</v>
          </cell>
          <cell r="FA413">
            <v>28.439999999999998</v>
          </cell>
          <cell r="FB413">
            <v>59724</v>
          </cell>
          <cell r="FC413">
            <v>8.6</v>
          </cell>
          <cell r="FD413">
            <v>428.02199999999993</v>
          </cell>
          <cell r="FE413">
            <v>456.46199999999993</v>
          </cell>
          <cell r="FF413">
            <v>21786</v>
          </cell>
          <cell r="FH413">
            <v>21786</v>
          </cell>
        </row>
        <row r="414">
          <cell r="B414">
            <v>9589</v>
          </cell>
          <cell r="C414" t="str">
            <v>10.06.2008</v>
          </cell>
          <cell r="D414" t="str">
            <v>Aher Kamlesh Govind</v>
          </cell>
          <cell r="F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Q414">
            <v>1057</v>
          </cell>
          <cell r="AR414">
            <v>0</v>
          </cell>
          <cell r="AS414">
            <v>1057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0</v>
          </cell>
          <cell r="BA414">
            <v>1057</v>
          </cell>
          <cell r="BB414">
            <v>0</v>
          </cell>
          <cell r="BC414">
            <v>1057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K414">
            <v>1106</v>
          </cell>
          <cell r="BL414">
            <v>0</v>
          </cell>
          <cell r="BM414">
            <v>1106</v>
          </cell>
          <cell r="BN414">
            <v>0</v>
          </cell>
          <cell r="BO414">
            <v>0</v>
          </cell>
          <cell r="BP414">
            <v>0</v>
          </cell>
          <cell r="BQ414">
            <v>0</v>
          </cell>
          <cell r="BR414">
            <v>0</v>
          </cell>
          <cell r="BS414">
            <v>0</v>
          </cell>
          <cell r="BU414">
            <v>1106</v>
          </cell>
          <cell r="BV414">
            <v>0</v>
          </cell>
          <cell r="BW414">
            <v>1106</v>
          </cell>
          <cell r="BX414">
            <v>0</v>
          </cell>
          <cell r="BY414">
            <v>0</v>
          </cell>
          <cell r="BZ414">
            <v>0</v>
          </cell>
          <cell r="CA414">
            <v>0</v>
          </cell>
          <cell r="CB414">
            <v>0</v>
          </cell>
          <cell r="CC414">
            <v>0</v>
          </cell>
          <cell r="CE414">
            <v>1106</v>
          </cell>
          <cell r="CF414">
            <v>0</v>
          </cell>
          <cell r="CG414">
            <v>1106</v>
          </cell>
          <cell r="CH414">
            <v>0</v>
          </cell>
          <cell r="CI414">
            <v>0</v>
          </cell>
          <cell r="CJ414">
            <v>0</v>
          </cell>
          <cell r="CK414">
            <v>0</v>
          </cell>
          <cell r="CL414">
            <v>0</v>
          </cell>
          <cell r="CM414">
            <v>0</v>
          </cell>
          <cell r="CO414">
            <v>1106</v>
          </cell>
          <cell r="CP414">
            <v>0</v>
          </cell>
          <cell r="CQ414">
            <v>1106</v>
          </cell>
          <cell r="CR414">
            <v>0</v>
          </cell>
          <cell r="CS414">
            <v>0</v>
          </cell>
          <cell r="CT414">
            <v>0</v>
          </cell>
          <cell r="CU414">
            <v>0</v>
          </cell>
          <cell r="CV414">
            <v>0</v>
          </cell>
          <cell r="CW414">
            <v>0</v>
          </cell>
          <cell r="CY414">
            <v>1106</v>
          </cell>
          <cell r="CZ414">
            <v>0</v>
          </cell>
          <cell r="DA414">
            <v>1106</v>
          </cell>
          <cell r="DB414">
            <v>0</v>
          </cell>
          <cell r="DC414">
            <v>0</v>
          </cell>
          <cell r="DD414">
            <v>0</v>
          </cell>
          <cell r="DE414">
            <v>0</v>
          </cell>
          <cell r="DF414">
            <v>0</v>
          </cell>
          <cell r="DG414">
            <v>0</v>
          </cell>
          <cell r="DI414">
            <v>0</v>
          </cell>
          <cell r="DJ414">
            <v>7644</v>
          </cell>
          <cell r="DK414">
            <v>0</v>
          </cell>
          <cell r="DL414">
            <v>7644</v>
          </cell>
          <cell r="DM414">
            <v>7644</v>
          </cell>
          <cell r="DN414">
            <v>0</v>
          </cell>
          <cell r="DO414">
            <v>7644</v>
          </cell>
          <cell r="DP414">
            <v>0</v>
          </cell>
          <cell r="DQ414">
            <v>0</v>
          </cell>
          <cell r="DR414">
            <v>0</v>
          </cell>
          <cell r="DS414">
            <v>0</v>
          </cell>
          <cell r="DT414">
            <v>15288</v>
          </cell>
          <cell r="DU414">
            <v>0</v>
          </cell>
          <cell r="DW414">
            <v>0</v>
          </cell>
          <cell r="DX414">
            <v>0</v>
          </cell>
          <cell r="DY414">
            <v>0</v>
          </cell>
          <cell r="DZ414">
            <v>0</v>
          </cell>
          <cell r="EA414">
            <v>0</v>
          </cell>
          <cell r="EB414">
            <v>2114</v>
          </cell>
          <cell r="EC414">
            <v>4228</v>
          </cell>
          <cell r="ED414">
            <v>6440</v>
          </cell>
          <cell r="EE414">
            <v>8652</v>
          </cell>
          <cell r="EF414">
            <v>10864</v>
          </cell>
          <cell r="EG414">
            <v>13076</v>
          </cell>
          <cell r="EH414">
            <v>15288</v>
          </cell>
          <cell r="EI414">
            <v>60662</v>
          </cell>
          <cell r="EK414">
            <v>0</v>
          </cell>
          <cell r="EL414">
            <v>0</v>
          </cell>
          <cell r="EM414">
            <v>0</v>
          </cell>
          <cell r="EN414">
            <v>0</v>
          </cell>
          <cell r="EO414">
            <v>0</v>
          </cell>
          <cell r="EP414">
            <v>14.093333333333334</v>
          </cell>
          <cell r="EQ414">
            <v>28.186666666666667</v>
          </cell>
          <cell r="ER414">
            <v>42.933333333333337</v>
          </cell>
          <cell r="ES414">
            <v>62.006</v>
          </cell>
          <cell r="ET414">
            <v>77.858666666666664</v>
          </cell>
          <cell r="EU414">
            <v>93.711333333333314</v>
          </cell>
          <cell r="EV414">
            <v>109.56399999999998</v>
          </cell>
          <cell r="EW414">
            <v>428.3533333333333</v>
          </cell>
          <cell r="EY414">
            <v>12782</v>
          </cell>
          <cell r="EZ414">
            <v>8</v>
          </cell>
          <cell r="FA414">
            <v>85.213333333333324</v>
          </cell>
          <cell r="FB414">
            <v>47880</v>
          </cell>
          <cell r="FC414">
            <v>8.6</v>
          </cell>
          <cell r="FD414">
            <v>343.14000000000004</v>
          </cell>
          <cell r="FE414">
            <v>428.35333333333335</v>
          </cell>
          <cell r="FF414">
            <v>15716</v>
          </cell>
          <cell r="FH414">
            <v>15716</v>
          </cell>
        </row>
        <row r="415">
          <cell r="B415">
            <v>9587</v>
          </cell>
          <cell r="C415" t="str">
            <v>12.06.2008</v>
          </cell>
          <cell r="D415" t="str">
            <v>Shaikh Vikar Ahemad Abdul Rashid</v>
          </cell>
          <cell r="F415">
            <v>0</v>
          </cell>
          <cell r="G415">
            <v>13517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Q415">
            <v>1057</v>
          </cell>
          <cell r="AR415">
            <v>0</v>
          </cell>
          <cell r="AS415">
            <v>1057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BA415">
            <v>1057</v>
          </cell>
          <cell r="BB415">
            <v>0</v>
          </cell>
          <cell r="BC415">
            <v>1057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K415">
            <v>1106</v>
          </cell>
          <cell r="BL415">
            <v>0</v>
          </cell>
          <cell r="BM415">
            <v>1106</v>
          </cell>
          <cell r="BN415">
            <v>0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  <cell r="BS415">
            <v>0</v>
          </cell>
          <cell r="BU415">
            <v>1106</v>
          </cell>
          <cell r="BV415">
            <v>0</v>
          </cell>
          <cell r="BW415">
            <v>1106</v>
          </cell>
          <cell r="BX415">
            <v>0</v>
          </cell>
          <cell r="BY415">
            <v>0</v>
          </cell>
          <cell r="BZ415">
            <v>0</v>
          </cell>
          <cell r="CA415">
            <v>0</v>
          </cell>
          <cell r="CB415">
            <v>0</v>
          </cell>
          <cell r="CC415">
            <v>0</v>
          </cell>
          <cell r="CE415">
            <v>1106</v>
          </cell>
          <cell r="CF415">
            <v>0</v>
          </cell>
          <cell r="CG415">
            <v>1106</v>
          </cell>
          <cell r="CH415">
            <v>0</v>
          </cell>
          <cell r="CI415">
            <v>0</v>
          </cell>
          <cell r="CJ415">
            <v>0</v>
          </cell>
          <cell r="CK415">
            <v>0</v>
          </cell>
          <cell r="CL415">
            <v>0</v>
          </cell>
          <cell r="CM415">
            <v>0</v>
          </cell>
          <cell r="CO415">
            <v>1106</v>
          </cell>
          <cell r="CP415">
            <v>0</v>
          </cell>
          <cell r="CQ415">
            <v>1106</v>
          </cell>
          <cell r="CR415">
            <v>0</v>
          </cell>
          <cell r="CS415">
            <v>0</v>
          </cell>
          <cell r="CT415">
            <v>0</v>
          </cell>
          <cell r="CU415">
            <v>0</v>
          </cell>
          <cell r="CV415">
            <v>0</v>
          </cell>
          <cell r="CW415">
            <v>0</v>
          </cell>
          <cell r="CY415">
            <v>1106</v>
          </cell>
          <cell r="CZ415">
            <v>0</v>
          </cell>
          <cell r="DA415">
            <v>1106</v>
          </cell>
          <cell r="DB415">
            <v>0</v>
          </cell>
          <cell r="DC415">
            <v>0</v>
          </cell>
          <cell r="DD415">
            <v>0</v>
          </cell>
          <cell r="DE415">
            <v>0</v>
          </cell>
          <cell r="DF415">
            <v>0</v>
          </cell>
          <cell r="DG415">
            <v>0</v>
          </cell>
          <cell r="DI415">
            <v>0</v>
          </cell>
          <cell r="DJ415">
            <v>7644</v>
          </cell>
          <cell r="DK415">
            <v>0</v>
          </cell>
          <cell r="DL415">
            <v>7644</v>
          </cell>
          <cell r="DM415">
            <v>7644</v>
          </cell>
          <cell r="DN415">
            <v>0</v>
          </cell>
          <cell r="DO415">
            <v>7644</v>
          </cell>
          <cell r="DP415">
            <v>0</v>
          </cell>
          <cell r="DQ415">
            <v>0</v>
          </cell>
          <cell r="DR415">
            <v>0</v>
          </cell>
          <cell r="DS415">
            <v>0</v>
          </cell>
          <cell r="DT415">
            <v>15288</v>
          </cell>
          <cell r="DU415">
            <v>0</v>
          </cell>
          <cell r="DW415">
            <v>0</v>
          </cell>
          <cell r="DX415">
            <v>0</v>
          </cell>
          <cell r="DY415">
            <v>0</v>
          </cell>
          <cell r="DZ415">
            <v>0</v>
          </cell>
          <cell r="EA415">
            <v>0</v>
          </cell>
          <cell r="EB415">
            <v>2114</v>
          </cell>
          <cell r="EC415">
            <v>4228</v>
          </cell>
          <cell r="ED415">
            <v>6440</v>
          </cell>
          <cell r="EE415">
            <v>8652</v>
          </cell>
          <cell r="EF415">
            <v>10864</v>
          </cell>
          <cell r="EG415">
            <v>13076</v>
          </cell>
          <cell r="EH415">
            <v>15288</v>
          </cell>
          <cell r="EI415">
            <v>60662</v>
          </cell>
          <cell r="EK415">
            <v>0</v>
          </cell>
          <cell r="EL415">
            <v>0</v>
          </cell>
          <cell r="EM415">
            <v>0</v>
          </cell>
          <cell r="EN415">
            <v>0</v>
          </cell>
          <cell r="EO415">
            <v>0</v>
          </cell>
          <cell r="EP415">
            <v>14.093333333333334</v>
          </cell>
          <cell r="EQ415">
            <v>28.186666666666667</v>
          </cell>
          <cell r="ER415">
            <v>42.933333333333337</v>
          </cell>
          <cell r="ES415">
            <v>62.006</v>
          </cell>
          <cell r="ET415">
            <v>77.858666666666664</v>
          </cell>
          <cell r="EU415">
            <v>93.711333333333314</v>
          </cell>
          <cell r="EV415">
            <v>109.56399999999998</v>
          </cell>
          <cell r="EW415">
            <v>428.3533333333333</v>
          </cell>
          <cell r="EY415">
            <v>12782</v>
          </cell>
          <cell r="EZ415">
            <v>8</v>
          </cell>
          <cell r="FA415">
            <v>85.213333333333324</v>
          </cell>
          <cell r="FB415">
            <v>47880</v>
          </cell>
          <cell r="FC415">
            <v>8.6</v>
          </cell>
          <cell r="FD415">
            <v>343.14000000000004</v>
          </cell>
          <cell r="FE415">
            <v>428.35333333333335</v>
          </cell>
          <cell r="FF415">
            <v>15716</v>
          </cell>
          <cell r="FH415">
            <v>15716</v>
          </cell>
        </row>
        <row r="416">
          <cell r="B416">
            <v>9486</v>
          </cell>
          <cell r="C416" t="str">
            <v>16.06.2008</v>
          </cell>
          <cell r="D416" t="str">
            <v>Parbhate Manisha Balkrishna</v>
          </cell>
          <cell r="F416">
            <v>6090</v>
          </cell>
          <cell r="G416">
            <v>20827</v>
          </cell>
          <cell r="H416">
            <v>3830</v>
          </cell>
          <cell r="I416">
            <v>3830</v>
          </cell>
          <cell r="J416">
            <v>7660</v>
          </cell>
          <cell r="K416">
            <v>1570</v>
          </cell>
          <cell r="M416">
            <v>1057</v>
          </cell>
          <cell r="N416">
            <v>0</v>
          </cell>
          <cell r="O416">
            <v>1057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W416">
            <v>1057</v>
          </cell>
          <cell r="X416">
            <v>0</v>
          </cell>
          <cell r="Y416">
            <v>1057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G416">
            <v>1088</v>
          </cell>
          <cell r="AH416">
            <v>0</v>
          </cell>
          <cell r="AI416">
            <v>1088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Q416">
            <v>1088</v>
          </cell>
          <cell r="AR416">
            <v>0</v>
          </cell>
          <cell r="AS416">
            <v>1088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BA416">
            <v>1088</v>
          </cell>
          <cell r="BB416">
            <v>0</v>
          </cell>
          <cell r="BC416">
            <v>1088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K416">
            <v>1139</v>
          </cell>
          <cell r="BL416">
            <v>0</v>
          </cell>
          <cell r="BM416">
            <v>1139</v>
          </cell>
          <cell r="BN416">
            <v>0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  <cell r="BS416">
            <v>0</v>
          </cell>
          <cell r="BU416">
            <v>1139</v>
          </cell>
          <cell r="BV416">
            <v>0</v>
          </cell>
          <cell r="BW416">
            <v>1139</v>
          </cell>
          <cell r="BX416">
            <v>0</v>
          </cell>
          <cell r="BY416">
            <v>0</v>
          </cell>
          <cell r="BZ416">
            <v>0</v>
          </cell>
          <cell r="CA416">
            <v>0</v>
          </cell>
          <cell r="CB416">
            <v>0</v>
          </cell>
          <cell r="CC416">
            <v>0</v>
          </cell>
          <cell r="CE416">
            <v>1139</v>
          </cell>
          <cell r="CF416">
            <v>0</v>
          </cell>
          <cell r="CG416">
            <v>1139</v>
          </cell>
          <cell r="CH416">
            <v>0</v>
          </cell>
          <cell r="CI416">
            <v>0</v>
          </cell>
          <cell r="CJ416">
            <v>0</v>
          </cell>
          <cell r="CK416">
            <v>0</v>
          </cell>
          <cell r="CL416">
            <v>0</v>
          </cell>
          <cell r="CM416">
            <v>0</v>
          </cell>
          <cell r="CO416">
            <v>1139</v>
          </cell>
          <cell r="CP416">
            <v>0</v>
          </cell>
          <cell r="CQ416">
            <v>1139</v>
          </cell>
          <cell r="CR416">
            <v>0</v>
          </cell>
          <cell r="CS416">
            <v>0</v>
          </cell>
          <cell r="CT416">
            <v>0</v>
          </cell>
          <cell r="CU416">
            <v>0</v>
          </cell>
          <cell r="CV416">
            <v>0</v>
          </cell>
          <cell r="CW416">
            <v>0</v>
          </cell>
          <cell r="CY416">
            <v>1139</v>
          </cell>
          <cell r="CZ416">
            <v>0</v>
          </cell>
          <cell r="DA416">
            <v>1139</v>
          </cell>
          <cell r="DB416">
            <v>0</v>
          </cell>
          <cell r="DC416">
            <v>0</v>
          </cell>
          <cell r="DD416">
            <v>0</v>
          </cell>
          <cell r="DE416">
            <v>0</v>
          </cell>
          <cell r="DF416">
            <v>0</v>
          </cell>
          <cell r="DG416">
            <v>0</v>
          </cell>
          <cell r="DI416">
            <v>7660</v>
          </cell>
          <cell r="DJ416">
            <v>11073</v>
          </cell>
          <cell r="DK416">
            <v>0</v>
          </cell>
          <cell r="DL416">
            <v>11073</v>
          </cell>
          <cell r="DM416">
            <v>11073</v>
          </cell>
          <cell r="DN416">
            <v>0</v>
          </cell>
          <cell r="DO416">
            <v>11073</v>
          </cell>
          <cell r="DP416">
            <v>0</v>
          </cell>
          <cell r="DQ416">
            <v>0</v>
          </cell>
          <cell r="DR416">
            <v>0</v>
          </cell>
          <cell r="DS416">
            <v>0</v>
          </cell>
          <cell r="DT416">
            <v>22146</v>
          </cell>
          <cell r="DU416">
            <v>0</v>
          </cell>
          <cell r="DW416">
            <v>0</v>
          </cell>
          <cell r="DX416">
            <v>0</v>
          </cell>
          <cell r="DY416">
            <v>9774</v>
          </cell>
          <cell r="DZ416">
            <v>11888</v>
          </cell>
          <cell r="EA416">
            <v>14064</v>
          </cell>
          <cell r="EB416">
            <v>16240</v>
          </cell>
          <cell r="EC416">
            <v>18416</v>
          </cell>
          <cell r="ED416">
            <v>20694</v>
          </cell>
          <cell r="EE416">
            <v>22972</v>
          </cell>
          <cell r="EF416">
            <v>25250</v>
          </cell>
          <cell r="EG416">
            <v>27528</v>
          </cell>
          <cell r="EH416">
            <v>29806</v>
          </cell>
          <cell r="EI416">
            <v>196632</v>
          </cell>
          <cell r="EK416">
            <v>0</v>
          </cell>
          <cell r="EL416">
            <v>0</v>
          </cell>
          <cell r="EM416">
            <v>65.16</v>
          </cell>
          <cell r="EN416">
            <v>79.25333333333333</v>
          </cell>
          <cell r="EO416">
            <v>93.759999999999991</v>
          </cell>
          <cell r="EP416">
            <v>108.26666666666667</v>
          </cell>
          <cell r="EQ416">
            <v>122.77333333333333</v>
          </cell>
          <cell r="ER416">
            <v>137.96</v>
          </cell>
          <cell r="ES416">
            <v>164.63266666666667</v>
          </cell>
          <cell r="ET416">
            <v>180.95833333333334</v>
          </cell>
          <cell r="EU416">
            <v>197.28399999999999</v>
          </cell>
          <cell r="EV416">
            <v>213.60966666666664</v>
          </cell>
          <cell r="EW416">
            <v>1363.6579999999999</v>
          </cell>
          <cell r="EY416">
            <v>91076</v>
          </cell>
          <cell r="EZ416">
            <v>8</v>
          </cell>
          <cell r="FA416">
            <v>607.17333333333329</v>
          </cell>
          <cell r="FB416">
            <v>105556</v>
          </cell>
          <cell r="FC416">
            <v>8.6</v>
          </cell>
          <cell r="FD416">
            <v>756.48466666666661</v>
          </cell>
          <cell r="FE416">
            <v>1363.6579999999999</v>
          </cell>
          <cell r="FF416">
            <v>31170</v>
          </cell>
          <cell r="FH416">
            <v>31170</v>
          </cell>
        </row>
        <row r="417">
          <cell r="B417">
            <v>9592</v>
          </cell>
          <cell r="C417" t="str">
            <v>16.06.2008</v>
          </cell>
          <cell r="D417" t="str">
            <v>Sonawane Sanjay Bhatu</v>
          </cell>
          <cell r="F417">
            <v>0</v>
          </cell>
          <cell r="G417">
            <v>14400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BA417">
            <v>2038</v>
          </cell>
          <cell r="BB417">
            <v>0</v>
          </cell>
          <cell r="BC417">
            <v>2038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>
            <v>0</v>
          </cell>
          <cell r="BK417">
            <v>2133</v>
          </cell>
          <cell r="BL417">
            <v>0</v>
          </cell>
          <cell r="BM417">
            <v>2133</v>
          </cell>
          <cell r="BN417">
            <v>0</v>
          </cell>
          <cell r="BO417">
            <v>0</v>
          </cell>
          <cell r="BP417">
            <v>0</v>
          </cell>
          <cell r="BQ417">
            <v>0</v>
          </cell>
          <cell r="BR417">
            <v>0</v>
          </cell>
          <cell r="BS417">
            <v>0</v>
          </cell>
          <cell r="BU417">
            <v>2133</v>
          </cell>
          <cell r="BV417">
            <v>0</v>
          </cell>
          <cell r="BW417">
            <v>2133</v>
          </cell>
          <cell r="BX417">
            <v>0</v>
          </cell>
          <cell r="BY417">
            <v>0</v>
          </cell>
          <cell r="BZ417">
            <v>0</v>
          </cell>
          <cell r="CA417">
            <v>0</v>
          </cell>
          <cell r="CB417">
            <v>0</v>
          </cell>
          <cell r="CC417">
            <v>0</v>
          </cell>
          <cell r="CE417">
            <v>2133</v>
          </cell>
          <cell r="CF417">
            <v>0</v>
          </cell>
          <cell r="CG417">
            <v>2133</v>
          </cell>
          <cell r="CH417">
            <v>0</v>
          </cell>
          <cell r="CI417">
            <v>0</v>
          </cell>
          <cell r="CJ417">
            <v>0</v>
          </cell>
          <cell r="CK417">
            <v>0</v>
          </cell>
          <cell r="CL417">
            <v>0</v>
          </cell>
          <cell r="CM417">
            <v>0</v>
          </cell>
          <cell r="CO417">
            <v>2133</v>
          </cell>
          <cell r="CP417">
            <v>0</v>
          </cell>
          <cell r="CQ417">
            <v>2133</v>
          </cell>
          <cell r="CR417">
            <v>0</v>
          </cell>
          <cell r="CS417">
            <v>0</v>
          </cell>
          <cell r="CT417">
            <v>0</v>
          </cell>
          <cell r="CU417">
            <v>0</v>
          </cell>
          <cell r="CV417">
            <v>0</v>
          </cell>
          <cell r="CW417">
            <v>0</v>
          </cell>
          <cell r="CY417">
            <v>2133</v>
          </cell>
          <cell r="CZ417">
            <v>0</v>
          </cell>
          <cell r="DA417">
            <v>2133</v>
          </cell>
          <cell r="DB417">
            <v>0</v>
          </cell>
          <cell r="DC417">
            <v>0</v>
          </cell>
          <cell r="DD417">
            <v>0</v>
          </cell>
          <cell r="DE417">
            <v>0</v>
          </cell>
          <cell r="DF417">
            <v>0</v>
          </cell>
          <cell r="DG417">
            <v>0</v>
          </cell>
          <cell r="DI417">
            <v>0</v>
          </cell>
          <cell r="DJ417">
            <v>12703</v>
          </cell>
          <cell r="DK417">
            <v>0</v>
          </cell>
          <cell r="DL417">
            <v>12703</v>
          </cell>
          <cell r="DM417">
            <v>12703</v>
          </cell>
          <cell r="DN417">
            <v>0</v>
          </cell>
          <cell r="DO417">
            <v>12703</v>
          </cell>
          <cell r="DP417">
            <v>0</v>
          </cell>
          <cell r="DQ417">
            <v>0</v>
          </cell>
          <cell r="DR417">
            <v>0</v>
          </cell>
          <cell r="DS417">
            <v>0</v>
          </cell>
          <cell r="DT417">
            <v>25406</v>
          </cell>
          <cell r="DU417">
            <v>0</v>
          </cell>
          <cell r="DW417">
            <v>0</v>
          </cell>
          <cell r="DX417">
            <v>0</v>
          </cell>
          <cell r="DY417">
            <v>0</v>
          </cell>
          <cell r="DZ417">
            <v>0</v>
          </cell>
          <cell r="EA417">
            <v>0</v>
          </cell>
          <cell r="EB417">
            <v>0</v>
          </cell>
          <cell r="EC417">
            <v>4076</v>
          </cell>
          <cell r="ED417">
            <v>8342</v>
          </cell>
          <cell r="EE417">
            <v>12608</v>
          </cell>
          <cell r="EF417">
            <v>16874</v>
          </cell>
          <cell r="EG417">
            <v>21140</v>
          </cell>
          <cell r="EH417">
            <v>25406</v>
          </cell>
          <cell r="EI417">
            <v>88446</v>
          </cell>
          <cell r="EK417">
            <v>0</v>
          </cell>
          <cell r="EL417">
            <v>0</v>
          </cell>
          <cell r="EM417">
            <v>0</v>
          </cell>
          <cell r="EN417">
            <v>0</v>
          </cell>
          <cell r="EO417">
            <v>0</v>
          </cell>
          <cell r="EP417">
            <v>0</v>
          </cell>
          <cell r="EQ417">
            <v>27.173333333333332</v>
          </cell>
          <cell r="ER417">
            <v>55.613333333333337</v>
          </cell>
          <cell r="ES417">
            <v>90.357333333333315</v>
          </cell>
          <cell r="ET417">
            <v>120.93033333333334</v>
          </cell>
          <cell r="EU417">
            <v>151.50333333333333</v>
          </cell>
          <cell r="EV417">
            <v>182.07633333333331</v>
          </cell>
          <cell r="EW417">
            <v>627.654</v>
          </cell>
          <cell r="EY417">
            <v>12418</v>
          </cell>
          <cell r="EZ417">
            <v>8</v>
          </cell>
          <cell r="FA417">
            <v>82.786666666666676</v>
          </cell>
          <cell r="FB417">
            <v>76028</v>
          </cell>
          <cell r="FC417">
            <v>8.6</v>
          </cell>
          <cell r="FD417">
            <v>544.86733333333325</v>
          </cell>
          <cell r="FE417">
            <v>627.65399999999988</v>
          </cell>
          <cell r="FF417">
            <v>26034</v>
          </cell>
          <cell r="FH417">
            <v>26034</v>
          </cell>
        </row>
        <row r="418">
          <cell r="B418">
            <v>9595</v>
          </cell>
          <cell r="C418" t="str">
            <v>16.06.2008</v>
          </cell>
          <cell r="D418" t="str">
            <v>Salve Jayshree Prabhakar</v>
          </cell>
          <cell r="F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BA418">
            <v>2038</v>
          </cell>
          <cell r="BB418">
            <v>0</v>
          </cell>
          <cell r="BC418">
            <v>2038</v>
          </cell>
          <cell r="BD418">
            <v>0</v>
          </cell>
          <cell r="BE418">
            <v>0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K418">
            <v>2133</v>
          </cell>
          <cell r="BL418">
            <v>0</v>
          </cell>
          <cell r="BM418">
            <v>2133</v>
          </cell>
          <cell r="BN418">
            <v>0</v>
          </cell>
          <cell r="BO418">
            <v>0</v>
          </cell>
          <cell r="BP418">
            <v>0</v>
          </cell>
          <cell r="BQ418">
            <v>0</v>
          </cell>
          <cell r="BR418">
            <v>0</v>
          </cell>
          <cell r="BS418">
            <v>0</v>
          </cell>
          <cell r="BU418">
            <v>2133</v>
          </cell>
          <cell r="BV418">
            <v>0</v>
          </cell>
          <cell r="BW418">
            <v>2133</v>
          </cell>
          <cell r="BX418">
            <v>0</v>
          </cell>
          <cell r="BY418">
            <v>0</v>
          </cell>
          <cell r="BZ418">
            <v>0</v>
          </cell>
          <cell r="CA418">
            <v>0</v>
          </cell>
          <cell r="CB418">
            <v>0</v>
          </cell>
          <cell r="CC418">
            <v>0</v>
          </cell>
          <cell r="CE418">
            <v>2133</v>
          </cell>
          <cell r="CF418">
            <v>0</v>
          </cell>
          <cell r="CG418">
            <v>2133</v>
          </cell>
          <cell r="CH418">
            <v>0</v>
          </cell>
          <cell r="CI418">
            <v>0</v>
          </cell>
          <cell r="CJ418">
            <v>0</v>
          </cell>
          <cell r="CK418">
            <v>0</v>
          </cell>
          <cell r="CL418">
            <v>0</v>
          </cell>
          <cell r="CM418">
            <v>0</v>
          </cell>
          <cell r="CO418">
            <v>2133</v>
          </cell>
          <cell r="CP418">
            <v>0</v>
          </cell>
          <cell r="CQ418">
            <v>2133</v>
          </cell>
          <cell r="CR418">
            <v>0</v>
          </cell>
          <cell r="CS418">
            <v>0</v>
          </cell>
          <cell r="CT418">
            <v>0</v>
          </cell>
          <cell r="CU418">
            <v>0</v>
          </cell>
          <cell r="CV418">
            <v>0</v>
          </cell>
          <cell r="CW418">
            <v>0</v>
          </cell>
          <cell r="CY418">
            <v>2133</v>
          </cell>
          <cell r="CZ418">
            <v>0</v>
          </cell>
          <cell r="DA418">
            <v>2133</v>
          </cell>
          <cell r="DB418">
            <v>0</v>
          </cell>
          <cell r="DC418">
            <v>0</v>
          </cell>
          <cell r="DD418">
            <v>0</v>
          </cell>
          <cell r="DE418">
            <v>0</v>
          </cell>
          <cell r="DF418">
            <v>0</v>
          </cell>
          <cell r="DG418">
            <v>0</v>
          </cell>
          <cell r="DI418">
            <v>0</v>
          </cell>
          <cell r="DJ418">
            <v>12703</v>
          </cell>
          <cell r="DK418">
            <v>0</v>
          </cell>
          <cell r="DL418">
            <v>12703</v>
          </cell>
          <cell r="DM418">
            <v>12703</v>
          </cell>
          <cell r="DN418">
            <v>0</v>
          </cell>
          <cell r="DO418">
            <v>12703</v>
          </cell>
          <cell r="DP418">
            <v>0</v>
          </cell>
          <cell r="DQ418">
            <v>0</v>
          </cell>
          <cell r="DR418">
            <v>0</v>
          </cell>
          <cell r="DS418">
            <v>0</v>
          </cell>
          <cell r="DT418">
            <v>25406</v>
          </cell>
          <cell r="DU418">
            <v>0</v>
          </cell>
          <cell r="DW418">
            <v>0</v>
          </cell>
          <cell r="DX418">
            <v>0</v>
          </cell>
          <cell r="DY418">
            <v>0</v>
          </cell>
          <cell r="DZ418">
            <v>0</v>
          </cell>
          <cell r="EA418">
            <v>0</v>
          </cell>
          <cell r="EB418">
            <v>0</v>
          </cell>
          <cell r="EC418">
            <v>4076</v>
          </cell>
          <cell r="ED418">
            <v>8342</v>
          </cell>
          <cell r="EE418">
            <v>12608</v>
          </cell>
          <cell r="EF418">
            <v>16874</v>
          </cell>
          <cell r="EG418">
            <v>21140</v>
          </cell>
          <cell r="EH418">
            <v>25406</v>
          </cell>
          <cell r="EI418">
            <v>88446</v>
          </cell>
          <cell r="EK418">
            <v>0</v>
          </cell>
          <cell r="EL418">
            <v>0</v>
          </cell>
          <cell r="EM418">
            <v>0</v>
          </cell>
          <cell r="EN418">
            <v>0</v>
          </cell>
          <cell r="EO418">
            <v>0</v>
          </cell>
          <cell r="EP418">
            <v>0</v>
          </cell>
          <cell r="EQ418">
            <v>27.173333333333332</v>
          </cell>
          <cell r="ER418">
            <v>55.613333333333337</v>
          </cell>
          <cell r="ES418">
            <v>90.357333333333315</v>
          </cell>
          <cell r="ET418">
            <v>120.93033333333334</v>
          </cell>
          <cell r="EU418">
            <v>151.50333333333333</v>
          </cell>
          <cell r="EV418">
            <v>182.07633333333331</v>
          </cell>
          <cell r="EW418">
            <v>627.654</v>
          </cell>
          <cell r="EY418">
            <v>12418</v>
          </cell>
          <cell r="EZ418">
            <v>8</v>
          </cell>
          <cell r="FA418">
            <v>82.786666666666676</v>
          </cell>
          <cell r="FB418">
            <v>76028</v>
          </cell>
          <cell r="FC418">
            <v>8.6</v>
          </cell>
          <cell r="FD418">
            <v>544.86733333333325</v>
          </cell>
          <cell r="FE418">
            <v>627.65399999999988</v>
          </cell>
          <cell r="FF418">
            <v>26034</v>
          </cell>
          <cell r="FH418">
            <v>26034</v>
          </cell>
        </row>
        <row r="419">
          <cell r="B419">
            <v>9609</v>
          </cell>
          <cell r="C419" t="str">
            <v>16.06.2008</v>
          </cell>
          <cell r="D419" t="str">
            <v>Nerkar Anil Eknath</v>
          </cell>
          <cell r="F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0</v>
          </cell>
          <cell r="BG419">
            <v>0</v>
          </cell>
          <cell r="BH419">
            <v>0</v>
          </cell>
          <cell r="BI419">
            <v>0</v>
          </cell>
          <cell r="BK419">
            <v>0</v>
          </cell>
          <cell r="BL419">
            <v>0</v>
          </cell>
          <cell r="BM419">
            <v>0</v>
          </cell>
          <cell r="BN419">
            <v>0</v>
          </cell>
          <cell r="BO419">
            <v>0</v>
          </cell>
          <cell r="BP419">
            <v>0</v>
          </cell>
          <cell r="BQ419">
            <v>0</v>
          </cell>
          <cell r="BR419">
            <v>0</v>
          </cell>
          <cell r="BS419">
            <v>0</v>
          </cell>
          <cell r="BU419">
            <v>1565</v>
          </cell>
          <cell r="BV419">
            <v>0</v>
          </cell>
          <cell r="BW419">
            <v>1565</v>
          </cell>
          <cell r="BX419">
            <v>0</v>
          </cell>
          <cell r="BY419">
            <v>0</v>
          </cell>
          <cell r="BZ419">
            <v>0</v>
          </cell>
          <cell r="CA419">
            <v>0</v>
          </cell>
          <cell r="CB419">
            <v>0</v>
          </cell>
          <cell r="CC419">
            <v>0</v>
          </cell>
          <cell r="CE419">
            <v>1565</v>
          </cell>
          <cell r="CF419">
            <v>0</v>
          </cell>
          <cell r="CG419">
            <v>1565</v>
          </cell>
          <cell r="CH419">
            <v>0</v>
          </cell>
          <cell r="CI419">
            <v>0</v>
          </cell>
          <cell r="CJ419">
            <v>0</v>
          </cell>
          <cell r="CK419">
            <v>0</v>
          </cell>
          <cell r="CL419">
            <v>0</v>
          </cell>
          <cell r="CM419">
            <v>0</v>
          </cell>
          <cell r="CO419">
            <v>1565</v>
          </cell>
          <cell r="CP419">
            <v>0</v>
          </cell>
          <cell r="CQ419">
            <v>1565</v>
          </cell>
          <cell r="CR419">
            <v>0</v>
          </cell>
          <cell r="CS419">
            <v>0</v>
          </cell>
          <cell r="CT419">
            <v>0</v>
          </cell>
          <cell r="CU419">
            <v>0</v>
          </cell>
          <cell r="CV419">
            <v>0</v>
          </cell>
          <cell r="CW419">
            <v>0</v>
          </cell>
          <cell r="CY419">
            <v>1565</v>
          </cell>
          <cell r="CZ419">
            <v>0</v>
          </cell>
          <cell r="DA419">
            <v>1565</v>
          </cell>
          <cell r="DB419">
            <v>0</v>
          </cell>
          <cell r="DC419">
            <v>0</v>
          </cell>
          <cell r="DD419">
            <v>0</v>
          </cell>
          <cell r="DE419">
            <v>0</v>
          </cell>
          <cell r="DF419">
            <v>0</v>
          </cell>
          <cell r="DG419">
            <v>0</v>
          </cell>
          <cell r="DI419">
            <v>0</v>
          </cell>
          <cell r="DJ419">
            <v>6260</v>
          </cell>
          <cell r="DK419">
            <v>0</v>
          </cell>
          <cell r="DL419">
            <v>6260</v>
          </cell>
          <cell r="DM419">
            <v>6260</v>
          </cell>
          <cell r="DN419">
            <v>0</v>
          </cell>
          <cell r="DO419">
            <v>6260</v>
          </cell>
          <cell r="DP419">
            <v>0</v>
          </cell>
          <cell r="DQ419">
            <v>0</v>
          </cell>
          <cell r="DR419">
            <v>0</v>
          </cell>
          <cell r="DS419">
            <v>0</v>
          </cell>
          <cell r="DT419">
            <v>12520</v>
          </cell>
          <cell r="DU419">
            <v>0</v>
          </cell>
          <cell r="DW419">
            <v>0</v>
          </cell>
          <cell r="DX419">
            <v>0</v>
          </cell>
          <cell r="DY419">
            <v>0</v>
          </cell>
          <cell r="DZ419">
            <v>0</v>
          </cell>
          <cell r="EA419">
            <v>0</v>
          </cell>
          <cell r="EB419">
            <v>0</v>
          </cell>
          <cell r="EC419">
            <v>0</v>
          </cell>
          <cell r="ED419">
            <v>0</v>
          </cell>
          <cell r="EE419">
            <v>3130</v>
          </cell>
          <cell r="EF419">
            <v>6260</v>
          </cell>
          <cell r="EG419">
            <v>9390</v>
          </cell>
          <cell r="EH419">
            <v>12520</v>
          </cell>
          <cell r="EI419">
            <v>31300</v>
          </cell>
          <cell r="EK419">
            <v>0</v>
          </cell>
          <cell r="EL419">
            <v>0</v>
          </cell>
          <cell r="EM419">
            <v>0</v>
          </cell>
          <cell r="EN419">
            <v>0</v>
          </cell>
          <cell r="EO419">
            <v>0</v>
          </cell>
          <cell r="EP419">
            <v>0</v>
          </cell>
          <cell r="EQ419">
            <v>0</v>
          </cell>
          <cell r="ER419">
            <v>0</v>
          </cell>
          <cell r="ES419">
            <v>22.431666666666668</v>
          </cell>
          <cell r="ET419">
            <v>44.863333333333337</v>
          </cell>
          <cell r="EU419">
            <v>67.295000000000002</v>
          </cell>
          <cell r="EV419">
            <v>89.726666666666674</v>
          </cell>
          <cell r="EW419">
            <v>224.31666666666666</v>
          </cell>
          <cell r="EY419">
            <v>0</v>
          </cell>
          <cell r="EZ419">
            <v>8</v>
          </cell>
          <cell r="FA419">
            <v>0</v>
          </cell>
          <cell r="FB419">
            <v>31300</v>
          </cell>
          <cell r="FC419">
            <v>8.6</v>
          </cell>
          <cell r="FD419">
            <v>224.31666666666669</v>
          </cell>
          <cell r="FE419">
            <v>224.31666666666669</v>
          </cell>
          <cell r="FF419">
            <v>12744</v>
          </cell>
          <cell r="FH419">
            <v>12744</v>
          </cell>
        </row>
        <row r="420">
          <cell r="B420">
            <v>9598</v>
          </cell>
          <cell r="C420" t="str">
            <v>18.06.2008</v>
          </cell>
          <cell r="D420" t="str">
            <v>Nirbhavne Bhushan Prakash</v>
          </cell>
          <cell r="F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BA420">
            <v>1057</v>
          </cell>
          <cell r="BB420">
            <v>0</v>
          </cell>
          <cell r="BC420">
            <v>1057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0</v>
          </cell>
          <cell r="BI420">
            <v>0</v>
          </cell>
          <cell r="BK420">
            <v>1106</v>
          </cell>
          <cell r="BL420">
            <v>0</v>
          </cell>
          <cell r="BM420">
            <v>1106</v>
          </cell>
          <cell r="BN420">
            <v>0</v>
          </cell>
          <cell r="BO420">
            <v>0</v>
          </cell>
          <cell r="BP420">
            <v>0</v>
          </cell>
          <cell r="BQ420">
            <v>0</v>
          </cell>
          <cell r="BR420">
            <v>0</v>
          </cell>
          <cell r="BS420">
            <v>0</v>
          </cell>
          <cell r="BU420">
            <v>1106</v>
          </cell>
          <cell r="BV420">
            <v>0</v>
          </cell>
          <cell r="BW420">
            <v>1106</v>
          </cell>
          <cell r="BX420">
            <v>0</v>
          </cell>
          <cell r="BY420">
            <v>0</v>
          </cell>
          <cell r="BZ420">
            <v>0</v>
          </cell>
          <cell r="CA420">
            <v>0</v>
          </cell>
          <cell r="CB420">
            <v>0</v>
          </cell>
          <cell r="CC420">
            <v>0</v>
          </cell>
          <cell r="CE420">
            <v>1106</v>
          </cell>
          <cell r="CF420">
            <v>0</v>
          </cell>
          <cell r="CG420">
            <v>1106</v>
          </cell>
          <cell r="CH420">
            <v>0</v>
          </cell>
          <cell r="CI420">
            <v>0</v>
          </cell>
          <cell r="CJ420">
            <v>0</v>
          </cell>
          <cell r="CK420">
            <v>0</v>
          </cell>
          <cell r="CL420">
            <v>0</v>
          </cell>
          <cell r="CM420">
            <v>0</v>
          </cell>
          <cell r="CO420">
            <v>1106</v>
          </cell>
          <cell r="CP420">
            <v>0</v>
          </cell>
          <cell r="CQ420">
            <v>1106</v>
          </cell>
          <cell r="CR420">
            <v>0</v>
          </cell>
          <cell r="CS420">
            <v>0</v>
          </cell>
          <cell r="CT420">
            <v>0</v>
          </cell>
          <cell r="CU420">
            <v>0</v>
          </cell>
          <cell r="CV420">
            <v>0</v>
          </cell>
          <cell r="CW420">
            <v>0</v>
          </cell>
          <cell r="CY420">
            <v>1106</v>
          </cell>
          <cell r="CZ420">
            <v>0</v>
          </cell>
          <cell r="DA420">
            <v>1106</v>
          </cell>
          <cell r="DB420">
            <v>0</v>
          </cell>
          <cell r="DC420">
            <v>0</v>
          </cell>
          <cell r="DD420">
            <v>0</v>
          </cell>
          <cell r="DE420">
            <v>0</v>
          </cell>
          <cell r="DF420">
            <v>0</v>
          </cell>
          <cell r="DG420">
            <v>0</v>
          </cell>
          <cell r="DI420">
            <v>0</v>
          </cell>
          <cell r="DJ420">
            <v>6587</v>
          </cell>
          <cell r="DK420">
            <v>0</v>
          </cell>
          <cell r="DL420">
            <v>6587</v>
          </cell>
          <cell r="DM420">
            <v>6587</v>
          </cell>
          <cell r="DN420">
            <v>0</v>
          </cell>
          <cell r="DO420">
            <v>6587</v>
          </cell>
          <cell r="DP420">
            <v>0</v>
          </cell>
          <cell r="DQ420">
            <v>0</v>
          </cell>
          <cell r="DR420">
            <v>0</v>
          </cell>
          <cell r="DS420">
            <v>0</v>
          </cell>
          <cell r="DT420">
            <v>13174</v>
          </cell>
          <cell r="DU420">
            <v>0</v>
          </cell>
          <cell r="DW420">
            <v>0</v>
          </cell>
          <cell r="DX420">
            <v>0</v>
          </cell>
          <cell r="DY420">
            <v>0</v>
          </cell>
          <cell r="DZ420">
            <v>0</v>
          </cell>
          <cell r="EA420">
            <v>0</v>
          </cell>
          <cell r="EB420">
            <v>0</v>
          </cell>
          <cell r="EC420">
            <v>2114</v>
          </cell>
          <cell r="ED420">
            <v>4326</v>
          </cell>
          <cell r="EE420">
            <v>6538</v>
          </cell>
          <cell r="EF420">
            <v>8750</v>
          </cell>
          <cell r="EG420">
            <v>10962</v>
          </cell>
          <cell r="EH420">
            <v>13174</v>
          </cell>
          <cell r="EI420">
            <v>45864</v>
          </cell>
          <cell r="EK420">
            <v>0</v>
          </cell>
          <cell r="EL420">
            <v>0</v>
          </cell>
          <cell r="EM420">
            <v>0</v>
          </cell>
          <cell r="EN420">
            <v>0</v>
          </cell>
          <cell r="EO420">
            <v>0</v>
          </cell>
          <cell r="EP420">
            <v>0</v>
          </cell>
          <cell r="EQ420">
            <v>14.093333333333334</v>
          </cell>
          <cell r="ER420">
            <v>28.84</v>
          </cell>
          <cell r="ES420">
            <v>46.855666666666657</v>
          </cell>
          <cell r="ET420">
            <v>62.708333333333336</v>
          </cell>
          <cell r="EU420">
            <v>78.560999999999993</v>
          </cell>
          <cell r="EV420">
            <v>94.413666666666657</v>
          </cell>
          <cell r="EW420">
            <v>325.47199999999998</v>
          </cell>
          <cell r="EY420">
            <v>6440</v>
          </cell>
          <cell r="EZ420">
            <v>8</v>
          </cell>
          <cell r="FA420">
            <v>42.933333333333337</v>
          </cell>
          <cell r="FB420">
            <v>39424</v>
          </cell>
          <cell r="FC420">
            <v>8.6</v>
          </cell>
          <cell r="FD420">
            <v>282.53866666666664</v>
          </cell>
          <cell r="FE420">
            <v>325.47199999999998</v>
          </cell>
          <cell r="FF420">
            <v>13499</v>
          </cell>
          <cell r="FH420">
            <v>13499</v>
          </cell>
        </row>
        <row r="421">
          <cell r="B421">
            <v>9593</v>
          </cell>
          <cell r="C421" t="str">
            <v>03.07.2008</v>
          </cell>
          <cell r="D421" t="str">
            <v>Jadhav Balu Sopan</v>
          </cell>
          <cell r="F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BA421">
            <v>2997</v>
          </cell>
          <cell r="BB421">
            <v>0</v>
          </cell>
          <cell r="BC421">
            <v>2997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0</v>
          </cell>
          <cell r="BI421">
            <v>0</v>
          </cell>
          <cell r="BK421">
            <v>3136</v>
          </cell>
          <cell r="BL421">
            <v>0</v>
          </cell>
          <cell r="BM421">
            <v>3136</v>
          </cell>
          <cell r="BN421">
            <v>0</v>
          </cell>
          <cell r="BO421">
            <v>0</v>
          </cell>
          <cell r="BP421">
            <v>0</v>
          </cell>
          <cell r="BQ421">
            <v>0</v>
          </cell>
          <cell r="BR421">
            <v>0</v>
          </cell>
          <cell r="BS421">
            <v>0</v>
          </cell>
          <cell r="BU421">
            <v>3136</v>
          </cell>
          <cell r="BV421">
            <v>0</v>
          </cell>
          <cell r="BW421">
            <v>3136</v>
          </cell>
          <cell r="BX421">
            <v>0</v>
          </cell>
          <cell r="BY421">
            <v>0</v>
          </cell>
          <cell r="BZ421">
            <v>0</v>
          </cell>
          <cell r="CA421">
            <v>0</v>
          </cell>
          <cell r="CB421">
            <v>0</v>
          </cell>
          <cell r="CC421">
            <v>0</v>
          </cell>
          <cell r="CE421">
            <v>3136</v>
          </cell>
          <cell r="CF421">
            <v>0</v>
          </cell>
          <cell r="CG421">
            <v>3136</v>
          </cell>
          <cell r="CH421">
            <v>0</v>
          </cell>
          <cell r="CI421">
            <v>0</v>
          </cell>
          <cell r="CJ421">
            <v>0</v>
          </cell>
          <cell r="CK421">
            <v>0</v>
          </cell>
          <cell r="CL421">
            <v>0</v>
          </cell>
          <cell r="CM421">
            <v>0</v>
          </cell>
          <cell r="CO421">
            <v>3136</v>
          </cell>
          <cell r="CP421">
            <v>0</v>
          </cell>
          <cell r="CQ421">
            <v>3136</v>
          </cell>
          <cell r="CR421">
            <v>0</v>
          </cell>
          <cell r="CS421">
            <v>0</v>
          </cell>
          <cell r="CT421">
            <v>0</v>
          </cell>
          <cell r="CU421">
            <v>0</v>
          </cell>
          <cell r="CV421">
            <v>0</v>
          </cell>
          <cell r="CW421">
            <v>0</v>
          </cell>
          <cell r="CY421">
            <v>3136</v>
          </cell>
          <cell r="CZ421">
            <v>0</v>
          </cell>
          <cell r="DA421">
            <v>3136</v>
          </cell>
          <cell r="DB421">
            <v>0</v>
          </cell>
          <cell r="DC421">
            <v>0</v>
          </cell>
          <cell r="DD421">
            <v>0</v>
          </cell>
          <cell r="DE421">
            <v>0</v>
          </cell>
          <cell r="DF421">
            <v>0</v>
          </cell>
          <cell r="DG421">
            <v>0</v>
          </cell>
          <cell r="DI421">
            <v>0</v>
          </cell>
          <cell r="DJ421">
            <v>18677</v>
          </cell>
          <cell r="DK421">
            <v>0</v>
          </cell>
          <cell r="DL421">
            <v>18677</v>
          </cell>
          <cell r="DM421">
            <v>18677</v>
          </cell>
          <cell r="DN421">
            <v>0</v>
          </cell>
          <cell r="DO421">
            <v>18677</v>
          </cell>
          <cell r="DP421">
            <v>0</v>
          </cell>
          <cell r="DQ421">
            <v>0</v>
          </cell>
          <cell r="DR421">
            <v>0</v>
          </cell>
          <cell r="DS421">
            <v>0</v>
          </cell>
          <cell r="DT421">
            <v>37354</v>
          </cell>
          <cell r="DU421">
            <v>0</v>
          </cell>
          <cell r="DW421">
            <v>0</v>
          </cell>
          <cell r="DX421">
            <v>0</v>
          </cell>
          <cell r="DY421">
            <v>0</v>
          </cell>
          <cell r="DZ421">
            <v>0</v>
          </cell>
          <cell r="EA421">
            <v>0</v>
          </cell>
          <cell r="EB421">
            <v>0</v>
          </cell>
          <cell r="EC421">
            <v>5994</v>
          </cell>
          <cell r="ED421">
            <v>12266</v>
          </cell>
          <cell r="EE421">
            <v>18538</v>
          </cell>
          <cell r="EF421">
            <v>24810</v>
          </cell>
          <cell r="EG421">
            <v>31082</v>
          </cell>
          <cell r="EH421">
            <v>37354</v>
          </cell>
          <cell r="EI421">
            <v>130044</v>
          </cell>
          <cell r="EK421">
            <v>0</v>
          </cell>
          <cell r="EL421">
            <v>0</v>
          </cell>
          <cell r="EM421">
            <v>0</v>
          </cell>
          <cell r="EN421">
            <v>0</v>
          </cell>
          <cell r="EO421">
            <v>0</v>
          </cell>
          <cell r="EP421">
            <v>0</v>
          </cell>
          <cell r="EQ421">
            <v>39.96</v>
          </cell>
          <cell r="ER421">
            <v>81.773333333333326</v>
          </cell>
          <cell r="ES421">
            <v>132.85566666666665</v>
          </cell>
          <cell r="ET421">
            <v>177.80499999999998</v>
          </cell>
          <cell r="EU421">
            <v>222.75433333333334</v>
          </cell>
          <cell r="EV421">
            <v>267.70366666666661</v>
          </cell>
          <cell r="EW421">
            <v>922.85199999999986</v>
          </cell>
          <cell r="EY421">
            <v>18260</v>
          </cell>
          <cell r="EZ421">
            <v>8</v>
          </cell>
          <cell r="FA421">
            <v>121.73333333333333</v>
          </cell>
          <cell r="FB421">
            <v>111784</v>
          </cell>
          <cell r="FC421">
            <v>8.6</v>
          </cell>
          <cell r="FD421">
            <v>801.11866666666663</v>
          </cell>
          <cell r="FE421">
            <v>922.85199999999998</v>
          </cell>
          <cell r="FF421">
            <v>38277</v>
          </cell>
          <cell r="FH421">
            <v>38277</v>
          </cell>
        </row>
        <row r="422">
          <cell r="B422">
            <v>9597</v>
          </cell>
          <cell r="C422" t="str">
            <v>15.07.2008</v>
          </cell>
          <cell r="D422" t="str">
            <v>Giraje Sagar Babu</v>
          </cell>
          <cell r="F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BA422">
            <v>1057</v>
          </cell>
          <cell r="BB422">
            <v>0</v>
          </cell>
          <cell r="BC422">
            <v>1057</v>
          </cell>
          <cell r="BD422">
            <v>0</v>
          </cell>
          <cell r="BE422">
            <v>0</v>
          </cell>
          <cell r="BF422">
            <v>0</v>
          </cell>
          <cell r="BG422">
            <v>0</v>
          </cell>
          <cell r="BH422">
            <v>0</v>
          </cell>
          <cell r="BI422">
            <v>0</v>
          </cell>
          <cell r="BK422">
            <v>1106</v>
          </cell>
          <cell r="BL422">
            <v>0</v>
          </cell>
          <cell r="BM422">
            <v>1106</v>
          </cell>
          <cell r="BN422">
            <v>0</v>
          </cell>
          <cell r="BO422">
            <v>0</v>
          </cell>
          <cell r="BP422">
            <v>0</v>
          </cell>
          <cell r="BQ422">
            <v>0</v>
          </cell>
          <cell r="BR422">
            <v>0</v>
          </cell>
          <cell r="BS422">
            <v>0</v>
          </cell>
          <cell r="BU422">
            <v>1106</v>
          </cell>
          <cell r="BV422">
            <v>0</v>
          </cell>
          <cell r="BW422">
            <v>1106</v>
          </cell>
          <cell r="BX422">
            <v>0</v>
          </cell>
          <cell r="BY422">
            <v>0</v>
          </cell>
          <cell r="BZ422">
            <v>0</v>
          </cell>
          <cell r="CA422">
            <v>0</v>
          </cell>
          <cell r="CB422">
            <v>0</v>
          </cell>
          <cell r="CC422">
            <v>0</v>
          </cell>
          <cell r="CE422">
            <v>1106</v>
          </cell>
          <cell r="CF422">
            <v>0</v>
          </cell>
          <cell r="CG422">
            <v>1106</v>
          </cell>
          <cell r="CH422">
            <v>0</v>
          </cell>
          <cell r="CI422">
            <v>0</v>
          </cell>
          <cell r="CJ422">
            <v>0</v>
          </cell>
          <cell r="CK422">
            <v>0</v>
          </cell>
          <cell r="CL422">
            <v>0</v>
          </cell>
          <cell r="CM422">
            <v>0</v>
          </cell>
          <cell r="CO422">
            <v>1106</v>
          </cell>
          <cell r="CP422">
            <v>0</v>
          </cell>
          <cell r="CQ422">
            <v>1106</v>
          </cell>
          <cell r="CR422">
            <v>0</v>
          </cell>
          <cell r="CS422">
            <v>0</v>
          </cell>
          <cell r="CT422">
            <v>0</v>
          </cell>
          <cell r="CU422">
            <v>0</v>
          </cell>
          <cell r="CV422">
            <v>0</v>
          </cell>
          <cell r="CW422">
            <v>0</v>
          </cell>
          <cell r="CY422">
            <v>1106</v>
          </cell>
          <cell r="CZ422">
            <v>0</v>
          </cell>
          <cell r="DA422">
            <v>1106</v>
          </cell>
          <cell r="DB422">
            <v>0</v>
          </cell>
          <cell r="DC422">
            <v>0</v>
          </cell>
          <cell r="DD422">
            <v>0</v>
          </cell>
          <cell r="DE422">
            <v>0</v>
          </cell>
          <cell r="DF422">
            <v>0</v>
          </cell>
          <cell r="DG422">
            <v>0</v>
          </cell>
          <cell r="DI422">
            <v>0</v>
          </cell>
          <cell r="DJ422">
            <v>6587</v>
          </cell>
          <cell r="DK422">
            <v>0</v>
          </cell>
          <cell r="DL422">
            <v>6587</v>
          </cell>
          <cell r="DM422">
            <v>6587</v>
          </cell>
          <cell r="DN422">
            <v>0</v>
          </cell>
          <cell r="DO422">
            <v>6587</v>
          </cell>
          <cell r="DP422">
            <v>0</v>
          </cell>
          <cell r="DQ422">
            <v>0</v>
          </cell>
          <cell r="DR422">
            <v>0</v>
          </cell>
          <cell r="DS422">
            <v>0</v>
          </cell>
          <cell r="DT422">
            <v>13174</v>
          </cell>
          <cell r="DU422">
            <v>0</v>
          </cell>
          <cell r="DW422">
            <v>0</v>
          </cell>
          <cell r="DX422">
            <v>0</v>
          </cell>
          <cell r="DY422">
            <v>0</v>
          </cell>
          <cell r="DZ422">
            <v>0</v>
          </cell>
          <cell r="EA422">
            <v>0</v>
          </cell>
          <cell r="EB422">
            <v>0</v>
          </cell>
          <cell r="EC422">
            <v>2114</v>
          </cell>
          <cell r="ED422">
            <v>4326</v>
          </cell>
          <cell r="EE422">
            <v>6538</v>
          </cell>
          <cell r="EF422">
            <v>8750</v>
          </cell>
          <cell r="EG422">
            <v>10962</v>
          </cell>
          <cell r="EH422">
            <v>13174</v>
          </cell>
          <cell r="EI422">
            <v>45864</v>
          </cell>
          <cell r="EK422">
            <v>0</v>
          </cell>
          <cell r="EL422">
            <v>0</v>
          </cell>
          <cell r="EM422">
            <v>0</v>
          </cell>
          <cell r="EN422">
            <v>0</v>
          </cell>
          <cell r="EO422">
            <v>0</v>
          </cell>
          <cell r="EP422">
            <v>0</v>
          </cell>
          <cell r="EQ422">
            <v>14.093333333333334</v>
          </cell>
          <cell r="ER422">
            <v>28.84</v>
          </cell>
          <cell r="ES422">
            <v>46.855666666666657</v>
          </cell>
          <cell r="ET422">
            <v>62.708333333333336</v>
          </cell>
          <cell r="EU422">
            <v>78.560999999999993</v>
          </cell>
          <cell r="EV422">
            <v>94.413666666666657</v>
          </cell>
          <cell r="EW422">
            <v>325.47199999999998</v>
          </cell>
          <cell r="EY422">
            <v>6440</v>
          </cell>
          <cell r="EZ422">
            <v>8</v>
          </cell>
          <cell r="FA422">
            <v>42.933333333333337</v>
          </cell>
          <cell r="FB422">
            <v>39424</v>
          </cell>
          <cell r="FC422">
            <v>8.6</v>
          </cell>
          <cell r="FD422">
            <v>282.53866666666664</v>
          </cell>
          <cell r="FE422">
            <v>325.47199999999998</v>
          </cell>
          <cell r="FF422">
            <v>13499</v>
          </cell>
          <cell r="FH422">
            <v>13499</v>
          </cell>
        </row>
        <row r="423">
          <cell r="B423">
            <v>9603</v>
          </cell>
          <cell r="C423" t="str">
            <v>15.07.2008</v>
          </cell>
          <cell r="D423" t="str">
            <v>Gilattar Nirmala Gopal</v>
          </cell>
          <cell r="F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W423">
            <v>0</v>
          </cell>
          <cell r="X423">
            <v>0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BA423">
            <v>0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F423">
            <v>0</v>
          </cell>
          <cell r="BG423">
            <v>0</v>
          </cell>
          <cell r="BH423">
            <v>0</v>
          </cell>
          <cell r="BI423">
            <v>0</v>
          </cell>
          <cell r="BK423">
            <v>1106</v>
          </cell>
          <cell r="BL423">
            <v>0</v>
          </cell>
          <cell r="BM423">
            <v>1106</v>
          </cell>
          <cell r="BN423">
            <v>0</v>
          </cell>
          <cell r="BO423">
            <v>0</v>
          </cell>
          <cell r="BP423">
            <v>0</v>
          </cell>
          <cell r="BQ423">
            <v>0</v>
          </cell>
          <cell r="BR423">
            <v>0</v>
          </cell>
          <cell r="BS423">
            <v>0</v>
          </cell>
          <cell r="BU423">
            <v>1106</v>
          </cell>
          <cell r="BV423">
            <v>0</v>
          </cell>
          <cell r="BW423">
            <v>1106</v>
          </cell>
          <cell r="BX423">
            <v>0</v>
          </cell>
          <cell r="BY423">
            <v>0</v>
          </cell>
          <cell r="BZ423">
            <v>0</v>
          </cell>
          <cell r="CA423">
            <v>0</v>
          </cell>
          <cell r="CB423">
            <v>0</v>
          </cell>
          <cell r="CC423">
            <v>0</v>
          </cell>
          <cell r="CE423">
            <v>1106</v>
          </cell>
          <cell r="CF423">
            <v>0</v>
          </cell>
          <cell r="CG423">
            <v>1106</v>
          </cell>
          <cell r="CH423">
            <v>0</v>
          </cell>
          <cell r="CI423">
            <v>0</v>
          </cell>
          <cell r="CJ423">
            <v>0</v>
          </cell>
          <cell r="CK423">
            <v>0</v>
          </cell>
          <cell r="CL423">
            <v>0</v>
          </cell>
          <cell r="CM423">
            <v>0</v>
          </cell>
          <cell r="CO423">
            <v>1106</v>
          </cell>
          <cell r="CP423">
            <v>0</v>
          </cell>
          <cell r="CQ423">
            <v>1106</v>
          </cell>
          <cell r="CR423">
            <v>0</v>
          </cell>
          <cell r="CS423">
            <v>0</v>
          </cell>
          <cell r="CT423">
            <v>0</v>
          </cell>
          <cell r="CU423">
            <v>0</v>
          </cell>
          <cell r="CV423">
            <v>0</v>
          </cell>
          <cell r="CW423">
            <v>0</v>
          </cell>
          <cell r="CY423">
            <v>1106</v>
          </cell>
          <cell r="CZ423">
            <v>0</v>
          </cell>
          <cell r="DA423">
            <v>1106</v>
          </cell>
          <cell r="DB423">
            <v>0</v>
          </cell>
          <cell r="DC423">
            <v>0</v>
          </cell>
          <cell r="DD423">
            <v>0</v>
          </cell>
          <cell r="DE423">
            <v>0</v>
          </cell>
          <cell r="DF423">
            <v>0</v>
          </cell>
          <cell r="DG423">
            <v>0</v>
          </cell>
          <cell r="DI423">
            <v>0</v>
          </cell>
          <cell r="DJ423">
            <v>5530</v>
          </cell>
          <cell r="DK423">
            <v>0</v>
          </cell>
          <cell r="DL423">
            <v>5530</v>
          </cell>
          <cell r="DM423">
            <v>5530</v>
          </cell>
          <cell r="DN423">
            <v>0</v>
          </cell>
          <cell r="DO423">
            <v>5530</v>
          </cell>
          <cell r="DP423">
            <v>0</v>
          </cell>
          <cell r="DQ423">
            <v>0</v>
          </cell>
          <cell r="DR423">
            <v>0</v>
          </cell>
          <cell r="DS423">
            <v>0</v>
          </cell>
          <cell r="DT423">
            <v>11060</v>
          </cell>
          <cell r="DU423">
            <v>0</v>
          </cell>
          <cell r="DW423">
            <v>0</v>
          </cell>
          <cell r="DX423">
            <v>0</v>
          </cell>
          <cell r="DY423">
            <v>0</v>
          </cell>
          <cell r="DZ423">
            <v>0</v>
          </cell>
          <cell r="EA423">
            <v>0</v>
          </cell>
          <cell r="EB423">
            <v>0</v>
          </cell>
          <cell r="EC423">
            <v>0</v>
          </cell>
          <cell r="ED423">
            <v>2212</v>
          </cell>
          <cell r="EE423">
            <v>4424</v>
          </cell>
          <cell r="EF423">
            <v>6636</v>
          </cell>
          <cell r="EG423">
            <v>8848</v>
          </cell>
          <cell r="EH423">
            <v>11060</v>
          </cell>
          <cell r="EI423">
            <v>33180</v>
          </cell>
          <cell r="EK423">
            <v>0</v>
          </cell>
          <cell r="EL423">
            <v>0</v>
          </cell>
          <cell r="EM423">
            <v>0</v>
          </cell>
          <cell r="EN423">
            <v>0</v>
          </cell>
          <cell r="EO423">
            <v>0</v>
          </cell>
          <cell r="EP423">
            <v>0</v>
          </cell>
          <cell r="EQ423">
            <v>0</v>
          </cell>
          <cell r="ER423">
            <v>14.746666666666668</v>
          </cell>
          <cell r="ES423">
            <v>31.705333333333332</v>
          </cell>
          <cell r="ET423">
            <v>47.558</v>
          </cell>
          <cell r="EU423">
            <v>63.410666666666664</v>
          </cell>
          <cell r="EV423">
            <v>79.263333333333335</v>
          </cell>
          <cell r="EW423">
            <v>236.68399999999997</v>
          </cell>
          <cell r="EY423">
            <v>2212</v>
          </cell>
          <cell r="EZ423">
            <v>8</v>
          </cell>
          <cell r="FA423">
            <v>14.746666666666668</v>
          </cell>
          <cell r="FB423">
            <v>30968</v>
          </cell>
          <cell r="FC423">
            <v>8.6</v>
          </cell>
          <cell r="FD423">
            <v>221.93733333333333</v>
          </cell>
          <cell r="FE423">
            <v>236.684</v>
          </cell>
          <cell r="FF423">
            <v>11297</v>
          </cell>
          <cell r="FH423">
            <v>11297</v>
          </cell>
        </row>
        <row r="424">
          <cell r="B424">
            <v>9610</v>
          </cell>
          <cell r="C424" t="str">
            <v>18.07.2008</v>
          </cell>
          <cell r="D424" t="str">
            <v>Bahadur (Pawar) Rani Jaysingh</v>
          </cell>
          <cell r="F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BA424">
            <v>0</v>
          </cell>
          <cell r="BB424">
            <v>0</v>
          </cell>
          <cell r="BC424">
            <v>0</v>
          </cell>
          <cell r="BD424">
            <v>0</v>
          </cell>
          <cell r="BE424">
            <v>0</v>
          </cell>
          <cell r="BF424">
            <v>0</v>
          </cell>
          <cell r="BG424">
            <v>0</v>
          </cell>
          <cell r="BH424">
            <v>0</v>
          </cell>
          <cell r="BI424">
            <v>0</v>
          </cell>
          <cell r="BK424">
            <v>0</v>
          </cell>
          <cell r="BL424">
            <v>0</v>
          </cell>
          <cell r="BM424">
            <v>0</v>
          </cell>
          <cell r="BN424">
            <v>0</v>
          </cell>
          <cell r="BO424">
            <v>0</v>
          </cell>
          <cell r="BP424">
            <v>0</v>
          </cell>
          <cell r="BQ424">
            <v>0</v>
          </cell>
          <cell r="BR424">
            <v>0</v>
          </cell>
          <cell r="BS424">
            <v>0</v>
          </cell>
          <cell r="BU424">
            <v>1210</v>
          </cell>
          <cell r="BV424">
            <v>0</v>
          </cell>
          <cell r="BW424">
            <v>1210</v>
          </cell>
          <cell r="BX424">
            <v>0</v>
          </cell>
          <cell r="BY424">
            <v>0</v>
          </cell>
          <cell r="BZ424">
            <v>0</v>
          </cell>
          <cell r="CA424">
            <v>0</v>
          </cell>
          <cell r="CB424">
            <v>0</v>
          </cell>
          <cell r="CC424">
            <v>0</v>
          </cell>
          <cell r="CE424">
            <v>1210</v>
          </cell>
          <cell r="CF424">
            <v>0</v>
          </cell>
          <cell r="CG424">
            <v>1210</v>
          </cell>
          <cell r="CH424">
            <v>0</v>
          </cell>
          <cell r="CI424">
            <v>0</v>
          </cell>
          <cell r="CJ424">
            <v>0</v>
          </cell>
          <cell r="CK424">
            <v>0</v>
          </cell>
          <cell r="CL424">
            <v>0</v>
          </cell>
          <cell r="CM424">
            <v>0</v>
          </cell>
          <cell r="CO424">
            <v>1210</v>
          </cell>
          <cell r="CP424">
            <v>0</v>
          </cell>
          <cell r="CQ424">
            <v>1210</v>
          </cell>
          <cell r="CR424">
            <v>0</v>
          </cell>
          <cell r="CS424">
            <v>0</v>
          </cell>
          <cell r="CT424">
            <v>0</v>
          </cell>
          <cell r="CU424">
            <v>0</v>
          </cell>
          <cell r="CV424">
            <v>0</v>
          </cell>
          <cell r="CW424">
            <v>0</v>
          </cell>
          <cell r="CY424">
            <v>1210</v>
          </cell>
          <cell r="CZ424">
            <v>0</v>
          </cell>
          <cell r="DA424">
            <v>1210</v>
          </cell>
          <cell r="DB424">
            <v>0</v>
          </cell>
          <cell r="DC424">
            <v>0</v>
          </cell>
          <cell r="DD424">
            <v>0</v>
          </cell>
          <cell r="DE424">
            <v>0</v>
          </cell>
          <cell r="DF424">
            <v>0</v>
          </cell>
          <cell r="DG424">
            <v>0</v>
          </cell>
          <cell r="DI424">
            <v>0</v>
          </cell>
          <cell r="DJ424">
            <v>4840</v>
          </cell>
          <cell r="DK424">
            <v>0</v>
          </cell>
          <cell r="DL424">
            <v>4840</v>
          </cell>
          <cell r="DM424">
            <v>4840</v>
          </cell>
          <cell r="DN424">
            <v>0</v>
          </cell>
          <cell r="DO424">
            <v>4840</v>
          </cell>
          <cell r="DP424">
            <v>0</v>
          </cell>
          <cell r="DQ424">
            <v>0</v>
          </cell>
          <cell r="DR424">
            <v>0</v>
          </cell>
          <cell r="DS424">
            <v>0</v>
          </cell>
          <cell r="DT424">
            <v>9680</v>
          </cell>
          <cell r="DU424">
            <v>0</v>
          </cell>
          <cell r="DW424">
            <v>0</v>
          </cell>
          <cell r="DX424">
            <v>0</v>
          </cell>
          <cell r="DY424">
            <v>0</v>
          </cell>
          <cell r="DZ424">
            <v>0</v>
          </cell>
          <cell r="EA424">
            <v>0</v>
          </cell>
          <cell r="EB424">
            <v>0</v>
          </cell>
          <cell r="EC424">
            <v>0</v>
          </cell>
          <cell r="ED424">
            <v>0</v>
          </cell>
          <cell r="EE424">
            <v>2420</v>
          </cell>
          <cell r="EF424">
            <v>4840</v>
          </cell>
          <cell r="EG424">
            <v>7260</v>
          </cell>
          <cell r="EH424">
            <v>9680</v>
          </cell>
          <cell r="EI424">
            <v>24200</v>
          </cell>
          <cell r="EK424">
            <v>0</v>
          </cell>
          <cell r="EL424">
            <v>0</v>
          </cell>
          <cell r="EM424">
            <v>0</v>
          </cell>
          <cell r="EN424">
            <v>0</v>
          </cell>
          <cell r="EO424">
            <v>0</v>
          </cell>
          <cell r="EP424">
            <v>0</v>
          </cell>
          <cell r="EQ424">
            <v>0</v>
          </cell>
          <cell r="ER424">
            <v>0</v>
          </cell>
          <cell r="ES424">
            <v>17.343333333333334</v>
          </cell>
          <cell r="ET424">
            <v>34.686666666666667</v>
          </cell>
          <cell r="EU424">
            <v>52.03</v>
          </cell>
          <cell r="EV424">
            <v>69.373333333333335</v>
          </cell>
          <cell r="EW424">
            <v>173.43333333333334</v>
          </cell>
          <cell r="EY424">
            <v>0</v>
          </cell>
          <cell r="EZ424">
            <v>8</v>
          </cell>
          <cell r="FA424">
            <v>0</v>
          </cell>
          <cell r="FB424">
            <v>24200</v>
          </cell>
          <cell r="FC424">
            <v>8.6</v>
          </cell>
          <cell r="FD424">
            <v>173.43333333333331</v>
          </cell>
          <cell r="FE424">
            <v>173.43333333333331</v>
          </cell>
          <cell r="FF424">
            <v>9853</v>
          </cell>
          <cell r="FH424">
            <v>9853</v>
          </cell>
        </row>
        <row r="425">
          <cell r="B425">
            <v>9625</v>
          </cell>
          <cell r="C425" t="str">
            <v>23.07.2008</v>
          </cell>
          <cell r="D425" t="str">
            <v>Mehroliya Rekha Ashok</v>
          </cell>
          <cell r="F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BA425">
            <v>0</v>
          </cell>
          <cell r="BB425">
            <v>0</v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0</v>
          </cell>
          <cell r="BI425">
            <v>0</v>
          </cell>
          <cell r="BK425">
            <v>0</v>
          </cell>
          <cell r="BL425">
            <v>0</v>
          </cell>
          <cell r="BM425">
            <v>0</v>
          </cell>
          <cell r="BN425">
            <v>0</v>
          </cell>
          <cell r="BO425">
            <v>0</v>
          </cell>
          <cell r="BP425">
            <v>0</v>
          </cell>
          <cell r="BQ425">
            <v>0</v>
          </cell>
          <cell r="BR425">
            <v>0</v>
          </cell>
          <cell r="BS425">
            <v>0</v>
          </cell>
          <cell r="BU425">
            <v>0</v>
          </cell>
          <cell r="BV425">
            <v>0</v>
          </cell>
          <cell r="BW425">
            <v>0</v>
          </cell>
          <cell r="BX425">
            <v>0</v>
          </cell>
          <cell r="BY425">
            <v>0</v>
          </cell>
          <cell r="BZ425">
            <v>0</v>
          </cell>
          <cell r="CA425">
            <v>0</v>
          </cell>
          <cell r="CB425">
            <v>0</v>
          </cell>
          <cell r="CC425">
            <v>0</v>
          </cell>
          <cell r="CE425">
            <v>1106</v>
          </cell>
          <cell r="CF425">
            <v>0</v>
          </cell>
          <cell r="CG425">
            <v>1106</v>
          </cell>
          <cell r="CH425">
            <v>0</v>
          </cell>
          <cell r="CI425">
            <v>0</v>
          </cell>
          <cell r="CJ425">
            <v>0</v>
          </cell>
          <cell r="CK425">
            <v>0</v>
          </cell>
          <cell r="CL425">
            <v>0</v>
          </cell>
          <cell r="CM425">
            <v>0</v>
          </cell>
          <cell r="CO425">
            <v>1106</v>
          </cell>
          <cell r="CP425">
            <v>0</v>
          </cell>
          <cell r="CQ425">
            <v>1106</v>
          </cell>
          <cell r="CR425">
            <v>0</v>
          </cell>
          <cell r="CS425">
            <v>0</v>
          </cell>
          <cell r="CT425">
            <v>0</v>
          </cell>
          <cell r="CU425">
            <v>0</v>
          </cell>
          <cell r="CV425">
            <v>0</v>
          </cell>
          <cell r="CW425">
            <v>0</v>
          </cell>
          <cell r="CY425">
            <v>1106</v>
          </cell>
          <cell r="CZ425">
            <v>0</v>
          </cell>
          <cell r="DA425">
            <v>1106</v>
          </cell>
          <cell r="DB425">
            <v>0</v>
          </cell>
          <cell r="DC425">
            <v>0</v>
          </cell>
          <cell r="DD425">
            <v>0</v>
          </cell>
          <cell r="DE425">
            <v>0</v>
          </cell>
          <cell r="DF425">
            <v>0</v>
          </cell>
          <cell r="DG425">
            <v>0</v>
          </cell>
          <cell r="DI425">
            <v>0</v>
          </cell>
          <cell r="DJ425">
            <v>3318</v>
          </cell>
          <cell r="DK425">
            <v>0</v>
          </cell>
          <cell r="DL425">
            <v>3318</v>
          </cell>
          <cell r="DM425">
            <v>3318</v>
          </cell>
          <cell r="DN425">
            <v>0</v>
          </cell>
          <cell r="DO425">
            <v>3318</v>
          </cell>
          <cell r="DP425">
            <v>0</v>
          </cell>
          <cell r="DQ425">
            <v>0</v>
          </cell>
          <cell r="DR425">
            <v>0</v>
          </cell>
          <cell r="DS425">
            <v>0</v>
          </cell>
          <cell r="DT425">
            <v>6636</v>
          </cell>
          <cell r="DU425">
            <v>0</v>
          </cell>
          <cell r="DW425">
            <v>0</v>
          </cell>
          <cell r="DX425">
            <v>0</v>
          </cell>
          <cell r="DY425">
            <v>0</v>
          </cell>
          <cell r="DZ425">
            <v>0</v>
          </cell>
          <cell r="EA425">
            <v>0</v>
          </cell>
          <cell r="EB425">
            <v>0</v>
          </cell>
          <cell r="EC425">
            <v>0</v>
          </cell>
          <cell r="ED425">
            <v>0</v>
          </cell>
          <cell r="EE425">
            <v>0</v>
          </cell>
          <cell r="EF425">
            <v>2212</v>
          </cell>
          <cell r="EG425">
            <v>4424</v>
          </cell>
          <cell r="EH425">
            <v>6636</v>
          </cell>
          <cell r="EI425">
            <v>13272</v>
          </cell>
          <cell r="EK425">
            <v>0</v>
          </cell>
          <cell r="EL425">
            <v>0</v>
          </cell>
          <cell r="EM425">
            <v>0</v>
          </cell>
          <cell r="EN425">
            <v>0</v>
          </cell>
          <cell r="EO425">
            <v>0</v>
          </cell>
          <cell r="EP425">
            <v>0</v>
          </cell>
          <cell r="EQ425">
            <v>0</v>
          </cell>
          <cell r="ER425">
            <v>0</v>
          </cell>
          <cell r="ES425">
            <v>0</v>
          </cell>
          <cell r="ET425">
            <v>15.852666666666666</v>
          </cell>
          <cell r="EU425">
            <v>31.705333333333332</v>
          </cell>
          <cell r="EV425">
            <v>47.558</v>
          </cell>
          <cell r="EW425">
            <v>95.116</v>
          </cell>
          <cell r="EY425">
            <v>0</v>
          </cell>
          <cell r="EZ425">
            <v>8</v>
          </cell>
          <cell r="FA425">
            <v>0</v>
          </cell>
          <cell r="FB425">
            <v>13272</v>
          </cell>
          <cell r="FC425">
            <v>8.6</v>
          </cell>
          <cell r="FD425">
            <v>95.116</v>
          </cell>
          <cell r="FE425">
            <v>95.116</v>
          </cell>
          <cell r="FF425">
            <v>6731</v>
          </cell>
          <cell r="FH425">
            <v>6731</v>
          </cell>
        </row>
        <row r="426">
          <cell r="B426">
            <v>9601</v>
          </cell>
          <cell r="C426" t="str">
            <v>29.07.2008</v>
          </cell>
          <cell r="D426" t="str">
            <v>Dhepale Sunita Sadashiv</v>
          </cell>
          <cell r="F426">
            <v>0</v>
          </cell>
          <cell r="G426">
            <v>11987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0</v>
          </cell>
          <cell r="BA426">
            <v>0</v>
          </cell>
          <cell r="BB426">
            <v>0</v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0</v>
          </cell>
          <cell r="BI426">
            <v>0</v>
          </cell>
          <cell r="BK426">
            <v>1200</v>
          </cell>
          <cell r="BL426">
            <v>3358</v>
          </cell>
          <cell r="BM426">
            <v>1200</v>
          </cell>
          <cell r="BN426">
            <v>3358</v>
          </cell>
          <cell r="BO426">
            <v>0</v>
          </cell>
          <cell r="BP426">
            <v>0</v>
          </cell>
          <cell r="BQ426">
            <v>0</v>
          </cell>
          <cell r="BR426">
            <v>0</v>
          </cell>
          <cell r="BS426">
            <v>0</v>
          </cell>
          <cell r="BU426">
            <v>1565</v>
          </cell>
          <cell r="BV426">
            <v>0</v>
          </cell>
          <cell r="BW426">
            <v>1565</v>
          </cell>
          <cell r="BX426">
            <v>0</v>
          </cell>
          <cell r="BY426">
            <v>0</v>
          </cell>
          <cell r="BZ426">
            <v>0</v>
          </cell>
          <cell r="CA426">
            <v>0</v>
          </cell>
          <cell r="CB426">
            <v>0</v>
          </cell>
          <cell r="CC426">
            <v>0</v>
          </cell>
          <cell r="CE426">
            <v>1565</v>
          </cell>
          <cell r="CF426">
            <v>0</v>
          </cell>
          <cell r="CG426">
            <v>1565</v>
          </cell>
          <cell r="CH426">
            <v>0</v>
          </cell>
          <cell r="CI426">
            <v>0</v>
          </cell>
          <cell r="CJ426">
            <v>0</v>
          </cell>
          <cell r="CK426">
            <v>0</v>
          </cell>
          <cell r="CL426">
            <v>0</v>
          </cell>
          <cell r="CM426">
            <v>0</v>
          </cell>
          <cell r="CO426">
            <v>1565</v>
          </cell>
          <cell r="CP426">
            <v>0</v>
          </cell>
          <cell r="CQ426">
            <v>1565</v>
          </cell>
          <cell r="CR426">
            <v>0</v>
          </cell>
          <cell r="CS426">
            <v>0</v>
          </cell>
          <cell r="CT426">
            <v>0</v>
          </cell>
          <cell r="CU426">
            <v>0</v>
          </cell>
          <cell r="CV426">
            <v>0</v>
          </cell>
          <cell r="CW426">
            <v>0</v>
          </cell>
          <cell r="CY426">
            <v>1565</v>
          </cell>
          <cell r="CZ426">
            <v>0</v>
          </cell>
          <cell r="DA426">
            <v>1565</v>
          </cell>
          <cell r="DB426">
            <v>0</v>
          </cell>
          <cell r="DC426">
            <v>0</v>
          </cell>
          <cell r="DD426">
            <v>0</v>
          </cell>
          <cell r="DE426">
            <v>0</v>
          </cell>
          <cell r="DF426">
            <v>0</v>
          </cell>
          <cell r="DG426">
            <v>0</v>
          </cell>
          <cell r="DI426">
            <v>0</v>
          </cell>
          <cell r="DJ426">
            <v>7460</v>
          </cell>
          <cell r="DK426">
            <v>3358</v>
          </cell>
          <cell r="DL426">
            <v>10818</v>
          </cell>
          <cell r="DM426">
            <v>7460</v>
          </cell>
          <cell r="DN426">
            <v>3358</v>
          </cell>
          <cell r="DO426">
            <v>10818</v>
          </cell>
          <cell r="DP426">
            <v>0</v>
          </cell>
          <cell r="DQ426">
            <v>0</v>
          </cell>
          <cell r="DR426">
            <v>0</v>
          </cell>
          <cell r="DS426">
            <v>0</v>
          </cell>
          <cell r="DT426">
            <v>21636</v>
          </cell>
          <cell r="DU426">
            <v>0</v>
          </cell>
          <cell r="DW426">
            <v>0</v>
          </cell>
          <cell r="DX426">
            <v>0</v>
          </cell>
          <cell r="DY426">
            <v>0</v>
          </cell>
          <cell r="DZ426">
            <v>0</v>
          </cell>
          <cell r="EA426">
            <v>0</v>
          </cell>
          <cell r="EB426">
            <v>0</v>
          </cell>
          <cell r="EC426">
            <v>0</v>
          </cell>
          <cell r="ED426">
            <v>9116</v>
          </cell>
          <cell r="EE426">
            <v>12246</v>
          </cell>
          <cell r="EF426">
            <v>15376</v>
          </cell>
          <cell r="EG426">
            <v>18506</v>
          </cell>
          <cell r="EH426">
            <v>21636</v>
          </cell>
          <cell r="EI426">
            <v>76880</v>
          </cell>
          <cell r="EK426">
            <v>0</v>
          </cell>
          <cell r="EL426">
            <v>0</v>
          </cell>
          <cell r="EM426">
            <v>0</v>
          </cell>
          <cell r="EN426">
            <v>0</v>
          </cell>
          <cell r="EO426">
            <v>0</v>
          </cell>
          <cell r="EP426">
            <v>0</v>
          </cell>
          <cell r="EQ426">
            <v>0</v>
          </cell>
          <cell r="ER426">
            <v>60.773333333333333</v>
          </cell>
          <cell r="ES426">
            <v>87.762999999999991</v>
          </cell>
          <cell r="ET426">
            <v>110.19466666666666</v>
          </cell>
          <cell r="EU426">
            <v>132.62633333333335</v>
          </cell>
          <cell r="EV426">
            <v>155.05800000000002</v>
          </cell>
          <cell r="EW426">
            <v>546.41533333333336</v>
          </cell>
          <cell r="EY426">
            <v>9116</v>
          </cell>
          <cell r="EZ426">
            <v>8</v>
          </cell>
          <cell r="FA426">
            <v>60.773333333333333</v>
          </cell>
          <cell r="FB426">
            <v>67764</v>
          </cell>
          <cell r="FC426">
            <v>8.6</v>
          </cell>
          <cell r="FD426">
            <v>485.64200000000005</v>
          </cell>
          <cell r="FE426">
            <v>546.41533333333336</v>
          </cell>
          <cell r="FF426">
            <v>22182</v>
          </cell>
          <cell r="FH426">
            <v>22182</v>
          </cell>
        </row>
        <row r="427">
          <cell r="B427">
            <v>9600</v>
          </cell>
          <cell r="C427" t="str">
            <v>01.08.2008</v>
          </cell>
          <cell r="D427" t="str">
            <v>Sonawane Dhananjay Madhukar</v>
          </cell>
          <cell r="F427">
            <v>0</v>
          </cell>
          <cell r="G427">
            <v>12001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BA427">
            <v>1715</v>
          </cell>
          <cell r="BB427">
            <v>0</v>
          </cell>
          <cell r="BC427">
            <v>1715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>
            <v>0</v>
          </cell>
          <cell r="BK427">
            <v>1794</v>
          </cell>
          <cell r="BL427">
            <v>0</v>
          </cell>
          <cell r="BM427">
            <v>1794</v>
          </cell>
          <cell r="BN427">
            <v>0</v>
          </cell>
          <cell r="BO427">
            <v>0</v>
          </cell>
          <cell r="BP427">
            <v>0</v>
          </cell>
          <cell r="BQ427">
            <v>0</v>
          </cell>
          <cell r="BR427">
            <v>0</v>
          </cell>
          <cell r="BS427">
            <v>0</v>
          </cell>
          <cell r="BU427">
            <v>1794</v>
          </cell>
          <cell r="BV427">
            <v>0</v>
          </cell>
          <cell r="BW427">
            <v>1794</v>
          </cell>
          <cell r="BX427">
            <v>0</v>
          </cell>
          <cell r="BY427">
            <v>0</v>
          </cell>
          <cell r="BZ427">
            <v>0</v>
          </cell>
          <cell r="CA427">
            <v>0</v>
          </cell>
          <cell r="CB427">
            <v>0</v>
          </cell>
          <cell r="CC427">
            <v>0</v>
          </cell>
          <cell r="CE427">
            <v>1794</v>
          </cell>
          <cell r="CF427">
            <v>0</v>
          </cell>
          <cell r="CG427">
            <v>1794</v>
          </cell>
          <cell r="CH427">
            <v>0</v>
          </cell>
          <cell r="CI427">
            <v>0</v>
          </cell>
          <cell r="CJ427">
            <v>0</v>
          </cell>
          <cell r="CK427">
            <v>0</v>
          </cell>
          <cell r="CL427">
            <v>0</v>
          </cell>
          <cell r="CM427">
            <v>0</v>
          </cell>
          <cell r="CO427">
            <v>1794</v>
          </cell>
          <cell r="CP427">
            <v>0</v>
          </cell>
          <cell r="CQ427">
            <v>1794</v>
          </cell>
          <cell r="CR427">
            <v>0</v>
          </cell>
          <cell r="CS427">
            <v>0</v>
          </cell>
          <cell r="CT427">
            <v>0</v>
          </cell>
          <cell r="CU427">
            <v>0</v>
          </cell>
          <cell r="CV427">
            <v>0</v>
          </cell>
          <cell r="CW427">
            <v>0</v>
          </cell>
          <cell r="CY427">
            <v>1794</v>
          </cell>
          <cell r="CZ427">
            <v>0</v>
          </cell>
          <cell r="DA427">
            <v>1794</v>
          </cell>
          <cell r="DB427">
            <v>0</v>
          </cell>
          <cell r="DC427">
            <v>0</v>
          </cell>
          <cell r="DD427">
            <v>0</v>
          </cell>
          <cell r="DE427">
            <v>0</v>
          </cell>
          <cell r="DF427">
            <v>0</v>
          </cell>
          <cell r="DG427">
            <v>0</v>
          </cell>
          <cell r="DI427">
            <v>0</v>
          </cell>
          <cell r="DJ427">
            <v>10685</v>
          </cell>
          <cell r="DK427">
            <v>0</v>
          </cell>
          <cell r="DL427">
            <v>10685</v>
          </cell>
          <cell r="DM427">
            <v>10685</v>
          </cell>
          <cell r="DN427">
            <v>0</v>
          </cell>
          <cell r="DO427">
            <v>10685</v>
          </cell>
          <cell r="DP427">
            <v>0</v>
          </cell>
          <cell r="DQ427">
            <v>0</v>
          </cell>
          <cell r="DR427">
            <v>0</v>
          </cell>
          <cell r="DS427">
            <v>0</v>
          </cell>
          <cell r="DT427">
            <v>21370</v>
          </cell>
          <cell r="DU427">
            <v>0</v>
          </cell>
          <cell r="DW427">
            <v>0</v>
          </cell>
          <cell r="DX427">
            <v>0</v>
          </cell>
          <cell r="DY427">
            <v>0</v>
          </cell>
          <cell r="DZ427">
            <v>0</v>
          </cell>
          <cell r="EA427">
            <v>0</v>
          </cell>
          <cell r="EB427">
            <v>0</v>
          </cell>
          <cell r="EC427">
            <v>3430</v>
          </cell>
          <cell r="ED427">
            <v>7018</v>
          </cell>
          <cell r="EE427">
            <v>10606</v>
          </cell>
          <cell r="EF427">
            <v>14194</v>
          </cell>
          <cell r="EG427">
            <v>17782</v>
          </cell>
          <cell r="EH427">
            <v>21370</v>
          </cell>
          <cell r="EI427">
            <v>74400</v>
          </cell>
          <cell r="EK427">
            <v>0</v>
          </cell>
          <cell r="EL427">
            <v>0</v>
          </cell>
          <cell r="EM427">
            <v>0</v>
          </cell>
          <cell r="EN427">
            <v>0</v>
          </cell>
          <cell r="EO427">
            <v>0</v>
          </cell>
          <cell r="EP427">
            <v>0</v>
          </cell>
          <cell r="EQ427">
            <v>22.866666666666664</v>
          </cell>
          <cell r="ER427">
            <v>46.786666666666669</v>
          </cell>
          <cell r="ES427">
            <v>76.009666666666661</v>
          </cell>
          <cell r="ET427">
            <v>101.72366666666666</v>
          </cell>
          <cell r="EU427">
            <v>127.43766666666664</v>
          </cell>
          <cell r="EV427">
            <v>153.15166666666667</v>
          </cell>
          <cell r="EW427">
            <v>527.976</v>
          </cell>
          <cell r="EY427">
            <v>10448</v>
          </cell>
          <cell r="EZ427">
            <v>8</v>
          </cell>
          <cell r="FA427">
            <v>69.653333333333336</v>
          </cell>
          <cell r="FB427">
            <v>63952</v>
          </cell>
          <cell r="FC427">
            <v>8.6</v>
          </cell>
          <cell r="FD427">
            <v>458.32266666666663</v>
          </cell>
          <cell r="FE427">
            <v>527.976</v>
          </cell>
          <cell r="FF427">
            <v>21898</v>
          </cell>
          <cell r="FH427">
            <v>21898</v>
          </cell>
        </row>
        <row r="428">
          <cell r="B428">
            <v>9612</v>
          </cell>
          <cell r="C428" t="str">
            <v>13.08.2008</v>
          </cell>
          <cell r="D428" t="str">
            <v>Donde Vishal Rambhau</v>
          </cell>
          <cell r="F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>
            <v>0</v>
          </cell>
          <cell r="BK428">
            <v>0</v>
          </cell>
          <cell r="BL428">
            <v>0</v>
          </cell>
          <cell r="BM428">
            <v>0</v>
          </cell>
          <cell r="BN428">
            <v>0</v>
          </cell>
          <cell r="BO428">
            <v>0</v>
          </cell>
          <cell r="BP428">
            <v>0</v>
          </cell>
          <cell r="BQ428">
            <v>0</v>
          </cell>
          <cell r="BR428">
            <v>0</v>
          </cell>
          <cell r="BS428">
            <v>0</v>
          </cell>
          <cell r="BU428">
            <v>1106</v>
          </cell>
          <cell r="BV428">
            <v>0</v>
          </cell>
          <cell r="BW428">
            <v>1106</v>
          </cell>
          <cell r="BX428">
            <v>0</v>
          </cell>
          <cell r="BY428">
            <v>0</v>
          </cell>
          <cell r="BZ428">
            <v>0</v>
          </cell>
          <cell r="CA428">
            <v>0</v>
          </cell>
          <cell r="CB428">
            <v>0</v>
          </cell>
          <cell r="CC428">
            <v>0</v>
          </cell>
          <cell r="CE428">
            <v>1106</v>
          </cell>
          <cell r="CF428">
            <v>0</v>
          </cell>
          <cell r="CG428">
            <v>1106</v>
          </cell>
          <cell r="CH428">
            <v>0</v>
          </cell>
          <cell r="CI428">
            <v>0</v>
          </cell>
          <cell r="CJ428">
            <v>0</v>
          </cell>
          <cell r="CK428">
            <v>0</v>
          </cell>
          <cell r="CL428">
            <v>0</v>
          </cell>
          <cell r="CM428">
            <v>0</v>
          </cell>
          <cell r="CO428">
            <v>1106</v>
          </cell>
          <cell r="CP428">
            <v>0</v>
          </cell>
          <cell r="CQ428">
            <v>1106</v>
          </cell>
          <cell r="CR428">
            <v>0</v>
          </cell>
          <cell r="CS428">
            <v>0</v>
          </cell>
          <cell r="CT428">
            <v>0</v>
          </cell>
          <cell r="CU428">
            <v>0</v>
          </cell>
          <cell r="CV428">
            <v>0</v>
          </cell>
          <cell r="CW428">
            <v>0</v>
          </cell>
          <cell r="CY428">
            <v>1106</v>
          </cell>
          <cell r="CZ428">
            <v>0</v>
          </cell>
          <cell r="DA428">
            <v>1106</v>
          </cell>
          <cell r="DB428">
            <v>0</v>
          </cell>
          <cell r="DC428">
            <v>0</v>
          </cell>
          <cell r="DD428">
            <v>0</v>
          </cell>
          <cell r="DE428">
            <v>0</v>
          </cell>
          <cell r="DF428">
            <v>0</v>
          </cell>
          <cell r="DG428">
            <v>0</v>
          </cell>
          <cell r="DI428">
            <v>0</v>
          </cell>
          <cell r="DJ428">
            <v>4424</v>
          </cell>
          <cell r="DK428">
            <v>0</v>
          </cell>
          <cell r="DL428">
            <v>4424</v>
          </cell>
          <cell r="DM428">
            <v>4424</v>
          </cell>
          <cell r="DN428">
            <v>0</v>
          </cell>
          <cell r="DO428">
            <v>4424</v>
          </cell>
          <cell r="DP428">
            <v>0</v>
          </cell>
          <cell r="DQ428">
            <v>0</v>
          </cell>
          <cell r="DR428">
            <v>0</v>
          </cell>
          <cell r="DS428">
            <v>0</v>
          </cell>
          <cell r="DT428">
            <v>8848</v>
          </cell>
          <cell r="DU428">
            <v>0</v>
          </cell>
          <cell r="DW428">
            <v>0</v>
          </cell>
          <cell r="DX428">
            <v>0</v>
          </cell>
          <cell r="DY428">
            <v>0</v>
          </cell>
          <cell r="DZ428">
            <v>0</v>
          </cell>
          <cell r="EA428">
            <v>0</v>
          </cell>
          <cell r="EB428">
            <v>0</v>
          </cell>
          <cell r="EC428">
            <v>0</v>
          </cell>
          <cell r="ED428">
            <v>0</v>
          </cell>
          <cell r="EE428">
            <v>2212</v>
          </cell>
          <cell r="EF428">
            <v>4424</v>
          </cell>
          <cell r="EG428">
            <v>6636</v>
          </cell>
          <cell r="EH428">
            <v>8848</v>
          </cell>
          <cell r="EI428">
            <v>22120</v>
          </cell>
          <cell r="EK428">
            <v>0</v>
          </cell>
          <cell r="EL428">
            <v>0</v>
          </cell>
          <cell r="EM428">
            <v>0</v>
          </cell>
          <cell r="EN428">
            <v>0</v>
          </cell>
          <cell r="EO428">
            <v>0</v>
          </cell>
          <cell r="EP428">
            <v>0</v>
          </cell>
          <cell r="EQ428">
            <v>0</v>
          </cell>
          <cell r="ER428">
            <v>0</v>
          </cell>
          <cell r="ES428">
            <v>15.852666666666666</v>
          </cell>
          <cell r="ET428">
            <v>31.705333333333332</v>
          </cell>
          <cell r="EU428">
            <v>47.558</v>
          </cell>
          <cell r="EV428">
            <v>63.410666666666664</v>
          </cell>
          <cell r="EW428">
            <v>158.52666666666667</v>
          </cell>
          <cell r="EY428">
            <v>0</v>
          </cell>
          <cell r="EZ428">
            <v>8</v>
          </cell>
          <cell r="FA428">
            <v>0</v>
          </cell>
          <cell r="FB428">
            <v>22120</v>
          </cell>
          <cell r="FC428">
            <v>8.6</v>
          </cell>
          <cell r="FD428">
            <v>158.52666666666667</v>
          </cell>
          <cell r="FE428">
            <v>158.52666666666667</v>
          </cell>
          <cell r="FF428">
            <v>9007</v>
          </cell>
          <cell r="FH428">
            <v>9007</v>
          </cell>
        </row>
        <row r="429">
          <cell r="B429">
            <v>9540</v>
          </cell>
          <cell r="C429" t="str">
            <v>28.08.2008</v>
          </cell>
          <cell r="D429" t="str">
            <v>Ansari Sofiya Parvin Mahyar Affan</v>
          </cell>
          <cell r="F429">
            <v>2818</v>
          </cell>
          <cell r="H429">
            <v>1350</v>
          </cell>
          <cell r="I429">
            <v>1350</v>
          </cell>
          <cell r="J429">
            <v>2700</v>
          </cell>
          <cell r="K429">
            <v>-118</v>
          </cell>
          <cell r="M429">
            <v>3827</v>
          </cell>
          <cell r="N429">
            <v>0</v>
          </cell>
          <cell r="O429">
            <v>3827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W429">
            <v>3827</v>
          </cell>
          <cell r="X429">
            <v>0</v>
          </cell>
          <cell r="Y429">
            <v>3827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G429">
            <v>3827</v>
          </cell>
          <cell r="AH429">
            <v>0</v>
          </cell>
          <cell r="AI429">
            <v>3827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Q429">
            <v>3827</v>
          </cell>
          <cell r="AR429">
            <v>0</v>
          </cell>
          <cell r="AS429">
            <v>3827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BA429">
            <v>3827</v>
          </cell>
          <cell r="BB429">
            <v>0</v>
          </cell>
          <cell r="BC429">
            <v>3827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0</v>
          </cell>
          <cell r="BI429">
            <v>0</v>
          </cell>
          <cell r="BK429">
            <v>4005</v>
          </cell>
          <cell r="BL429">
            <v>0</v>
          </cell>
          <cell r="BM429">
            <v>4005</v>
          </cell>
          <cell r="BN429">
            <v>0</v>
          </cell>
          <cell r="BO429">
            <v>0</v>
          </cell>
          <cell r="BP429">
            <v>0</v>
          </cell>
          <cell r="BQ429">
            <v>0</v>
          </cell>
          <cell r="BR429">
            <v>0</v>
          </cell>
          <cell r="BS429">
            <v>0</v>
          </cell>
          <cell r="BU429">
            <v>4005</v>
          </cell>
          <cell r="BV429">
            <v>0</v>
          </cell>
          <cell r="BW429">
            <v>4005</v>
          </cell>
          <cell r="BX429">
            <v>0</v>
          </cell>
          <cell r="BY429">
            <v>0</v>
          </cell>
          <cell r="BZ429">
            <v>0</v>
          </cell>
          <cell r="CA429">
            <v>0</v>
          </cell>
          <cell r="CB429">
            <v>0</v>
          </cell>
          <cell r="CC429">
            <v>0</v>
          </cell>
          <cell r="CE429">
            <v>4005</v>
          </cell>
          <cell r="CF429">
            <v>0</v>
          </cell>
          <cell r="CG429">
            <v>4005</v>
          </cell>
          <cell r="CH429">
            <v>0</v>
          </cell>
          <cell r="CI429">
            <v>0</v>
          </cell>
          <cell r="CJ429">
            <v>0</v>
          </cell>
          <cell r="CK429">
            <v>0</v>
          </cell>
          <cell r="CL429">
            <v>0</v>
          </cell>
          <cell r="CM429">
            <v>0</v>
          </cell>
          <cell r="CO429">
            <v>4005</v>
          </cell>
          <cell r="CP429">
            <v>0</v>
          </cell>
          <cell r="CQ429">
            <v>4005</v>
          </cell>
          <cell r="CR429">
            <v>0</v>
          </cell>
          <cell r="CS429">
            <v>0</v>
          </cell>
          <cell r="CT429">
            <v>0</v>
          </cell>
          <cell r="CU429">
            <v>0</v>
          </cell>
          <cell r="CV429">
            <v>0</v>
          </cell>
          <cell r="CW429">
            <v>0</v>
          </cell>
          <cell r="CY429">
            <v>4005</v>
          </cell>
          <cell r="CZ429">
            <v>0</v>
          </cell>
          <cell r="DA429">
            <v>4005</v>
          </cell>
          <cell r="DB429">
            <v>0</v>
          </cell>
          <cell r="DC429">
            <v>0</v>
          </cell>
          <cell r="DD429">
            <v>0</v>
          </cell>
          <cell r="DE429">
            <v>0</v>
          </cell>
          <cell r="DF429">
            <v>0</v>
          </cell>
          <cell r="DG429">
            <v>0</v>
          </cell>
          <cell r="DI429">
            <v>2700</v>
          </cell>
          <cell r="DJ429">
            <v>39160</v>
          </cell>
          <cell r="DK429">
            <v>0</v>
          </cell>
          <cell r="DL429">
            <v>39160</v>
          </cell>
          <cell r="DM429">
            <v>39160</v>
          </cell>
          <cell r="DN429">
            <v>0</v>
          </cell>
          <cell r="DO429">
            <v>39160</v>
          </cell>
          <cell r="DP429">
            <v>0</v>
          </cell>
          <cell r="DQ429">
            <v>0</v>
          </cell>
          <cell r="DR429">
            <v>0</v>
          </cell>
          <cell r="DS429">
            <v>0</v>
          </cell>
          <cell r="DT429">
            <v>78320</v>
          </cell>
          <cell r="DU429">
            <v>0</v>
          </cell>
          <cell r="DW429">
            <v>0</v>
          </cell>
          <cell r="DX429">
            <v>0</v>
          </cell>
          <cell r="DY429">
            <v>10354</v>
          </cell>
          <cell r="DZ429">
            <v>18008</v>
          </cell>
          <cell r="EA429">
            <v>25662</v>
          </cell>
          <cell r="EB429">
            <v>33316</v>
          </cell>
          <cell r="EC429">
            <v>40970</v>
          </cell>
          <cell r="ED429">
            <v>48980</v>
          </cell>
          <cell r="EE429">
            <v>56990</v>
          </cell>
          <cell r="EF429">
            <v>65000</v>
          </cell>
          <cell r="EG429">
            <v>73010</v>
          </cell>
          <cell r="EH429">
            <v>81020</v>
          </cell>
          <cell r="EI429">
            <v>453310</v>
          </cell>
          <cell r="EK429">
            <v>0</v>
          </cell>
          <cell r="EL429">
            <v>0</v>
          </cell>
          <cell r="EM429">
            <v>69.026666666666671</v>
          </cell>
          <cell r="EN429">
            <v>120.05333333333334</v>
          </cell>
          <cell r="EO429">
            <v>171.08</v>
          </cell>
          <cell r="EP429">
            <v>222.10666666666668</v>
          </cell>
          <cell r="EQ429">
            <v>273.13333333333333</v>
          </cell>
          <cell r="ER429">
            <v>326.53333333333336</v>
          </cell>
          <cell r="ES429">
            <v>408.42833333333334</v>
          </cell>
          <cell r="ET429">
            <v>465.83333333333331</v>
          </cell>
          <cell r="EU429">
            <v>523.23833333333334</v>
          </cell>
          <cell r="EV429">
            <v>580.64333333333332</v>
          </cell>
          <cell r="EW429">
            <v>3160.0766666666668</v>
          </cell>
          <cell r="EY429">
            <v>177290</v>
          </cell>
          <cell r="EZ429">
            <v>8</v>
          </cell>
          <cell r="FA429">
            <v>1181.9333333333334</v>
          </cell>
          <cell r="FB429">
            <v>276020</v>
          </cell>
          <cell r="FC429">
            <v>8.6</v>
          </cell>
          <cell r="FD429">
            <v>1978.1433333333334</v>
          </cell>
          <cell r="FE429">
            <v>3160.0766666666668</v>
          </cell>
          <cell r="FF429">
            <v>84180</v>
          </cell>
          <cell r="FH429">
            <v>84180</v>
          </cell>
        </row>
        <row r="430">
          <cell r="B430">
            <v>9541</v>
          </cell>
          <cell r="C430" t="str">
            <v>28.08.2008</v>
          </cell>
          <cell r="D430" t="str">
            <v>Rajhans Priya Mohanrao</v>
          </cell>
          <cell r="F430">
            <v>3676</v>
          </cell>
          <cell r="H430">
            <v>1350</v>
          </cell>
          <cell r="I430">
            <v>1350</v>
          </cell>
          <cell r="J430">
            <v>2700</v>
          </cell>
          <cell r="K430">
            <v>-976</v>
          </cell>
          <cell r="M430">
            <v>3827</v>
          </cell>
          <cell r="N430">
            <v>0</v>
          </cell>
          <cell r="O430">
            <v>3827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W430">
            <v>3827</v>
          </cell>
          <cell r="X430">
            <v>0</v>
          </cell>
          <cell r="Y430">
            <v>3827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G430">
            <v>3827</v>
          </cell>
          <cell r="AH430">
            <v>0</v>
          </cell>
          <cell r="AI430">
            <v>3827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Q430">
            <v>3827</v>
          </cell>
          <cell r="AR430">
            <v>0</v>
          </cell>
          <cell r="AS430">
            <v>3827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0</v>
          </cell>
          <cell r="BA430">
            <v>3827</v>
          </cell>
          <cell r="BB430">
            <v>0</v>
          </cell>
          <cell r="BC430">
            <v>3827</v>
          </cell>
          <cell r="BD430">
            <v>0</v>
          </cell>
          <cell r="BE430">
            <v>0</v>
          </cell>
          <cell r="BF430">
            <v>0</v>
          </cell>
          <cell r="BG430">
            <v>0</v>
          </cell>
          <cell r="BH430">
            <v>0</v>
          </cell>
          <cell r="BI430">
            <v>0</v>
          </cell>
          <cell r="BK430">
            <v>4005</v>
          </cell>
          <cell r="BL430">
            <v>0</v>
          </cell>
          <cell r="BM430">
            <v>4005</v>
          </cell>
          <cell r="BN430">
            <v>0</v>
          </cell>
          <cell r="BO430">
            <v>0</v>
          </cell>
          <cell r="BP430">
            <v>0</v>
          </cell>
          <cell r="BQ430">
            <v>0</v>
          </cell>
          <cell r="BR430">
            <v>0</v>
          </cell>
          <cell r="BS430">
            <v>0</v>
          </cell>
          <cell r="BU430">
            <v>4005</v>
          </cell>
          <cell r="BV430">
            <v>0</v>
          </cell>
          <cell r="BW430">
            <v>4005</v>
          </cell>
          <cell r="BX430">
            <v>0</v>
          </cell>
          <cell r="BY430">
            <v>0</v>
          </cell>
          <cell r="BZ430">
            <v>0</v>
          </cell>
          <cell r="CA430">
            <v>0</v>
          </cell>
          <cell r="CB430">
            <v>0</v>
          </cell>
          <cell r="CC430">
            <v>0</v>
          </cell>
          <cell r="CE430">
            <v>4005</v>
          </cell>
          <cell r="CF430">
            <v>0</v>
          </cell>
          <cell r="CG430">
            <v>4005</v>
          </cell>
          <cell r="CH430">
            <v>0</v>
          </cell>
          <cell r="CI430">
            <v>0</v>
          </cell>
          <cell r="CJ430">
            <v>0</v>
          </cell>
          <cell r="CK430">
            <v>0</v>
          </cell>
          <cell r="CL430">
            <v>0</v>
          </cell>
          <cell r="CM430">
            <v>0</v>
          </cell>
          <cell r="CO430">
            <v>4005</v>
          </cell>
          <cell r="CP430">
            <v>0</v>
          </cell>
          <cell r="CQ430">
            <v>4005</v>
          </cell>
          <cell r="CR430">
            <v>0</v>
          </cell>
          <cell r="CS430">
            <v>0</v>
          </cell>
          <cell r="CT430">
            <v>0</v>
          </cell>
          <cell r="CU430">
            <v>0</v>
          </cell>
          <cell r="CV430">
            <v>0</v>
          </cell>
          <cell r="CW430">
            <v>0</v>
          </cell>
          <cell r="CY430">
            <v>4005</v>
          </cell>
          <cell r="CZ430">
            <v>0</v>
          </cell>
          <cell r="DA430">
            <v>4005</v>
          </cell>
          <cell r="DB430">
            <v>0</v>
          </cell>
          <cell r="DC430">
            <v>0</v>
          </cell>
          <cell r="DD430">
            <v>0</v>
          </cell>
          <cell r="DE430">
            <v>0</v>
          </cell>
          <cell r="DF430">
            <v>0</v>
          </cell>
          <cell r="DG430">
            <v>0</v>
          </cell>
          <cell r="DI430">
            <v>2700</v>
          </cell>
          <cell r="DJ430">
            <v>39160</v>
          </cell>
          <cell r="DK430">
            <v>0</v>
          </cell>
          <cell r="DL430">
            <v>39160</v>
          </cell>
          <cell r="DM430">
            <v>39160</v>
          </cell>
          <cell r="DN430">
            <v>0</v>
          </cell>
          <cell r="DO430">
            <v>39160</v>
          </cell>
          <cell r="DP430">
            <v>0</v>
          </cell>
          <cell r="DQ430">
            <v>0</v>
          </cell>
          <cell r="DR430">
            <v>0</v>
          </cell>
          <cell r="DS430">
            <v>0</v>
          </cell>
          <cell r="DT430">
            <v>78320</v>
          </cell>
          <cell r="DU430">
            <v>0</v>
          </cell>
          <cell r="DW430">
            <v>0</v>
          </cell>
          <cell r="DX430">
            <v>0</v>
          </cell>
          <cell r="DY430">
            <v>10354</v>
          </cell>
          <cell r="DZ430">
            <v>18008</v>
          </cell>
          <cell r="EA430">
            <v>25662</v>
          </cell>
          <cell r="EB430">
            <v>33316</v>
          </cell>
          <cell r="EC430">
            <v>40970</v>
          </cell>
          <cell r="ED430">
            <v>48980</v>
          </cell>
          <cell r="EE430">
            <v>56990</v>
          </cell>
          <cell r="EF430">
            <v>65000</v>
          </cell>
          <cell r="EG430">
            <v>73010</v>
          </cell>
          <cell r="EH430">
            <v>81020</v>
          </cell>
          <cell r="EI430">
            <v>453310</v>
          </cell>
          <cell r="EK430">
            <v>0</v>
          </cell>
          <cell r="EL430">
            <v>0</v>
          </cell>
          <cell r="EM430">
            <v>69.026666666666671</v>
          </cell>
          <cell r="EN430">
            <v>120.05333333333334</v>
          </cell>
          <cell r="EO430">
            <v>171.08</v>
          </cell>
          <cell r="EP430">
            <v>222.10666666666668</v>
          </cell>
          <cell r="EQ430">
            <v>273.13333333333333</v>
          </cell>
          <cell r="ER430">
            <v>326.53333333333336</v>
          </cell>
          <cell r="ES430">
            <v>408.42833333333334</v>
          </cell>
          <cell r="ET430">
            <v>465.83333333333331</v>
          </cell>
          <cell r="EU430">
            <v>523.23833333333334</v>
          </cell>
          <cell r="EV430">
            <v>580.64333333333332</v>
          </cell>
          <cell r="EW430">
            <v>3160.0766666666668</v>
          </cell>
          <cell r="EY430">
            <v>177290</v>
          </cell>
          <cell r="EZ430">
            <v>8</v>
          </cell>
          <cell r="FA430">
            <v>1181.9333333333334</v>
          </cell>
          <cell r="FB430">
            <v>276020</v>
          </cell>
          <cell r="FC430">
            <v>8.6</v>
          </cell>
          <cell r="FD430">
            <v>1978.1433333333334</v>
          </cell>
          <cell r="FE430">
            <v>3160.0766666666668</v>
          </cell>
          <cell r="FF430">
            <v>84180</v>
          </cell>
          <cell r="FH430">
            <v>84180</v>
          </cell>
        </row>
        <row r="431">
          <cell r="B431">
            <v>9542</v>
          </cell>
          <cell r="C431" t="str">
            <v>28.08.2008</v>
          </cell>
          <cell r="D431" t="str">
            <v>Patil Dipali Chetan</v>
          </cell>
          <cell r="F431">
            <v>3676</v>
          </cell>
          <cell r="H431">
            <v>1350</v>
          </cell>
          <cell r="I431">
            <v>1350</v>
          </cell>
          <cell r="J431">
            <v>2700</v>
          </cell>
          <cell r="K431">
            <v>-976</v>
          </cell>
          <cell r="M431">
            <v>3827</v>
          </cell>
          <cell r="N431">
            <v>0</v>
          </cell>
          <cell r="O431">
            <v>3827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W431">
            <v>3827</v>
          </cell>
          <cell r="X431">
            <v>0</v>
          </cell>
          <cell r="Y431">
            <v>3827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G431">
            <v>3827</v>
          </cell>
          <cell r="AH431">
            <v>0</v>
          </cell>
          <cell r="AI431">
            <v>3827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Q431">
            <v>3827</v>
          </cell>
          <cell r="AR431">
            <v>0</v>
          </cell>
          <cell r="AS431">
            <v>3827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BA431">
            <v>3827</v>
          </cell>
          <cell r="BB431">
            <v>0</v>
          </cell>
          <cell r="BC431">
            <v>3827</v>
          </cell>
          <cell r="BD431">
            <v>0</v>
          </cell>
          <cell r="BE431">
            <v>0</v>
          </cell>
          <cell r="BF431">
            <v>0</v>
          </cell>
          <cell r="BG431">
            <v>0</v>
          </cell>
          <cell r="BH431">
            <v>0</v>
          </cell>
          <cell r="BI431">
            <v>0</v>
          </cell>
          <cell r="BK431">
            <v>4005</v>
          </cell>
          <cell r="BL431">
            <v>0</v>
          </cell>
          <cell r="BM431">
            <v>4005</v>
          </cell>
          <cell r="BN431">
            <v>0</v>
          </cell>
          <cell r="BO431">
            <v>0</v>
          </cell>
          <cell r="BP431">
            <v>0</v>
          </cell>
          <cell r="BQ431">
            <v>0</v>
          </cell>
          <cell r="BR431">
            <v>0</v>
          </cell>
          <cell r="BS431">
            <v>0</v>
          </cell>
          <cell r="BU431">
            <v>4005</v>
          </cell>
          <cell r="BV431">
            <v>0</v>
          </cell>
          <cell r="BW431">
            <v>4005</v>
          </cell>
          <cell r="BX431">
            <v>0</v>
          </cell>
          <cell r="BY431">
            <v>0</v>
          </cell>
          <cell r="BZ431">
            <v>0</v>
          </cell>
          <cell r="CA431">
            <v>0</v>
          </cell>
          <cell r="CB431">
            <v>0</v>
          </cell>
          <cell r="CC431">
            <v>0</v>
          </cell>
          <cell r="CE431">
            <v>4005</v>
          </cell>
          <cell r="CF431">
            <v>0</v>
          </cell>
          <cell r="CG431">
            <v>4005</v>
          </cell>
          <cell r="CH431">
            <v>0</v>
          </cell>
          <cell r="CI431">
            <v>0</v>
          </cell>
          <cell r="CJ431">
            <v>0</v>
          </cell>
          <cell r="CK431">
            <v>0</v>
          </cell>
          <cell r="CL431">
            <v>0</v>
          </cell>
          <cell r="CM431">
            <v>0</v>
          </cell>
          <cell r="CO431">
            <v>4005</v>
          </cell>
          <cell r="CP431">
            <v>0</v>
          </cell>
          <cell r="CQ431">
            <v>4005</v>
          </cell>
          <cell r="CR431">
            <v>0</v>
          </cell>
          <cell r="CS431">
            <v>0</v>
          </cell>
          <cell r="CT431">
            <v>0</v>
          </cell>
          <cell r="CU431">
            <v>0</v>
          </cell>
          <cell r="CV431">
            <v>0</v>
          </cell>
          <cell r="CW431">
            <v>0</v>
          </cell>
          <cell r="CY431">
            <v>4005</v>
          </cell>
          <cell r="CZ431">
            <v>0</v>
          </cell>
          <cell r="DA431">
            <v>4005</v>
          </cell>
          <cell r="DB431">
            <v>0</v>
          </cell>
          <cell r="DC431">
            <v>0</v>
          </cell>
          <cell r="DD431">
            <v>0</v>
          </cell>
          <cell r="DE431">
            <v>0</v>
          </cell>
          <cell r="DF431">
            <v>0</v>
          </cell>
          <cell r="DG431">
            <v>0</v>
          </cell>
          <cell r="DI431">
            <v>2700</v>
          </cell>
          <cell r="DJ431">
            <v>39160</v>
          </cell>
          <cell r="DK431">
            <v>0</v>
          </cell>
          <cell r="DL431">
            <v>39160</v>
          </cell>
          <cell r="DM431">
            <v>39160</v>
          </cell>
          <cell r="DN431">
            <v>0</v>
          </cell>
          <cell r="DO431">
            <v>39160</v>
          </cell>
          <cell r="DP431">
            <v>0</v>
          </cell>
          <cell r="DQ431">
            <v>0</v>
          </cell>
          <cell r="DR431">
            <v>0</v>
          </cell>
          <cell r="DS431">
            <v>0</v>
          </cell>
          <cell r="DT431">
            <v>78320</v>
          </cell>
          <cell r="DU431">
            <v>0</v>
          </cell>
          <cell r="DW431">
            <v>0</v>
          </cell>
          <cell r="DX431">
            <v>0</v>
          </cell>
          <cell r="DY431">
            <v>10354</v>
          </cell>
          <cell r="DZ431">
            <v>18008</v>
          </cell>
          <cell r="EA431">
            <v>25662</v>
          </cell>
          <cell r="EB431">
            <v>33316</v>
          </cell>
          <cell r="EC431">
            <v>40970</v>
          </cell>
          <cell r="ED431">
            <v>48980</v>
          </cell>
          <cell r="EE431">
            <v>56990</v>
          </cell>
          <cell r="EF431">
            <v>65000</v>
          </cell>
          <cell r="EG431">
            <v>73010</v>
          </cell>
          <cell r="EH431">
            <v>81020</v>
          </cell>
          <cell r="EI431">
            <v>453310</v>
          </cell>
          <cell r="EK431">
            <v>0</v>
          </cell>
          <cell r="EL431">
            <v>0</v>
          </cell>
          <cell r="EM431">
            <v>69.026666666666671</v>
          </cell>
          <cell r="EN431">
            <v>120.05333333333334</v>
          </cell>
          <cell r="EO431">
            <v>171.08</v>
          </cell>
          <cell r="EP431">
            <v>222.10666666666668</v>
          </cell>
          <cell r="EQ431">
            <v>273.13333333333333</v>
          </cell>
          <cell r="ER431">
            <v>326.53333333333336</v>
          </cell>
          <cell r="ES431">
            <v>408.42833333333334</v>
          </cell>
          <cell r="ET431">
            <v>465.83333333333331</v>
          </cell>
          <cell r="EU431">
            <v>523.23833333333334</v>
          </cell>
          <cell r="EV431">
            <v>580.64333333333332</v>
          </cell>
          <cell r="EW431">
            <v>3160.0766666666668</v>
          </cell>
          <cell r="EY431">
            <v>177290</v>
          </cell>
          <cell r="EZ431">
            <v>8</v>
          </cell>
          <cell r="FA431">
            <v>1181.9333333333334</v>
          </cell>
          <cell r="FB431">
            <v>276020</v>
          </cell>
          <cell r="FC431">
            <v>8.6</v>
          </cell>
          <cell r="FD431">
            <v>1978.1433333333334</v>
          </cell>
          <cell r="FE431">
            <v>3160.0766666666668</v>
          </cell>
          <cell r="FF431">
            <v>84180</v>
          </cell>
          <cell r="FH431">
            <v>84180</v>
          </cell>
        </row>
        <row r="432">
          <cell r="B432">
            <v>9543</v>
          </cell>
          <cell r="C432" t="str">
            <v>28.08.2008</v>
          </cell>
          <cell r="D432" t="str">
            <v>Sonawane Atul Vijay</v>
          </cell>
          <cell r="F432">
            <v>3676</v>
          </cell>
          <cell r="H432">
            <v>1350</v>
          </cell>
          <cell r="I432">
            <v>1350</v>
          </cell>
          <cell r="J432">
            <v>2700</v>
          </cell>
          <cell r="K432">
            <v>-976</v>
          </cell>
          <cell r="M432">
            <v>3827</v>
          </cell>
          <cell r="N432">
            <v>0</v>
          </cell>
          <cell r="O432">
            <v>3827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W432">
            <v>3827</v>
          </cell>
          <cell r="X432">
            <v>0</v>
          </cell>
          <cell r="Y432">
            <v>3827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G432">
            <v>3827</v>
          </cell>
          <cell r="AH432">
            <v>0</v>
          </cell>
          <cell r="AI432">
            <v>3827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Q432">
            <v>3827</v>
          </cell>
          <cell r="AR432">
            <v>0</v>
          </cell>
          <cell r="AS432">
            <v>3827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BA432">
            <v>3827</v>
          </cell>
          <cell r="BB432">
            <v>0</v>
          </cell>
          <cell r="BC432">
            <v>3827</v>
          </cell>
          <cell r="BD432">
            <v>0</v>
          </cell>
          <cell r="BE432">
            <v>0</v>
          </cell>
          <cell r="BF432">
            <v>0</v>
          </cell>
          <cell r="BG432">
            <v>0</v>
          </cell>
          <cell r="BH432">
            <v>0</v>
          </cell>
          <cell r="BI432">
            <v>0</v>
          </cell>
          <cell r="BK432">
            <v>4005</v>
          </cell>
          <cell r="BL432">
            <v>0</v>
          </cell>
          <cell r="BM432">
            <v>4005</v>
          </cell>
          <cell r="BN432">
            <v>0</v>
          </cell>
          <cell r="BO432">
            <v>0</v>
          </cell>
          <cell r="BP432">
            <v>0</v>
          </cell>
          <cell r="BQ432">
            <v>0</v>
          </cell>
          <cell r="BR432">
            <v>0</v>
          </cell>
          <cell r="BS432">
            <v>0</v>
          </cell>
          <cell r="BU432">
            <v>4005</v>
          </cell>
          <cell r="BV432">
            <v>0</v>
          </cell>
          <cell r="BW432">
            <v>4005</v>
          </cell>
          <cell r="BX432">
            <v>0</v>
          </cell>
          <cell r="BY432">
            <v>0</v>
          </cell>
          <cell r="BZ432">
            <v>0</v>
          </cell>
          <cell r="CA432">
            <v>0</v>
          </cell>
          <cell r="CB432">
            <v>0</v>
          </cell>
          <cell r="CC432">
            <v>0</v>
          </cell>
          <cell r="CE432">
            <v>4005</v>
          </cell>
          <cell r="CF432">
            <v>0</v>
          </cell>
          <cell r="CG432">
            <v>4005</v>
          </cell>
          <cell r="CH432">
            <v>0</v>
          </cell>
          <cell r="CI432">
            <v>0</v>
          </cell>
          <cell r="CJ432">
            <v>0</v>
          </cell>
          <cell r="CK432">
            <v>0</v>
          </cell>
          <cell r="CL432">
            <v>0</v>
          </cell>
          <cell r="CM432">
            <v>0</v>
          </cell>
          <cell r="CO432">
            <v>4005</v>
          </cell>
          <cell r="CP432">
            <v>0</v>
          </cell>
          <cell r="CQ432">
            <v>4005</v>
          </cell>
          <cell r="CR432">
            <v>0</v>
          </cell>
          <cell r="CS432">
            <v>0</v>
          </cell>
          <cell r="CT432">
            <v>0</v>
          </cell>
          <cell r="CU432">
            <v>0</v>
          </cell>
          <cell r="CV432">
            <v>0</v>
          </cell>
          <cell r="CW432">
            <v>0</v>
          </cell>
          <cell r="CY432">
            <v>4005</v>
          </cell>
          <cell r="CZ432">
            <v>0</v>
          </cell>
          <cell r="DA432">
            <v>4005</v>
          </cell>
          <cell r="DB432">
            <v>0</v>
          </cell>
          <cell r="DC432">
            <v>0</v>
          </cell>
          <cell r="DD432">
            <v>0</v>
          </cell>
          <cell r="DE432">
            <v>0</v>
          </cell>
          <cell r="DF432">
            <v>0</v>
          </cell>
          <cell r="DG432">
            <v>0</v>
          </cell>
          <cell r="DI432">
            <v>2700</v>
          </cell>
          <cell r="DJ432">
            <v>39160</v>
          </cell>
          <cell r="DK432">
            <v>0</v>
          </cell>
          <cell r="DL432">
            <v>39160</v>
          </cell>
          <cell r="DM432">
            <v>39160</v>
          </cell>
          <cell r="DN432">
            <v>0</v>
          </cell>
          <cell r="DO432">
            <v>39160</v>
          </cell>
          <cell r="DP432">
            <v>0</v>
          </cell>
          <cell r="DQ432">
            <v>0</v>
          </cell>
          <cell r="DR432">
            <v>0</v>
          </cell>
          <cell r="DS432">
            <v>0</v>
          </cell>
          <cell r="DT432">
            <v>78320</v>
          </cell>
          <cell r="DU432">
            <v>0</v>
          </cell>
          <cell r="DW432">
            <v>0</v>
          </cell>
          <cell r="DX432">
            <v>0</v>
          </cell>
          <cell r="DY432">
            <v>10354</v>
          </cell>
          <cell r="DZ432">
            <v>18008</v>
          </cell>
          <cell r="EA432">
            <v>25662</v>
          </cell>
          <cell r="EB432">
            <v>33316</v>
          </cell>
          <cell r="EC432">
            <v>40970</v>
          </cell>
          <cell r="ED432">
            <v>48980</v>
          </cell>
          <cell r="EE432">
            <v>56990</v>
          </cell>
          <cell r="EF432">
            <v>65000</v>
          </cell>
          <cell r="EG432">
            <v>73010</v>
          </cell>
          <cell r="EH432">
            <v>81020</v>
          </cell>
          <cell r="EI432">
            <v>453310</v>
          </cell>
          <cell r="EK432">
            <v>0</v>
          </cell>
          <cell r="EL432">
            <v>0</v>
          </cell>
          <cell r="EM432">
            <v>69.026666666666671</v>
          </cell>
          <cell r="EN432">
            <v>120.05333333333334</v>
          </cell>
          <cell r="EO432">
            <v>171.08</v>
          </cell>
          <cell r="EP432">
            <v>222.10666666666668</v>
          </cell>
          <cell r="EQ432">
            <v>273.13333333333333</v>
          </cell>
          <cell r="ER432">
            <v>326.53333333333336</v>
          </cell>
          <cell r="ES432">
            <v>408.42833333333334</v>
          </cell>
          <cell r="ET432">
            <v>465.83333333333331</v>
          </cell>
          <cell r="EU432">
            <v>523.23833333333334</v>
          </cell>
          <cell r="EV432">
            <v>580.64333333333332</v>
          </cell>
          <cell r="EW432">
            <v>3160.0766666666668</v>
          </cell>
          <cell r="EY432">
            <v>177290</v>
          </cell>
          <cell r="EZ432">
            <v>8</v>
          </cell>
          <cell r="FA432">
            <v>1181.9333333333334</v>
          </cell>
          <cell r="FB432">
            <v>276020</v>
          </cell>
          <cell r="FC432">
            <v>8.6</v>
          </cell>
          <cell r="FD432">
            <v>1978.1433333333334</v>
          </cell>
          <cell r="FE432">
            <v>3160.0766666666668</v>
          </cell>
          <cell r="FF432">
            <v>84180</v>
          </cell>
          <cell r="FH432">
            <v>84180</v>
          </cell>
        </row>
        <row r="433">
          <cell r="B433">
            <v>9544</v>
          </cell>
          <cell r="C433" t="str">
            <v>28.08.2008</v>
          </cell>
          <cell r="D433" t="str">
            <v>Ahire Sarika Ragho</v>
          </cell>
          <cell r="F433">
            <v>3676</v>
          </cell>
          <cell r="H433">
            <v>1350</v>
          </cell>
          <cell r="I433">
            <v>1350</v>
          </cell>
          <cell r="J433">
            <v>2700</v>
          </cell>
          <cell r="K433">
            <v>-976</v>
          </cell>
          <cell r="M433">
            <v>3827</v>
          </cell>
          <cell r="N433">
            <v>0</v>
          </cell>
          <cell r="O433">
            <v>3827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W433">
            <v>3827</v>
          </cell>
          <cell r="X433">
            <v>0</v>
          </cell>
          <cell r="Y433">
            <v>3827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G433">
            <v>3827</v>
          </cell>
          <cell r="AH433">
            <v>0</v>
          </cell>
          <cell r="AI433">
            <v>3827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Q433">
            <v>3827</v>
          </cell>
          <cell r="AR433">
            <v>0</v>
          </cell>
          <cell r="AS433">
            <v>3827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0</v>
          </cell>
          <cell r="BA433">
            <v>3827</v>
          </cell>
          <cell r="BB433">
            <v>0</v>
          </cell>
          <cell r="BC433">
            <v>3827</v>
          </cell>
          <cell r="BD433">
            <v>0</v>
          </cell>
          <cell r="BE433">
            <v>0</v>
          </cell>
          <cell r="BF433">
            <v>0</v>
          </cell>
          <cell r="BG433">
            <v>0</v>
          </cell>
          <cell r="BH433">
            <v>0</v>
          </cell>
          <cell r="BI433">
            <v>0</v>
          </cell>
          <cell r="BK433">
            <v>4005</v>
          </cell>
          <cell r="BL433">
            <v>0</v>
          </cell>
          <cell r="BM433">
            <v>4005</v>
          </cell>
          <cell r="BN433">
            <v>0</v>
          </cell>
          <cell r="BO433">
            <v>0</v>
          </cell>
          <cell r="BP433">
            <v>0</v>
          </cell>
          <cell r="BQ433">
            <v>0</v>
          </cell>
          <cell r="BR433">
            <v>0</v>
          </cell>
          <cell r="BS433">
            <v>0</v>
          </cell>
          <cell r="BU433">
            <v>4005</v>
          </cell>
          <cell r="BV433">
            <v>0</v>
          </cell>
          <cell r="BW433">
            <v>4005</v>
          </cell>
          <cell r="BX433">
            <v>0</v>
          </cell>
          <cell r="BY433">
            <v>0</v>
          </cell>
          <cell r="BZ433">
            <v>0</v>
          </cell>
          <cell r="CA433">
            <v>0</v>
          </cell>
          <cell r="CB433">
            <v>0</v>
          </cell>
          <cell r="CC433">
            <v>0</v>
          </cell>
          <cell r="CE433">
            <v>4005</v>
          </cell>
          <cell r="CF433">
            <v>0</v>
          </cell>
          <cell r="CG433">
            <v>4005</v>
          </cell>
          <cell r="CH433">
            <v>0</v>
          </cell>
          <cell r="CI433">
            <v>0</v>
          </cell>
          <cell r="CJ433">
            <v>0</v>
          </cell>
          <cell r="CK433">
            <v>0</v>
          </cell>
          <cell r="CL433">
            <v>0</v>
          </cell>
          <cell r="CM433">
            <v>0</v>
          </cell>
          <cell r="CO433">
            <v>4005</v>
          </cell>
          <cell r="CP433">
            <v>0</v>
          </cell>
          <cell r="CQ433">
            <v>4005</v>
          </cell>
          <cell r="CR433">
            <v>0</v>
          </cell>
          <cell r="CS433">
            <v>0</v>
          </cell>
          <cell r="CT433">
            <v>0</v>
          </cell>
          <cell r="CU433">
            <v>0</v>
          </cell>
          <cell r="CV433">
            <v>0</v>
          </cell>
          <cell r="CW433">
            <v>0</v>
          </cell>
          <cell r="CY433">
            <v>4005</v>
          </cell>
          <cell r="CZ433">
            <v>0</v>
          </cell>
          <cell r="DA433">
            <v>4005</v>
          </cell>
          <cell r="DB433">
            <v>0</v>
          </cell>
          <cell r="DC433">
            <v>0</v>
          </cell>
          <cell r="DD433">
            <v>0</v>
          </cell>
          <cell r="DE433">
            <v>0</v>
          </cell>
          <cell r="DF433">
            <v>0</v>
          </cell>
          <cell r="DG433">
            <v>0</v>
          </cell>
          <cell r="DI433">
            <v>2700</v>
          </cell>
          <cell r="DJ433">
            <v>39160</v>
          </cell>
          <cell r="DK433">
            <v>0</v>
          </cell>
          <cell r="DL433">
            <v>39160</v>
          </cell>
          <cell r="DM433">
            <v>39160</v>
          </cell>
          <cell r="DN433">
            <v>0</v>
          </cell>
          <cell r="DO433">
            <v>39160</v>
          </cell>
          <cell r="DP433">
            <v>0</v>
          </cell>
          <cell r="DQ433">
            <v>0</v>
          </cell>
          <cell r="DR433">
            <v>0</v>
          </cell>
          <cell r="DS433">
            <v>0</v>
          </cell>
          <cell r="DT433">
            <v>78320</v>
          </cell>
          <cell r="DU433">
            <v>0</v>
          </cell>
          <cell r="DW433">
            <v>0</v>
          </cell>
          <cell r="DX433">
            <v>0</v>
          </cell>
          <cell r="DY433">
            <v>10354</v>
          </cell>
          <cell r="DZ433">
            <v>18008</v>
          </cell>
          <cell r="EA433">
            <v>25662</v>
          </cell>
          <cell r="EB433">
            <v>33316</v>
          </cell>
          <cell r="EC433">
            <v>40970</v>
          </cell>
          <cell r="ED433">
            <v>48980</v>
          </cell>
          <cell r="EE433">
            <v>56990</v>
          </cell>
          <cell r="EF433">
            <v>65000</v>
          </cell>
          <cell r="EG433">
            <v>73010</v>
          </cell>
          <cell r="EH433">
            <v>81020</v>
          </cell>
          <cell r="EI433">
            <v>453310</v>
          </cell>
          <cell r="EK433">
            <v>0</v>
          </cell>
          <cell r="EL433">
            <v>0</v>
          </cell>
          <cell r="EM433">
            <v>69.026666666666671</v>
          </cell>
          <cell r="EN433">
            <v>120.05333333333334</v>
          </cell>
          <cell r="EO433">
            <v>171.08</v>
          </cell>
          <cell r="EP433">
            <v>222.10666666666668</v>
          </cell>
          <cell r="EQ433">
            <v>273.13333333333333</v>
          </cell>
          <cell r="ER433">
            <v>326.53333333333336</v>
          </cell>
          <cell r="ES433">
            <v>408.42833333333334</v>
          </cell>
          <cell r="ET433">
            <v>465.83333333333331</v>
          </cell>
          <cell r="EU433">
            <v>523.23833333333334</v>
          </cell>
          <cell r="EV433">
            <v>580.64333333333332</v>
          </cell>
          <cell r="EW433">
            <v>3160.0766666666668</v>
          </cell>
          <cell r="EY433">
            <v>177290</v>
          </cell>
          <cell r="EZ433">
            <v>8</v>
          </cell>
          <cell r="FA433">
            <v>1181.9333333333334</v>
          </cell>
          <cell r="FB433">
            <v>276020</v>
          </cell>
          <cell r="FC433">
            <v>8.6</v>
          </cell>
          <cell r="FD433">
            <v>1978.1433333333334</v>
          </cell>
          <cell r="FE433">
            <v>3160.0766666666668</v>
          </cell>
          <cell r="FF433">
            <v>84180</v>
          </cell>
          <cell r="FH433">
            <v>84180</v>
          </cell>
        </row>
        <row r="434">
          <cell r="B434">
            <v>9545</v>
          </cell>
          <cell r="C434" t="str">
            <v>28.08.2008</v>
          </cell>
          <cell r="D434" t="str">
            <v>Thakare Nanda Bharat</v>
          </cell>
          <cell r="F434">
            <v>3676</v>
          </cell>
          <cell r="H434">
            <v>1350</v>
          </cell>
          <cell r="I434">
            <v>1350</v>
          </cell>
          <cell r="J434">
            <v>2700</v>
          </cell>
          <cell r="K434">
            <v>-976</v>
          </cell>
          <cell r="M434">
            <v>3827</v>
          </cell>
          <cell r="N434">
            <v>0</v>
          </cell>
          <cell r="O434">
            <v>3827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W434">
            <v>3827</v>
          </cell>
          <cell r="X434">
            <v>0</v>
          </cell>
          <cell r="Y434">
            <v>3827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G434">
            <v>3827</v>
          </cell>
          <cell r="AH434">
            <v>0</v>
          </cell>
          <cell r="AI434">
            <v>3827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Q434">
            <v>3827</v>
          </cell>
          <cell r="AR434">
            <v>0</v>
          </cell>
          <cell r="AS434">
            <v>3827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BA434">
            <v>3827</v>
          </cell>
          <cell r="BB434">
            <v>0</v>
          </cell>
          <cell r="BC434">
            <v>3827</v>
          </cell>
          <cell r="BD434">
            <v>0</v>
          </cell>
          <cell r="BE434">
            <v>0</v>
          </cell>
          <cell r="BF434">
            <v>0</v>
          </cell>
          <cell r="BG434">
            <v>0</v>
          </cell>
          <cell r="BH434">
            <v>0</v>
          </cell>
          <cell r="BI434">
            <v>0</v>
          </cell>
          <cell r="BK434">
            <v>4005</v>
          </cell>
          <cell r="BL434">
            <v>0</v>
          </cell>
          <cell r="BM434">
            <v>4005</v>
          </cell>
          <cell r="BN434">
            <v>0</v>
          </cell>
          <cell r="BO434">
            <v>0</v>
          </cell>
          <cell r="BP434">
            <v>0</v>
          </cell>
          <cell r="BQ434">
            <v>0</v>
          </cell>
          <cell r="BR434">
            <v>0</v>
          </cell>
          <cell r="BS434">
            <v>0</v>
          </cell>
          <cell r="BU434">
            <v>4005</v>
          </cell>
          <cell r="BV434">
            <v>0</v>
          </cell>
          <cell r="BW434">
            <v>4005</v>
          </cell>
          <cell r="BX434">
            <v>0</v>
          </cell>
          <cell r="BY434">
            <v>0</v>
          </cell>
          <cell r="BZ434">
            <v>0</v>
          </cell>
          <cell r="CA434">
            <v>0</v>
          </cell>
          <cell r="CB434">
            <v>0</v>
          </cell>
          <cell r="CC434">
            <v>0</v>
          </cell>
          <cell r="CE434">
            <v>4005</v>
          </cell>
          <cell r="CF434">
            <v>0</v>
          </cell>
          <cell r="CG434">
            <v>4005</v>
          </cell>
          <cell r="CH434">
            <v>0</v>
          </cell>
          <cell r="CI434">
            <v>0</v>
          </cell>
          <cell r="CJ434">
            <v>0</v>
          </cell>
          <cell r="CK434">
            <v>0</v>
          </cell>
          <cell r="CL434">
            <v>0</v>
          </cell>
          <cell r="CM434">
            <v>0</v>
          </cell>
          <cell r="CO434">
            <v>4005</v>
          </cell>
          <cell r="CP434">
            <v>0</v>
          </cell>
          <cell r="CQ434">
            <v>4005</v>
          </cell>
          <cell r="CR434">
            <v>0</v>
          </cell>
          <cell r="CS434">
            <v>0</v>
          </cell>
          <cell r="CT434">
            <v>0</v>
          </cell>
          <cell r="CU434">
            <v>0</v>
          </cell>
          <cell r="CV434">
            <v>0</v>
          </cell>
          <cell r="CW434">
            <v>0</v>
          </cell>
          <cell r="CY434">
            <v>4005</v>
          </cell>
          <cell r="CZ434">
            <v>0</v>
          </cell>
          <cell r="DA434">
            <v>4005</v>
          </cell>
          <cell r="DB434">
            <v>0</v>
          </cell>
          <cell r="DC434">
            <v>0</v>
          </cell>
          <cell r="DD434">
            <v>0</v>
          </cell>
          <cell r="DE434">
            <v>0</v>
          </cell>
          <cell r="DF434">
            <v>0</v>
          </cell>
          <cell r="DG434">
            <v>0</v>
          </cell>
          <cell r="DI434">
            <v>2700</v>
          </cell>
          <cell r="DJ434">
            <v>39160</v>
          </cell>
          <cell r="DK434">
            <v>0</v>
          </cell>
          <cell r="DL434">
            <v>39160</v>
          </cell>
          <cell r="DM434">
            <v>39160</v>
          </cell>
          <cell r="DN434">
            <v>0</v>
          </cell>
          <cell r="DO434">
            <v>39160</v>
          </cell>
          <cell r="DP434">
            <v>0</v>
          </cell>
          <cell r="DQ434">
            <v>0</v>
          </cell>
          <cell r="DR434">
            <v>0</v>
          </cell>
          <cell r="DS434">
            <v>0</v>
          </cell>
          <cell r="DT434">
            <v>78320</v>
          </cell>
          <cell r="DU434">
            <v>0</v>
          </cell>
          <cell r="DW434">
            <v>0</v>
          </cell>
          <cell r="DX434">
            <v>0</v>
          </cell>
          <cell r="DY434">
            <v>10354</v>
          </cell>
          <cell r="DZ434">
            <v>18008</v>
          </cell>
          <cell r="EA434">
            <v>25662</v>
          </cell>
          <cell r="EB434">
            <v>33316</v>
          </cell>
          <cell r="EC434">
            <v>40970</v>
          </cell>
          <cell r="ED434">
            <v>48980</v>
          </cell>
          <cell r="EE434">
            <v>56990</v>
          </cell>
          <cell r="EF434">
            <v>65000</v>
          </cell>
          <cell r="EG434">
            <v>73010</v>
          </cell>
          <cell r="EH434">
            <v>81020</v>
          </cell>
          <cell r="EI434">
            <v>453310</v>
          </cell>
          <cell r="EK434">
            <v>0</v>
          </cell>
          <cell r="EL434">
            <v>0</v>
          </cell>
          <cell r="EM434">
            <v>69.026666666666671</v>
          </cell>
          <cell r="EN434">
            <v>120.05333333333334</v>
          </cell>
          <cell r="EO434">
            <v>171.08</v>
          </cell>
          <cell r="EP434">
            <v>222.10666666666668</v>
          </cell>
          <cell r="EQ434">
            <v>273.13333333333333</v>
          </cell>
          <cell r="ER434">
            <v>326.53333333333336</v>
          </cell>
          <cell r="ES434">
            <v>408.42833333333334</v>
          </cell>
          <cell r="ET434">
            <v>465.83333333333331</v>
          </cell>
          <cell r="EU434">
            <v>523.23833333333334</v>
          </cell>
          <cell r="EV434">
            <v>580.64333333333332</v>
          </cell>
          <cell r="EW434">
            <v>3160.0766666666668</v>
          </cell>
          <cell r="EY434">
            <v>177290</v>
          </cell>
          <cell r="EZ434">
            <v>8</v>
          </cell>
          <cell r="FA434">
            <v>1181.9333333333334</v>
          </cell>
          <cell r="FB434">
            <v>276020</v>
          </cell>
          <cell r="FC434">
            <v>8.6</v>
          </cell>
          <cell r="FD434">
            <v>1978.1433333333334</v>
          </cell>
          <cell r="FE434">
            <v>3160.0766666666668</v>
          </cell>
          <cell r="FF434">
            <v>84180</v>
          </cell>
          <cell r="FH434">
            <v>84180</v>
          </cell>
        </row>
        <row r="435">
          <cell r="B435">
            <v>9547</v>
          </cell>
          <cell r="C435" t="str">
            <v>28.08.2008</v>
          </cell>
          <cell r="D435" t="str">
            <v>Gosavi Rashmi Sopangir</v>
          </cell>
          <cell r="F435">
            <v>3676</v>
          </cell>
          <cell r="H435">
            <v>1350</v>
          </cell>
          <cell r="I435">
            <v>1350</v>
          </cell>
          <cell r="J435">
            <v>2700</v>
          </cell>
          <cell r="K435">
            <v>-976</v>
          </cell>
          <cell r="M435">
            <v>3827</v>
          </cell>
          <cell r="N435">
            <v>0</v>
          </cell>
          <cell r="O435">
            <v>3827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W435">
            <v>3827</v>
          </cell>
          <cell r="X435">
            <v>0</v>
          </cell>
          <cell r="Y435">
            <v>3827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G435">
            <v>3827</v>
          </cell>
          <cell r="AH435">
            <v>0</v>
          </cell>
          <cell r="AI435">
            <v>3827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Q435">
            <v>3827</v>
          </cell>
          <cell r="AR435">
            <v>0</v>
          </cell>
          <cell r="AS435">
            <v>3827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BA435">
            <v>3827</v>
          </cell>
          <cell r="BB435">
            <v>0</v>
          </cell>
          <cell r="BC435">
            <v>3827</v>
          </cell>
          <cell r="BD435">
            <v>0</v>
          </cell>
          <cell r="BE435">
            <v>0</v>
          </cell>
          <cell r="BF435">
            <v>0</v>
          </cell>
          <cell r="BG435">
            <v>0</v>
          </cell>
          <cell r="BH435">
            <v>0</v>
          </cell>
          <cell r="BI435">
            <v>0</v>
          </cell>
          <cell r="BK435">
            <v>4005</v>
          </cell>
          <cell r="BL435">
            <v>0</v>
          </cell>
          <cell r="BM435">
            <v>4005</v>
          </cell>
          <cell r="BN435">
            <v>0</v>
          </cell>
          <cell r="BO435">
            <v>0</v>
          </cell>
          <cell r="BP435">
            <v>0</v>
          </cell>
          <cell r="BQ435">
            <v>0</v>
          </cell>
          <cell r="BR435">
            <v>0</v>
          </cell>
          <cell r="BS435">
            <v>0</v>
          </cell>
          <cell r="BU435">
            <v>4005</v>
          </cell>
          <cell r="BV435">
            <v>0</v>
          </cell>
          <cell r="BW435">
            <v>4005</v>
          </cell>
          <cell r="BX435">
            <v>0</v>
          </cell>
          <cell r="BY435">
            <v>0</v>
          </cell>
          <cell r="BZ435">
            <v>0</v>
          </cell>
          <cell r="CA435">
            <v>0</v>
          </cell>
          <cell r="CB435">
            <v>0</v>
          </cell>
          <cell r="CC435">
            <v>0</v>
          </cell>
          <cell r="CE435">
            <v>4005</v>
          </cell>
          <cell r="CF435">
            <v>0</v>
          </cell>
          <cell r="CG435">
            <v>4005</v>
          </cell>
          <cell r="CH435">
            <v>0</v>
          </cell>
          <cell r="CI435">
            <v>0</v>
          </cell>
          <cell r="CJ435">
            <v>0</v>
          </cell>
          <cell r="CK435">
            <v>0</v>
          </cell>
          <cell r="CL435">
            <v>0</v>
          </cell>
          <cell r="CM435">
            <v>0</v>
          </cell>
          <cell r="CO435">
            <v>4005</v>
          </cell>
          <cell r="CP435">
            <v>0</v>
          </cell>
          <cell r="CQ435">
            <v>4005</v>
          </cell>
          <cell r="CR435">
            <v>0</v>
          </cell>
          <cell r="CS435">
            <v>0</v>
          </cell>
          <cell r="CT435">
            <v>0</v>
          </cell>
          <cell r="CU435">
            <v>0</v>
          </cell>
          <cell r="CV435">
            <v>0</v>
          </cell>
          <cell r="CW435">
            <v>0</v>
          </cell>
          <cell r="CY435">
            <v>4005</v>
          </cell>
          <cell r="CZ435">
            <v>0</v>
          </cell>
          <cell r="DA435">
            <v>4005</v>
          </cell>
          <cell r="DB435">
            <v>0</v>
          </cell>
          <cell r="DC435">
            <v>0</v>
          </cell>
          <cell r="DD435">
            <v>0</v>
          </cell>
          <cell r="DE435">
            <v>0</v>
          </cell>
          <cell r="DF435">
            <v>0</v>
          </cell>
          <cell r="DG435">
            <v>0</v>
          </cell>
          <cell r="DI435">
            <v>2700</v>
          </cell>
          <cell r="DJ435">
            <v>39160</v>
          </cell>
          <cell r="DK435">
            <v>0</v>
          </cell>
          <cell r="DL435">
            <v>39160</v>
          </cell>
          <cell r="DM435">
            <v>39160</v>
          </cell>
          <cell r="DN435">
            <v>0</v>
          </cell>
          <cell r="DO435">
            <v>39160</v>
          </cell>
          <cell r="DP435">
            <v>0</v>
          </cell>
          <cell r="DQ435">
            <v>0</v>
          </cell>
          <cell r="DR435">
            <v>0</v>
          </cell>
          <cell r="DS435">
            <v>0</v>
          </cell>
          <cell r="DT435">
            <v>78320</v>
          </cell>
          <cell r="DU435">
            <v>0</v>
          </cell>
          <cell r="DW435">
            <v>0</v>
          </cell>
          <cell r="DX435">
            <v>0</v>
          </cell>
          <cell r="DY435">
            <v>10354</v>
          </cell>
          <cell r="DZ435">
            <v>18008</v>
          </cell>
          <cell r="EA435">
            <v>25662</v>
          </cell>
          <cell r="EB435">
            <v>33316</v>
          </cell>
          <cell r="EC435">
            <v>40970</v>
          </cell>
          <cell r="ED435">
            <v>48980</v>
          </cell>
          <cell r="EE435">
            <v>56990</v>
          </cell>
          <cell r="EF435">
            <v>65000</v>
          </cell>
          <cell r="EG435">
            <v>73010</v>
          </cell>
          <cell r="EH435">
            <v>81020</v>
          </cell>
          <cell r="EI435">
            <v>453310</v>
          </cell>
          <cell r="EK435">
            <v>0</v>
          </cell>
          <cell r="EL435">
            <v>0</v>
          </cell>
          <cell r="EM435">
            <v>69.026666666666671</v>
          </cell>
          <cell r="EN435">
            <v>120.05333333333334</v>
          </cell>
          <cell r="EO435">
            <v>171.08</v>
          </cell>
          <cell r="EP435">
            <v>222.10666666666668</v>
          </cell>
          <cell r="EQ435">
            <v>273.13333333333333</v>
          </cell>
          <cell r="ER435">
            <v>326.53333333333336</v>
          </cell>
          <cell r="ES435">
            <v>408.42833333333334</v>
          </cell>
          <cell r="ET435">
            <v>465.83333333333331</v>
          </cell>
          <cell r="EU435">
            <v>523.23833333333334</v>
          </cell>
          <cell r="EV435">
            <v>580.64333333333332</v>
          </cell>
          <cell r="EW435">
            <v>3160.0766666666668</v>
          </cell>
          <cell r="EY435">
            <v>177290</v>
          </cell>
          <cell r="EZ435">
            <v>8</v>
          </cell>
          <cell r="FA435">
            <v>1181.9333333333334</v>
          </cell>
          <cell r="FB435">
            <v>276020</v>
          </cell>
          <cell r="FC435">
            <v>8.6</v>
          </cell>
          <cell r="FD435">
            <v>1978.1433333333334</v>
          </cell>
          <cell r="FE435">
            <v>3160.0766666666668</v>
          </cell>
          <cell r="FF435">
            <v>84180</v>
          </cell>
          <cell r="FH435">
            <v>84180</v>
          </cell>
        </row>
        <row r="436">
          <cell r="B436">
            <v>9548</v>
          </cell>
          <cell r="C436" t="str">
            <v>28.08.2008</v>
          </cell>
          <cell r="D436" t="str">
            <v>Metkar Prashant Dattatray</v>
          </cell>
          <cell r="F436">
            <v>3676</v>
          </cell>
          <cell r="H436">
            <v>1350</v>
          </cell>
          <cell r="I436">
            <v>1350</v>
          </cell>
          <cell r="J436">
            <v>2700</v>
          </cell>
          <cell r="K436">
            <v>-976</v>
          </cell>
          <cell r="M436">
            <v>3827</v>
          </cell>
          <cell r="N436">
            <v>0</v>
          </cell>
          <cell r="O436">
            <v>3827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W436">
            <v>3827</v>
          </cell>
          <cell r="X436">
            <v>0</v>
          </cell>
          <cell r="Y436">
            <v>3827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G436">
            <v>3827</v>
          </cell>
          <cell r="AH436">
            <v>0</v>
          </cell>
          <cell r="AI436">
            <v>3827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Q436">
            <v>3827</v>
          </cell>
          <cell r="AR436">
            <v>0</v>
          </cell>
          <cell r="AS436">
            <v>3827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  <cell r="AY436">
            <v>0</v>
          </cell>
          <cell r="BA436">
            <v>3827</v>
          </cell>
          <cell r="BB436">
            <v>0</v>
          </cell>
          <cell r="BC436">
            <v>3827</v>
          </cell>
          <cell r="BD436">
            <v>0</v>
          </cell>
          <cell r="BE436">
            <v>0</v>
          </cell>
          <cell r="BF436">
            <v>0</v>
          </cell>
          <cell r="BG436">
            <v>0</v>
          </cell>
          <cell r="BH436">
            <v>0</v>
          </cell>
          <cell r="BI436">
            <v>0</v>
          </cell>
          <cell r="BK436">
            <v>4005</v>
          </cell>
          <cell r="BL436">
            <v>0</v>
          </cell>
          <cell r="BM436">
            <v>4005</v>
          </cell>
          <cell r="BN436">
            <v>0</v>
          </cell>
          <cell r="BO436">
            <v>0</v>
          </cell>
          <cell r="BP436">
            <v>0</v>
          </cell>
          <cell r="BQ436">
            <v>0</v>
          </cell>
          <cell r="BR436">
            <v>0</v>
          </cell>
          <cell r="BS436">
            <v>0</v>
          </cell>
          <cell r="BU436">
            <v>4005</v>
          </cell>
          <cell r="BV436">
            <v>0</v>
          </cell>
          <cell r="BW436">
            <v>4005</v>
          </cell>
          <cell r="BX436">
            <v>0</v>
          </cell>
          <cell r="BY436">
            <v>0</v>
          </cell>
          <cell r="BZ436">
            <v>0</v>
          </cell>
          <cell r="CA436">
            <v>0</v>
          </cell>
          <cell r="CB436">
            <v>0</v>
          </cell>
          <cell r="CC436">
            <v>0</v>
          </cell>
          <cell r="CE436">
            <v>4005</v>
          </cell>
          <cell r="CF436">
            <v>0</v>
          </cell>
          <cell r="CG436">
            <v>4005</v>
          </cell>
          <cell r="CH436">
            <v>0</v>
          </cell>
          <cell r="CI436">
            <v>0</v>
          </cell>
          <cell r="CJ436">
            <v>0</v>
          </cell>
          <cell r="CK436">
            <v>0</v>
          </cell>
          <cell r="CL436">
            <v>0</v>
          </cell>
          <cell r="CM436">
            <v>0</v>
          </cell>
          <cell r="CO436">
            <v>4005</v>
          </cell>
          <cell r="CP436">
            <v>0</v>
          </cell>
          <cell r="CQ436">
            <v>4005</v>
          </cell>
          <cell r="CR436">
            <v>0</v>
          </cell>
          <cell r="CS436">
            <v>0</v>
          </cell>
          <cell r="CT436">
            <v>0</v>
          </cell>
          <cell r="CU436">
            <v>0</v>
          </cell>
          <cell r="CV436">
            <v>0</v>
          </cell>
          <cell r="CW436">
            <v>0</v>
          </cell>
          <cell r="CY436">
            <v>4005</v>
          </cell>
          <cell r="CZ436">
            <v>0</v>
          </cell>
          <cell r="DA436">
            <v>4005</v>
          </cell>
          <cell r="DB436">
            <v>0</v>
          </cell>
          <cell r="DC436">
            <v>0</v>
          </cell>
          <cell r="DD436">
            <v>0</v>
          </cell>
          <cell r="DE436">
            <v>0</v>
          </cell>
          <cell r="DF436">
            <v>0</v>
          </cell>
          <cell r="DG436">
            <v>0</v>
          </cell>
          <cell r="DI436">
            <v>2700</v>
          </cell>
          <cell r="DJ436">
            <v>39160</v>
          </cell>
          <cell r="DK436">
            <v>0</v>
          </cell>
          <cell r="DL436">
            <v>39160</v>
          </cell>
          <cell r="DM436">
            <v>39160</v>
          </cell>
          <cell r="DN436">
            <v>0</v>
          </cell>
          <cell r="DO436">
            <v>39160</v>
          </cell>
          <cell r="DP436">
            <v>0</v>
          </cell>
          <cell r="DQ436">
            <v>0</v>
          </cell>
          <cell r="DR436">
            <v>0</v>
          </cell>
          <cell r="DS436">
            <v>0</v>
          </cell>
          <cell r="DT436">
            <v>78320</v>
          </cell>
          <cell r="DU436">
            <v>0</v>
          </cell>
          <cell r="DW436">
            <v>0</v>
          </cell>
          <cell r="DX436">
            <v>0</v>
          </cell>
          <cell r="DY436">
            <v>10354</v>
          </cell>
          <cell r="DZ436">
            <v>18008</v>
          </cell>
          <cell r="EA436">
            <v>25662</v>
          </cell>
          <cell r="EB436">
            <v>33316</v>
          </cell>
          <cell r="EC436">
            <v>40970</v>
          </cell>
          <cell r="ED436">
            <v>48980</v>
          </cell>
          <cell r="EE436">
            <v>56990</v>
          </cell>
          <cell r="EF436">
            <v>65000</v>
          </cell>
          <cell r="EG436">
            <v>73010</v>
          </cell>
          <cell r="EH436">
            <v>81020</v>
          </cell>
          <cell r="EI436">
            <v>453310</v>
          </cell>
          <cell r="EK436">
            <v>0</v>
          </cell>
          <cell r="EL436">
            <v>0</v>
          </cell>
          <cell r="EM436">
            <v>69.026666666666671</v>
          </cell>
          <cell r="EN436">
            <v>120.05333333333334</v>
          </cell>
          <cell r="EO436">
            <v>171.08</v>
          </cell>
          <cell r="EP436">
            <v>222.10666666666668</v>
          </cell>
          <cell r="EQ436">
            <v>273.13333333333333</v>
          </cell>
          <cell r="ER436">
            <v>326.53333333333336</v>
          </cell>
          <cell r="ES436">
            <v>408.42833333333334</v>
          </cell>
          <cell r="ET436">
            <v>465.83333333333331</v>
          </cell>
          <cell r="EU436">
            <v>523.23833333333334</v>
          </cell>
          <cell r="EV436">
            <v>580.64333333333332</v>
          </cell>
          <cell r="EW436">
            <v>3160.0766666666668</v>
          </cell>
          <cell r="EY436">
            <v>177290</v>
          </cell>
          <cell r="EZ436">
            <v>8</v>
          </cell>
          <cell r="FA436">
            <v>1181.9333333333334</v>
          </cell>
          <cell r="FB436">
            <v>276020</v>
          </cell>
          <cell r="FC436">
            <v>8.6</v>
          </cell>
          <cell r="FD436">
            <v>1978.1433333333334</v>
          </cell>
          <cell r="FE436">
            <v>3160.0766666666668</v>
          </cell>
          <cell r="FF436">
            <v>84180</v>
          </cell>
          <cell r="FH436">
            <v>84180</v>
          </cell>
        </row>
        <row r="437">
          <cell r="B437">
            <v>9549</v>
          </cell>
          <cell r="C437" t="str">
            <v>28.08.2008</v>
          </cell>
          <cell r="D437" t="str">
            <v>Bagul Lalit Pandharinath</v>
          </cell>
          <cell r="F437">
            <v>3676</v>
          </cell>
          <cell r="H437">
            <v>1350</v>
          </cell>
          <cell r="I437">
            <v>1350</v>
          </cell>
          <cell r="J437">
            <v>2700</v>
          </cell>
          <cell r="K437">
            <v>-976</v>
          </cell>
          <cell r="M437">
            <v>3827</v>
          </cell>
          <cell r="N437">
            <v>0</v>
          </cell>
          <cell r="O437">
            <v>3827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W437">
            <v>3827</v>
          </cell>
          <cell r="X437">
            <v>0</v>
          </cell>
          <cell r="Y437">
            <v>3827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G437">
            <v>3827</v>
          </cell>
          <cell r="AH437">
            <v>0</v>
          </cell>
          <cell r="AI437">
            <v>3827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Q437">
            <v>3827</v>
          </cell>
          <cell r="AR437">
            <v>0</v>
          </cell>
          <cell r="AS437">
            <v>3827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0</v>
          </cell>
          <cell r="BA437">
            <v>3827</v>
          </cell>
          <cell r="BB437">
            <v>0</v>
          </cell>
          <cell r="BC437">
            <v>3827</v>
          </cell>
          <cell r="BD437">
            <v>0</v>
          </cell>
          <cell r="BE437">
            <v>0</v>
          </cell>
          <cell r="BF437">
            <v>0</v>
          </cell>
          <cell r="BG437">
            <v>0</v>
          </cell>
          <cell r="BH437">
            <v>0</v>
          </cell>
          <cell r="BI437">
            <v>0</v>
          </cell>
          <cell r="BK437">
            <v>4005</v>
          </cell>
          <cell r="BL437">
            <v>0</v>
          </cell>
          <cell r="BM437">
            <v>4005</v>
          </cell>
          <cell r="BN437">
            <v>0</v>
          </cell>
          <cell r="BO437">
            <v>0</v>
          </cell>
          <cell r="BP437">
            <v>0</v>
          </cell>
          <cell r="BQ437">
            <v>0</v>
          </cell>
          <cell r="BR437">
            <v>0</v>
          </cell>
          <cell r="BS437">
            <v>0</v>
          </cell>
          <cell r="BU437">
            <v>4005</v>
          </cell>
          <cell r="BV437">
            <v>0</v>
          </cell>
          <cell r="BW437">
            <v>4005</v>
          </cell>
          <cell r="BX437">
            <v>0</v>
          </cell>
          <cell r="BY437">
            <v>0</v>
          </cell>
          <cell r="BZ437">
            <v>0</v>
          </cell>
          <cell r="CA437">
            <v>0</v>
          </cell>
          <cell r="CB437">
            <v>0</v>
          </cell>
          <cell r="CC437">
            <v>0</v>
          </cell>
          <cell r="CE437">
            <v>4005</v>
          </cell>
          <cell r="CF437">
            <v>0</v>
          </cell>
          <cell r="CG437">
            <v>4005</v>
          </cell>
          <cell r="CH437">
            <v>0</v>
          </cell>
          <cell r="CI437">
            <v>0</v>
          </cell>
          <cell r="CJ437">
            <v>0</v>
          </cell>
          <cell r="CK437">
            <v>0</v>
          </cell>
          <cell r="CL437">
            <v>0</v>
          </cell>
          <cell r="CM437">
            <v>0</v>
          </cell>
          <cell r="CO437">
            <v>4005</v>
          </cell>
          <cell r="CP437">
            <v>0</v>
          </cell>
          <cell r="CQ437">
            <v>4005</v>
          </cell>
          <cell r="CR437">
            <v>0</v>
          </cell>
          <cell r="CS437">
            <v>0</v>
          </cell>
          <cell r="CT437">
            <v>0</v>
          </cell>
          <cell r="CU437">
            <v>0</v>
          </cell>
          <cell r="CV437">
            <v>0</v>
          </cell>
          <cell r="CW437">
            <v>0</v>
          </cell>
          <cell r="CY437">
            <v>4005</v>
          </cell>
          <cell r="CZ437">
            <v>0</v>
          </cell>
          <cell r="DA437">
            <v>4005</v>
          </cell>
          <cell r="DB437">
            <v>0</v>
          </cell>
          <cell r="DC437">
            <v>0</v>
          </cell>
          <cell r="DD437">
            <v>0</v>
          </cell>
          <cell r="DE437">
            <v>0</v>
          </cell>
          <cell r="DF437">
            <v>0</v>
          </cell>
          <cell r="DG437">
            <v>0</v>
          </cell>
          <cell r="DI437">
            <v>2700</v>
          </cell>
          <cell r="DJ437">
            <v>39160</v>
          </cell>
          <cell r="DK437">
            <v>0</v>
          </cell>
          <cell r="DL437">
            <v>39160</v>
          </cell>
          <cell r="DM437">
            <v>39160</v>
          </cell>
          <cell r="DN437">
            <v>0</v>
          </cell>
          <cell r="DO437">
            <v>39160</v>
          </cell>
          <cell r="DP437">
            <v>0</v>
          </cell>
          <cell r="DQ437">
            <v>0</v>
          </cell>
          <cell r="DR437">
            <v>0</v>
          </cell>
          <cell r="DS437">
            <v>0</v>
          </cell>
          <cell r="DT437">
            <v>78320</v>
          </cell>
          <cell r="DU437">
            <v>0</v>
          </cell>
          <cell r="DW437">
            <v>0</v>
          </cell>
          <cell r="DX437">
            <v>0</v>
          </cell>
          <cell r="DY437">
            <v>10354</v>
          </cell>
          <cell r="DZ437">
            <v>18008</v>
          </cell>
          <cell r="EA437">
            <v>25662</v>
          </cell>
          <cell r="EB437">
            <v>33316</v>
          </cell>
          <cell r="EC437">
            <v>40970</v>
          </cell>
          <cell r="ED437">
            <v>48980</v>
          </cell>
          <cell r="EE437">
            <v>56990</v>
          </cell>
          <cell r="EF437">
            <v>65000</v>
          </cell>
          <cell r="EG437">
            <v>73010</v>
          </cell>
          <cell r="EH437">
            <v>81020</v>
          </cell>
          <cell r="EI437">
            <v>453310</v>
          </cell>
          <cell r="EK437">
            <v>0</v>
          </cell>
          <cell r="EL437">
            <v>0</v>
          </cell>
          <cell r="EM437">
            <v>69.026666666666671</v>
          </cell>
          <cell r="EN437">
            <v>120.05333333333334</v>
          </cell>
          <cell r="EO437">
            <v>171.08</v>
          </cell>
          <cell r="EP437">
            <v>222.10666666666668</v>
          </cell>
          <cell r="EQ437">
            <v>273.13333333333333</v>
          </cell>
          <cell r="ER437">
            <v>326.53333333333336</v>
          </cell>
          <cell r="ES437">
            <v>408.42833333333334</v>
          </cell>
          <cell r="ET437">
            <v>465.83333333333331</v>
          </cell>
          <cell r="EU437">
            <v>523.23833333333334</v>
          </cell>
          <cell r="EV437">
            <v>580.64333333333332</v>
          </cell>
          <cell r="EW437">
            <v>3160.0766666666668</v>
          </cell>
          <cell r="EY437">
            <v>177290</v>
          </cell>
          <cell r="EZ437">
            <v>8</v>
          </cell>
          <cell r="FA437">
            <v>1181.9333333333334</v>
          </cell>
          <cell r="FB437">
            <v>276020</v>
          </cell>
          <cell r="FC437">
            <v>8.6</v>
          </cell>
          <cell r="FD437">
            <v>1978.1433333333334</v>
          </cell>
          <cell r="FE437">
            <v>3160.0766666666668</v>
          </cell>
          <cell r="FF437">
            <v>84180</v>
          </cell>
          <cell r="FH437">
            <v>84180</v>
          </cell>
        </row>
        <row r="438">
          <cell r="B438">
            <v>9550</v>
          </cell>
          <cell r="C438" t="str">
            <v>28.08.2008</v>
          </cell>
          <cell r="D438" t="str">
            <v>Mogal Shital Bhagwantrao</v>
          </cell>
          <cell r="F438">
            <v>3676</v>
          </cell>
          <cell r="G438">
            <v>41104</v>
          </cell>
          <cell r="H438">
            <v>1350</v>
          </cell>
          <cell r="I438">
            <v>1350</v>
          </cell>
          <cell r="J438">
            <v>2700</v>
          </cell>
          <cell r="K438">
            <v>-976</v>
          </cell>
          <cell r="M438">
            <v>3827</v>
          </cell>
          <cell r="N438">
            <v>0</v>
          </cell>
          <cell r="O438">
            <v>3827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W438">
            <v>3827</v>
          </cell>
          <cell r="X438">
            <v>0</v>
          </cell>
          <cell r="Y438">
            <v>3827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G438">
            <v>3827</v>
          </cell>
          <cell r="AH438">
            <v>0</v>
          </cell>
          <cell r="AI438">
            <v>3827</v>
          </cell>
          <cell r="AJ438">
            <v>0</v>
          </cell>
          <cell r="AK438">
            <v>0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Q438">
            <v>3827</v>
          </cell>
          <cell r="AR438">
            <v>0</v>
          </cell>
          <cell r="AS438">
            <v>3827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  <cell r="AX438">
            <v>0</v>
          </cell>
          <cell r="AY438">
            <v>0</v>
          </cell>
          <cell r="BA438">
            <v>3827</v>
          </cell>
          <cell r="BB438">
            <v>0</v>
          </cell>
          <cell r="BC438">
            <v>3827</v>
          </cell>
          <cell r="BD438">
            <v>0</v>
          </cell>
          <cell r="BE438">
            <v>0</v>
          </cell>
          <cell r="BF438">
            <v>0</v>
          </cell>
          <cell r="BG438">
            <v>0</v>
          </cell>
          <cell r="BH438">
            <v>0</v>
          </cell>
          <cell r="BI438">
            <v>0</v>
          </cell>
          <cell r="BK438">
            <v>4005</v>
          </cell>
          <cell r="BL438">
            <v>0</v>
          </cell>
          <cell r="BM438">
            <v>4005</v>
          </cell>
          <cell r="BN438">
            <v>0</v>
          </cell>
          <cell r="BO438">
            <v>0</v>
          </cell>
          <cell r="BP438">
            <v>0</v>
          </cell>
          <cell r="BQ438">
            <v>0</v>
          </cell>
          <cell r="BR438">
            <v>0</v>
          </cell>
          <cell r="BS438">
            <v>0</v>
          </cell>
          <cell r="BU438">
            <v>4005</v>
          </cell>
          <cell r="BV438">
            <v>0</v>
          </cell>
          <cell r="BW438">
            <v>4005</v>
          </cell>
          <cell r="BX438">
            <v>0</v>
          </cell>
          <cell r="BY438">
            <v>0</v>
          </cell>
          <cell r="BZ438">
            <v>0</v>
          </cell>
          <cell r="CA438">
            <v>0</v>
          </cell>
          <cell r="CB438">
            <v>0</v>
          </cell>
          <cell r="CC438">
            <v>0</v>
          </cell>
          <cell r="CE438">
            <v>4005</v>
          </cell>
          <cell r="CF438">
            <v>0</v>
          </cell>
          <cell r="CG438">
            <v>4005</v>
          </cell>
          <cell r="CH438">
            <v>0</v>
          </cell>
          <cell r="CI438">
            <v>0</v>
          </cell>
          <cell r="CJ438">
            <v>0</v>
          </cell>
          <cell r="CK438">
            <v>0</v>
          </cell>
          <cell r="CL438">
            <v>0</v>
          </cell>
          <cell r="CM438">
            <v>0</v>
          </cell>
          <cell r="CO438">
            <v>4005</v>
          </cell>
          <cell r="CP438">
            <v>0</v>
          </cell>
          <cell r="CQ438">
            <v>4005</v>
          </cell>
          <cell r="CR438">
            <v>0</v>
          </cell>
          <cell r="CS438">
            <v>0</v>
          </cell>
          <cell r="CT438">
            <v>0</v>
          </cell>
          <cell r="CU438">
            <v>0</v>
          </cell>
          <cell r="CV438">
            <v>0</v>
          </cell>
          <cell r="CW438">
            <v>0</v>
          </cell>
          <cell r="CY438">
            <v>4005</v>
          </cell>
          <cell r="CZ438">
            <v>0</v>
          </cell>
          <cell r="DA438">
            <v>4005</v>
          </cell>
          <cell r="DB438">
            <v>0</v>
          </cell>
          <cell r="DC438">
            <v>0</v>
          </cell>
          <cell r="DD438">
            <v>0</v>
          </cell>
          <cell r="DE438">
            <v>0</v>
          </cell>
          <cell r="DF438">
            <v>0</v>
          </cell>
          <cell r="DG438">
            <v>0</v>
          </cell>
          <cell r="DI438">
            <v>2700</v>
          </cell>
          <cell r="DJ438">
            <v>39160</v>
          </cell>
          <cell r="DK438">
            <v>0</v>
          </cell>
          <cell r="DL438">
            <v>39160</v>
          </cell>
          <cell r="DM438">
            <v>39160</v>
          </cell>
          <cell r="DN438">
            <v>0</v>
          </cell>
          <cell r="DO438">
            <v>39160</v>
          </cell>
          <cell r="DP438">
            <v>0</v>
          </cell>
          <cell r="DQ438">
            <v>0</v>
          </cell>
          <cell r="DR438">
            <v>0</v>
          </cell>
          <cell r="DS438">
            <v>0</v>
          </cell>
          <cell r="DT438">
            <v>78320</v>
          </cell>
          <cell r="DU438">
            <v>0</v>
          </cell>
          <cell r="DW438">
            <v>0</v>
          </cell>
          <cell r="DX438">
            <v>0</v>
          </cell>
          <cell r="DY438">
            <v>10354</v>
          </cell>
          <cell r="DZ438">
            <v>18008</v>
          </cell>
          <cell r="EA438">
            <v>25662</v>
          </cell>
          <cell r="EB438">
            <v>33316</v>
          </cell>
          <cell r="EC438">
            <v>40970</v>
          </cell>
          <cell r="ED438">
            <v>48980</v>
          </cell>
          <cell r="EE438">
            <v>56990</v>
          </cell>
          <cell r="EF438">
            <v>65000</v>
          </cell>
          <cell r="EG438">
            <v>73010</v>
          </cell>
          <cell r="EH438">
            <v>81020</v>
          </cell>
          <cell r="EI438">
            <v>453310</v>
          </cell>
          <cell r="EK438">
            <v>0</v>
          </cell>
          <cell r="EL438">
            <v>0</v>
          </cell>
          <cell r="EM438">
            <v>69.026666666666671</v>
          </cell>
          <cell r="EN438">
            <v>120.05333333333334</v>
          </cell>
          <cell r="EO438">
            <v>171.08</v>
          </cell>
          <cell r="EP438">
            <v>222.10666666666668</v>
          </cell>
          <cell r="EQ438">
            <v>273.13333333333333</v>
          </cell>
          <cell r="ER438">
            <v>326.53333333333336</v>
          </cell>
          <cell r="ES438">
            <v>408.42833333333334</v>
          </cell>
          <cell r="ET438">
            <v>465.83333333333331</v>
          </cell>
          <cell r="EU438">
            <v>523.23833333333334</v>
          </cell>
          <cell r="EV438">
            <v>580.64333333333332</v>
          </cell>
          <cell r="EW438">
            <v>3160.0766666666668</v>
          </cell>
          <cell r="EY438">
            <v>177290</v>
          </cell>
          <cell r="EZ438">
            <v>8</v>
          </cell>
          <cell r="FA438">
            <v>1181.9333333333334</v>
          </cell>
          <cell r="FB438">
            <v>276020</v>
          </cell>
          <cell r="FC438">
            <v>8.6</v>
          </cell>
          <cell r="FD438">
            <v>1978.1433333333334</v>
          </cell>
          <cell r="FE438">
            <v>3160.0766666666668</v>
          </cell>
          <cell r="FF438">
            <v>84180</v>
          </cell>
          <cell r="FH438">
            <v>84180</v>
          </cell>
        </row>
        <row r="439">
          <cell r="B439">
            <v>9552</v>
          </cell>
          <cell r="C439" t="str">
            <v>28.08.2008</v>
          </cell>
          <cell r="D439" t="str">
            <v>Jagtap Charudatta Ramesh</v>
          </cell>
          <cell r="F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0</v>
          </cell>
          <cell r="AY439">
            <v>0</v>
          </cell>
          <cell r="BA439">
            <v>0</v>
          </cell>
          <cell r="BB439">
            <v>0</v>
          </cell>
          <cell r="BC439">
            <v>0</v>
          </cell>
          <cell r="BD439">
            <v>0</v>
          </cell>
          <cell r="BE439">
            <v>0</v>
          </cell>
          <cell r="BF439">
            <v>0</v>
          </cell>
          <cell r="BG439">
            <v>0</v>
          </cell>
          <cell r="BH439">
            <v>0</v>
          </cell>
          <cell r="BI439">
            <v>0</v>
          </cell>
          <cell r="BK439">
            <v>0</v>
          </cell>
          <cell r="BL439">
            <v>0</v>
          </cell>
          <cell r="BM439">
            <v>0</v>
          </cell>
          <cell r="BN439">
            <v>0</v>
          </cell>
          <cell r="BO439">
            <v>0</v>
          </cell>
          <cell r="BP439">
            <v>0</v>
          </cell>
          <cell r="BQ439">
            <v>0</v>
          </cell>
          <cell r="BR439">
            <v>0</v>
          </cell>
          <cell r="BS439">
            <v>0</v>
          </cell>
          <cell r="BU439">
            <v>0</v>
          </cell>
          <cell r="BV439">
            <v>0</v>
          </cell>
          <cell r="BW439">
            <v>0</v>
          </cell>
          <cell r="BX439">
            <v>0</v>
          </cell>
          <cell r="BY439">
            <v>0</v>
          </cell>
          <cell r="BZ439">
            <v>0</v>
          </cell>
          <cell r="CA439">
            <v>0</v>
          </cell>
          <cell r="CB439">
            <v>0</v>
          </cell>
          <cell r="CC439">
            <v>0</v>
          </cell>
          <cell r="CE439">
            <v>0</v>
          </cell>
          <cell r="CF439">
            <v>0</v>
          </cell>
          <cell r="CG439">
            <v>0</v>
          </cell>
          <cell r="CH439">
            <v>0</v>
          </cell>
          <cell r="CI439">
            <v>0</v>
          </cell>
          <cell r="CJ439">
            <v>0</v>
          </cell>
          <cell r="CK439">
            <v>0</v>
          </cell>
          <cell r="CL439">
            <v>0</v>
          </cell>
          <cell r="CM439">
            <v>0</v>
          </cell>
          <cell r="CO439">
            <v>0</v>
          </cell>
          <cell r="CP439">
            <v>0</v>
          </cell>
          <cell r="CQ439">
            <v>0</v>
          </cell>
          <cell r="CR439">
            <v>0</v>
          </cell>
          <cell r="CS439">
            <v>0</v>
          </cell>
          <cell r="CT439">
            <v>0</v>
          </cell>
          <cell r="CU439">
            <v>0</v>
          </cell>
          <cell r="CV439">
            <v>0</v>
          </cell>
          <cell r="CW439">
            <v>0</v>
          </cell>
          <cell r="CY439">
            <v>0</v>
          </cell>
          <cell r="CZ439">
            <v>0</v>
          </cell>
          <cell r="DA439">
            <v>0</v>
          </cell>
          <cell r="DB439">
            <v>0</v>
          </cell>
          <cell r="DC439">
            <v>0</v>
          </cell>
          <cell r="DD439">
            <v>0</v>
          </cell>
          <cell r="DE439">
            <v>0</v>
          </cell>
          <cell r="DF439">
            <v>0</v>
          </cell>
          <cell r="DG439">
            <v>0</v>
          </cell>
          <cell r="DI439">
            <v>0</v>
          </cell>
          <cell r="DJ439">
            <v>0</v>
          </cell>
          <cell r="DK439">
            <v>0</v>
          </cell>
          <cell r="DL439">
            <v>0</v>
          </cell>
          <cell r="DM439">
            <v>0</v>
          </cell>
          <cell r="DN439">
            <v>0</v>
          </cell>
          <cell r="DO439">
            <v>0</v>
          </cell>
          <cell r="DP439">
            <v>0</v>
          </cell>
          <cell r="DQ439">
            <v>0</v>
          </cell>
          <cell r="DR439">
            <v>0</v>
          </cell>
          <cell r="DS439">
            <v>0</v>
          </cell>
          <cell r="DT439">
            <v>0</v>
          </cell>
          <cell r="DU439">
            <v>0</v>
          </cell>
          <cell r="DW439">
            <v>0</v>
          </cell>
          <cell r="DX439">
            <v>0</v>
          </cell>
          <cell r="DY439">
            <v>0</v>
          </cell>
          <cell r="DZ439">
            <v>0</v>
          </cell>
          <cell r="EA439">
            <v>0</v>
          </cell>
          <cell r="EB439">
            <v>0</v>
          </cell>
          <cell r="EC439">
            <v>0</v>
          </cell>
          <cell r="ED439">
            <v>0</v>
          </cell>
          <cell r="EE439">
            <v>0</v>
          </cell>
          <cell r="EF439">
            <v>0</v>
          </cell>
          <cell r="EG439">
            <v>0</v>
          </cell>
          <cell r="EH439">
            <v>0</v>
          </cell>
          <cell r="EI439">
            <v>0</v>
          </cell>
          <cell r="EK439">
            <v>0</v>
          </cell>
          <cell r="EL439">
            <v>0</v>
          </cell>
          <cell r="EM439">
            <v>0</v>
          </cell>
          <cell r="EN439">
            <v>0</v>
          </cell>
          <cell r="EO439">
            <v>0</v>
          </cell>
          <cell r="EP439">
            <v>0</v>
          </cell>
          <cell r="EQ439">
            <v>0</v>
          </cell>
          <cell r="ER439">
            <v>0</v>
          </cell>
          <cell r="ES439">
            <v>0</v>
          </cell>
          <cell r="ET439">
            <v>0</v>
          </cell>
          <cell r="EU439">
            <v>0</v>
          </cell>
          <cell r="EV439">
            <v>0</v>
          </cell>
          <cell r="EW439">
            <v>0</v>
          </cell>
          <cell r="EY439">
            <v>0</v>
          </cell>
          <cell r="EZ439">
            <v>8</v>
          </cell>
          <cell r="FA439">
            <v>0</v>
          </cell>
          <cell r="FB439">
            <v>0</v>
          </cell>
          <cell r="FC439">
            <v>8.6</v>
          </cell>
          <cell r="FD439">
            <v>0</v>
          </cell>
          <cell r="FE439">
            <v>0</v>
          </cell>
          <cell r="FF439">
            <v>0</v>
          </cell>
          <cell r="FH439">
            <v>0</v>
          </cell>
        </row>
        <row r="440">
          <cell r="B440">
            <v>9553</v>
          </cell>
          <cell r="C440" t="str">
            <v>28.08.2008</v>
          </cell>
          <cell r="D440" t="str">
            <v>Gholap Sanjivani Babanrao</v>
          </cell>
          <cell r="F440">
            <v>3676</v>
          </cell>
          <cell r="H440">
            <v>1350</v>
          </cell>
          <cell r="I440">
            <v>1350</v>
          </cell>
          <cell r="J440">
            <v>2700</v>
          </cell>
          <cell r="K440">
            <v>-976</v>
          </cell>
          <cell r="M440">
            <v>3827</v>
          </cell>
          <cell r="N440">
            <v>0</v>
          </cell>
          <cell r="O440">
            <v>3827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W440">
            <v>3827</v>
          </cell>
          <cell r="X440">
            <v>0</v>
          </cell>
          <cell r="Y440">
            <v>3827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Q440">
            <v>3827</v>
          </cell>
          <cell r="AR440">
            <v>0</v>
          </cell>
          <cell r="AS440">
            <v>3827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0</v>
          </cell>
          <cell r="BA440">
            <v>0</v>
          </cell>
          <cell r="BB440">
            <v>0</v>
          </cell>
          <cell r="BC440">
            <v>0</v>
          </cell>
          <cell r="BD440">
            <v>0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K440">
            <v>4005</v>
          </cell>
          <cell r="BL440">
            <v>0</v>
          </cell>
          <cell r="BM440">
            <v>4005</v>
          </cell>
          <cell r="BN440">
            <v>0</v>
          </cell>
          <cell r="BO440">
            <v>0</v>
          </cell>
          <cell r="BP440">
            <v>0</v>
          </cell>
          <cell r="BQ440">
            <v>0</v>
          </cell>
          <cell r="BR440">
            <v>0</v>
          </cell>
          <cell r="BS440">
            <v>0</v>
          </cell>
          <cell r="BU440">
            <v>4005</v>
          </cell>
          <cell r="BV440">
            <v>0</v>
          </cell>
          <cell r="BW440">
            <v>4005</v>
          </cell>
          <cell r="BX440">
            <v>0</v>
          </cell>
          <cell r="BY440">
            <v>0</v>
          </cell>
          <cell r="BZ440">
            <v>0</v>
          </cell>
          <cell r="CA440">
            <v>0</v>
          </cell>
          <cell r="CB440">
            <v>0</v>
          </cell>
          <cell r="CC440">
            <v>0</v>
          </cell>
          <cell r="CE440">
            <v>4005</v>
          </cell>
          <cell r="CF440">
            <v>0</v>
          </cell>
          <cell r="CG440">
            <v>4005</v>
          </cell>
          <cell r="CH440">
            <v>0</v>
          </cell>
          <cell r="CI440">
            <v>0</v>
          </cell>
          <cell r="CJ440">
            <v>0</v>
          </cell>
          <cell r="CK440">
            <v>0</v>
          </cell>
          <cell r="CL440">
            <v>0</v>
          </cell>
          <cell r="CM440">
            <v>0</v>
          </cell>
          <cell r="CO440">
            <v>4005</v>
          </cell>
          <cell r="CP440">
            <v>0</v>
          </cell>
          <cell r="CQ440">
            <v>4005</v>
          </cell>
          <cell r="CR440">
            <v>0</v>
          </cell>
          <cell r="CS440">
            <v>0</v>
          </cell>
          <cell r="CT440">
            <v>0</v>
          </cell>
          <cell r="CU440">
            <v>0</v>
          </cell>
          <cell r="CV440">
            <v>0</v>
          </cell>
          <cell r="CW440">
            <v>0</v>
          </cell>
          <cell r="CY440">
            <v>0</v>
          </cell>
          <cell r="CZ440">
            <v>3827</v>
          </cell>
          <cell r="DA440">
            <v>0</v>
          </cell>
          <cell r="DB440">
            <v>3827</v>
          </cell>
          <cell r="DC440">
            <v>0</v>
          </cell>
          <cell r="DD440">
            <v>0</v>
          </cell>
          <cell r="DE440">
            <v>0</v>
          </cell>
          <cell r="DF440">
            <v>0</v>
          </cell>
          <cell r="DG440">
            <v>0</v>
          </cell>
          <cell r="DI440">
            <v>2700</v>
          </cell>
          <cell r="DJ440">
            <v>27501</v>
          </cell>
          <cell r="DK440">
            <v>3827</v>
          </cell>
          <cell r="DL440">
            <v>31328</v>
          </cell>
          <cell r="DM440">
            <v>27501</v>
          </cell>
          <cell r="DN440">
            <v>3827</v>
          </cell>
          <cell r="DO440">
            <v>31328</v>
          </cell>
          <cell r="DP440">
            <v>0</v>
          </cell>
          <cell r="DQ440">
            <v>0</v>
          </cell>
          <cell r="DR440">
            <v>0</v>
          </cell>
          <cell r="DS440">
            <v>0</v>
          </cell>
          <cell r="DT440">
            <v>62656</v>
          </cell>
          <cell r="DU440">
            <v>0</v>
          </cell>
          <cell r="DW440">
            <v>0</v>
          </cell>
          <cell r="DX440">
            <v>0</v>
          </cell>
          <cell r="DY440">
            <v>10354</v>
          </cell>
          <cell r="DZ440">
            <v>18008</v>
          </cell>
          <cell r="EA440">
            <v>18008</v>
          </cell>
          <cell r="EB440">
            <v>25662</v>
          </cell>
          <cell r="EC440">
            <v>25662</v>
          </cell>
          <cell r="ED440">
            <v>33672</v>
          </cell>
          <cell r="EE440">
            <v>41682</v>
          </cell>
          <cell r="EF440">
            <v>49692</v>
          </cell>
          <cell r="EG440">
            <v>57702</v>
          </cell>
          <cell r="EH440">
            <v>65356</v>
          </cell>
          <cell r="EI440">
            <v>345798</v>
          </cell>
          <cell r="EK440">
            <v>0</v>
          </cell>
          <cell r="EL440">
            <v>0</v>
          </cell>
          <cell r="EM440">
            <v>69.026666666666671</v>
          </cell>
          <cell r="EN440">
            <v>120.05333333333334</v>
          </cell>
          <cell r="EO440">
            <v>120.05333333333334</v>
          </cell>
          <cell r="EP440">
            <v>171.08</v>
          </cell>
          <cell r="EQ440">
            <v>171.08</v>
          </cell>
          <cell r="ER440">
            <v>224.48000000000002</v>
          </cell>
          <cell r="ES440">
            <v>298.721</v>
          </cell>
          <cell r="ET440">
            <v>356.12599999999998</v>
          </cell>
          <cell r="EU440">
            <v>413.53099999999995</v>
          </cell>
          <cell r="EV440">
            <v>468.38466666666665</v>
          </cell>
          <cell r="EW440">
            <v>2412.5360000000001</v>
          </cell>
          <cell r="EY440">
            <v>131366</v>
          </cell>
          <cell r="EZ440">
            <v>8</v>
          </cell>
          <cell r="FA440">
            <v>875.77333333333343</v>
          </cell>
          <cell r="FB440">
            <v>214432</v>
          </cell>
          <cell r="FC440">
            <v>8.6</v>
          </cell>
          <cell r="FD440">
            <v>1536.7626666666665</v>
          </cell>
          <cell r="FE440">
            <v>2412.5360000000001</v>
          </cell>
          <cell r="FF440">
            <v>67769</v>
          </cell>
          <cell r="FH440">
            <v>67769</v>
          </cell>
        </row>
        <row r="441">
          <cell r="B441">
            <v>9554</v>
          </cell>
          <cell r="C441" t="str">
            <v>28.08.2008</v>
          </cell>
          <cell r="D441" t="str">
            <v>Kute Kalpana Prashant</v>
          </cell>
          <cell r="F441">
            <v>3676</v>
          </cell>
          <cell r="G441">
            <v>41104</v>
          </cell>
          <cell r="H441">
            <v>1350</v>
          </cell>
          <cell r="I441">
            <v>1350</v>
          </cell>
          <cell r="J441">
            <v>2700</v>
          </cell>
          <cell r="K441">
            <v>-976</v>
          </cell>
          <cell r="M441">
            <v>3827</v>
          </cell>
          <cell r="N441">
            <v>0</v>
          </cell>
          <cell r="O441">
            <v>3827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W441">
            <v>3827</v>
          </cell>
          <cell r="X441">
            <v>0</v>
          </cell>
          <cell r="Y441">
            <v>3827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G441">
            <v>3827</v>
          </cell>
          <cell r="AH441">
            <v>0</v>
          </cell>
          <cell r="AI441">
            <v>3827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Q441">
            <v>3827</v>
          </cell>
          <cell r="AR441">
            <v>0</v>
          </cell>
          <cell r="AS441">
            <v>3827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0</v>
          </cell>
          <cell r="BA441">
            <v>3827</v>
          </cell>
          <cell r="BB441">
            <v>0</v>
          </cell>
          <cell r="BC441">
            <v>3827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>
            <v>0</v>
          </cell>
          <cell r="BK441">
            <v>4005</v>
          </cell>
          <cell r="BL441">
            <v>0</v>
          </cell>
          <cell r="BM441">
            <v>4005</v>
          </cell>
          <cell r="BN441">
            <v>0</v>
          </cell>
          <cell r="BO441">
            <v>0</v>
          </cell>
          <cell r="BP441">
            <v>0</v>
          </cell>
          <cell r="BQ441">
            <v>0</v>
          </cell>
          <cell r="BR441">
            <v>0</v>
          </cell>
          <cell r="BS441">
            <v>0</v>
          </cell>
          <cell r="BU441">
            <v>4005</v>
          </cell>
          <cell r="BV441">
            <v>0</v>
          </cell>
          <cell r="BW441">
            <v>4005</v>
          </cell>
          <cell r="BX441">
            <v>0</v>
          </cell>
          <cell r="BY441">
            <v>0</v>
          </cell>
          <cell r="BZ441">
            <v>0</v>
          </cell>
          <cell r="CA441">
            <v>0</v>
          </cell>
          <cell r="CB441">
            <v>0</v>
          </cell>
          <cell r="CC441">
            <v>0</v>
          </cell>
          <cell r="CE441">
            <v>4005</v>
          </cell>
          <cell r="CF441">
            <v>0</v>
          </cell>
          <cell r="CG441">
            <v>4005</v>
          </cell>
          <cell r="CH441">
            <v>0</v>
          </cell>
          <cell r="CI441">
            <v>0</v>
          </cell>
          <cell r="CJ441">
            <v>0</v>
          </cell>
          <cell r="CK441">
            <v>0</v>
          </cell>
          <cell r="CL441">
            <v>0</v>
          </cell>
          <cell r="CM441">
            <v>0</v>
          </cell>
          <cell r="CO441">
            <v>4005</v>
          </cell>
          <cell r="CP441">
            <v>0</v>
          </cell>
          <cell r="CQ441">
            <v>4005</v>
          </cell>
          <cell r="CR441">
            <v>0</v>
          </cell>
          <cell r="CS441">
            <v>0</v>
          </cell>
          <cell r="CT441">
            <v>0</v>
          </cell>
          <cell r="CU441">
            <v>0</v>
          </cell>
          <cell r="CV441">
            <v>0</v>
          </cell>
          <cell r="CW441">
            <v>0</v>
          </cell>
          <cell r="CY441">
            <v>4005</v>
          </cell>
          <cell r="CZ441">
            <v>0</v>
          </cell>
          <cell r="DA441">
            <v>4005</v>
          </cell>
          <cell r="DB441">
            <v>0</v>
          </cell>
          <cell r="DC441">
            <v>0</v>
          </cell>
          <cell r="DD441">
            <v>0</v>
          </cell>
          <cell r="DE441">
            <v>0</v>
          </cell>
          <cell r="DF441">
            <v>0</v>
          </cell>
          <cell r="DG441">
            <v>0</v>
          </cell>
          <cell r="DI441">
            <v>2700</v>
          </cell>
          <cell r="DJ441">
            <v>39160</v>
          </cell>
          <cell r="DK441">
            <v>0</v>
          </cell>
          <cell r="DL441">
            <v>39160</v>
          </cell>
          <cell r="DM441">
            <v>39160</v>
          </cell>
          <cell r="DN441">
            <v>0</v>
          </cell>
          <cell r="DO441">
            <v>39160</v>
          </cell>
          <cell r="DP441">
            <v>0</v>
          </cell>
          <cell r="DQ441">
            <v>0</v>
          </cell>
          <cell r="DR441">
            <v>0</v>
          </cell>
          <cell r="DS441">
            <v>0</v>
          </cell>
          <cell r="DT441">
            <v>78320</v>
          </cell>
          <cell r="DU441">
            <v>0</v>
          </cell>
          <cell r="DW441">
            <v>0</v>
          </cell>
          <cell r="DX441">
            <v>0</v>
          </cell>
          <cell r="DY441">
            <v>10354</v>
          </cell>
          <cell r="DZ441">
            <v>18008</v>
          </cell>
          <cell r="EA441">
            <v>25662</v>
          </cell>
          <cell r="EB441">
            <v>33316</v>
          </cell>
          <cell r="EC441">
            <v>40970</v>
          </cell>
          <cell r="ED441">
            <v>48980</v>
          </cell>
          <cell r="EE441">
            <v>56990</v>
          </cell>
          <cell r="EF441">
            <v>65000</v>
          </cell>
          <cell r="EG441">
            <v>73010</v>
          </cell>
          <cell r="EH441">
            <v>81020</v>
          </cell>
          <cell r="EI441">
            <v>453310</v>
          </cell>
          <cell r="EK441">
            <v>0</v>
          </cell>
          <cell r="EL441">
            <v>0</v>
          </cell>
          <cell r="EM441">
            <v>69.026666666666671</v>
          </cell>
          <cell r="EN441">
            <v>120.05333333333334</v>
          </cell>
          <cell r="EO441">
            <v>171.08</v>
          </cell>
          <cell r="EP441">
            <v>222.10666666666668</v>
          </cell>
          <cell r="EQ441">
            <v>273.13333333333333</v>
          </cell>
          <cell r="ER441">
            <v>326.53333333333336</v>
          </cell>
          <cell r="ES441">
            <v>408.42833333333334</v>
          </cell>
          <cell r="ET441">
            <v>465.83333333333331</v>
          </cell>
          <cell r="EU441">
            <v>523.23833333333334</v>
          </cell>
          <cell r="EV441">
            <v>580.64333333333332</v>
          </cell>
          <cell r="EW441">
            <v>3160.0766666666668</v>
          </cell>
          <cell r="EY441">
            <v>177290</v>
          </cell>
          <cell r="EZ441">
            <v>8</v>
          </cell>
          <cell r="FA441">
            <v>1181.9333333333334</v>
          </cell>
          <cell r="FB441">
            <v>276020</v>
          </cell>
          <cell r="FC441">
            <v>8.6</v>
          </cell>
          <cell r="FD441">
            <v>1978.1433333333334</v>
          </cell>
          <cell r="FE441">
            <v>3160.0766666666668</v>
          </cell>
          <cell r="FF441">
            <v>84180</v>
          </cell>
          <cell r="FH441">
            <v>84180</v>
          </cell>
        </row>
        <row r="442">
          <cell r="B442">
            <v>9555</v>
          </cell>
          <cell r="C442" t="str">
            <v>28.08.2008</v>
          </cell>
          <cell r="D442" t="str">
            <v>Bagde Snehal Vijaykant</v>
          </cell>
          <cell r="F442">
            <v>3676</v>
          </cell>
          <cell r="H442">
            <v>1350</v>
          </cell>
          <cell r="I442">
            <v>1350</v>
          </cell>
          <cell r="J442">
            <v>2700</v>
          </cell>
          <cell r="K442">
            <v>-976</v>
          </cell>
          <cell r="M442">
            <v>3827</v>
          </cell>
          <cell r="N442">
            <v>0</v>
          </cell>
          <cell r="O442">
            <v>3827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W442">
            <v>3827</v>
          </cell>
          <cell r="X442">
            <v>0</v>
          </cell>
          <cell r="Y442">
            <v>3827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G442">
            <v>3827</v>
          </cell>
          <cell r="AH442">
            <v>0</v>
          </cell>
          <cell r="AI442">
            <v>3827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Q442">
            <v>3827</v>
          </cell>
          <cell r="AR442">
            <v>0</v>
          </cell>
          <cell r="AS442">
            <v>3827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0</v>
          </cell>
          <cell r="BA442">
            <v>3827</v>
          </cell>
          <cell r="BB442">
            <v>0</v>
          </cell>
          <cell r="BC442">
            <v>3827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K442">
            <v>4005</v>
          </cell>
          <cell r="BL442">
            <v>0</v>
          </cell>
          <cell r="BM442">
            <v>4005</v>
          </cell>
          <cell r="BN442">
            <v>0</v>
          </cell>
          <cell r="BO442">
            <v>0</v>
          </cell>
          <cell r="BP442">
            <v>0</v>
          </cell>
          <cell r="BQ442">
            <v>0</v>
          </cell>
          <cell r="BR442">
            <v>0</v>
          </cell>
          <cell r="BS442">
            <v>0</v>
          </cell>
          <cell r="BU442">
            <v>4005</v>
          </cell>
          <cell r="BV442">
            <v>0</v>
          </cell>
          <cell r="BW442">
            <v>4005</v>
          </cell>
          <cell r="BX442">
            <v>0</v>
          </cell>
          <cell r="BY442">
            <v>0</v>
          </cell>
          <cell r="BZ442">
            <v>0</v>
          </cell>
          <cell r="CA442">
            <v>0</v>
          </cell>
          <cell r="CB442">
            <v>0</v>
          </cell>
          <cell r="CC442">
            <v>0</v>
          </cell>
          <cell r="CE442">
            <v>4005</v>
          </cell>
          <cell r="CF442">
            <v>0</v>
          </cell>
          <cell r="CG442">
            <v>4005</v>
          </cell>
          <cell r="CH442">
            <v>0</v>
          </cell>
          <cell r="CI442">
            <v>0</v>
          </cell>
          <cell r="CJ442">
            <v>0</v>
          </cell>
          <cell r="CK442">
            <v>0</v>
          </cell>
          <cell r="CL442">
            <v>0</v>
          </cell>
          <cell r="CM442">
            <v>0</v>
          </cell>
          <cell r="CO442">
            <v>4005</v>
          </cell>
          <cell r="CP442">
            <v>0</v>
          </cell>
          <cell r="CQ442">
            <v>4005</v>
          </cell>
          <cell r="CR442">
            <v>0</v>
          </cell>
          <cell r="CS442">
            <v>0</v>
          </cell>
          <cell r="CT442">
            <v>0</v>
          </cell>
          <cell r="CU442">
            <v>0</v>
          </cell>
          <cell r="CV442">
            <v>0</v>
          </cell>
          <cell r="CW442">
            <v>0</v>
          </cell>
          <cell r="CY442">
            <v>4005</v>
          </cell>
          <cell r="CZ442">
            <v>0</v>
          </cell>
          <cell r="DA442">
            <v>4005</v>
          </cell>
          <cell r="DB442">
            <v>0</v>
          </cell>
          <cell r="DC442">
            <v>0</v>
          </cell>
          <cell r="DD442">
            <v>0</v>
          </cell>
          <cell r="DE442">
            <v>0</v>
          </cell>
          <cell r="DF442">
            <v>0</v>
          </cell>
          <cell r="DG442">
            <v>0</v>
          </cell>
          <cell r="DI442">
            <v>2700</v>
          </cell>
          <cell r="DJ442">
            <v>39160</v>
          </cell>
          <cell r="DK442">
            <v>0</v>
          </cell>
          <cell r="DL442">
            <v>39160</v>
          </cell>
          <cell r="DM442">
            <v>39160</v>
          </cell>
          <cell r="DN442">
            <v>0</v>
          </cell>
          <cell r="DO442">
            <v>39160</v>
          </cell>
          <cell r="DP442">
            <v>0</v>
          </cell>
          <cell r="DQ442">
            <v>0</v>
          </cell>
          <cell r="DR442">
            <v>0</v>
          </cell>
          <cell r="DS442">
            <v>0</v>
          </cell>
          <cell r="DT442">
            <v>78320</v>
          </cell>
          <cell r="DU442">
            <v>0</v>
          </cell>
          <cell r="DW442">
            <v>0</v>
          </cell>
          <cell r="DX442">
            <v>0</v>
          </cell>
          <cell r="DY442">
            <v>10354</v>
          </cell>
          <cell r="DZ442">
            <v>18008</v>
          </cell>
          <cell r="EA442">
            <v>25662</v>
          </cell>
          <cell r="EB442">
            <v>33316</v>
          </cell>
          <cell r="EC442">
            <v>40970</v>
          </cell>
          <cell r="ED442">
            <v>48980</v>
          </cell>
          <cell r="EE442">
            <v>56990</v>
          </cell>
          <cell r="EF442">
            <v>65000</v>
          </cell>
          <cell r="EG442">
            <v>73010</v>
          </cell>
          <cell r="EH442">
            <v>81020</v>
          </cell>
          <cell r="EI442">
            <v>453310</v>
          </cell>
          <cell r="EK442">
            <v>0</v>
          </cell>
          <cell r="EL442">
            <v>0</v>
          </cell>
          <cell r="EM442">
            <v>69.026666666666671</v>
          </cell>
          <cell r="EN442">
            <v>120.05333333333334</v>
          </cell>
          <cell r="EO442">
            <v>171.08</v>
          </cell>
          <cell r="EP442">
            <v>222.10666666666668</v>
          </cell>
          <cell r="EQ442">
            <v>273.13333333333333</v>
          </cell>
          <cell r="ER442">
            <v>326.53333333333336</v>
          </cell>
          <cell r="ES442">
            <v>408.42833333333334</v>
          </cell>
          <cell r="ET442">
            <v>465.83333333333331</v>
          </cell>
          <cell r="EU442">
            <v>523.23833333333334</v>
          </cell>
          <cell r="EV442">
            <v>580.64333333333332</v>
          </cell>
          <cell r="EW442">
            <v>3160.0766666666668</v>
          </cell>
          <cell r="EY442">
            <v>177290</v>
          </cell>
          <cell r="EZ442">
            <v>8</v>
          </cell>
          <cell r="FA442">
            <v>1181.9333333333334</v>
          </cell>
          <cell r="FB442">
            <v>276020</v>
          </cell>
          <cell r="FC442">
            <v>8.6</v>
          </cell>
          <cell r="FD442">
            <v>1978.1433333333334</v>
          </cell>
          <cell r="FE442">
            <v>3160.0766666666668</v>
          </cell>
          <cell r="FF442">
            <v>84180</v>
          </cell>
          <cell r="FH442">
            <v>84180</v>
          </cell>
        </row>
        <row r="443">
          <cell r="B443">
            <v>9557</v>
          </cell>
          <cell r="C443" t="str">
            <v>28.08.2008</v>
          </cell>
          <cell r="D443" t="str">
            <v>Shete Prashant Dnyandev</v>
          </cell>
          <cell r="F443">
            <v>3676</v>
          </cell>
          <cell r="G443">
            <v>41104</v>
          </cell>
          <cell r="H443">
            <v>1350</v>
          </cell>
          <cell r="I443">
            <v>1350</v>
          </cell>
          <cell r="J443">
            <v>2700</v>
          </cell>
          <cell r="K443">
            <v>-976</v>
          </cell>
          <cell r="M443">
            <v>3827</v>
          </cell>
          <cell r="N443">
            <v>0</v>
          </cell>
          <cell r="O443">
            <v>3827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W443">
            <v>3827</v>
          </cell>
          <cell r="X443">
            <v>0</v>
          </cell>
          <cell r="Y443">
            <v>3827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G443">
            <v>3827</v>
          </cell>
          <cell r="AH443">
            <v>0</v>
          </cell>
          <cell r="AI443">
            <v>3827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Q443">
            <v>3827</v>
          </cell>
          <cell r="AR443">
            <v>0</v>
          </cell>
          <cell r="AS443">
            <v>3827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BA443">
            <v>3827</v>
          </cell>
          <cell r="BB443">
            <v>0</v>
          </cell>
          <cell r="BC443">
            <v>3827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K443">
            <v>4005</v>
          </cell>
          <cell r="BL443">
            <v>0</v>
          </cell>
          <cell r="BM443">
            <v>4005</v>
          </cell>
          <cell r="BN443">
            <v>0</v>
          </cell>
          <cell r="BO443">
            <v>0</v>
          </cell>
          <cell r="BP443">
            <v>0</v>
          </cell>
          <cell r="BQ443">
            <v>0</v>
          </cell>
          <cell r="BR443">
            <v>0</v>
          </cell>
          <cell r="BS443">
            <v>0</v>
          </cell>
          <cell r="BU443">
            <v>4005</v>
          </cell>
          <cell r="BV443">
            <v>0</v>
          </cell>
          <cell r="BW443">
            <v>4005</v>
          </cell>
          <cell r="BX443">
            <v>0</v>
          </cell>
          <cell r="BY443">
            <v>0</v>
          </cell>
          <cell r="BZ443">
            <v>0</v>
          </cell>
          <cell r="CA443">
            <v>0</v>
          </cell>
          <cell r="CB443">
            <v>0</v>
          </cell>
          <cell r="CC443">
            <v>0</v>
          </cell>
          <cell r="CE443">
            <v>4005</v>
          </cell>
          <cell r="CF443">
            <v>0</v>
          </cell>
          <cell r="CG443">
            <v>4005</v>
          </cell>
          <cell r="CH443">
            <v>0</v>
          </cell>
          <cell r="CI443">
            <v>0</v>
          </cell>
          <cell r="CJ443">
            <v>0</v>
          </cell>
          <cell r="CK443">
            <v>0</v>
          </cell>
          <cell r="CL443">
            <v>0</v>
          </cell>
          <cell r="CM443">
            <v>0</v>
          </cell>
          <cell r="CO443">
            <v>4005</v>
          </cell>
          <cell r="CP443">
            <v>0</v>
          </cell>
          <cell r="CQ443">
            <v>4005</v>
          </cell>
          <cell r="CR443">
            <v>0</v>
          </cell>
          <cell r="CS443">
            <v>0</v>
          </cell>
          <cell r="CT443">
            <v>0</v>
          </cell>
          <cell r="CU443">
            <v>0</v>
          </cell>
          <cell r="CV443">
            <v>0</v>
          </cell>
          <cell r="CW443">
            <v>0</v>
          </cell>
          <cell r="CY443">
            <v>4005</v>
          </cell>
          <cell r="CZ443">
            <v>0</v>
          </cell>
          <cell r="DA443">
            <v>4005</v>
          </cell>
          <cell r="DB443">
            <v>0</v>
          </cell>
          <cell r="DC443">
            <v>0</v>
          </cell>
          <cell r="DD443">
            <v>0</v>
          </cell>
          <cell r="DE443">
            <v>0</v>
          </cell>
          <cell r="DF443">
            <v>0</v>
          </cell>
          <cell r="DG443">
            <v>0</v>
          </cell>
          <cell r="DI443">
            <v>2700</v>
          </cell>
          <cell r="DJ443">
            <v>39160</v>
          </cell>
          <cell r="DK443">
            <v>0</v>
          </cell>
          <cell r="DL443">
            <v>39160</v>
          </cell>
          <cell r="DM443">
            <v>39160</v>
          </cell>
          <cell r="DN443">
            <v>0</v>
          </cell>
          <cell r="DO443">
            <v>39160</v>
          </cell>
          <cell r="DP443">
            <v>0</v>
          </cell>
          <cell r="DQ443">
            <v>0</v>
          </cell>
          <cell r="DR443">
            <v>0</v>
          </cell>
          <cell r="DS443">
            <v>0</v>
          </cell>
          <cell r="DT443">
            <v>78320</v>
          </cell>
          <cell r="DU443">
            <v>0</v>
          </cell>
          <cell r="DW443">
            <v>0</v>
          </cell>
          <cell r="DX443">
            <v>0</v>
          </cell>
          <cell r="DY443">
            <v>10354</v>
          </cell>
          <cell r="DZ443">
            <v>18008</v>
          </cell>
          <cell r="EA443">
            <v>25662</v>
          </cell>
          <cell r="EB443">
            <v>33316</v>
          </cell>
          <cell r="EC443">
            <v>40970</v>
          </cell>
          <cell r="ED443">
            <v>48980</v>
          </cell>
          <cell r="EE443">
            <v>56990</v>
          </cell>
          <cell r="EF443">
            <v>65000</v>
          </cell>
          <cell r="EG443">
            <v>73010</v>
          </cell>
          <cell r="EH443">
            <v>81020</v>
          </cell>
          <cell r="EI443">
            <v>453310</v>
          </cell>
          <cell r="EK443">
            <v>0</v>
          </cell>
          <cell r="EL443">
            <v>0</v>
          </cell>
          <cell r="EM443">
            <v>69.026666666666671</v>
          </cell>
          <cell r="EN443">
            <v>120.05333333333334</v>
          </cell>
          <cell r="EO443">
            <v>171.08</v>
          </cell>
          <cell r="EP443">
            <v>222.10666666666668</v>
          </cell>
          <cell r="EQ443">
            <v>273.13333333333333</v>
          </cell>
          <cell r="ER443">
            <v>326.53333333333336</v>
          </cell>
          <cell r="ES443">
            <v>408.42833333333334</v>
          </cell>
          <cell r="ET443">
            <v>465.83333333333331</v>
          </cell>
          <cell r="EU443">
            <v>523.23833333333334</v>
          </cell>
          <cell r="EV443">
            <v>580.64333333333332</v>
          </cell>
          <cell r="EW443">
            <v>3160.0766666666668</v>
          </cell>
          <cell r="EY443">
            <v>177290</v>
          </cell>
          <cell r="EZ443">
            <v>8</v>
          </cell>
          <cell r="FA443">
            <v>1181.9333333333334</v>
          </cell>
          <cell r="FB443">
            <v>276020</v>
          </cell>
          <cell r="FC443">
            <v>8.6</v>
          </cell>
          <cell r="FD443">
            <v>1978.1433333333334</v>
          </cell>
          <cell r="FE443">
            <v>3160.0766666666668</v>
          </cell>
          <cell r="FF443">
            <v>84180</v>
          </cell>
          <cell r="FH443">
            <v>84180</v>
          </cell>
        </row>
        <row r="444">
          <cell r="B444">
            <v>9559</v>
          </cell>
          <cell r="C444" t="str">
            <v>28.08.2008</v>
          </cell>
          <cell r="D444" t="str">
            <v>Bhat Snehal Ramesh</v>
          </cell>
          <cell r="F444">
            <v>3676</v>
          </cell>
          <cell r="H444">
            <v>1350</v>
          </cell>
          <cell r="I444">
            <v>1350</v>
          </cell>
          <cell r="J444">
            <v>2700</v>
          </cell>
          <cell r="K444">
            <v>-976</v>
          </cell>
          <cell r="M444">
            <v>3827</v>
          </cell>
          <cell r="N444">
            <v>0</v>
          </cell>
          <cell r="O444">
            <v>3827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W444">
            <v>3827</v>
          </cell>
          <cell r="X444">
            <v>0</v>
          </cell>
          <cell r="Y444">
            <v>3827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G444">
            <v>3827</v>
          </cell>
          <cell r="AH444">
            <v>0</v>
          </cell>
          <cell r="AI444">
            <v>3827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Q444">
            <v>3827</v>
          </cell>
          <cell r="AR444">
            <v>0</v>
          </cell>
          <cell r="AS444">
            <v>3827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0</v>
          </cell>
          <cell r="BA444">
            <v>3827</v>
          </cell>
          <cell r="BB444">
            <v>0</v>
          </cell>
          <cell r="BC444">
            <v>3827</v>
          </cell>
          <cell r="BD444">
            <v>0</v>
          </cell>
          <cell r="BE444">
            <v>0</v>
          </cell>
          <cell r="BF444">
            <v>0</v>
          </cell>
          <cell r="BG444">
            <v>0</v>
          </cell>
          <cell r="BH444">
            <v>0</v>
          </cell>
          <cell r="BI444">
            <v>0</v>
          </cell>
          <cell r="BK444">
            <v>4005</v>
          </cell>
          <cell r="BL444">
            <v>0</v>
          </cell>
          <cell r="BM444">
            <v>4005</v>
          </cell>
          <cell r="BN444">
            <v>0</v>
          </cell>
          <cell r="BO444">
            <v>0</v>
          </cell>
          <cell r="BP444">
            <v>0</v>
          </cell>
          <cell r="BQ444">
            <v>0</v>
          </cell>
          <cell r="BR444">
            <v>0</v>
          </cell>
          <cell r="BS444">
            <v>0</v>
          </cell>
          <cell r="BU444">
            <v>4005</v>
          </cell>
          <cell r="BV444">
            <v>0</v>
          </cell>
          <cell r="BW444">
            <v>4005</v>
          </cell>
          <cell r="BX444">
            <v>0</v>
          </cell>
          <cell r="BY444">
            <v>0</v>
          </cell>
          <cell r="BZ444">
            <v>0</v>
          </cell>
          <cell r="CA444">
            <v>0</v>
          </cell>
          <cell r="CB444">
            <v>0</v>
          </cell>
          <cell r="CC444">
            <v>0</v>
          </cell>
          <cell r="CE444">
            <v>4005</v>
          </cell>
          <cell r="CF444">
            <v>0</v>
          </cell>
          <cell r="CG444">
            <v>4005</v>
          </cell>
          <cell r="CH444">
            <v>0</v>
          </cell>
          <cell r="CI444">
            <v>0</v>
          </cell>
          <cell r="CJ444">
            <v>0</v>
          </cell>
          <cell r="CK444">
            <v>0</v>
          </cell>
          <cell r="CL444">
            <v>0</v>
          </cell>
          <cell r="CM444">
            <v>0</v>
          </cell>
          <cell r="CO444">
            <v>4005</v>
          </cell>
          <cell r="CP444">
            <v>0</v>
          </cell>
          <cell r="CQ444">
            <v>4005</v>
          </cell>
          <cell r="CR444">
            <v>0</v>
          </cell>
          <cell r="CS444">
            <v>0</v>
          </cell>
          <cell r="CT444">
            <v>0</v>
          </cell>
          <cell r="CU444">
            <v>0</v>
          </cell>
          <cell r="CV444">
            <v>0</v>
          </cell>
          <cell r="CW444">
            <v>0</v>
          </cell>
          <cell r="CY444">
            <v>4005</v>
          </cell>
          <cell r="CZ444">
            <v>0</v>
          </cell>
          <cell r="DA444">
            <v>4005</v>
          </cell>
          <cell r="DB444">
            <v>0</v>
          </cell>
          <cell r="DC444">
            <v>0</v>
          </cell>
          <cell r="DD444">
            <v>0</v>
          </cell>
          <cell r="DE444">
            <v>0</v>
          </cell>
          <cell r="DF444">
            <v>0</v>
          </cell>
          <cell r="DG444">
            <v>0</v>
          </cell>
          <cell r="DI444">
            <v>2700</v>
          </cell>
          <cell r="DJ444">
            <v>39160</v>
          </cell>
          <cell r="DK444">
            <v>0</v>
          </cell>
          <cell r="DL444">
            <v>39160</v>
          </cell>
          <cell r="DM444">
            <v>39160</v>
          </cell>
          <cell r="DN444">
            <v>0</v>
          </cell>
          <cell r="DO444">
            <v>39160</v>
          </cell>
          <cell r="DP444">
            <v>0</v>
          </cell>
          <cell r="DQ444">
            <v>0</v>
          </cell>
          <cell r="DR444">
            <v>0</v>
          </cell>
          <cell r="DS444">
            <v>0</v>
          </cell>
          <cell r="DT444">
            <v>78320</v>
          </cell>
          <cell r="DU444">
            <v>0</v>
          </cell>
          <cell r="DW444">
            <v>0</v>
          </cell>
          <cell r="DX444">
            <v>0</v>
          </cell>
          <cell r="DY444">
            <v>10354</v>
          </cell>
          <cell r="DZ444">
            <v>18008</v>
          </cell>
          <cell r="EA444">
            <v>25662</v>
          </cell>
          <cell r="EB444">
            <v>33316</v>
          </cell>
          <cell r="EC444">
            <v>40970</v>
          </cell>
          <cell r="ED444">
            <v>48980</v>
          </cell>
          <cell r="EE444">
            <v>56990</v>
          </cell>
          <cell r="EF444">
            <v>65000</v>
          </cell>
          <cell r="EG444">
            <v>73010</v>
          </cell>
          <cell r="EH444">
            <v>81020</v>
          </cell>
          <cell r="EI444">
            <v>453310</v>
          </cell>
          <cell r="EK444">
            <v>0</v>
          </cell>
          <cell r="EL444">
            <v>0</v>
          </cell>
          <cell r="EM444">
            <v>69.026666666666671</v>
          </cell>
          <cell r="EN444">
            <v>120.05333333333334</v>
          </cell>
          <cell r="EO444">
            <v>171.08</v>
          </cell>
          <cell r="EP444">
            <v>222.10666666666668</v>
          </cell>
          <cell r="EQ444">
            <v>273.13333333333333</v>
          </cell>
          <cell r="ER444">
            <v>326.53333333333336</v>
          </cell>
          <cell r="ES444">
            <v>408.42833333333334</v>
          </cell>
          <cell r="ET444">
            <v>465.83333333333331</v>
          </cell>
          <cell r="EU444">
            <v>523.23833333333334</v>
          </cell>
          <cell r="EV444">
            <v>580.64333333333332</v>
          </cell>
          <cell r="EW444">
            <v>3160.0766666666668</v>
          </cell>
          <cell r="EY444">
            <v>177290</v>
          </cell>
          <cell r="EZ444">
            <v>8</v>
          </cell>
          <cell r="FA444">
            <v>1181.9333333333334</v>
          </cell>
          <cell r="FB444">
            <v>276020</v>
          </cell>
          <cell r="FC444">
            <v>8.6</v>
          </cell>
          <cell r="FD444">
            <v>1978.1433333333334</v>
          </cell>
          <cell r="FE444">
            <v>3160.0766666666668</v>
          </cell>
          <cell r="FF444">
            <v>84180</v>
          </cell>
          <cell r="FH444">
            <v>84180</v>
          </cell>
        </row>
        <row r="445">
          <cell r="B445">
            <v>9560</v>
          </cell>
          <cell r="C445" t="str">
            <v>28.08.2008</v>
          </cell>
          <cell r="D445" t="str">
            <v>Patil Pradnya Parshuram</v>
          </cell>
          <cell r="F445">
            <v>3676</v>
          </cell>
          <cell r="H445">
            <v>1350</v>
          </cell>
          <cell r="I445">
            <v>1350</v>
          </cell>
          <cell r="J445">
            <v>2700</v>
          </cell>
          <cell r="K445">
            <v>-976</v>
          </cell>
          <cell r="M445">
            <v>3827</v>
          </cell>
          <cell r="N445">
            <v>0</v>
          </cell>
          <cell r="O445">
            <v>3827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W445">
            <v>3827</v>
          </cell>
          <cell r="X445">
            <v>0</v>
          </cell>
          <cell r="Y445">
            <v>3827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G445">
            <v>3827</v>
          </cell>
          <cell r="AH445">
            <v>0</v>
          </cell>
          <cell r="AI445">
            <v>3827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Q445">
            <v>3827</v>
          </cell>
          <cell r="AR445">
            <v>0</v>
          </cell>
          <cell r="AS445">
            <v>3827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BA445">
            <v>3827</v>
          </cell>
          <cell r="BB445">
            <v>0</v>
          </cell>
          <cell r="BC445">
            <v>3827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K445">
            <v>4005</v>
          </cell>
          <cell r="BL445">
            <v>0</v>
          </cell>
          <cell r="BM445">
            <v>4005</v>
          </cell>
          <cell r="BN445">
            <v>0</v>
          </cell>
          <cell r="BO445">
            <v>0</v>
          </cell>
          <cell r="BP445">
            <v>0</v>
          </cell>
          <cell r="BQ445">
            <v>0</v>
          </cell>
          <cell r="BR445">
            <v>0</v>
          </cell>
          <cell r="BS445">
            <v>0</v>
          </cell>
          <cell r="BU445">
            <v>4005</v>
          </cell>
          <cell r="BV445">
            <v>0</v>
          </cell>
          <cell r="BW445">
            <v>4005</v>
          </cell>
          <cell r="BX445">
            <v>0</v>
          </cell>
          <cell r="BY445">
            <v>0</v>
          </cell>
          <cell r="BZ445">
            <v>0</v>
          </cell>
          <cell r="CA445">
            <v>0</v>
          </cell>
          <cell r="CB445">
            <v>0</v>
          </cell>
          <cell r="CC445">
            <v>0</v>
          </cell>
          <cell r="CE445">
            <v>4005</v>
          </cell>
          <cell r="CF445">
            <v>0</v>
          </cell>
          <cell r="CG445">
            <v>4005</v>
          </cell>
          <cell r="CH445">
            <v>0</v>
          </cell>
          <cell r="CI445">
            <v>0</v>
          </cell>
          <cell r="CJ445">
            <v>0</v>
          </cell>
          <cell r="CK445">
            <v>0</v>
          </cell>
          <cell r="CL445">
            <v>0</v>
          </cell>
          <cell r="CM445">
            <v>0</v>
          </cell>
          <cell r="CO445">
            <v>4005</v>
          </cell>
          <cell r="CP445">
            <v>0</v>
          </cell>
          <cell r="CQ445">
            <v>4005</v>
          </cell>
          <cell r="CR445">
            <v>0</v>
          </cell>
          <cell r="CS445">
            <v>0</v>
          </cell>
          <cell r="CT445">
            <v>0</v>
          </cell>
          <cell r="CU445">
            <v>0</v>
          </cell>
          <cell r="CV445">
            <v>0</v>
          </cell>
          <cell r="CW445">
            <v>0</v>
          </cell>
          <cell r="CY445">
            <v>4005</v>
          </cell>
          <cell r="CZ445">
            <v>0</v>
          </cell>
          <cell r="DA445">
            <v>4005</v>
          </cell>
          <cell r="DB445">
            <v>0</v>
          </cell>
          <cell r="DC445">
            <v>0</v>
          </cell>
          <cell r="DD445">
            <v>0</v>
          </cell>
          <cell r="DE445">
            <v>0</v>
          </cell>
          <cell r="DF445">
            <v>0</v>
          </cell>
          <cell r="DG445">
            <v>0</v>
          </cell>
          <cell r="DI445">
            <v>2700</v>
          </cell>
          <cell r="DJ445">
            <v>39160</v>
          </cell>
          <cell r="DK445">
            <v>0</v>
          </cell>
          <cell r="DL445">
            <v>39160</v>
          </cell>
          <cell r="DM445">
            <v>39160</v>
          </cell>
          <cell r="DN445">
            <v>0</v>
          </cell>
          <cell r="DO445">
            <v>39160</v>
          </cell>
          <cell r="DP445">
            <v>0</v>
          </cell>
          <cell r="DQ445">
            <v>0</v>
          </cell>
          <cell r="DR445">
            <v>0</v>
          </cell>
          <cell r="DS445">
            <v>0</v>
          </cell>
          <cell r="DT445">
            <v>78320</v>
          </cell>
          <cell r="DU445">
            <v>0</v>
          </cell>
          <cell r="DW445">
            <v>0</v>
          </cell>
          <cell r="DX445">
            <v>0</v>
          </cell>
          <cell r="DY445">
            <v>10354</v>
          </cell>
          <cell r="DZ445">
            <v>18008</v>
          </cell>
          <cell r="EA445">
            <v>25662</v>
          </cell>
          <cell r="EB445">
            <v>33316</v>
          </cell>
          <cell r="EC445">
            <v>40970</v>
          </cell>
          <cell r="ED445">
            <v>48980</v>
          </cell>
          <cell r="EE445">
            <v>56990</v>
          </cell>
          <cell r="EF445">
            <v>65000</v>
          </cell>
          <cell r="EG445">
            <v>73010</v>
          </cell>
          <cell r="EH445">
            <v>81020</v>
          </cell>
          <cell r="EI445">
            <v>453310</v>
          </cell>
          <cell r="EK445">
            <v>0</v>
          </cell>
          <cell r="EL445">
            <v>0</v>
          </cell>
          <cell r="EM445">
            <v>69.026666666666671</v>
          </cell>
          <cell r="EN445">
            <v>120.05333333333334</v>
          </cell>
          <cell r="EO445">
            <v>171.08</v>
          </cell>
          <cell r="EP445">
            <v>222.10666666666668</v>
          </cell>
          <cell r="EQ445">
            <v>273.13333333333333</v>
          </cell>
          <cell r="ER445">
            <v>326.53333333333336</v>
          </cell>
          <cell r="ES445">
            <v>408.42833333333334</v>
          </cell>
          <cell r="ET445">
            <v>465.83333333333331</v>
          </cell>
          <cell r="EU445">
            <v>523.23833333333334</v>
          </cell>
          <cell r="EV445">
            <v>580.64333333333332</v>
          </cell>
          <cell r="EW445">
            <v>3160.0766666666668</v>
          </cell>
          <cell r="EY445">
            <v>177290</v>
          </cell>
          <cell r="EZ445">
            <v>8</v>
          </cell>
          <cell r="FA445">
            <v>1181.9333333333334</v>
          </cell>
          <cell r="FB445">
            <v>276020</v>
          </cell>
          <cell r="FC445">
            <v>8.6</v>
          </cell>
          <cell r="FD445">
            <v>1978.1433333333334</v>
          </cell>
          <cell r="FE445">
            <v>3160.0766666666668</v>
          </cell>
          <cell r="FF445">
            <v>84180</v>
          </cell>
          <cell r="FH445">
            <v>84180</v>
          </cell>
        </row>
        <row r="446">
          <cell r="B446">
            <v>9561</v>
          </cell>
          <cell r="C446" t="str">
            <v>28.08.2008</v>
          </cell>
          <cell r="D446" t="str">
            <v>Hire Sachin Jibhau</v>
          </cell>
          <cell r="F446">
            <v>3676</v>
          </cell>
          <cell r="H446">
            <v>1350</v>
          </cell>
          <cell r="I446">
            <v>1350</v>
          </cell>
          <cell r="J446">
            <v>2700</v>
          </cell>
          <cell r="K446">
            <v>-976</v>
          </cell>
          <cell r="M446">
            <v>3827</v>
          </cell>
          <cell r="N446">
            <v>0</v>
          </cell>
          <cell r="O446">
            <v>3827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W446">
            <v>3827</v>
          </cell>
          <cell r="X446">
            <v>0</v>
          </cell>
          <cell r="Y446">
            <v>3827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G446">
            <v>3827</v>
          </cell>
          <cell r="AH446">
            <v>0</v>
          </cell>
          <cell r="AI446">
            <v>3827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Q446">
            <v>3827</v>
          </cell>
          <cell r="AR446">
            <v>0</v>
          </cell>
          <cell r="AS446">
            <v>3827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BA446">
            <v>3827</v>
          </cell>
          <cell r="BB446">
            <v>0</v>
          </cell>
          <cell r="BC446">
            <v>3827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>
            <v>0</v>
          </cell>
          <cell r="BK446">
            <v>4005</v>
          </cell>
          <cell r="BL446">
            <v>0</v>
          </cell>
          <cell r="BM446">
            <v>4005</v>
          </cell>
          <cell r="BN446">
            <v>0</v>
          </cell>
          <cell r="BO446">
            <v>0</v>
          </cell>
          <cell r="BP446">
            <v>0</v>
          </cell>
          <cell r="BQ446">
            <v>0</v>
          </cell>
          <cell r="BR446">
            <v>0</v>
          </cell>
          <cell r="BS446">
            <v>0</v>
          </cell>
          <cell r="BU446">
            <v>4005</v>
          </cell>
          <cell r="BV446">
            <v>0</v>
          </cell>
          <cell r="BW446">
            <v>4005</v>
          </cell>
          <cell r="BX446">
            <v>0</v>
          </cell>
          <cell r="BY446">
            <v>0</v>
          </cell>
          <cell r="BZ446">
            <v>0</v>
          </cell>
          <cell r="CA446">
            <v>0</v>
          </cell>
          <cell r="CB446">
            <v>0</v>
          </cell>
          <cell r="CC446">
            <v>0</v>
          </cell>
          <cell r="CE446">
            <v>4005</v>
          </cell>
          <cell r="CF446">
            <v>0</v>
          </cell>
          <cell r="CG446">
            <v>4005</v>
          </cell>
          <cell r="CH446">
            <v>0</v>
          </cell>
          <cell r="CI446">
            <v>0</v>
          </cell>
          <cell r="CJ446">
            <v>0</v>
          </cell>
          <cell r="CK446">
            <v>0</v>
          </cell>
          <cell r="CL446">
            <v>0</v>
          </cell>
          <cell r="CM446">
            <v>0</v>
          </cell>
          <cell r="CO446">
            <v>4005</v>
          </cell>
          <cell r="CP446">
            <v>0</v>
          </cell>
          <cell r="CQ446">
            <v>4005</v>
          </cell>
          <cell r="CR446">
            <v>0</v>
          </cell>
          <cell r="CS446">
            <v>0</v>
          </cell>
          <cell r="CT446">
            <v>0</v>
          </cell>
          <cell r="CU446">
            <v>0</v>
          </cell>
          <cell r="CV446">
            <v>0</v>
          </cell>
          <cell r="CW446">
            <v>0</v>
          </cell>
          <cell r="CY446">
            <v>4005</v>
          </cell>
          <cell r="CZ446">
            <v>0</v>
          </cell>
          <cell r="DA446">
            <v>4005</v>
          </cell>
          <cell r="DB446">
            <v>0</v>
          </cell>
          <cell r="DC446">
            <v>0</v>
          </cell>
          <cell r="DD446">
            <v>0</v>
          </cell>
          <cell r="DE446">
            <v>0</v>
          </cell>
          <cell r="DF446">
            <v>0</v>
          </cell>
          <cell r="DG446">
            <v>0</v>
          </cell>
          <cell r="DI446">
            <v>2700</v>
          </cell>
          <cell r="DJ446">
            <v>39160</v>
          </cell>
          <cell r="DK446">
            <v>0</v>
          </cell>
          <cell r="DL446">
            <v>39160</v>
          </cell>
          <cell r="DM446">
            <v>39160</v>
          </cell>
          <cell r="DN446">
            <v>0</v>
          </cell>
          <cell r="DO446">
            <v>39160</v>
          </cell>
          <cell r="DP446">
            <v>0</v>
          </cell>
          <cell r="DQ446">
            <v>0</v>
          </cell>
          <cell r="DR446">
            <v>0</v>
          </cell>
          <cell r="DS446">
            <v>0</v>
          </cell>
          <cell r="DT446">
            <v>78320</v>
          </cell>
          <cell r="DU446">
            <v>0</v>
          </cell>
          <cell r="DW446">
            <v>0</v>
          </cell>
          <cell r="DX446">
            <v>0</v>
          </cell>
          <cell r="DY446">
            <v>10354</v>
          </cell>
          <cell r="DZ446">
            <v>18008</v>
          </cell>
          <cell r="EA446">
            <v>25662</v>
          </cell>
          <cell r="EB446">
            <v>33316</v>
          </cell>
          <cell r="EC446">
            <v>40970</v>
          </cell>
          <cell r="ED446">
            <v>48980</v>
          </cell>
          <cell r="EE446">
            <v>56990</v>
          </cell>
          <cell r="EF446">
            <v>65000</v>
          </cell>
          <cell r="EG446">
            <v>73010</v>
          </cell>
          <cell r="EH446">
            <v>81020</v>
          </cell>
          <cell r="EI446">
            <v>453310</v>
          </cell>
          <cell r="EK446">
            <v>0</v>
          </cell>
          <cell r="EL446">
            <v>0</v>
          </cell>
          <cell r="EM446">
            <v>69.026666666666671</v>
          </cell>
          <cell r="EN446">
            <v>120.05333333333334</v>
          </cell>
          <cell r="EO446">
            <v>171.08</v>
          </cell>
          <cell r="EP446">
            <v>222.10666666666668</v>
          </cell>
          <cell r="EQ446">
            <v>273.13333333333333</v>
          </cell>
          <cell r="ER446">
            <v>326.53333333333336</v>
          </cell>
          <cell r="ES446">
            <v>408.42833333333334</v>
          </cell>
          <cell r="ET446">
            <v>465.83333333333331</v>
          </cell>
          <cell r="EU446">
            <v>523.23833333333334</v>
          </cell>
          <cell r="EV446">
            <v>580.64333333333332</v>
          </cell>
          <cell r="EW446">
            <v>3160.0766666666668</v>
          </cell>
          <cell r="EY446">
            <v>177290</v>
          </cell>
          <cell r="EZ446">
            <v>8</v>
          </cell>
          <cell r="FA446">
            <v>1181.9333333333334</v>
          </cell>
          <cell r="FB446">
            <v>276020</v>
          </cell>
          <cell r="FC446">
            <v>8.6</v>
          </cell>
          <cell r="FD446">
            <v>1978.1433333333334</v>
          </cell>
          <cell r="FE446">
            <v>3160.0766666666668</v>
          </cell>
          <cell r="FF446">
            <v>84180</v>
          </cell>
          <cell r="FH446">
            <v>84180</v>
          </cell>
        </row>
        <row r="447">
          <cell r="B447">
            <v>9562</v>
          </cell>
          <cell r="C447" t="str">
            <v>28.08.2008</v>
          </cell>
          <cell r="D447" t="str">
            <v>Bagul Shalaka Lalit</v>
          </cell>
          <cell r="F447">
            <v>3676</v>
          </cell>
          <cell r="H447">
            <v>1350</v>
          </cell>
          <cell r="I447">
            <v>1350</v>
          </cell>
          <cell r="J447">
            <v>2700</v>
          </cell>
          <cell r="K447">
            <v>-976</v>
          </cell>
          <cell r="M447">
            <v>3827</v>
          </cell>
          <cell r="N447">
            <v>0</v>
          </cell>
          <cell r="O447">
            <v>3827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W447">
            <v>3827</v>
          </cell>
          <cell r="X447">
            <v>0</v>
          </cell>
          <cell r="Y447">
            <v>3827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G447">
            <v>3827</v>
          </cell>
          <cell r="AH447">
            <v>0</v>
          </cell>
          <cell r="AI447">
            <v>3827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Q447">
            <v>3827</v>
          </cell>
          <cell r="AR447">
            <v>0</v>
          </cell>
          <cell r="AS447">
            <v>3827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0</v>
          </cell>
          <cell r="BA447">
            <v>3827</v>
          </cell>
          <cell r="BB447">
            <v>0</v>
          </cell>
          <cell r="BC447">
            <v>3827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>
            <v>0</v>
          </cell>
          <cell r="BK447">
            <v>4005</v>
          </cell>
          <cell r="BL447">
            <v>0</v>
          </cell>
          <cell r="BM447">
            <v>4005</v>
          </cell>
          <cell r="BN447">
            <v>0</v>
          </cell>
          <cell r="BO447">
            <v>0</v>
          </cell>
          <cell r="BP447">
            <v>0</v>
          </cell>
          <cell r="BQ447">
            <v>0</v>
          </cell>
          <cell r="BR447">
            <v>0</v>
          </cell>
          <cell r="BS447">
            <v>0</v>
          </cell>
          <cell r="BU447">
            <v>4005</v>
          </cell>
          <cell r="BV447">
            <v>0</v>
          </cell>
          <cell r="BW447">
            <v>4005</v>
          </cell>
          <cell r="BX447">
            <v>0</v>
          </cell>
          <cell r="BY447">
            <v>0</v>
          </cell>
          <cell r="BZ447">
            <v>0</v>
          </cell>
          <cell r="CA447">
            <v>0</v>
          </cell>
          <cell r="CB447">
            <v>0</v>
          </cell>
          <cell r="CC447">
            <v>0</v>
          </cell>
          <cell r="CE447">
            <v>4005</v>
          </cell>
          <cell r="CF447">
            <v>0</v>
          </cell>
          <cell r="CG447">
            <v>4005</v>
          </cell>
          <cell r="CH447">
            <v>0</v>
          </cell>
          <cell r="CI447">
            <v>0</v>
          </cell>
          <cell r="CJ447">
            <v>0</v>
          </cell>
          <cell r="CK447">
            <v>0</v>
          </cell>
          <cell r="CL447">
            <v>0</v>
          </cell>
          <cell r="CM447">
            <v>0</v>
          </cell>
          <cell r="CO447">
            <v>4005</v>
          </cell>
          <cell r="CP447">
            <v>0</v>
          </cell>
          <cell r="CQ447">
            <v>4005</v>
          </cell>
          <cell r="CR447">
            <v>0</v>
          </cell>
          <cell r="CS447">
            <v>0</v>
          </cell>
          <cell r="CT447">
            <v>0</v>
          </cell>
          <cell r="CU447">
            <v>0</v>
          </cell>
          <cell r="CV447">
            <v>0</v>
          </cell>
          <cell r="CW447">
            <v>0</v>
          </cell>
          <cell r="CY447">
            <v>4005</v>
          </cell>
          <cell r="CZ447">
            <v>0</v>
          </cell>
          <cell r="DA447">
            <v>4005</v>
          </cell>
          <cell r="DB447">
            <v>0</v>
          </cell>
          <cell r="DC447">
            <v>0</v>
          </cell>
          <cell r="DD447">
            <v>0</v>
          </cell>
          <cell r="DE447">
            <v>0</v>
          </cell>
          <cell r="DF447">
            <v>0</v>
          </cell>
          <cell r="DG447">
            <v>0</v>
          </cell>
          <cell r="DI447">
            <v>2700</v>
          </cell>
          <cell r="DJ447">
            <v>39160</v>
          </cell>
          <cell r="DK447">
            <v>0</v>
          </cell>
          <cell r="DL447">
            <v>39160</v>
          </cell>
          <cell r="DM447">
            <v>39160</v>
          </cell>
          <cell r="DN447">
            <v>0</v>
          </cell>
          <cell r="DO447">
            <v>39160</v>
          </cell>
          <cell r="DP447">
            <v>0</v>
          </cell>
          <cell r="DQ447">
            <v>0</v>
          </cell>
          <cell r="DR447">
            <v>0</v>
          </cell>
          <cell r="DS447">
            <v>0</v>
          </cell>
          <cell r="DT447">
            <v>78320</v>
          </cell>
          <cell r="DU447">
            <v>0</v>
          </cell>
          <cell r="DW447">
            <v>0</v>
          </cell>
          <cell r="DX447">
            <v>0</v>
          </cell>
          <cell r="DY447">
            <v>10354</v>
          </cell>
          <cell r="DZ447">
            <v>18008</v>
          </cell>
          <cell r="EA447">
            <v>25662</v>
          </cell>
          <cell r="EB447">
            <v>33316</v>
          </cell>
          <cell r="EC447">
            <v>40970</v>
          </cell>
          <cell r="ED447">
            <v>48980</v>
          </cell>
          <cell r="EE447">
            <v>56990</v>
          </cell>
          <cell r="EF447">
            <v>65000</v>
          </cell>
          <cell r="EG447">
            <v>73010</v>
          </cell>
          <cell r="EH447">
            <v>81020</v>
          </cell>
          <cell r="EI447">
            <v>453310</v>
          </cell>
          <cell r="EK447">
            <v>0</v>
          </cell>
          <cell r="EL447">
            <v>0</v>
          </cell>
          <cell r="EM447">
            <v>69.026666666666671</v>
          </cell>
          <cell r="EN447">
            <v>120.05333333333334</v>
          </cell>
          <cell r="EO447">
            <v>171.08</v>
          </cell>
          <cell r="EP447">
            <v>222.10666666666668</v>
          </cell>
          <cell r="EQ447">
            <v>273.13333333333333</v>
          </cell>
          <cell r="ER447">
            <v>326.53333333333336</v>
          </cell>
          <cell r="ES447">
            <v>408.42833333333334</v>
          </cell>
          <cell r="ET447">
            <v>465.83333333333331</v>
          </cell>
          <cell r="EU447">
            <v>523.23833333333334</v>
          </cell>
          <cell r="EV447">
            <v>580.64333333333332</v>
          </cell>
          <cell r="EW447">
            <v>3160.0766666666668</v>
          </cell>
          <cell r="EY447">
            <v>177290</v>
          </cell>
          <cell r="EZ447">
            <v>8</v>
          </cell>
          <cell r="FA447">
            <v>1181.9333333333334</v>
          </cell>
          <cell r="FB447">
            <v>276020</v>
          </cell>
          <cell r="FC447">
            <v>8.6</v>
          </cell>
          <cell r="FD447">
            <v>1978.1433333333334</v>
          </cell>
          <cell r="FE447">
            <v>3160.0766666666668</v>
          </cell>
          <cell r="FF447">
            <v>84180</v>
          </cell>
          <cell r="FH447">
            <v>84180</v>
          </cell>
        </row>
        <row r="448">
          <cell r="B448">
            <v>9564</v>
          </cell>
          <cell r="C448" t="str">
            <v>28.08.2008</v>
          </cell>
          <cell r="D448" t="str">
            <v>Palod Aavesh Chandrakant</v>
          </cell>
          <cell r="F448">
            <v>3676</v>
          </cell>
          <cell r="H448">
            <v>1350</v>
          </cell>
          <cell r="I448">
            <v>1350</v>
          </cell>
          <cell r="J448">
            <v>2700</v>
          </cell>
          <cell r="K448">
            <v>-976</v>
          </cell>
          <cell r="M448">
            <v>3827</v>
          </cell>
          <cell r="N448">
            <v>0</v>
          </cell>
          <cell r="O448">
            <v>3827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W448">
            <v>3827</v>
          </cell>
          <cell r="X448">
            <v>0</v>
          </cell>
          <cell r="Y448">
            <v>3827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G448">
            <v>3827</v>
          </cell>
          <cell r="AH448">
            <v>0</v>
          </cell>
          <cell r="AI448">
            <v>3827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Q448">
            <v>3827</v>
          </cell>
          <cell r="AR448">
            <v>0</v>
          </cell>
          <cell r="AS448">
            <v>3827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0</v>
          </cell>
          <cell r="BA448">
            <v>3827</v>
          </cell>
          <cell r="BB448">
            <v>0</v>
          </cell>
          <cell r="BC448">
            <v>3827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>
            <v>0</v>
          </cell>
          <cell r="BK448">
            <v>4005</v>
          </cell>
          <cell r="BL448">
            <v>0</v>
          </cell>
          <cell r="BM448">
            <v>4005</v>
          </cell>
          <cell r="BN448">
            <v>0</v>
          </cell>
          <cell r="BO448">
            <v>0</v>
          </cell>
          <cell r="BP448">
            <v>0</v>
          </cell>
          <cell r="BQ448">
            <v>0</v>
          </cell>
          <cell r="BR448">
            <v>0</v>
          </cell>
          <cell r="BS448">
            <v>0</v>
          </cell>
          <cell r="BU448">
            <v>4005</v>
          </cell>
          <cell r="BV448">
            <v>0</v>
          </cell>
          <cell r="BW448">
            <v>4005</v>
          </cell>
          <cell r="BX448">
            <v>0</v>
          </cell>
          <cell r="BY448">
            <v>0</v>
          </cell>
          <cell r="BZ448">
            <v>0</v>
          </cell>
          <cell r="CA448">
            <v>0</v>
          </cell>
          <cell r="CB448">
            <v>0</v>
          </cell>
          <cell r="CC448">
            <v>0</v>
          </cell>
          <cell r="CE448">
            <v>4005</v>
          </cell>
          <cell r="CF448">
            <v>0</v>
          </cell>
          <cell r="CG448">
            <v>4005</v>
          </cell>
          <cell r="CH448">
            <v>0</v>
          </cell>
          <cell r="CI448">
            <v>0</v>
          </cell>
          <cell r="CJ448">
            <v>0</v>
          </cell>
          <cell r="CK448">
            <v>0</v>
          </cell>
          <cell r="CL448">
            <v>0</v>
          </cell>
          <cell r="CM448">
            <v>0</v>
          </cell>
          <cell r="CO448">
            <v>4005</v>
          </cell>
          <cell r="CP448">
            <v>0</v>
          </cell>
          <cell r="CQ448">
            <v>4005</v>
          </cell>
          <cell r="CR448">
            <v>0</v>
          </cell>
          <cell r="CS448">
            <v>0</v>
          </cell>
          <cell r="CT448">
            <v>0</v>
          </cell>
          <cell r="CU448">
            <v>0</v>
          </cell>
          <cell r="CV448">
            <v>0</v>
          </cell>
          <cell r="CW448">
            <v>0</v>
          </cell>
          <cell r="CY448">
            <v>4005</v>
          </cell>
          <cell r="CZ448">
            <v>0</v>
          </cell>
          <cell r="DA448">
            <v>4005</v>
          </cell>
          <cell r="DB448">
            <v>0</v>
          </cell>
          <cell r="DC448">
            <v>0</v>
          </cell>
          <cell r="DD448">
            <v>0</v>
          </cell>
          <cell r="DE448">
            <v>0</v>
          </cell>
          <cell r="DF448">
            <v>0</v>
          </cell>
          <cell r="DG448">
            <v>0</v>
          </cell>
          <cell r="DI448">
            <v>2700</v>
          </cell>
          <cell r="DJ448">
            <v>39160</v>
          </cell>
          <cell r="DK448">
            <v>0</v>
          </cell>
          <cell r="DL448">
            <v>39160</v>
          </cell>
          <cell r="DM448">
            <v>39160</v>
          </cell>
          <cell r="DN448">
            <v>0</v>
          </cell>
          <cell r="DO448">
            <v>39160</v>
          </cell>
          <cell r="DP448">
            <v>0</v>
          </cell>
          <cell r="DQ448">
            <v>0</v>
          </cell>
          <cell r="DR448">
            <v>0</v>
          </cell>
          <cell r="DS448">
            <v>0</v>
          </cell>
          <cell r="DT448">
            <v>78320</v>
          </cell>
          <cell r="DU448">
            <v>0</v>
          </cell>
          <cell r="DW448">
            <v>0</v>
          </cell>
          <cell r="DX448">
            <v>0</v>
          </cell>
          <cell r="DY448">
            <v>10354</v>
          </cell>
          <cell r="DZ448">
            <v>18008</v>
          </cell>
          <cell r="EA448">
            <v>25662</v>
          </cell>
          <cell r="EB448">
            <v>33316</v>
          </cell>
          <cell r="EC448">
            <v>40970</v>
          </cell>
          <cell r="ED448">
            <v>48980</v>
          </cell>
          <cell r="EE448">
            <v>56990</v>
          </cell>
          <cell r="EF448">
            <v>65000</v>
          </cell>
          <cell r="EG448">
            <v>73010</v>
          </cell>
          <cell r="EH448">
            <v>81020</v>
          </cell>
          <cell r="EI448">
            <v>453310</v>
          </cell>
          <cell r="EK448">
            <v>0</v>
          </cell>
          <cell r="EL448">
            <v>0</v>
          </cell>
          <cell r="EM448">
            <v>69.026666666666671</v>
          </cell>
          <cell r="EN448">
            <v>120.05333333333334</v>
          </cell>
          <cell r="EO448">
            <v>171.08</v>
          </cell>
          <cell r="EP448">
            <v>222.10666666666668</v>
          </cell>
          <cell r="EQ448">
            <v>273.13333333333333</v>
          </cell>
          <cell r="ER448">
            <v>326.53333333333336</v>
          </cell>
          <cell r="ES448">
            <v>408.42833333333334</v>
          </cell>
          <cell r="ET448">
            <v>465.83333333333331</v>
          </cell>
          <cell r="EU448">
            <v>523.23833333333334</v>
          </cell>
          <cell r="EV448">
            <v>580.64333333333332</v>
          </cell>
          <cell r="EW448">
            <v>3160.0766666666668</v>
          </cell>
          <cell r="EY448">
            <v>177290</v>
          </cell>
          <cell r="EZ448">
            <v>8</v>
          </cell>
          <cell r="FA448">
            <v>1181.9333333333334</v>
          </cell>
          <cell r="FB448">
            <v>276020</v>
          </cell>
          <cell r="FC448">
            <v>8.6</v>
          </cell>
          <cell r="FD448">
            <v>1978.1433333333334</v>
          </cell>
          <cell r="FE448">
            <v>3160.0766666666668</v>
          </cell>
          <cell r="FF448">
            <v>84180</v>
          </cell>
          <cell r="FH448">
            <v>84180</v>
          </cell>
        </row>
        <row r="449">
          <cell r="B449">
            <v>9565</v>
          </cell>
          <cell r="C449" t="str">
            <v>28.08.2008</v>
          </cell>
          <cell r="D449" t="str">
            <v>Chaudhari Amol Modhukar</v>
          </cell>
          <cell r="F449">
            <v>3676</v>
          </cell>
          <cell r="H449">
            <v>1350</v>
          </cell>
          <cell r="I449">
            <v>1350</v>
          </cell>
          <cell r="J449">
            <v>2700</v>
          </cell>
          <cell r="K449">
            <v>-976</v>
          </cell>
          <cell r="M449">
            <v>3827</v>
          </cell>
          <cell r="N449">
            <v>0</v>
          </cell>
          <cell r="O449">
            <v>3827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W449">
            <v>3827</v>
          </cell>
          <cell r="X449">
            <v>0</v>
          </cell>
          <cell r="Y449">
            <v>3827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G449">
            <v>3827</v>
          </cell>
          <cell r="AH449">
            <v>0</v>
          </cell>
          <cell r="AI449">
            <v>3827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Q449">
            <v>3827</v>
          </cell>
          <cell r="AR449">
            <v>0</v>
          </cell>
          <cell r="AS449">
            <v>3827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BA449">
            <v>3827</v>
          </cell>
          <cell r="BB449">
            <v>0</v>
          </cell>
          <cell r="BC449">
            <v>3827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>
            <v>0</v>
          </cell>
          <cell r="BK449">
            <v>4005</v>
          </cell>
          <cell r="BL449">
            <v>0</v>
          </cell>
          <cell r="BM449">
            <v>4005</v>
          </cell>
          <cell r="BN449">
            <v>0</v>
          </cell>
          <cell r="BO449">
            <v>0</v>
          </cell>
          <cell r="BP449">
            <v>0</v>
          </cell>
          <cell r="BQ449">
            <v>0</v>
          </cell>
          <cell r="BR449">
            <v>0</v>
          </cell>
          <cell r="BS449">
            <v>0</v>
          </cell>
          <cell r="BU449">
            <v>4005</v>
          </cell>
          <cell r="BV449">
            <v>0</v>
          </cell>
          <cell r="BW449">
            <v>4005</v>
          </cell>
          <cell r="BX449">
            <v>0</v>
          </cell>
          <cell r="BY449">
            <v>0</v>
          </cell>
          <cell r="BZ449">
            <v>0</v>
          </cell>
          <cell r="CA449">
            <v>0</v>
          </cell>
          <cell r="CB449">
            <v>0</v>
          </cell>
          <cell r="CC449">
            <v>0</v>
          </cell>
          <cell r="CE449">
            <v>4005</v>
          </cell>
          <cell r="CF449">
            <v>0</v>
          </cell>
          <cell r="CG449">
            <v>4005</v>
          </cell>
          <cell r="CH449">
            <v>0</v>
          </cell>
          <cell r="CI449">
            <v>0</v>
          </cell>
          <cell r="CJ449">
            <v>0</v>
          </cell>
          <cell r="CK449">
            <v>0</v>
          </cell>
          <cell r="CL449">
            <v>0</v>
          </cell>
          <cell r="CM449">
            <v>0</v>
          </cell>
          <cell r="CO449">
            <v>4005</v>
          </cell>
          <cell r="CP449">
            <v>0</v>
          </cell>
          <cell r="CQ449">
            <v>4005</v>
          </cell>
          <cell r="CR449">
            <v>0</v>
          </cell>
          <cell r="CS449">
            <v>0</v>
          </cell>
          <cell r="CT449">
            <v>0</v>
          </cell>
          <cell r="CU449">
            <v>0</v>
          </cell>
          <cell r="CV449">
            <v>0</v>
          </cell>
          <cell r="CW449">
            <v>0</v>
          </cell>
          <cell r="CY449">
            <v>4005</v>
          </cell>
          <cell r="CZ449">
            <v>0</v>
          </cell>
          <cell r="DA449">
            <v>4005</v>
          </cell>
          <cell r="DB449">
            <v>0</v>
          </cell>
          <cell r="DC449">
            <v>0</v>
          </cell>
          <cell r="DD449">
            <v>0</v>
          </cell>
          <cell r="DE449">
            <v>0</v>
          </cell>
          <cell r="DF449">
            <v>0</v>
          </cell>
          <cell r="DG449">
            <v>0</v>
          </cell>
          <cell r="DI449">
            <v>2700</v>
          </cell>
          <cell r="DJ449">
            <v>39160</v>
          </cell>
          <cell r="DK449">
            <v>0</v>
          </cell>
          <cell r="DL449">
            <v>39160</v>
          </cell>
          <cell r="DM449">
            <v>39160</v>
          </cell>
          <cell r="DN449">
            <v>0</v>
          </cell>
          <cell r="DO449">
            <v>39160</v>
          </cell>
          <cell r="DP449">
            <v>0</v>
          </cell>
          <cell r="DQ449">
            <v>0</v>
          </cell>
          <cell r="DR449">
            <v>0</v>
          </cell>
          <cell r="DS449">
            <v>0</v>
          </cell>
          <cell r="DT449">
            <v>78320</v>
          </cell>
          <cell r="DU449">
            <v>0</v>
          </cell>
          <cell r="DW449">
            <v>0</v>
          </cell>
          <cell r="DX449">
            <v>0</v>
          </cell>
          <cell r="DY449">
            <v>10354</v>
          </cell>
          <cell r="DZ449">
            <v>18008</v>
          </cell>
          <cell r="EA449">
            <v>25662</v>
          </cell>
          <cell r="EB449">
            <v>33316</v>
          </cell>
          <cell r="EC449">
            <v>40970</v>
          </cell>
          <cell r="ED449">
            <v>48980</v>
          </cell>
          <cell r="EE449">
            <v>56990</v>
          </cell>
          <cell r="EF449">
            <v>65000</v>
          </cell>
          <cell r="EG449">
            <v>73010</v>
          </cell>
          <cell r="EH449">
            <v>81020</v>
          </cell>
          <cell r="EI449">
            <v>453310</v>
          </cell>
          <cell r="EK449">
            <v>0</v>
          </cell>
          <cell r="EL449">
            <v>0</v>
          </cell>
          <cell r="EM449">
            <v>69.026666666666671</v>
          </cell>
          <cell r="EN449">
            <v>120.05333333333334</v>
          </cell>
          <cell r="EO449">
            <v>171.08</v>
          </cell>
          <cell r="EP449">
            <v>222.10666666666668</v>
          </cell>
          <cell r="EQ449">
            <v>273.13333333333333</v>
          </cell>
          <cell r="ER449">
            <v>326.53333333333336</v>
          </cell>
          <cell r="ES449">
            <v>408.42833333333334</v>
          </cell>
          <cell r="ET449">
            <v>465.83333333333331</v>
          </cell>
          <cell r="EU449">
            <v>523.23833333333334</v>
          </cell>
          <cell r="EV449">
            <v>580.64333333333332</v>
          </cell>
          <cell r="EW449">
            <v>3160.0766666666668</v>
          </cell>
          <cell r="EY449">
            <v>177290</v>
          </cell>
          <cell r="EZ449">
            <v>8</v>
          </cell>
          <cell r="FA449">
            <v>1181.9333333333334</v>
          </cell>
          <cell r="FB449">
            <v>276020</v>
          </cell>
          <cell r="FC449">
            <v>8.6</v>
          </cell>
          <cell r="FD449">
            <v>1978.1433333333334</v>
          </cell>
          <cell r="FE449">
            <v>3160.0766666666668</v>
          </cell>
          <cell r="FF449">
            <v>84180</v>
          </cell>
          <cell r="FH449">
            <v>84180</v>
          </cell>
        </row>
        <row r="450">
          <cell r="B450">
            <v>9567</v>
          </cell>
          <cell r="C450" t="str">
            <v>28.08.2008</v>
          </cell>
          <cell r="D450" t="str">
            <v>Patil Kiran Arjun</v>
          </cell>
          <cell r="F450">
            <v>3676</v>
          </cell>
          <cell r="H450">
            <v>1350</v>
          </cell>
          <cell r="I450">
            <v>1350</v>
          </cell>
          <cell r="J450">
            <v>2700</v>
          </cell>
          <cell r="K450">
            <v>-976</v>
          </cell>
          <cell r="M450">
            <v>3827</v>
          </cell>
          <cell r="N450">
            <v>0</v>
          </cell>
          <cell r="O450">
            <v>3827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W450">
            <v>3827</v>
          </cell>
          <cell r="X450">
            <v>0</v>
          </cell>
          <cell r="Y450">
            <v>3827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G450">
            <v>3827</v>
          </cell>
          <cell r="AH450">
            <v>0</v>
          </cell>
          <cell r="AI450">
            <v>3827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Q450">
            <v>3827</v>
          </cell>
          <cell r="AR450">
            <v>0</v>
          </cell>
          <cell r="AS450">
            <v>3827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BA450">
            <v>3827</v>
          </cell>
          <cell r="BB450">
            <v>0</v>
          </cell>
          <cell r="BC450">
            <v>3827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K450">
            <v>4005</v>
          </cell>
          <cell r="BL450">
            <v>0</v>
          </cell>
          <cell r="BM450">
            <v>4005</v>
          </cell>
          <cell r="BN450">
            <v>0</v>
          </cell>
          <cell r="BO450">
            <v>0</v>
          </cell>
          <cell r="BP450">
            <v>0</v>
          </cell>
          <cell r="BQ450">
            <v>0</v>
          </cell>
          <cell r="BR450">
            <v>0</v>
          </cell>
          <cell r="BS450">
            <v>0</v>
          </cell>
          <cell r="BU450">
            <v>4005</v>
          </cell>
          <cell r="BV450">
            <v>0</v>
          </cell>
          <cell r="BW450">
            <v>4005</v>
          </cell>
          <cell r="BX450">
            <v>0</v>
          </cell>
          <cell r="BY450">
            <v>0</v>
          </cell>
          <cell r="BZ450">
            <v>0</v>
          </cell>
          <cell r="CA450">
            <v>0</v>
          </cell>
          <cell r="CB450">
            <v>0</v>
          </cell>
          <cell r="CC450">
            <v>0</v>
          </cell>
          <cell r="CE450">
            <v>4005</v>
          </cell>
          <cell r="CF450">
            <v>0</v>
          </cell>
          <cell r="CG450">
            <v>4005</v>
          </cell>
          <cell r="CH450">
            <v>0</v>
          </cell>
          <cell r="CI450">
            <v>0</v>
          </cell>
          <cell r="CJ450">
            <v>0</v>
          </cell>
          <cell r="CK450">
            <v>0</v>
          </cell>
          <cell r="CL450">
            <v>0</v>
          </cell>
          <cell r="CM450">
            <v>0</v>
          </cell>
          <cell r="CO450">
            <v>4005</v>
          </cell>
          <cell r="CP450">
            <v>0</v>
          </cell>
          <cell r="CQ450">
            <v>4005</v>
          </cell>
          <cell r="CR450">
            <v>0</v>
          </cell>
          <cell r="CS450">
            <v>0</v>
          </cell>
          <cell r="CT450">
            <v>0</v>
          </cell>
          <cell r="CU450">
            <v>0</v>
          </cell>
          <cell r="CV450">
            <v>0</v>
          </cell>
          <cell r="CW450">
            <v>0</v>
          </cell>
          <cell r="CY450">
            <v>4005</v>
          </cell>
          <cell r="CZ450">
            <v>0</v>
          </cell>
          <cell r="DA450">
            <v>4005</v>
          </cell>
          <cell r="DB450">
            <v>0</v>
          </cell>
          <cell r="DC450">
            <v>0</v>
          </cell>
          <cell r="DD450">
            <v>0</v>
          </cell>
          <cell r="DE450">
            <v>0</v>
          </cell>
          <cell r="DF450">
            <v>0</v>
          </cell>
          <cell r="DG450">
            <v>0</v>
          </cell>
          <cell r="DI450">
            <v>2700</v>
          </cell>
          <cell r="DJ450">
            <v>39160</v>
          </cell>
          <cell r="DK450">
            <v>0</v>
          </cell>
          <cell r="DL450">
            <v>39160</v>
          </cell>
          <cell r="DM450">
            <v>39160</v>
          </cell>
          <cell r="DN450">
            <v>0</v>
          </cell>
          <cell r="DO450">
            <v>39160</v>
          </cell>
          <cell r="DP450">
            <v>0</v>
          </cell>
          <cell r="DQ450">
            <v>0</v>
          </cell>
          <cell r="DR450">
            <v>0</v>
          </cell>
          <cell r="DS450">
            <v>0</v>
          </cell>
          <cell r="DT450">
            <v>78320</v>
          </cell>
          <cell r="DU450">
            <v>0</v>
          </cell>
          <cell r="DW450">
            <v>0</v>
          </cell>
          <cell r="DX450">
            <v>0</v>
          </cell>
          <cell r="DY450">
            <v>10354</v>
          </cell>
          <cell r="DZ450">
            <v>18008</v>
          </cell>
          <cell r="EA450">
            <v>25662</v>
          </cell>
          <cell r="EB450">
            <v>33316</v>
          </cell>
          <cell r="EC450">
            <v>40970</v>
          </cell>
          <cell r="ED450">
            <v>48980</v>
          </cell>
          <cell r="EE450">
            <v>56990</v>
          </cell>
          <cell r="EF450">
            <v>65000</v>
          </cell>
          <cell r="EG450">
            <v>73010</v>
          </cell>
          <cell r="EH450">
            <v>81020</v>
          </cell>
          <cell r="EI450">
            <v>453310</v>
          </cell>
          <cell r="EK450">
            <v>0</v>
          </cell>
          <cell r="EL450">
            <v>0</v>
          </cell>
          <cell r="EM450">
            <v>69.026666666666671</v>
          </cell>
          <cell r="EN450">
            <v>120.05333333333334</v>
          </cell>
          <cell r="EO450">
            <v>171.08</v>
          </cell>
          <cell r="EP450">
            <v>222.10666666666668</v>
          </cell>
          <cell r="EQ450">
            <v>273.13333333333333</v>
          </cell>
          <cell r="ER450">
            <v>326.53333333333336</v>
          </cell>
          <cell r="ES450">
            <v>408.42833333333334</v>
          </cell>
          <cell r="ET450">
            <v>465.83333333333331</v>
          </cell>
          <cell r="EU450">
            <v>523.23833333333334</v>
          </cell>
          <cell r="EV450">
            <v>580.64333333333332</v>
          </cell>
          <cell r="EW450">
            <v>3160.0766666666668</v>
          </cell>
          <cell r="EY450">
            <v>177290</v>
          </cell>
          <cell r="EZ450">
            <v>8</v>
          </cell>
          <cell r="FA450">
            <v>1181.9333333333334</v>
          </cell>
          <cell r="FB450">
            <v>276020</v>
          </cell>
          <cell r="FC450">
            <v>8.6</v>
          </cell>
          <cell r="FD450">
            <v>1978.1433333333334</v>
          </cell>
          <cell r="FE450">
            <v>3160.0766666666668</v>
          </cell>
          <cell r="FF450">
            <v>84180</v>
          </cell>
          <cell r="FH450">
            <v>84180</v>
          </cell>
        </row>
        <row r="451">
          <cell r="B451">
            <v>9569</v>
          </cell>
          <cell r="C451" t="str">
            <v>28.08.2008</v>
          </cell>
          <cell r="D451" t="str">
            <v>Khalase Sunita Rama</v>
          </cell>
          <cell r="F451">
            <v>1015</v>
          </cell>
          <cell r="H451">
            <v>450</v>
          </cell>
          <cell r="I451">
            <v>450</v>
          </cell>
          <cell r="J451">
            <v>900</v>
          </cell>
          <cell r="K451">
            <v>-115</v>
          </cell>
          <cell r="M451">
            <v>1057</v>
          </cell>
          <cell r="N451">
            <v>0</v>
          </cell>
          <cell r="O451">
            <v>1057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W451">
            <v>1057</v>
          </cell>
          <cell r="X451">
            <v>0</v>
          </cell>
          <cell r="Y451">
            <v>1057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G451">
            <v>1088</v>
          </cell>
          <cell r="AH451">
            <v>0</v>
          </cell>
          <cell r="AI451">
            <v>1088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Q451">
            <v>1088</v>
          </cell>
          <cell r="AR451">
            <v>0</v>
          </cell>
          <cell r="AS451">
            <v>1088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BA451">
            <v>1088</v>
          </cell>
          <cell r="BB451">
            <v>0</v>
          </cell>
          <cell r="BC451">
            <v>1088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>
            <v>0</v>
          </cell>
          <cell r="BK451">
            <v>1139</v>
          </cell>
          <cell r="BL451">
            <v>0</v>
          </cell>
          <cell r="BM451">
            <v>1139</v>
          </cell>
          <cell r="BN451">
            <v>0</v>
          </cell>
          <cell r="BO451">
            <v>0</v>
          </cell>
          <cell r="BP451">
            <v>0</v>
          </cell>
          <cell r="BQ451">
            <v>0</v>
          </cell>
          <cell r="BR451">
            <v>0</v>
          </cell>
          <cell r="BS451">
            <v>0</v>
          </cell>
          <cell r="BU451">
            <v>1139</v>
          </cell>
          <cell r="BV451">
            <v>0</v>
          </cell>
          <cell r="BW451">
            <v>1139</v>
          </cell>
          <cell r="BX451">
            <v>0</v>
          </cell>
          <cell r="BY451">
            <v>0</v>
          </cell>
          <cell r="BZ451">
            <v>0</v>
          </cell>
          <cell r="CA451">
            <v>0</v>
          </cell>
          <cell r="CB451">
            <v>0</v>
          </cell>
          <cell r="CC451">
            <v>0</v>
          </cell>
          <cell r="CE451">
            <v>1139</v>
          </cell>
          <cell r="CF451">
            <v>0</v>
          </cell>
          <cell r="CG451">
            <v>1139</v>
          </cell>
          <cell r="CH451">
            <v>0</v>
          </cell>
          <cell r="CI451">
            <v>0</v>
          </cell>
          <cell r="CJ451">
            <v>0</v>
          </cell>
          <cell r="CK451">
            <v>0</v>
          </cell>
          <cell r="CL451">
            <v>0</v>
          </cell>
          <cell r="CM451">
            <v>0</v>
          </cell>
          <cell r="CO451">
            <v>1139</v>
          </cell>
          <cell r="CP451">
            <v>0</v>
          </cell>
          <cell r="CQ451">
            <v>1139</v>
          </cell>
          <cell r="CR451">
            <v>0</v>
          </cell>
          <cell r="CS451">
            <v>0</v>
          </cell>
          <cell r="CT451">
            <v>0</v>
          </cell>
          <cell r="CU451">
            <v>0</v>
          </cell>
          <cell r="CV451">
            <v>0</v>
          </cell>
          <cell r="CW451">
            <v>0</v>
          </cell>
          <cell r="CY451">
            <v>1139</v>
          </cell>
          <cell r="CZ451">
            <v>0</v>
          </cell>
          <cell r="DA451">
            <v>1139</v>
          </cell>
          <cell r="DB451">
            <v>0</v>
          </cell>
          <cell r="DC451">
            <v>0</v>
          </cell>
          <cell r="DD451">
            <v>0</v>
          </cell>
          <cell r="DE451">
            <v>0</v>
          </cell>
          <cell r="DF451">
            <v>0</v>
          </cell>
          <cell r="DG451">
            <v>0</v>
          </cell>
          <cell r="DI451">
            <v>900</v>
          </cell>
          <cell r="DJ451">
            <v>11073</v>
          </cell>
          <cell r="DK451">
            <v>0</v>
          </cell>
          <cell r="DL451">
            <v>11073</v>
          </cell>
          <cell r="DM451">
            <v>11073</v>
          </cell>
          <cell r="DN451">
            <v>0</v>
          </cell>
          <cell r="DO451">
            <v>11073</v>
          </cell>
          <cell r="DP451">
            <v>0</v>
          </cell>
          <cell r="DQ451">
            <v>0</v>
          </cell>
          <cell r="DR451">
            <v>0</v>
          </cell>
          <cell r="DS451">
            <v>0</v>
          </cell>
          <cell r="DT451">
            <v>22146</v>
          </cell>
          <cell r="DU451">
            <v>0</v>
          </cell>
          <cell r="DW451">
            <v>0</v>
          </cell>
          <cell r="DX451">
            <v>0</v>
          </cell>
          <cell r="DY451">
            <v>3014</v>
          </cell>
          <cell r="DZ451">
            <v>5128</v>
          </cell>
          <cell r="EA451">
            <v>7304</v>
          </cell>
          <cell r="EB451">
            <v>9480</v>
          </cell>
          <cell r="EC451">
            <v>11656</v>
          </cell>
          <cell r="ED451">
            <v>13934</v>
          </cell>
          <cell r="EE451">
            <v>16212</v>
          </cell>
          <cell r="EF451">
            <v>18490</v>
          </cell>
          <cell r="EG451">
            <v>20768</v>
          </cell>
          <cell r="EH451">
            <v>23046</v>
          </cell>
          <cell r="EI451">
            <v>129032</v>
          </cell>
          <cell r="EK451">
            <v>0</v>
          </cell>
          <cell r="EL451">
            <v>0</v>
          </cell>
          <cell r="EM451">
            <v>20.093333333333334</v>
          </cell>
          <cell r="EN451">
            <v>34.186666666666667</v>
          </cell>
          <cell r="EO451">
            <v>48.693333333333335</v>
          </cell>
          <cell r="EP451">
            <v>63.199999999999996</v>
          </cell>
          <cell r="EQ451">
            <v>77.706666666666663</v>
          </cell>
          <cell r="ER451">
            <v>92.893333333333331</v>
          </cell>
          <cell r="ES451">
            <v>116.18599999999998</v>
          </cell>
          <cell r="ET451">
            <v>132.51166666666668</v>
          </cell>
          <cell r="EU451">
            <v>148.83733333333331</v>
          </cell>
          <cell r="EV451">
            <v>165.16300000000001</v>
          </cell>
          <cell r="EW451">
            <v>899.47133333333329</v>
          </cell>
          <cell r="EY451">
            <v>50516</v>
          </cell>
          <cell r="EZ451">
            <v>8</v>
          </cell>
          <cell r="FA451">
            <v>336.77333333333337</v>
          </cell>
          <cell r="FB451">
            <v>78516</v>
          </cell>
          <cell r="FC451">
            <v>8.6</v>
          </cell>
          <cell r="FD451">
            <v>562.69799999999998</v>
          </cell>
          <cell r="FE451">
            <v>899.4713333333334</v>
          </cell>
          <cell r="FF451">
            <v>23945</v>
          </cell>
          <cell r="FH451">
            <v>23945</v>
          </cell>
        </row>
        <row r="452">
          <cell r="B452">
            <v>9573</v>
          </cell>
          <cell r="C452" t="str">
            <v>28.08.2008</v>
          </cell>
          <cell r="D452" t="str">
            <v>Kamble Vinod Nathuram</v>
          </cell>
          <cell r="F452">
            <v>3676</v>
          </cell>
          <cell r="H452">
            <v>1350</v>
          </cell>
          <cell r="I452">
            <v>1350</v>
          </cell>
          <cell r="J452">
            <v>2700</v>
          </cell>
          <cell r="K452">
            <v>-976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W452">
            <v>3827</v>
          </cell>
          <cell r="X452">
            <v>0</v>
          </cell>
          <cell r="Y452">
            <v>3827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G452">
            <v>3827</v>
          </cell>
          <cell r="AH452">
            <v>0</v>
          </cell>
          <cell r="AI452">
            <v>3827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Q452">
            <v>3827</v>
          </cell>
          <cell r="AR452">
            <v>0</v>
          </cell>
          <cell r="AS452">
            <v>3827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BA452">
            <v>3827</v>
          </cell>
          <cell r="BB452">
            <v>0</v>
          </cell>
          <cell r="BC452">
            <v>3827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K452">
            <v>4005</v>
          </cell>
          <cell r="BL452">
            <v>0</v>
          </cell>
          <cell r="BM452">
            <v>4005</v>
          </cell>
          <cell r="BN452">
            <v>0</v>
          </cell>
          <cell r="BO452">
            <v>0</v>
          </cell>
          <cell r="BP452">
            <v>0</v>
          </cell>
          <cell r="BQ452">
            <v>0</v>
          </cell>
          <cell r="BR452">
            <v>0</v>
          </cell>
          <cell r="BS452">
            <v>0</v>
          </cell>
          <cell r="BU452">
            <v>4005</v>
          </cell>
          <cell r="BV452">
            <v>0</v>
          </cell>
          <cell r="BW452">
            <v>4005</v>
          </cell>
          <cell r="BX452">
            <v>0</v>
          </cell>
          <cell r="BY452">
            <v>0</v>
          </cell>
          <cell r="BZ452">
            <v>0</v>
          </cell>
          <cell r="CA452">
            <v>0</v>
          </cell>
          <cell r="CB452">
            <v>0</v>
          </cell>
          <cell r="CC452">
            <v>0</v>
          </cell>
          <cell r="CE452">
            <v>4005</v>
          </cell>
          <cell r="CF452">
            <v>0</v>
          </cell>
          <cell r="CG452">
            <v>4005</v>
          </cell>
          <cell r="CH452">
            <v>0</v>
          </cell>
          <cell r="CI452">
            <v>0</v>
          </cell>
          <cell r="CJ452">
            <v>0</v>
          </cell>
          <cell r="CK452">
            <v>0</v>
          </cell>
          <cell r="CL452">
            <v>0</v>
          </cell>
          <cell r="CM452">
            <v>0</v>
          </cell>
          <cell r="CO452">
            <v>4005</v>
          </cell>
          <cell r="CP452">
            <v>0</v>
          </cell>
          <cell r="CQ452">
            <v>4005</v>
          </cell>
          <cell r="CR452">
            <v>0</v>
          </cell>
          <cell r="CS452">
            <v>0</v>
          </cell>
          <cell r="CT452">
            <v>0</v>
          </cell>
          <cell r="CU452">
            <v>0</v>
          </cell>
          <cell r="CV452">
            <v>0</v>
          </cell>
          <cell r="CW452">
            <v>0</v>
          </cell>
          <cell r="CY452">
            <v>4005</v>
          </cell>
          <cell r="CZ452">
            <v>0</v>
          </cell>
          <cell r="DA452">
            <v>4005</v>
          </cell>
          <cell r="DB452">
            <v>0</v>
          </cell>
          <cell r="DC452">
            <v>0</v>
          </cell>
          <cell r="DD452">
            <v>0</v>
          </cell>
          <cell r="DE452">
            <v>0</v>
          </cell>
          <cell r="DF452">
            <v>0</v>
          </cell>
          <cell r="DG452">
            <v>0</v>
          </cell>
          <cell r="DI452">
            <v>2700</v>
          </cell>
          <cell r="DJ452">
            <v>35333</v>
          </cell>
          <cell r="DK452">
            <v>0</v>
          </cell>
          <cell r="DL452">
            <v>35333</v>
          </cell>
          <cell r="DM452">
            <v>35333</v>
          </cell>
          <cell r="DN452">
            <v>0</v>
          </cell>
          <cell r="DO452">
            <v>35333</v>
          </cell>
          <cell r="DP452">
            <v>0</v>
          </cell>
          <cell r="DQ452">
            <v>0</v>
          </cell>
          <cell r="DR452">
            <v>0</v>
          </cell>
          <cell r="DS452">
            <v>0</v>
          </cell>
          <cell r="DT452">
            <v>70666</v>
          </cell>
          <cell r="DU452">
            <v>0</v>
          </cell>
          <cell r="DW452">
            <v>0</v>
          </cell>
          <cell r="DX452">
            <v>0</v>
          </cell>
          <cell r="DY452">
            <v>2700</v>
          </cell>
          <cell r="DZ452">
            <v>10354</v>
          </cell>
          <cell r="EA452">
            <v>18008</v>
          </cell>
          <cell r="EB452">
            <v>25662</v>
          </cell>
          <cell r="EC452">
            <v>33316</v>
          </cell>
          <cell r="ED452">
            <v>41326</v>
          </cell>
          <cell r="EE452">
            <v>49336</v>
          </cell>
          <cell r="EF452">
            <v>57346</v>
          </cell>
          <cell r="EG452">
            <v>65356</v>
          </cell>
          <cell r="EH452">
            <v>73366</v>
          </cell>
          <cell r="EI452">
            <v>376770</v>
          </cell>
          <cell r="EK452">
            <v>0</v>
          </cell>
          <cell r="EL452">
            <v>0</v>
          </cell>
          <cell r="EM452">
            <v>18</v>
          </cell>
          <cell r="EN452">
            <v>69.026666666666671</v>
          </cell>
          <cell r="EO452">
            <v>120.05333333333334</v>
          </cell>
          <cell r="EP452">
            <v>171.08</v>
          </cell>
          <cell r="EQ452">
            <v>222.10666666666668</v>
          </cell>
          <cell r="ER452">
            <v>275.50666666666666</v>
          </cell>
          <cell r="ES452">
            <v>353.57466666666664</v>
          </cell>
          <cell r="ET452">
            <v>410.97966666666662</v>
          </cell>
          <cell r="EU452">
            <v>468.38466666666665</v>
          </cell>
          <cell r="EV452">
            <v>525.78966666666668</v>
          </cell>
          <cell r="EW452">
            <v>2634.502</v>
          </cell>
          <cell r="EY452">
            <v>131366</v>
          </cell>
          <cell r="EZ452">
            <v>8</v>
          </cell>
          <cell r="FA452">
            <v>875.77333333333343</v>
          </cell>
          <cell r="FB452">
            <v>245404</v>
          </cell>
          <cell r="FC452">
            <v>8.6</v>
          </cell>
          <cell r="FD452">
            <v>1758.7286666666666</v>
          </cell>
          <cell r="FE452">
            <v>2634.502</v>
          </cell>
          <cell r="FF452">
            <v>76001</v>
          </cell>
          <cell r="FH452">
            <v>76001</v>
          </cell>
        </row>
        <row r="453">
          <cell r="B453">
            <v>9575</v>
          </cell>
          <cell r="C453" t="str">
            <v>28.08.2008</v>
          </cell>
          <cell r="D453" t="str">
            <v>Kakade Sangita Abhay</v>
          </cell>
          <cell r="F453">
            <v>3676</v>
          </cell>
          <cell r="H453">
            <v>0</v>
          </cell>
          <cell r="I453">
            <v>0</v>
          </cell>
          <cell r="J453">
            <v>0</v>
          </cell>
          <cell r="K453">
            <v>-3676</v>
          </cell>
          <cell r="M453">
            <v>3827</v>
          </cell>
          <cell r="N453">
            <v>2535</v>
          </cell>
          <cell r="O453">
            <v>3827</v>
          </cell>
          <cell r="P453">
            <v>2535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W453">
            <v>3827</v>
          </cell>
          <cell r="X453">
            <v>0</v>
          </cell>
          <cell r="Y453">
            <v>3827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G453">
            <v>3827</v>
          </cell>
          <cell r="AH453">
            <v>0</v>
          </cell>
          <cell r="AI453">
            <v>3827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Q453">
            <v>3827</v>
          </cell>
          <cell r="AR453">
            <v>0</v>
          </cell>
          <cell r="AS453">
            <v>3827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BA453">
            <v>3827</v>
          </cell>
          <cell r="BB453">
            <v>0</v>
          </cell>
          <cell r="BC453">
            <v>3827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>
            <v>0</v>
          </cell>
          <cell r="BK453">
            <v>4005</v>
          </cell>
          <cell r="BL453">
            <v>0</v>
          </cell>
          <cell r="BM453">
            <v>4005</v>
          </cell>
          <cell r="BN453">
            <v>0</v>
          </cell>
          <cell r="BO453">
            <v>0</v>
          </cell>
          <cell r="BP453">
            <v>0</v>
          </cell>
          <cell r="BQ453">
            <v>0</v>
          </cell>
          <cell r="BR453">
            <v>0</v>
          </cell>
          <cell r="BS453">
            <v>0</v>
          </cell>
          <cell r="BU453">
            <v>4005</v>
          </cell>
          <cell r="BV453">
            <v>0</v>
          </cell>
          <cell r="BW453">
            <v>4005</v>
          </cell>
          <cell r="BX453">
            <v>0</v>
          </cell>
          <cell r="BY453">
            <v>0</v>
          </cell>
          <cell r="BZ453">
            <v>0</v>
          </cell>
          <cell r="CA453">
            <v>0</v>
          </cell>
          <cell r="CB453">
            <v>0</v>
          </cell>
          <cell r="CC453">
            <v>0</v>
          </cell>
          <cell r="CE453">
            <v>4005</v>
          </cell>
          <cell r="CF453">
            <v>0</v>
          </cell>
          <cell r="CG453">
            <v>4005</v>
          </cell>
          <cell r="CH453">
            <v>0</v>
          </cell>
          <cell r="CI453">
            <v>0</v>
          </cell>
          <cell r="CJ453">
            <v>0</v>
          </cell>
          <cell r="CK453">
            <v>0</v>
          </cell>
          <cell r="CL453">
            <v>0</v>
          </cell>
          <cell r="CM453">
            <v>0</v>
          </cell>
          <cell r="CO453">
            <v>4005</v>
          </cell>
          <cell r="CP453">
            <v>0</v>
          </cell>
          <cell r="CQ453">
            <v>4005</v>
          </cell>
          <cell r="CR453">
            <v>0</v>
          </cell>
          <cell r="CS453">
            <v>0</v>
          </cell>
          <cell r="CT453">
            <v>0</v>
          </cell>
          <cell r="CU453">
            <v>0</v>
          </cell>
          <cell r="CV453">
            <v>0</v>
          </cell>
          <cell r="CW453">
            <v>0</v>
          </cell>
          <cell r="CY453">
            <v>4005</v>
          </cell>
          <cell r="CZ453">
            <v>0</v>
          </cell>
          <cell r="DA453">
            <v>4005</v>
          </cell>
          <cell r="DB453">
            <v>0</v>
          </cell>
          <cell r="DC453">
            <v>0</v>
          </cell>
          <cell r="DD453">
            <v>0</v>
          </cell>
          <cell r="DE453">
            <v>0</v>
          </cell>
          <cell r="DF453">
            <v>0</v>
          </cell>
          <cell r="DG453">
            <v>0</v>
          </cell>
          <cell r="DI453">
            <v>0</v>
          </cell>
          <cell r="DJ453">
            <v>39160</v>
          </cell>
          <cell r="DK453">
            <v>2535</v>
          </cell>
          <cell r="DL453">
            <v>41695</v>
          </cell>
          <cell r="DM453">
            <v>39160</v>
          </cell>
          <cell r="DN453">
            <v>2535</v>
          </cell>
          <cell r="DO453">
            <v>41695</v>
          </cell>
          <cell r="DP453">
            <v>0</v>
          </cell>
          <cell r="DQ453">
            <v>0</v>
          </cell>
          <cell r="DR453">
            <v>0</v>
          </cell>
          <cell r="DS453">
            <v>0</v>
          </cell>
          <cell r="DT453">
            <v>83390</v>
          </cell>
          <cell r="DU453">
            <v>0</v>
          </cell>
          <cell r="DW453">
            <v>0</v>
          </cell>
          <cell r="DX453">
            <v>0</v>
          </cell>
          <cell r="DY453">
            <v>12724</v>
          </cell>
          <cell r="DZ453">
            <v>20378</v>
          </cell>
          <cell r="EA453">
            <v>28032</v>
          </cell>
          <cell r="EB453">
            <v>35686</v>
          </cell>
          <cell r="EC453">
            <v>43340</v>
          </cell>
          <cell r="ED453">
            <v>51350</v>
          </cell>
          <cell r="EE453">
            <v>59360</v>
          </cell>
          <cell r="EF453">
            <v>67370</v>
          </cell>
          <cell r="EG453">
            <v>75380</v>
          </cell>
          <cell r="EH453">
            <v>83390</v>
          </cell>
          <cell r="EI453">
            <v>477010</v>
          </cell>
          <cell r="EK453">
            <v>0</v>
          </cell>
          <cell r="EL453">
            <v>0</v>
          </cell>
          <cell r="EM453">
            <v>84.826666666666668</v>
          </cell>
          <cell r="EN453">
            <v>135.85333333333332</v>
          </cell>
          <cell r="EO453">
            <v>186.88</v>
          </cell>
          <cell r="EP453">
            <v>237.90666666666667</v>
          </cell>
          <cell r="EQ453">
            <v>288.93333333333334</v>
          </cell>
          <cell r="ER453">
            <v>342.33333333333331</v>
          </cell>
          <cell r="ES453">
            <v>425.41333333333336</v>
          </cell>
          <cell r="ET453">
            <v>482.81833333333333</v>
          </cell>
          <cell r="EU453">
            <v>540.22333333333336</v>
          </cell>
          <cell r="EV453">
            <v>597.62833333333333</v>
          </cell>
          <cell r="EW453">
            <v>3322.8166666666666</v>
          </cell>
          <cell r="EY453">
            <v>191510</v>
          </cell>
          <cell r="EZ453">
            <v>8</v>
          </cell>
          <cell r="FA453">
            <v>1276.7333333333333</v>
          </cell>
          <cell r="FB453">
            <v>285500</v>
          </cell>
          <cell r="FC453">
            <v>8.6</v>
          </cell>
          <cell r="FD453">
            <v>2046.0833333333333</v>
          </cell>
          <cell r="FE453">
            <v>3322.8166666666666</v>
          </cell>
          <cell r="FF453">
            <v>86713</v>
          </cell>
          <cell r="FH453">
            <v>86713</v>
          </cell>
        </row>
        <row r="454">
          <cell r="B454">
            <v>9607</v>
          </cell>
          <cell r="C454" t="str">
            <v>28.08.2008</v>
          </cell>
          <cell r="D454" t="str">
            <v>Bahiram Yashwant Bhaurao</v>
          </cell>
          <cell r="F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BA454">
            <v>0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>
            <v>0</v>
          </cell>
          <cell r="BK454">
            <v>0</v>
          </cell>
          <cell r="BL454">
            <v>0</v>
          </cell>
          <cell r="BM454">
            <v>0</v>
          </cell>
          <cell r="BN454">
            <v>0</v>
          </cell>
          <cell r="BO454">
            <v>0</v>
          </cell>
          <cell r="BP454">
            <v>0</v>
          </cell>
          <cell r="BQ454">
            <v>0</v>
          </cell>
          <cell r="BR454">
            <v>0</v>
          </cell>
          <cell r="BS454">
            <v>0</v>
          </cell>
          <cell r="BU454">
            <v>2133</v>
          </cell>
          <cell r="BV454">
            <v>0</v>
          </cell>
          <cell r="BW454">
            <v>2133</v>
          </cell>
          <cell r="BX454">
            <v>0</v>
          </cell>
          <cell r="BY454">
            <v>0</v>
          </cell>
          <cell r="BZ454">
            <v>0</v>
          </cell>
          <cell r="CA454">
            <v>0</v>
          </cell>
          <cell r="CB454">
            <v>0</v>
          </cell>
          <cell r="CC454">
            <v>0</v>
          </cell>
          <cell r="CE454">
            <v>2133</v>
          </cell>
          <cell r="CF454">
            <v>4266</v>
          </cell>
          <cell r="CG454">
            <v>2133</v>
          </cell>
          <cell r="CH454">
            <v>4266</v>
          </cell>
          <cell r="CI454">
            <v>0</v>
          </cell>
          <cell r="CJ454">
            <v>0</v>
          </cell>
          <cell r="CK454">
            <v>0</v>
          </cell>
          <cell r="CL454">
            <v>0</v>
          </cell>
          <cell r="CM454">
            <v>0</v>
          </cell>
          <cell r="CO454">
            <v>2133</v>
          </cell>
          <cell r="CP454">
            <v>0</v>
          </cell>
          <cell r="CQ454">
            <v>2133</v>
          </cell>
          <cell r="CR454">
            <v>0</v>
          </cell>
          <cell r="CS454">
            <v>0</v>
          </cell>
          <cell r="CT454">
            <v>0</v>
          </cell>
          <cell r="CU454">
            <v>0</v>
          </cell>
          <cell r="CV454">
            <v>0</v>
          </cell>
          <cell r="CW454">
            <v>0</v>
          </cell>
          <cell r="CY454">
            <v>2133</v>
          </cell>
          <cell r="CZ454">
            <v>0</v>
          </cell>
          <cell r="DA454">
            <v>2133</v>
          </cell>
          <cell r="DB454">
            <v>0</v>
          </cell>
          <cell r="DC454">
            <v>0</v>
          </cell>
          <cell r="DD454">
            <v>0</v>
          </cell>
          <cell r="DE454">
            <v>0</v>
          </cell>
          <cell r="DF454">
            <v>0</v>
          </cell>
          <cell r="DG454">
            <v>0</v>
          </cell>
          <cell r="DI454">
            <v>0</v>
          </cell>
          <cell r="DJ454">
            <v>8532</v>
          </cell>
          <cell r="DK454">
            <v>4266</v>
          </cell>
          <cell r="DL454">
            <v>12798</v>
          </cell>
          <cell r="DM454">
            <v>8532</v>
          </cell>
          <cell r="DN454">
            <v>4266</v>
          </cell>
          <cell r="DO454">
            <v>12798</v>
          </cell>
          <cell r="DP454">
            <v>0</v>
          </cell>
          <cell r="DQ454">
            <v>0</v>
          </cell>
          <cell r="DR454">
            <v>0</v>
          </cell>
          <cell r="DS454">
            <v>0</v>
          </cell>
          <cell r="DT454">
            <v>25596</v>
          </cell>
          <cell r="DU454">
            <v>0</v>
          </cell>
          <cell r="DW454">
            <v>0</v>
          </cell>
          <cell r="DX454">
            <v>0</v>
          </cell>
          <cell r="DY454">
            <v>0</v>
          </cell>
          <cell r="DZ454">
            <v>0</v>
          </cell>
          <cell r="EA454">
            <v>0</v>
          </cell>
          <cell r="EB454">
            <v>0</v>
          </cell>
          <cell r="EC454">
            <v>0</v>
          </cell>
          <cell r="ED454">
            <v>0</v>
          </cell>
          <cell r="EE454">
            <v>4266</v>
          </cell>
          <cell r="EF454">
            <v>17064</v>
          </cell>
          <cell r="EG454">
            <v>21330</v>
          </cell>
          <cell r="EH454">
            <v>25596</v>
          </cell>
          <cell r="EI454">
            <v>68256</v>
          </cell>
          <cell r="EK454">
            <v>0</v>
          </cell>
          <cell r="EL454">
            <v>0</v>
          </cell>
          <cell r="EM454">
            <v>0</v>
          </cell>
          <cell r="EN454">
            <v>0</v>
          </cell>
          <cell r="EO454">
            <v>0</v>
          </cell>
          <cell r="EP454">
            <v>0</v>
          </cell>
          <cell r="EQ454">
            <v>0</v>
          </cell>
          <cell r="ER454">
            <v>0</v>
          </cell>
          <cell r="ES454">
            <v>30.572999999999997</v>
          </cell>
          <cell r="ET454">
            <v>122.29199999999999</v>
          </cell>
          <cell r="EU454">
            <v>152.86500000000001</v>
          </cell>
          <cell r="EV454">
            <v>183.43799999999999</v>
          </cell>
          <cell r="EW454">
            <v>489.16800000000001</v>
          </cell>
          <cell r="EY454">
            <v>0</v>
          </cell>
          <cell r="EZ454">
            <v>8</v>
          </cell>
          <cell r="FA454">
            <v>0</v>
          </cell>
          <cell r="FB454">
            <v>68256</v>
          </cell>
          <cell r="FC454">
            <v>8.6</v>
          </cell>
          <cell r="FD454">
            <v>489.16799999999995</v>
          </cell>
          <cell r="FE454">
            <v>489.16799999999995</v>
          </cell>
          <cell r="FF454">
            <v>26085</v>
          </cell>
          <cell r="FH454">
            <v>26085</v>
          </cell>
        </row>
        <row r="455">
          <cell r="B455">
            <v>9608</v>
          </cell>
          <cell r="C455" t="str">
            <v>28.08.2008</v>
          </cell>
          <cell r="D455" t="str">
            <v>Gaikhe Narendra Ganesh</v>
          </cell>
          <cell r="F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  <cell r="AX455">
            <v>0</v>
          </cell>
          <cell r="AY455">
            <v>0</v>
          </cell>
          <cell r="BA455">
            <v>0</v>
          </cell>
          <cell r="BB455">
            <v>0</v>
          </cell>
          <cell r="BC455">
            <v>0</v>
          </cell>
          <cell r="BD455">
            <v>0</v>
          </cell>
          <cell r="BE455">
            <v>0</v>
          </cell>
          <cell r="BF455">
            <v>0</v>
          </cell>
          <cell r="BG455">
            <v>0</v>
          </cell>
          <cell r="BH455">
            <v>0</v>
          </cell>
          <cell r="BI455">
            <v>0</v>
          </cell>
          <cell r="BK455">
            <v>0</v>
          </cell>
          <cell r="BL455">
            <v>0</v>
          </cell>
          <cell r="BM455">
            <v>0</v>
          </cell>
          <cell r="BN455">
            <v>0</v>
          </cell>
          <cell r="BO455">
            <v>0</v>
          </cell>
          <cell r="BP455">
            <v>0</v>
          </cell>
          <cell r="BQ455">
            <v>0</v>
          </cell>
          <cell r="BR455">
            <v>0</v>
          </cell>
          <cell r="BS455">
            <v>0</v>
          </cell>
          <cell r="BU455">
            <v>2133</v>
          </cell>
          <cell r="BV455">
            <v>0</v>
          </cell>
          <cell r="BW455">
            <v>2133</v>
          </cell>
          <cell r="BX455">
            <v>0</v>
          </cell>
          <cell r="BY455">
            <v>0</v>
          </cell>
          <cell r="BZ455">
            <v>0</v>
          </cell>
          <cell r="CA455">
            <v>0</v>
          </cell>
          <cell r="CB455">
            <v>0</v>
          </cell>
          <cell r="CC455">
            <v>0</v>
          </cell>
          <cell r="CE455">
            <v>2133</v>
          </cell>
          <cell r="CF455">
            <v>4266</v>
          </cell>
          <cell r="CG455">
            <v>2133</v>
          </cell>
          <cell r="CH455">
            <v>4266</v>
          </cell>
          <cell r="CI455">
            <v>0</v>
          </cell>
          <cell r="CJ455">
            <v>0</v>
          </cell>
          <cell r="CK455">
            <v>0</v>
          </cell>
          <cell r="CL455">
            <v>0</v>
          </cell>
          <cell r="CM455">
            <v>0</v>
          </cell>
          <cell r="CO455">
            <v>2133</v>
          </cell>
          <cell r="CP455">
            <v>0</v>
          </cell>
          <cell r="CQ455">
            <v>2133</v>
          </cell>
          <cell r="CR455">
            <v>0</v>
          </cell>
          <cell r="CS455">
            <v>0</v>
          </cell>
          <cell r="CT455">
            <v>0</v>
          </cell>
          <cell r="CU455">
            <v>0</v>
          </cell>
          <cell r="CV455">
            <v>0</v>
          </cell>
          <cell r="CW455">
            <v>0</v>
          </cell>
          <cell r="CY455">
            <v>2133</v>
          </cell>
          <cell r="CZ455">
            <v>0</v>
          </cell>
          <cell r="DA455">
            <v>2133</v>
          </cell>
          <cell r="DB455">
            <v>0</v>
          </cell>
          <cell r="DC455">
            <v>0</v>
          </cell>
          <cell r="DD455">
            <v>0</v>
          </cell>
          <cell r="DE455">
            <v>0</v>
          </cell>
          <cell r="DF455">
            <v>0</v>
          </cell>
          <cell r="DG455">
            <v>0</v>
          </cell>
          <cell r="DI455">
            <v>0</v>
          </cell>
          <cell r="DJ455">
            <v>8532</v>
          </cell>
          <cell r="DK455">
            <v>4266</v>
          </cell>
          <cell r="DL455">
            <v>12798</v>
          </cell>
          <cell r="DM455">
            <v>8532</v>
          </cell>
          <cell r="DN455">
            <v>4266</v>
          </cell>
          <cell r="DO455">
            <v>12798</v>
          </cell>
          <cell r="DP455">
            <v>0</v>
          </cell>
          <cell r="DQ455">
            <v>0</v>
          </cell>
          <cell r="DR455">
            <v>0</v>
          </cell>
          <cell r="DS455">
            <v>0</v>
          </cell>
          <cell r="DT455">
            <v>25596</v>
          </cell>
          <cell r="DU455">
            <v>0</v>
          </cell>
          <cell r="DW455">
            <v>0</v>
          </cell>
          <cell r="DX455">
            <v>0</v>
          </cell>
          <cell r="DY455">
            <v>0</v>
          </cell>
          <cell r="DZ455">
            <v>0</v>
          </cell>
          <cell r="EA455">
            <v>0</v>
          </cell>
          <cell r="EB455">
            <v>0</v>
          </cell>
          <cell r="EC455">
            <v>0</v>
          </cell>
          <cell r="ED455">
            <v>0</v>
          </cell>
          <cell r="EE455">
            <v>4266</v>
          </cell>
          <cell r="EF455">
            <v>17064</v>
          </cell>
          <cell r="EG455">
            <v>21330</v>
          </cell>
          <cell r="EH455">
            <v>25596</v>
          </cell>
          <cell r="EI455">
            <v>68256</v>
          </cell>
          <cell r="EK455">
            <v>0</v>
          </cell>
          <cell r="EL455">
            <v>0</v>
          </cell>
          <cell r="EM455">
            <v>0</v>
          </cell>
          <cell r="EN455">
            <v>0</v>
          </cell>
          <cell r="EO455">
            <v>0</v>
          </cell>
          <cell r="EP455">
            <v>0</v>
          </cell>
          <cell r="EQ455">
            <v>0</v>
          </cell>
          <cell r="ER455">
            <v>0</v>
          </cell>
          <cell r="ES455">
            <v>30.572999999999997</v>
          </cell>
          <cell r="ET455">
            <v>122.29199999999999</v>
          </cell>
          <cell r="EU455">
            <v>152.86500000000001</v>
          </cell>
          <cell r="EV455">
            <v>183.43799999999999</v>
          </cell>
          <cell r="EW455">
            <v>489.16800000000001</v>
          </cell>
          <cell r="EY455">
            <v>0</v>
          </cell>
          <cell r="EZ455">
            <v>8</v>
          </cell>
          <cell r="FA455">
            <v>0</v>
          </cell>
          <cell r="FB455">
            <v>68256</v>
          </cell>
          <cell r="FC455">
            <v>8.6</v>
          </cell>
          <cell r="FD455">
            <v>489.16799999999995</v>
          </cell>
          <cell r="FE455">
            <v>489.16799999999995</v>
          </cell>
          <cell r="FF455">
            <v>26085</v>
          </cell>
          <cell r="FH455">
            <v>26085</v>
          </cell>
        </row>
        <row r="456">
          <cell r="B456">
            <v>9620</v>
          </cell>
          <cell r="C456" t="str">
            <v>28.08.2008</v>
          </cell>
          <cell r="D456" t="str">
            <v>Dharne Moreshwar Kewalram</v>
          </cell>
          <cell r="F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0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K456">
            <v>0</v>
          </cell>
          <cell r="BL456">
            <v>0</v>
          </cell>
          <cell r="BM456">
            <v>0</v>
          </cell>
          <cell r="BN456">
            <v>0</v>
          </cell>
          <cell r="BO456">
            <v>0</v>
          </cell>
          <cell r="BP456">
            <v>0</v>
          </cell>
          <cell r="BQ456">
            <v>0</v>
          </cell>
          <cell r="BR456">
            <v>0</v>
          </cell>
          <cell r="BS456">
            <v>0</v>
          </cell>
          <cell r="BU456">
            <v>0</v>
          </cell>
          <cell r="BV456">
            <v>0</v>
          </cell>
          <cell r="BW456">
            <v>0</v>
          </cell>
          <cell r="BX456">
            <v>0</v>
          </cell>
          <cell r="BY456">
            <v>0</v>
          </cell>
          <cell r="BZ456">
            <v>0</v>
          </cell>
          <cell r="CA456">
            <v>0</v>
          </cell>
          <cell r="CB456">
            <v>0</v>
          </cell>
          <cell r="CC456">
            <v>0</v>
          </cell>
          <cell r="CE456">
            <v>2133</v>
          </cell>
          <cell r="CF456">
            <v>0</v>
          </cell>
          <cell r="CG456">
            <v>2133</v>
          </cell>
          <cell r="CH456">
            <v>0</v>
          </cell>
          <cell r="CI456">
            <v>0</v>
          </cell>
          <cell r="CJ456">
            <v>0</v>
          </cell>
          <cell r="CK456">
            <v>0</v>
          </cell>
          <cell r="CL456">
            <v>0</v>
          </cell>
          <cell r="CM456">
            <v>0</v>
          </cell>
          <cell r="CO456">
            <v>2133</v>
          </cell>
          <cell r="CP456">
            <v>0</v>
          </cell>
          <cell r="CQ456">
            <v>2133</v>
          </cell>
          <cell r="CR456">
            <v>0</v>
          </cell>
          <cell r="CS456">
            <v>0</v>
          </cell>
          <cell r="CT456">
            <v>0</v>
          </cell>
          <cell r="CU456">
            <v>0</v>
          </cell>
          <cell r="CV456">
            <v>0</v>
          </cell>
          <cell r="CW456">
            <v>0</v>
          </cell>
          <cell r="CY456">
            <v>2133</v>
          </cell>
          <cell r="CZ456">
            <v>0</v>
          </cell>
          <cell r="DA456">
            <v>2133</v>
          </cell>
          <cell r="DB456">
            <v>0</v>
          </cell>
          <cell r="DC456">
            <v>0</v>
          </cell>
          <cell r="DD456">
            <v>0</v>
          </cell>
          <cell r="DE456">
            <v>0</v>
          </cell>
          <cell r="DF456">
            <v>0</v>
          </cell>
          <cell r="DG456">
            <v>0</v>
          </cell>
          <cell r="DI456">
            <v>0</v>
          </cell>
          <cell r="DJ456">
            <v>6399</v>
          </cell>
          <cell r="DK456">
            <v>0</v>
          </cell>
          <cell r="DL456">
            <v>6399</v>
          </cell>
          <cell r="DM456">
            <v>6399</v>
          </cell>
          <cell r="DN456">
            <v>0</v>
          </cell>
          <cell r="DO456">
            <v>6399</v>
          </cell>
          <cell r="DP456">
            <v>0</v>
          </cell>
          <cell r="DQ456">
            <v>0</v>
          </cell>
          <cell r="DR456">
            <v>0</v>
          </cell>
          <cell r="DS456">
            <v>0</v>
          </cell>
          <cell r="DT456">
            <v>12798</v>
          </cell>
          <cell r="DU456">
            <v>0</v>
          </cell>
          <cell r="DW456">
            <v>0</v>
          </cell>
          <cell r="DX456">
            <v>0</v>
          </cell>
          <cell r="DY456">
            <v>0</v>
          </cell>
          <cell r="DZ456">
            <v>0</v>
          </cell>
          <cell r="EA456">
            <v>0</v>
          </cell>
          <cell r="EB456">
            <v>0</v>
          </cell>
          <cell r="EC456">
            <v>0</v>
          </cell>
          <cell r="ED456">
            <v>0</v>
          </cell>
          <cell r="EE456">
            <v>0</v>
          </cell>
          <cell r="EF456">
            <v>4266</v>
          </cell>
          <cell r="EG456">
            <v>8532</v>
          </cell>
          <cell r="EH456">
            <v>12798</v>
          </cell>
          <cell r="EI456">
            <v>25596</v>
          </cell>
          <cell r="EK456">
            <v>0</v>
          </cell>
          <cell r="EL456">
            <v>0</v>
          </cell>
          <cell r="EM456">
            <v>0</v>
          </cell>
          <cell r="EN456">
            <v>0</v>
          </cell>
          <cell r="EO456">
            <v>0</v>
          </cell>
          <cell r="EP456">
            <v>0</v>
          </cell>
          <cell r="EQ456">
            <v>0</v>
          </cell>
          <cell r="ER456">
            <v>0</v>
          </cell>
          <cell r="ES456">
            <v>0</v>
          </cell>
          <cell r="ET456">
            <v>30.572999999999997</v>
          </cell>
          <cell r="EU456">
            <v>61.145999999999994</v>
          </cell>
          <cell r="EV456">
            <v>91.718999999999994</v>
          </cell>
          <cell r="EW456">
            <v>183.43799999999999</v>
          </cell>
          <cell r="EY456">
            <v>0</v>
          </cell>
          <cell r="EZ456">
            <v>8</v>
          </cell>
          <cell r="FA456">
            <v>0</v>
          </cell>
          <cell r="FB456">
            <v>25596</v>
          </cell>
          <cell r="FC456">
            <v>8.6</v>
          </cell>
          <cell r="FD456">
            <v>183.43799999999999</v>
          </cell>
          <cell r="FE456">
            <v>183.43799999999999</v>
          </cell>
          <cell r="FF456">
            <v>12981</v>
          </cell>
          <cell r="FH456">
            <v>12981</v>
          </cell>
        </row>
        <row r="457">
          <cell r="B457">
            <v>9621</v>
          </cell>
          <cell r="C457" t="str">
            <v>28.08.2008</v>
          </cell>
          <cell r="D457" t="str">
            <v>Chakor Tejaswini Ambarnath</v>
          </cell>
          <cell r="F457">
            <v>0</v>
          </cell>
          <cell r="G457">
            <v>13050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0</v>
          </cell>
          <cell r="BG457">
            <v>0</v>
          </cell>
          <cell r="BH457">
            <v>0</v>
          </cell>
          <cell r="BI457">
            <v>0</v>
          </cell>
          <cell r="BK457">
            <v>0</v>
          </cell>
          <cell r="BL457">
            <v>0</v>
          </cell>
          <cell r="BM457">
            <v>0</v>
          </cell>
          <cell r="BN457">
            <v>0</v>
          </cell>
          <cell r="BO457">
            <v>0</v>
          </cell>
          <cell r="BP457">
            <v>0</v>
          </cell>
          <cell r="BQ457">
            <v>0</v>
          </cell>
          <cell r="BR457">
            <v>0</v>
          </cell>
          <cell r="BS457">
            <v>0</v>
          </cell>
          <cell r="BU457">
            <v>0</v>
          </cell>
          <cell r="BV457">
            <v>0</v>
          </cell>
          <cell r="BW457">
            <v>0</v>
          </cell>
          <cell r="BX457">
            <v>0</v>
          </cell>
          <cell r="BY457">
            <v>0</v>
          </cell>
          <cell r="BZ457">
            <v>0</v>
          </cell>
          <cell r="CA457">
            <v>0</v>
          </cell>
          <cell r="CB457">
            <v>0</v>
          </cell>
          <cell r="CC457">
            <v>0</v>
          </cell>
          <cell r="CE457">
            <v>2133</v>
          </cell>
          <cell r="CF457">
            <v>0</v>
          </cell>
          <cell r="CG457">
            <v>2133</v>
          </cell>
          <cell r="CH457">
            <v>0</v>
          </cell>
          <cell r="CI457">
            <v>0</v>
          </cell>
          <cell r="CJ457">
            <v>0</v>
          </cell>
          <cell r="CK457">
            <v>0</v>
          </cell>
          <cell r="CL457">
            <v>0</v>
          </cell>
          <cell r="CM457">
            <v>0</v>
          </cell>
          <cell r="CO457">
            <v>2133</v>
          </cell>
          <cell r="CP457">
            <v>0</v>
          </cell>
          <cell r="CQ457">
            <v>2133</v>
          </cell>
          <cell r="CR457">
            <v>0</v>
          </cell>
          <cell r="CS457">
            <v>0</v>
          </cell>
          <cell r="CT457">
            <v>0</v>
          </cell>
          <cell r="CU457">
            <v>0</v>
          </cell>
          <cell r="CV457">
            <v>0</v>
          </cell>
          <cell r="CW457">
            <v>0</v>
          </cell>
          <cell r="CY457">
            <v>2133</v>
          </cell>
          <cell r="CZ457">
            <v>6186</v>
          </cell>
          <cell r="DA457">
            <v>2133</v>
          </cell>
          <cell r="DB457">
            <v>6186</v>
          </cell>
          <cell r="DC457">
            <v>0</v>
          </cell>
          <cell r="DD457">
            <v>0</v>
          </cell>
          <cell r="DE457">
            <v>0</v>
          </cell>
          <cell r="DF457">
            <v>0</v>
          </cell>
          <cell r="DG457">
            <v>0</v>
          </cell>
          <cell r="DI457">
            <v>0</v>
          </cell>
          <cell r="DJ457">
            <v>6399</v>
          </cell>
          <cell r="DK457">
            <v>6186</v>
          </cell>
          <cell r="DL457">
            <v>12585</v>
          </cell>
          <cell r="DM457">
            <v>6399</v>
          </cell>
          <cell r="DN457">
            <v>6186</v>
          </cell>
          <cell r="DO457">
            <v>12585</v>
          </cell>
          <cell r="DP457">
            <v>0</v>
          </cell>
          <cell r="DQ457">
            <v>0</v>
          </cell>
          <cell r="DR457">
            <v>0</v>
          </cell>
          <cell r="DS457">
            <v>0</v>
          </cell>
          <cell r="DT457">
            <v>25170</v>
          </cell>
          <cell r="DU457">
            <v>0</v>
          </cell>
          <cell r="DW457">
            <v>0</v>
          </cell>
          <cell r="DX457">
            <v>0</v>
          </cell>
          <cell r="DY457">
            <v>0</v>
          </cell>
          <cell r="DZ457">
            <v>0</v>
          </cell>
          <cell r="EA457">
            <v>0</v>
          </cell>
          <cell r="EB457">
            <v>0</v>
          </cell>
          <cell r="EC457">
            <v>0</v>
          </cell>
          <cell r="ED457">
            <v>0</v>
          </cell>
          <cell r="EE457">
            <v>0</v>
          </cell>
          <cell r="EF457">
            <v>4266</v>
          </cell>
          <cell r="EG457">
            <v>8532</v>
          </cell>
          <cell r="EH457">
            <v>25170</v>
          </cell>
          <cell r="EI457">
            <v>37968</v>
          </cell>
          <cell r="EK457">
            <v>0</v>
          </cell>
          <cell r="EL457">
            <v>0</v>
          </cell>
          <cell r="EM457">
            <v>0</v>
          </cell>
          <cell r="EN457">
            <v>0</v>
          </cell>
          <cell r="EO457">
            <v>0</v>
          </cell>
          <cell r="EP457">
            <v>0</v>
          </cell>
          <cell r="EQ457">
            <v>0</v>
          </cell>
          <cell r="ER457">
            <v>0</v>
          </cell>
          <cell r="ES457">
            <v>0</v>
          </cell>
          <cell r="ET457">
            <v>30.572999999999997</v>
          </cell>
          <cell r="EU457">
            <v>61.145999999999994</v>
          </cell>
          <cell r="EV457">
            <v>180.38499999999999</v>
          </cell>
          <cell r="EW457">
            <v>272.10399999999998</v>
          </cell>
          <cell r="EY457">
            <v>0</v>
          </cell>
          <cell r="EZ457">
            <v>8</v>
          </cell>
          <cell r="FA457">
            <v>0</v>
          </cell>
          <cell r="FB457">
            <v>37968</v>
          </cell>
          <cell r="FC457">
            <v>8.6</v>
          </cell>
          <cell r="FD457">
            <v>272.10399999999998</v>
          </cell>
          <cell r="FE457">
            <v>272.10399999999998</v>
          </cell>
          <cell r="FF457">
            <v>25442</v>
          </cell>
          <cell r="FH457">
            <v>25442</v>
          </cell>
        </row>
        <row r="458">
          <cell r="B458">
            <v>9634</v>
          </cell>
          <cell r="C458" t="str">
            <v>28.08.2008</v>
          </cell>
          <cell r="D458" t="str">
            <v>Solanki Ranjit Sadashiv</v>
          </cell>
          <cell r="F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K458">
            <v>0</v>
          </cell>
          <cell r="BL458">
            <v>0</v>
          </cell>
          <cell r="BM458">
            <v>0</v>
          </cell>
          <cell r="BN458">
            <v>0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  <cell r="BS458">
            <v>0</v>
          </cell>
          <cell r="BU458">
            <v>0</v>
          </cell>
          <cell r="BV458">
            <v>0</v>
          </cell>
          <cell r="BW458">
            <v>0</v>
          </cell>
          <cell r="BX458">
            <v>0</v>
          </cell>
          <cell r="BY458">
            <v>0</v>
          </cell>
          <cell r="BZ458">
            <v>0</v>
          </cell>
          <cell r="CA458">
            <v>0</v>
          </cell>
          <cell r="CB458">
            <v>0</v>
          </cell>
          <cell r="CC458">
            <v>0</v>
          </cell>
          <cell r="CE458">
            <v>0</v>
          </cell>
          <cell r="CF458">
            <v>0</v>
          </cell>
          <cell r="CG458">
            <v>0</v>
          </cell>
          <cell r="CH458">
            <v>0</v>
          </cell>
          <cell r="CI458">
            <v>0</v>
          </cell>
          <cell r="CJ458">
            <v>0</v>
          </cell>
          <cell r="CK458">
            <v>0</v>
          </cell>
          <cell r="CL458">
            <v>0</v>
          </cell>
          <cell r="CM458">
            <v>0</v>
          </cell>
          <cell r="CO458">
            <v>0</v>
          </cell>
          <cell r="CP458">
            <v>0</v>
          </cell>
          <cell r="CQ458">
            <v>0</v>
          </cell>
          <cell r="CR458">
            <v>0</v>
          </cell>
          <cell r="CS458">
            <v>0</v>
          </cell>
          <cell r="CT458">
            <v>0</v>
          </cell>
          <cell r="CU458">
            <v>0</v>
          </cell>
          <cell r="CV458">
            <v>0</v>
          </cell>
          <cell r="CW458">
            <v>0</v>
          </cell>
          <cell r="CY458">
            <v>0</v>
          </cell>
          <cell r="CZ458">
            <v>0</v>
          </cell>
          <cell r="DA458">
            <v>0</v>
          </cell>
          <cell r="DB458">
            <v>0</v>
          </cell>
          <cell r="DC458">
            <v>0</v>
          </cell>
          <cell r="DD458">
            <v>0</v>
          </cell>
          <cell r="DE458">
            <v>0</v>
          </cell>
          <cell r="DF458">
            <v>0</v>
          </cell>
          <cell r="DG458">
            <v>0</v>
          </cell>
          <cell r="DI458">
            <v>0</v>
          </cell>
          <cell r="DJ458">
            <v>0</v>
          </cell>
          <cell r="DK458">
            <v>0</v>
          </cell>
          <cell r="DL458">
            <v>0</v>
          </cell>
          <cell r="DM458">
            <v>0</v>
          </cell>
          <cell r="DN458">
            <v>0</v>
          </cell>
          <cell r="DO458">
            <v>0</v>
          </cell>
          <cell r="DP458">
            <v>0</v>
          </cell>
          <cell r="DQ458">
            <v>0</v>
          </cell>
          <cell r="DR458">
            <v>0</v>
          </cell>
          <cell r="DS458">
            <v>0</v>
          </cell>
          <cell r="DT458">
            <v>0</v>
          </cell>
          <cell r="DU458">
            <v>0</v>
          </cell>
          <cell r="DW458">
            <v>0</v>
          </cell>
          <cell r="DX458">
            <v>0</v>
          </cell>
          <cell r="DY458">
            <v>0</v>
          </cell>
          <cell r="DZ458">
            <v>0</v>
          </cell>
          <cell r="EA458">
            <v>0</v>
          </cell>
          <cell r="EB458">
            <v>0</v>
          </cell>
          <cell r="EC458">
            <v>0</v>
          </cell>
          <cell r="ED458">
            <v>0</v>
          </cell>
          <cell r="EE458">
            <v>0</v>
          </cell>
          <cell r="EF458">
            <v>0</v>
          </cell>
          <cell r="EG458">
            <v>0</v>
          </cell>
          <cell r="EH458">
            <v>0</v>
          </cell>
          <cell r="EI458">
            <v>0</v>
          </cell>
          <cell r="EK458">
            <v>0</v>
          </cell>
          <cell r="EL458">
            <v>0</v>
          </cell>
          <cell r="EM458">
            <v>0</v>
          </cell>
          <cell r="EN458">
            <v>0</v>
          </cell>
          <cell r="EO458">
            <v>0</v>
          </cell>
          <cell r="EP458">
            <v>0</v>
          </cell>
          <cell r="EQ458">
            <v>0</v>
          </cell>
          <cell r="ER458">
            <v>0</v>
          </cell>
          <cell r="ES458">
            <v>0</v>
          </cell>
          <cell r="ET458">
            <v>0</v>
          </cell>
          <cell r="EU458">
            <v>0</v>
          </cell>
          <cell r="EV458">
            <v>0</v>
          </cell>
          <cell r="EW458">
            <v>0</v>
          </cell>
          <cell r="EY458">
            <v>0</v>
          </cell>
          <cell r="EZ458">
            <v>8</v>
          </cell>
          <cell r="FA458">
            <v>0</v>
          </cell>
          <cell r="FB458">
            <v>0</v>
          </cell>
          <cell r="FC458">
            <v>8.6</v>
          </cell>
          <cell r="FD458">
            <v>0</v>
          </cell>
          <cell r="FE458">
            <v>0</v>
          </cell>
          <cell r="FF458">
            <v>0</v>
          </cell>
          <cell r="FH458">
            <v>0</v>
          </cell>
        </row>
        <row r="459">
          <cell r="B459">
            <v>9636</v>
          </cell>
          <cell r="C459" t="str">
            <v>28.08.2008</v>
          </cell>
          <cell r="D459" t="str">
            <v>Bagul Jitendra Rajaram</v>
          </cell>
          <cell r="F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K459">
            <v>0</v>
          </cell>
          <cell r="BL459">
            <v>0</v>
          </cell>
          <cell r="BM459">
            <v>0</v>
          </cell>
          <cell r="BN459">
            <v>0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  <cell r="BS459">
            <v>0</v>
          </cell>
          <cell r="BU459">
            <v>0</v>
          </cell>
          <cell r="BV459">
            <v>0</v>
          </cell>
          <cell r="BW459">
            <v>0</v>
          </cell>
          <cell r="BX459">
            <v>0</v>
          </cell>
          <cell r="BY459">
            <v>0</v>
          </cell>
          <cell r="BZ459">
            <v>0</v>
          </cell>
          <cell r="CA459">
            <v>0</v>
          </cell>
          <cell r="CB459">
            <v>0</v>
          </cell>
          <cell r="CC459">
            <v>0</v>
          </cell>
          <cell r="CE459">
            <v>0</v>
          </cell>
          <cell r="CF459">
            <v>0</v>
          </cell>
          <cell r="CG459">
            <v>0</v>
          </cell>
          <cell r="CH459">
            <v>0</v>
          </cell>
          <cell r="CI459">
            <v>0</v>
          </cell>
          <cell r="CJ459">
            <v>0</v>
          </cell>
          <cell r="CK459">
            <v>0</v>
          </cell>
          <cell r="CL459">
            <v>0</v>
          </cell>
          <cell r="CM459">
            <v>0</v>
          </cell>
          <cell r="CO459">
            <v>0</v>
          </cell>
          <cell r="CP459">
            <v>0</v>
          </cell>
          <cell r="CQ459">
            <v>0</v>
          </cell>
          <cell r="CR459">
            <v>0</v>
          </cell>
          <cell r="CS459">
            <v>0</v>
          </cell>
          <cell r="CT459">
            <v>0</v>
          </cell>
          <cell r="CU459">
            <v>0</v>
          </cell>
          <cell r="CV459">
            <v>0</v>
          </cell>
          <cell r="CW459">
            <v>0</v>
          </cell>
          <cell r="CY459">
            <v>0</v>
          </cell>
          <cell r="CZ459">
            <v>0</v>
          </cell>
          <cell r="DA459">
            <v>0</v>
          </cell>
          <cell r="DB459">
            <v>0</v>
          </cell>
          <cell r="DC459">
            <v>0</v>
          </cell>
          <cell r="DD459">
            <v>0</v>
          </cell>
          <cell r="DE459">
            <v>0</v>
          </cell>
          <cell r="DF459">
            <v>0</v>
          </cell>
          <cell r="DG459">
            <v>0</v>
          </cell>
          <cell r="DI459">
            <v>0</v>
          </cell>
          <cell r="DJ459">
            <v>0</v>
          </cell>
          <cell r="DK459">
            <v>0</v>
          </cell>
          <cell r="DL459">
            <v>0</v>
          </cell>
          <cell r="DM459">
            <v>0</v>
          </cell>
          <cell r="DN459">
            <v>0</v>
          </cell>
          <cell r="DO459">
            <v>0</v>
          </cell>
          <cell r="DP459">
            <v>0</v>
          </cell>
          <cell r="DQ459">
            <v>0</v>
          </cell>
          <cell r="DR459">
            <v>0</v>
          </cell>
          <cell r="DS459">
            <v>0</v>
          </cell>
          <cell r="DT459">
            <v>0</v>
          </cell>
          <cell r="DU459">
            <v>0</v>
          </cell>
          <cell r="DW459">
            <v>0</v>
          </cell>
          <cell r="DX459">
            <v>0</v>
          </cell>
          <cell r="DY459">
            <v>0</v>
          </cell>
          <cell r="DZ459">
            <v>0</v>
          </cell>
          <cell r="EA459">
            <v>0</v>
          </cell>
          <cell r="EB459">
            <v>0</v>
          </cell>
          <cell r="EC459">
            <v>0</v>
          </cell>
          <cell r="ED459">
            <v>0</v>
          </cell>
          <cell r="EE459">
            <v>0</v>
          </cell>
          <cell r="EF459">
            <v>0</v>
          </cell>
          <cell r="EG459">
            <v>0</v>
          </cell>
          <cell r="EH459">
            <v>0</v>
          </cell>
          <cell r="EI459">
            <v>0</v>
          </cell>
          <cell r="EK459">
            <v>0</v>
          </cell>
          <cell r="EL459">
            <v>0</v>
          </cell>
          <cell r="EM459">
            <v>0</v>
          </cell>
          <cell r="EN459">
            <v>0</v>
          </cell>
          <cell r="EO459">
            <v>0</v>
          </cell>
          <cell r="EP459">
            <v>0</v>
          </cell>
          <cell r="EQ459">
            <v>0</v>
          </cell>
          <cell r="ER459">
            <v>0</v>
          </cell>
          <cell r="ES459">
            <v>0</v>
          </cell>
          <cell r="ET459">
            <v>0</v>
          </cell>
          <cell r="EU459">
            <v>0</v>
          </cell>
          <cell r="EV459">
            <v>0</v>
          </cell>
          <cell r="EW459">
            <v>0</v>
          </cell>
          <cell r="EY459">
            <v>0</v>
          </cell>
          <cell r="EZ459">
            <v>8</v>
          </cell>
          <cell r="FA459">
            <v>0</v>
          </cell>
          <cell r="FB459">
            <v>0</v>
          </cell>
          <cell r="FC459">
            <v>8.6</v>
          </cell>
          <cell r="FD459">
            <v>0</v>
          </cell>
          <cell r="FE459">
            <v>0</v>
          </cell>
          <cell r="FF459">
            <v>0</v>
          </cell>
          <cell r="FH459">
            <v>0</v>
          </cell>
        </row>
        <row r="460">
          <cell r="B460">
            <v>9631</v>
          </cell>
          <cell r="C460" t="str">
            <v>04.09.2008</v>
          </cell>
          <cell r="D460" t="str">
            <v>Kale Shobha Suresh</v>
          </cell>
          <cell r="F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K460">
            <v>0</v>
          </cell>
          <cell r="BL460">
            <v>0</v>
          </cell>
          <cell r="BM460">
            <v>0</v>
          </cell>
          <cell r="BN460">
            <v>0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  <cell r="BS460">
            <v>0</v>
          </cell>
          <cell r="BU460">
            <v>0</v>
          </cell>
          <cell r="BV460">
            <v>0</v>
          </cell>
          <cell r="BW460">
            <v>0</v>
          </cell>
          <cell r="BX460">
            <v>0</v>
          </cell>
          <cell r="BY460">
            <v>0</v>
          </cell>
          <cell r="BZ460">
            <v>0</v>
          </cell>
          <cell r="CA460">
            <v>0</v>
          </cell>
          <cell r="CB460">
            <v>0</v>
          </cell>
          <cell r="CC460">
            <v>0</v>
          </cell>
          <cell r="CE460">
            <v>0</v>
          </cell>
          <cell r="CF460">
            <v>0</v>
          </cell>
          <cell r="CG460">
            <v>0</v>
          </cell>
          <cell r="CH460">
            <v>0</v>
          </cell>
          <cell r="CI460">
            <v>0</v>
          </cell>
          <cell r="CJ460">
            <v>0</v>
          </cell>
          <cell r="CK460">
            <v>0</v>
          </cell>
          <cell r="CL460">
            <v>0</v>
          </cell>
          <cell r="CM460">
            <v>0</v>
          </cell>
          <cell r="CO460">
            <v>1106</v>
          </cell>
          <cell r="CP460">
            <v>0</v>
          </cell>
          <cell r="CQ460">
            <v>1106</v>
          </cell>
          <cell r="CR460">
            <v>0</v>
          </cell>
          <cell r="CS460">
            <v>0</v>
          </cell>
          <cell r="CT460">
            <v>0</v>
          </cell>
          <cell r="CU460">
            <v>0</v>
          </cell>
          <cell r="CV460">
            <v>0</v>
          </cell>
          <cell r="CW460">
            <v>0</v>
          </cell>
          <cell r="CY460">
            <v>1106</v>
          </cell>
          <cell r="CZ460">
            <v>0</v>
          </cell>
          <cell r="DA460">
            <v>1106</v>
          </cell>
          <cell r="DB460">
            <v>0</v>
          </cell>
          <cell r="DC460">
            <v>0</v>
          </cell>
          <cell r="DD460">
            <v>0</v>
          </cell>
          <cell r="DE460">
            <v>0</v>
          </cell>
          <cell r="DF460">
            <v>0</v>
          </cell>
          <cell r="DG460">
            <v>0</v>
          </cell>
          <cell r="DI460">
            <v>0</v>
          </cell>
          <cell r="DJ460">
            <v>2212</v>
          </cell>
          <cell r="DK460">
            <v>0</v>
          </cell>
          <cell r="DL460">
            <v>2212</v>
          </cell>
          <cell r="DM460">
            <v>2212</v>
          </cell>
          <cell r="DN460">
            <v>0</v>
          </cell>
          <cell r="DO460">
            <v>2212</v>
          </cell>
          <cell r="DP460">
            <v>0</v>
          </cell>
          <cell r="DQ460">
            <v>0</v>
          </cell>
          <cell r="DR460">
            <v>0</v>
          </cell>
          <cell r="DS460">
            <v>0</v>
          </cell>
          <cell r="DT460">
            <v>4424</v>
          </cell>
          <cell r="DU460">
            <v>0</v>
          </cell>
          <cell r="DW460">
            <v>0</v>
          </cell>
          <cell r="DX460">
            <v>0</v>
          </cell>
          <cell r="DY460">
            <v>0</v>
          </cell>
          <cell r="DZ460">
            <v>0</v>
          </cell>
          <cell r="EA460">
            <v>0</v>
          </cell>
          <cell r="EB460">
            <v>0</v>
          </cell>
          <cell r="EC460">
            <v>0</v>
          </cell>
          <cell r="ED460">
            <v>0</v>
          </cell>
          <cell r="EE460">
            <v>0</v>
          </cell>
          <cell r="EF460">
            <v>0</v>
          </cell>
          <cell r="EG460">
            <v>2212</v>
          </cell>
          <cell r="EH460">
            <v>4424</v>
          </cell>
          <cell r="EI460">
            <v>6636</v>
          </cell>
          <cell r="EK460">
            <v>0</v>
          </cell>
          <cell r="EL460">
            <v>0</v>
          </cell>
          <cell r="EM460">
            <v>0</v>
          </cell>
          <cell r="EN460">
            <v>0</v>
          </cell>
          <cell r="EO460">
            <v>0</v>
          </cell>
          <cell r="EP460">
            <v>0</v>
          </cell>
          <cell r="EQ460">
            <v>0</v>
          </cell>
          <cell r="ER460">
            <v>0</v>
          </cell>
          <cell r="ES460">
            <v>0</v>
          </cell>
          <cell r="ET460">
            <v>0</v>
          </cell>
          <cell r="EU460">
            <v>15.852666666666666</v>
          </cell>
          <cell r="EV460">
            <v>31.705333333333332</v>
          </cell>
          <cell r="EW460">
            <v>47.558</v>
          </cell>
          <cell r="EY460">
            <v>0</v>
          </cell>
          <cell r="EZ460">
            <v>8</v>
          </cell>
          <cell r="FA460">
            <v>0</v>
          </cell>
          <cell r="FB460">
            <v>6636</v>
          </cell>
          <cell r="FC460">
            <v>8.6</v>
          </cell>
          <cell r="FD460">
            <v>47.558</v>
          </cell>
          <cell r="FE460">
            <v>47.558</v>
          </cell>
          <cell r="FF460">
            <v>4472</v>
          </cell>
          <cell r="FH460">
            <v>4472</v>
          </cell>
        </row>
        <row r="461">
          <cell r="B461">
            <v>9546</v>
          </cell>
          <cell r="C461" t="str">
            <v>05.09.2008</v>
          </cell>
          <cell r="D461" t="str">
            <v>Sankhe Supriya Devram</v>
          </cell>
          <cell r="F461">
            <v>3676</v>
          </cell>
          <cell r="H461">
            <v>1350</v>
          </cell>
          <cell r="I461">
            <v>1350</v>
          </cell>
          <cell r="J461">
            <v>2700</v>
          </cell>
          <cell r="K461">
            <v>-976</v>
          </cell>
          <cell r="M461">
            <v>3827</v>
          </cell>
          <cell r="N461">
            <v>0</v>
          </cell>
          <cell r="O461">
            <v>3827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W461">
            <v>3827</v>
          </cell>
          <cell r="X461">
            <v>0</v>
          </cell>
          <cell r="Y461">
            <v>3827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G461">
            <v>3827</v>
          </cell>
          <cell r="AH461">
            <v>0</v>
          </cell>
          <cell r="AI461">
            <v>3827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Q461">
            <v>3827</v>
          </cell>
          <cell r="AR461">
            <v>0</v>
          </cell>
          <cell r="AS461">
            <v>3827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BA461">
            <v>3827</v>
          </cell>
          <cell r="BB461">
            <v>0</v>
          </cell>
          <cell r="BC461">
            <v>3827</v>
          </cell>
          <cell r="BD461">
            <v>0</v>
          </cell>
          <cell r="BE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K461">
            <v>4005</v>
          </cell>
          <cell r="BL461">
            <v>0</v>
          </cell>
          <cell r="BM461">
            <v>4005</v>
          </cell>
          <cell r="BN461">
            <v>0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  <cell r="BS461">
            <v>0</v>
          </cell>
          <cell r="BU461">
            <v>4005</v>
          </cell>
          <cell r="BV461">
            <v>0</v>
          </cell>
          <cell r="BW461">
            <v>4005</v>
          </cell>
          <cell r="BX461">
            <v>0</v>
          </cell>
          <cell r="BY461">
            <v>0</v>
          </cell>
          <cell r="BZ461">
            <v>0</v>
          </cell>
          <cell r="CA461">
            <v>0</v>
          </cell>
          <cell r="CB461">
            <v>0</v>
          </cell>
          <cell r="CC461">
            <v>0</v>
          </cell>
          <cell r="CE461">
            <v>4005</v>
          </cell>
          <cell r="CF461">
            <v>0</v>
          </cell>
          <cell r="CG461">
            <v>4005</v>
          </cell>
          <cell r="CH461">
            <v>0</v>
          </cell>
          <cell r="CI461">
            <v>0</v>
          </cell>
          <cell r="CJ461">
            <v>0</v>
          </cell>
          <cell r="CK461">
            <v>0</v>
          </cell>
          <cell r="CL461">
            <v>0</v>
          </cell>
          <cell r="CM461">
            <v>0</v>
          </cell>
          <cell r="CO461">
            <v>4005</v>
          </cell>
          <cell r="CP461">
            <v>0</v>
          </cell>
          <cell r="CQ461">
            <v>4005</v>
          </cell>
          <cell r="CR461">
            <v>0</v>
          </cell>
          <cell r="CS461">
            <v>0</v>
          </cell>
          <cell r="CT461">
            <v>0</v>
          </cell>
          <cell r="CU461">
            <v>0</v>
          </cell>
          <cell r="CV461">
            <v>0</v>
          </cell>
          <cell r="CW461">
            <v>0</v>
          </cell>
          <cell r="CY461">
            <v>4005</v>
          </cell>
          <cell r="CZ461">
            <v>0</v>
          </cell>
          <cell r="DA461">
            <v>4005</v>
          </cell>
          <cell r="DB461">
            <v>0</v>
          </cell>
          <cell r="DC461">
            <v>0</v>
          </cell>
          <cell r="DD461">
            <v>0</v>
          </cell>
          <cell r="DE461">
            <v>0</v>
          </cell>
          <cell r="DF461">
            <v>0</v>
          </cell>
          <cell r="DG461">
            <v>0</v>
          </cell>
          <cell r="DI461">
            <v>2700</v>
          </cell>
          <cell r="DJ461">
            <v>39160</v>
          </cell>
          <cell r="DK461">
            <v>0</v>
          </cell>
          <cell r="DL461">
            <v>39160</v>
          </cell>
          <cell r="DM461">
            <v>39160</v>
          </cell>
          <cell r="DN461">
            <v>0</v>
          </cell>
          <cell r="DO461">
            <v>39160</v>
          </cell>
          <cell r="DP461">
            <v>0</v>
          </cell>
          <cell r="DQ461">
            <v>0</v>
          </cell>
          <cell r="DR461">
            <v>0</v>
          </cell>
          <cell r="DS461">
            <v>0</v>
          </cell>
          <cell r="DT461">
            <v>78320</v>
          </cell>
          <cell r="DU461">
            <v>0</v>
          </cell>
          <cell r="DW461">
            <v>0</v>
          </cell>
          <cell r="DX461">
            <v>0</v>
          </cell>
          <cell r="DY461">
            <v>10354</v>
          </cell>
          <cell r="DZ461">
            <v>18008</v>
          </cell>
          <cell r="EA461">
            <v>25662</v>
          </cell>
          <cell r="EB461">
            <v>33316</v>
          </cell>
          <cell r="EC461">
            <v>40970</v>
          </cell>
          <cell r="ED461">
            <v>48980</v>
          </cell>
          <cell r="EE461">
            <v>56990</v>
          </cell>
          <cell r="EF461">
            <v>65000</v>
          </cell>
          <cell r="EG461">
            <v>73010</v>
          </cell>
          <cell r="EH461">
            <v>81020</v>
          </cell>
          <cell r="EI461">
            <v>453310</v>
          </cell>
          <cell r="EK461">
            <v>0</v>
          </cell>
          <cell r="EL461">
            <v>0</v>
          </cell>
          <cell r="EM461">
            <v>69.026666666666671</v>
          </cell>
          <cell r="EN461">
            <v>120.05333333333334</v>
          </cell>
          <cell r="EO461">
            <v>171.08</v>
          </cell>
          <cell r="EP461">
            <v>222.10666666666668</v>
          </cell>
          <cell r="EQ461">
            <v>273.13333333333333</v>
          </cell>
          <cell r="ER461">
            <v>326.53333333333336</v>
          </cell>
          <cell r="ES461">
            <v>408.42833333333334</v>
          </cell>
          <cell r="ET461">
            <v>465.83333333333331</v>
          </cell>
          <cell r="EU461">
            <v>523.23833333333334</v>
          </cell>
          <cell r="EV461">
            <v>580.64333333333332</v>
          </cell>
          <cell r="EW461">
            <v>3160.0766666666668</v>
          </cell>
          <cell r="EY461">
            <v>177290</v>
          </cell>
          <cell r="EZ461">
            <v>8</v>
          </cell>
          <cell r="FA461">
            <v>1181.9333333333334</v>
          </cell>
          <cell r="FB461">
            <v>276020</v>
          </cell>
          <cell r="FC461">
            <v>8.6</v>
          </cell>
          <cell r="FD461">
            <v>1978.1433333333334</v>
          </cell>
          <cell r="FE461">
            <v>3160.0766666666668</v>
          </cell>
          <cell r="FF461">
            <v>84180</v>
          </cell>
          <cell r="FH461">
            <v>84180</v>
          </cell>
        </row>
        <row r="462">
          <cell r="B462">
            <v>9551</v>
          </cell>
          <cell r="C462" t="str">
            <v>05.09.2008</v>
          </cell>
          <cell r="D462" t="str">
            <v>Salunkhe Ajita Rajendra</v>
          </cell>
          <cell r="F462">
            <v>3676</v>
          </cell>
          <cell r="G462">
            <v>34804</v>
          </cell>
          <cell r="H462">
            <v>1350</v>
          </cell>
          <cell r="I462">
            <v>1350</v>
          </cell>
          <cell r="J462">
            <v>2700</v>
          </cell>
          <cell r="K462">
            <v>-976</v>
          </cell>
          <cell r="M462">
            <v>3827</v>
          </cell>
          <cell r="N462">
            <v>0</v>
          </cell>
          <cell r="O462">
            <v>3827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W462">
            <v>3827</v>
          </cell>
          <cell r="X462">
            <v>0</v>
          </cell>
          <cell r="Y462">
            <v>3827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G462">
            <v>3827</v>
          </cell>
          <cell r="AH462">
            <v>0</v>
          </cell>
          <cell r="AI462">
            <v>3827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Q462">
            <v>3827</v>
          </cell>
          <cell r="AR462">
            <v>0</v>
          </cell>
          <cell r="AS462">
            <v>3827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BA462">
            <v>3827</v>
          </cell>
          <cell r="BB462">
            <v>0</v>
          </cell>
          <cell r="BC462">
            <v>3827</v>
          </cell>
          <cell r="BD462">
            <v>0</v>
          </cell>
          <cell r="BE462">
            <v>0</v>
          </cell>
          <cell r="BF462">
            <v>0</v>
          </cell>
          <cell r="BG462">
            <v>0</v>
          </cell>
          <cell r="BH462">
            <v>0</v>
          </cell>
          <cell r="BI462">
            <v>0</v>
          </cell>
          <cell r="BK462">
            <v>4005</v>
          </cell>
          <cell r="BL462">
            <v>0</v>
          </cell>
          <cell r="BM462">
            <v>4005</v>
          </cell>
          <cell r="BN462">
            <v>0</v>
          </cell>
          <cell r="BO462">
            <v>0</v>
          </cell>
          <cell r="BP462">
            <v>0</v>
          </cell>
          <cell r="BQ462">
            <v>0</v>
          </cell>
          <cell r="BR462">
            <v>0</v>
          </cell>
          <cell r="BS462">
            <v>0</v>
          </cell>
          <cell r="BU462">
            <v>4005</v>
          </cell>
          <cell r="BV462">
            <v>0</v>
          </cell>
          <cell r="BW462">
            <v>4005</v>
          </cell>
          <cell r="BX462">
            <v>0</v>
          </cell>
          <cell r="BY462">
            <v>0</v>
          </cell>
          <cell r="BZ462">
            <v>0</v>
          </cell>
          <cell r="CA462">
            <v>0</v>
          </cell>
          <cell r="CB462">
            <v>0</v>
          </cell>
          <cell r="CC462">
            <v>0</v>
          </cell>
          <cell r="CE462">
            <v>4005</v>
          </cell>
          <cell r="CF462">
            <v>0</v>
          </cell>
          <cell r="CG462">
            <v>4005</v>
          </cell>
          <cell r="CH462">
            <v>0</v>
          </cell>
          <cell r="CI462">
            <v>0</v>
          </cell>
          <cell r="CJ462">
            <v>0</v>
          </cell>
          <cell r="CK462">
            <v>0</v>
          </cell>
          <cell r="CL462">
            <v>0</v>
          </cell>
          <cell r="CM462">
            <v>0</v>
          </cell>
          <cell r="CO462">
            <v>4005</v>
          </cell>
          <cell r="CP462">
            <v>0</v>
          </cell>
          <cell r="CQ462">
            <v>4005</v>
          </cell>
          <cell r="CR462">
            <v>0</v>
          </cell>
          <cell r="CS462">
            <v>0</v>
          </cell>
          <cell r="CT462">
            <v>0</v>
          </cell>
          <cell r="CU462">
            <v>0</v>
          </cell>
          <cell r="CV462">
            <v>0</v>
          </cell>
          <cell r="CW462">
            <v>0</v>
          </cell>
          <cell r="CY462">
            <v>4005</v>
          </cell>
          <cell r="CZ462">
            <v>0</v>
          </cell>
          <cell r="DA462">
            <v>4005</v>
          </cell>
          <cell r="DB462">
            <v>0</v>
          </cell>
          <cell r="DC462">
            <v>0</v>
          </cell>
          <cell r="DD462">
            <v>0</v>
          </cell>
          <cell r="DE462">
            <v>0</v>
          </cell>
          <cell r="DF462">
            <v>0</v>
          </cell>
          <cell r="DG462">
            <v>0</v>
          </cell>
          <cell r="DI462">
            <v>2700</v>
          </cell>
          <cell r="DJ462">
            <v>39160</v>
          </cell>
          <cell r="DK462">
            <v>0</v>
          </cell>
          <cell r="DL462">
            <v>39160</v>
          </cell>
          <cell r="DM462">
            <v>39160</v>
          </cell>
          <cell r="DN462">
            <v>0</v>
          </cell>
          <cell r="DO462">
            <v>39160</v>
          </cell>
          <cell r="DP462">
            <v>0</v>
          </cell>
          <cell r="DQ462">
            <v>0</v>
          </cell>
          <cell r="DR462">
            <v>0</v>
          </cell>
          <cell r="DS462">
            <v>0</v>
          </cell>
          <cell r="DT462">
            <v>78320</v>
          </cell>
          <cell r="DU462">
            <v>0</v>
          </cell>
          <cell r="DW462">
            <v>0</v>
          </cell>
          <cell r="DX462">
            <v>0</v>
          </cell>
          <cell r="DY462">
            <v>10354</v>
          </cell>
          <cell r="DZ462">
            <v>18008</v>
          </cell>
          <cell r="EA462">
            <v>25662</v>
          </cell>
          <cell r="EB462">
            <v>33316</v>
          </cell>
          <cell r="EC462">
            <v>40970</v>
          </cell>
          <cell r="ED462">
            <v>48980</v>
          </cell>
          <cell r="EE462">
            <v>56990</v>
          </cell>
          <cell r="EF462">
            <v>65000</v>
          </cell>
          <cell r="EG462">
            <v>73010</v>
          </cell>
          <cell r="EH462">
            <v>81020</v>
          </cell>
          <cell r="EI462">
            <v>453310</v>
          </cell>
          <cell r="EK462">
            <v>0</v>
          </cell>
          <cell r="EL462">
            <v>0</v>
          </cell>
          <cell r="EM462">
            <v>69.026666666666671</v>
          </cell>
          <cell r="EN462">
            <v>120.05333333333334</v>
          </cell>
          <cell r="EO462">
            <v>171.08</v>
          </cell>
          <cell r="EP462">
            <v>222.10666666666668</v>
          </cell>
          <cell r="EQ462">
            <v>273.13333333333333</v>
          </cell>
          <cell r="ER462">
            <v>326.53333333333336</v>
          </cell>
          <cell r="ES462">
            <v>408.42833333333334</v>
          </cell>
          <cell r="ET462">
            <v>465.83333333333331</v>
          </cell>
          <cell r="EU462">
            <v>523.23833333333334</v>
          </cell>
          <cell r="EV462">
            <v>580.64333333333332</v>
          </cell>
          <cell r="EW462">
            <v>3160.0766666666668</v>
          </cell>
          <cell r="EY462">
            <v>177290</v>
          </cell>
          <cell r="EZ462">
            <v>8</v>
          </cell>
          <cell r="FA462">
            <v>1181.9333333333334</v>
          </cell>
          <cell r="FB462">
            <v>276020</v>
          </cell>
          <cell r="FC462">
            <v>8.6</v>
          </cell>
          <cell r="FD462">
            <v>1978.1433333333334</v>
          </cell>
          <cell r="FE462">
            <v>3160.0766666666668</v>
          </cell>
          <cell r="FF462">
            <v>84180</v>
          </cell>
          <cell r="FH462">
            <v>84180</v>
          </cell>
        </row>
        <row r="463">
          <cell r="B463">
            <v>9558</v>
          </cell>
          <cell r="C463" t="str">
            <v>05.09.2008</v>
          </cell>
          <cell r="D463" t="str">
            <v>Pawar Asmita Shrawan</v>
          </cell>
          <cell r="F463">
            <v>3676</v>
          </cell>
          <cell r="G463">
            <v>41104</v>
          </cell>
          <cell r="H463">
            <v>1350</v>
          </cell>
          <cell r="I463">
            <v>1350</v>
          </cell>
          <cell r="J463">
            <v>2700</v>
          </cell>
          <cell r="K463">
            <v>-976</v>
          </cell>
          <cell r="M463">
            <v>3827</v>
          </cell>
          <cell r="N463">
            <v>0</v>
          </cell>
          <cell r="O463">
            <v>3827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W463">
            <v>3827</v>
          </cell>
          <cell r="X463">
            <v>0</v>
          </cell>
          <cell r="Y463">
            <v>3827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G463">
            <v>3827</v>
          </cell>
          <cell r="AH463">
            <v>0</v>
          </cell>
          <cell r="AI463">
            <v>3827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Q463">
            <v>3827</v>
          </cell>
          <cell r="AR463">
            <v>0</v>
          </cell>
          <cell r="AS463">
            <v>3827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0</v>
          </cell>
          <cell r="BA463">
            <v>3827</v>
          </cell>
          <cell r="BB463">
            <v>0</v>
          </cell>
          <cell r="BC463">
            <v>3827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>
            <v>0</v>
          </cell>
          <cell r="BK463">
            <v>4005</v>
          </cell>
          <cell r="BL463">
            <v>0</v>
          </cell>
          <cell r="BM463">
            <v>4005</v>
          </cell>
          <cell r="BN463">
            <v>0</v>
          </cell>
          <cell r="BO463">
            <v>0</v>
          </cell>
          <cell r="BP463">
            <v>0</v>
          </cell>
          <cell r="BQ463">
            <v>0</v>
          </cell>
          <cell r="BR463">
            <v>0</v>
          </cell>
          <cell r="BS463">
            <v>0</v>
          </cell>
          <cell r="BU463">
            <v>4005</v>
          </cell>
          <cell r="BV463">
            <v>0</v>
          </cell>
          <cell r="BW463">
            <v>4005</v>
          </cell>
          <cell r="BX463">
            <v>0</v>
          </cell>
          <cell r="BY463">
            <v>0</v>
          </cell>
          <cell r="BZ463">
            <v>0</v>
          </cell>
          <cell r="CA463">
            <v>0</v>
          </cell>
          <cell r="CB463">
            <v>0</v>
          </cell>
          <cell r="CC463">
            <v>0</v>
          </cell>
          <cell r="CE463">
            <v>4005</v>
          </cell>
          <cell r="CF463">
            <v>0</v>
          </cell>
          <cell r="CG463">
            <v>4005</v>
          </cell>
          <cell r="CH463">
            <v>0</v>
          </cell>
          <cell r="CI463">
            <v>0</v>
          </cell>
          <cell r="CJ463">
            <v>0</v>
          </cell>
          <cell r="CK463">
            <v>0</v>
          </cell>
          <cell r="CL463">
            <v>0</v>
          </cell>
          <cell r="CM463">
            <v>0</v>
          </cell>
          <cell r="CO463">
            <v>4005</v>
          </cell>
          <cell r="CP463">
            <v>0</v>
          </cell>
          <cell r="CQ463">
            <v>4005</v>
          </cell>
          <cell r="CR463">
            <v>0</v>
          </cell>
          <cell r="CS463">
            <v>0</v>
          </cell>
          <cell r="CT463">
            <v>0</v>
          </cell>
          <cell r="CU463">
            <v>0</v>
          </cell>
          <cell r="CV463">
            <v>0</v>
          </cell>
          <cell r="CW463">
            <v>0</v>
          </cell>
          <cell r="CY463">
            <v>4005</v>
          </cell>
          <cell r="CZ463">
            <v>0</v>
          </cell>
          <cell r="DA463">
            <v>4005</v>
          </cell>
          <cell r="DB463">
            <v>0</v>
          </cell>
          <cell r="DC463">
            <v>0</v>
          </cell>
          <cell r="DD463">
            <v>0</v>
          </cell>
          <cell r="DE463">
            <v>0</v>
          </cell>
          <cell r="DF463">
            <v>0</v>
          </cell>
          <cell r="DG463">
            <v>0</v>
          </cell>
          <cell r="DI463">
            <v>2700</v>
          </cell>
          <cell r="DJ463">
            <v>39160</v>
          </cell>
          <cell r="DK463">
            <v>0</v>
          </cell>
          <cell r="DL463">
            <v>39160</v>
          </cell>
          <cell r="DM463">
            <v>39160</v>
          </cell>
          <cell r="DN463">
            <v>0</v>
          </cell>
          <cell r="DO463">
            <v>39160</v>
          </cell>
          <cell r="DP463">
            <v>0</v>
          </cell>
          <cell r="DQ463">
            <v>0</v>
          </cell>
          <cell r="DR463">
            <v>0</v>
          </cell>
          <cell r="DS463">
            <v>0</v>
          </cell>
          <cell r="DT463">
            <v>78320</v>
          </cell>
          <cell r="DU463">
            <v>0</v>
          </cell>
          <cell r="DW463">
            <v>0</v>
          </cell>
          <cell r="DX463">
            <v>0</v>
          </cell>
          <cell r="DY463">
            <v>10354</v>
          </cell>
          <cell r="DZ463">
            <v>18008</v>
          </cell>
          <cell r="EA463">
            <v>25662</v>
          </cell>
          <cell r="EB463">
            <v>33316</v>
          </cell>
          <cell r="EC463">
            <v>40970</v>
          </cell>
          <cell r="ED463">
            <v>48980</v>
          </cell>
          <cell r="EE463">
            <v>56990</v>
          </cell>
          <cell r="EF463">
            <v>65000</v>
          </cell>
          <cell r="EG463">
            <v>73010</v>
          </cell>
          <cell r="EH463">
            <v>81020</v>
          </cell>
          <cell r="EI463">
            <v>453310</v>
          </cell>
          <cell r="EK463">
            <v>0</v>
          </cell>
          <cell r="EL463">
            <v>0</v>
          </cell>
          <cell r="EM463">
            <v>69.026666666666671</v>
          </cell>
          <cell r="EN463">
            <v>120.05333333333334</v>
          </cell>
          <cell r="EO463">
            <v>171.08</v>
          </cell>
          <cell r="EP463">
            <v>222.10666666666668</v>
          </cell>
          <cell r="EQ463">
            <v>273.13333333333333</v>
          </cell>
          <cell r="ER463">
            <v>326.53333333333336</v>
          </cell>
          <cell r="ES463">
            <v>408.42833333333334</v>
          </cell>
          <cell r="ET463">
            <v>465.83333333333331</v>
          </cell>
          <cell r="EU463">
            <v>523.23833333333334</v>
          </cell>
          <cell r="EV463">
            <v>580.64333333333332</v>
          </cell>
          <cell r="EW463">
            <v>3160.0766666666668</v>
          </cell>
          <cell r="EY463">
            <v>177290</v>
          </cell>
          <cell r="EZ463">
            <v>8</v>
          </cell>
          <cell r="FA463">
            <v>1181.9333333333334</v>
          </cell>
          <cell r="FB463">
            <v>276020</v>
          </cell>
          <cell r="FC463">
            <v>8.6</v>
          </cell>
          <cell r="FD463">
            <v>1978.1433333333334</v>
          </cell>
          <cell r="FE463">
            <v>3160.0766666666668</v>
          </cell>
          <cell r="FF463">
            <v>84180</v>
          </cell>
          <cell r="FH463">
            <v>84180</v>
          </cell>
        </row>
        <row r="464">
          <cell r="B464">
            <v>9563</v>
          </cell>
          <cell r="C464" t="str">
            <v>05.09.2008</v>
          </cell>
          <cell r="D464" t="str">
            <v>Kankariya Manoj Lalchand</v>
          </cell>
          <cell r="F464">
            <v>3676</v>
          </cell>
          <cell r="H464">
            <v>0</v>
          </cell>
          <cell r="I464">
            <v>0</v>
          </cell>
          <cell r="J464">
            <v>0</v>
          </cell>
          <cell r="K464">
            <v>-3676</v>
          </cell>
          <cell r="M464">
            <v>3827</v>
          </cell>
          <cell r="N464">
            <v>0</v>
          </cell>
          <cell r="O464">
            <v>3827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W464">
            <v>3827</v>
          </cell>
          <cell r="X464">
            <v>0</v>
          </cell>
          <cell r="Y464">
            <v>3827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G464">
            <v>3827</v>
          </cell>
          <cell r="AH464">
            <v>0</v>
          </cell>
          <cell r="AI464">
            <v>3827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Q464">
            <v>3827</v>
          </cell>
          <cell r="AR464">
            <v>0</v>
          </cell>
          <cell r="AS464">
            <v>3827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BA464">
            <v>3827</v>
          </cell>
          <cell r="BB464">
            <v>0</v>
          </cell>
          <cell r="BC464">
            <v>3827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K464">
            <v>4005</v>
          </cell>
          <cell r="BL464">
            <v>0</v>
          </cell>
          <cell r="BM464">
            <v>4005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  <cell r="BS464">
            <v>0</v>
          </cell>
          <cell r="BU464">
            <v>4005</v>
          </cell>
          <cell r="BV464">
            <v>0</v>
          </cell>
          <cell r="BW464">
            <v>4005</v>
          </cell>
          <cell r="BX464">
            <v>0</v>
          </cell>
          <cell r="BY464">
            <v>0</v>
          </cell>
          <cell r="BZ464">
            <v>0</v>
          </cell>
          <cell r="CA464">
            <v>0</v>
          </cell>
          <cell r="CB464">
            <v>0</v>
          </cell>
          <cell r="CC464">
            <v>0</v>
          </cell>
          <cell r="CE464">
            <v>4005</v>
          </cell>
          <cell r="CF464">
            <v>0</v>
          </cell>
          <cell r="CG464">
            <v>4005</v>
          </cell>
          <cell r="CH464">
            <v>0</v>
          </cell>
          <cell r="CI464">
            <v>0</v>
          </cell>
          <cell r="CJ464">
            <v>0</v>
          </cell>
          <cell r="CK464">
            <v>0</v>
          </cell>
          <cell r="CL464">
            <v>0</v>
          </cell>
          <cell r="CM464">
            <v>0</v>
          </cell>
          <cell r="CO464">
            <v>4005</v>
          </cell>
          <cell r="CP464">
            <v>0</v>
          </cell>
          <cell r="CQ464">
            <v>4005</v>
          </cell>
          <cell r="CR464">
            <v>0</v>
          </cell>
          <cell r="CS464">
            <v>0</v>
          </cell>
          <cell r="CT464">
            <v>0</v>
          </cell>
          <cell r="CU464">
            <v>0</v>
          </cell>
          <cell r="CV464">
            <v>0</v>
          </cell>
          <cell r="CW464">
            <v>0</v>
          </cell>
          <cell r="CY464">
            <v>4005</v>
          </cell>
          <cell r="CZ464">
            <v>0</v>
          </cell>
          <cell r="DA464">
            <v>4005</v>
          </cell>
          <cell r="DB464">
            <v>0</v>
          </cell>
          <cell r="DC464">
            <v>0</v>
          </cell>
          <cell r="DD464">
            <v>0</v>
          </cell>
          <cell r="DE464">
            <v>0</v>
          </cell>
          <cell r="DF464">
            <v>0</v>
          </cell>
          <cell r="DG464">
            <v>0</v>
          </cell>
          <cell r="DI464">
            <v>0</v>
          </cell>
          <cell r="DJ464">
            <v>39160</v>
          </cell>
          <cell r="DK464">
            <v>0</v>
          </cell>
          <cell r="DL464">
            <v>39160</v>
          </cell>
          <cell r="DM464">
            <v>39160</v>
          </cell>
          <cell r="DN464">
            <v>0</v>
          </cell>
          <cell r="DO464">
            <v>39160</v>
          </cell>
          <cell r="DP464">
            <v>0</v>
          </cell>
          <cell r="DQ464">
            <v>0</v>
          </cell>
          <cell r="DR464">
            <v>0</v>
          </cell>
          <cell r="DS464">
            <v>0</v>
          </cell>
          <cell r="DT464">
            <v>78320</v>
          </cell>
          <cell r="DU464">
            <v>0</v>
          </cell>
          <cell r="DW464">
            <v>0</v>
          </cell>
          <cell r="DX464">
            <v>0</v>
          </cell>
          <cell r="DY464">
            <v>7654</v>
          </cell>
          <cell r="DZ464">
            <v>15308</v>
          </cell>
          <cell r="EA464">
            <v>22962</v>
          </cell>
          <cell r="EB464">
            <v>30616</v>
          </cell>
          <cell r="EC464">
            <v>38270</v>
          </cell>
          <cell r="ED464">
            <v>46280</v>
          </cell>
          <cell r="EE464">
            <v>54290</v>
          </cell>
          <cell r="EF464">
            <v>62300</v>
          </cell>
          <cell r="EG464">
            <v>70310</v>
          </cell>
          <cell r="EH464">
            <v>78320</v>
          </cell>
          <cell r="EI464">
            <v>426310</v>
          </cell>
          <cell r="EK464">
            <v>0</v>
          </cell>
          <cell r="EL464">
            <v>0</v>
          </cell>
          <cell r="EM464">
            <v>51.026666666666671</v>
          </cell>
          <cell r="EN464">
            <v>102.05333333333334</v>
          </cell>
          <cell r="EO464">
            <v>153.08000000000001</v>
          </cell>
          <cell r="EP464">
            <v>204.10666666666668</v>
          </cell>
          <cell r="EQ464">
            <v>255.13333333333333</v>
          </cell>
          <cell r="ER464">
            <v>308.53333333333336</v>
          </cell>
          <cell r="ES464">
            <v>389.07833333333332</v>
          </cell>
          <cell r="ET464">
            <v>446.48333333333335</v>
          </cell>
          <cell r="EU464">
            <v>503.88833333333332</v>
          </cell>
          <cell r="EV464">
            <v>561.29333333333341</v>
          </cell>
          <cell r="EW464">
            <v>2974.6766666666667</v>
          </cell>
          <cell r="EY464">
            <v>161090</v>
          </cell>
          <cell r="EZ464">
            <v>8</v>
          </cell>
          <cell r="FA464">
            <v>1073.9333333333334</v>
          </cell>
          <cell r="FB464">
            <v>265220</v>
          </cell>
          <cell r="FC464">
            <v>8.6</v>
          </cell>
          <cell r="FD464">
            <v>1900.7433333333331</v>
          </cell>
          <cell r="FE464">
            <v>2974.6766666666663</v>
          </cell>
          <cell r="FF464">
            <v>81295</v>
          </cell>
          <cell r="FH464">
            <v>81295</v>
          </cell>
        </row>
        <row r="465">
          <cell r="B465">
            <v>9566</v>
          </cell>
          <cell r="C465" t="str">
            <v>05.09.2008</v>
          </cell>
          <cell r="D465" t="str">
            <v>Bodhale Archana Bhaskar</v>
          </cell>
          <cell r="F465">
            <v>3676</v>
          </cell>
          <cell r="H465">
            <v>1350</v>
          </cell>
          <cell r="I465">
            <v>1350</v>
          </cell>
          <cell r="J465">
            <v>2700</v>
          </cell>
          <cell r="K465">
            <v>-976</v>
          </cell>
          <cell r="M465">
            <v>3827</v>
          </cell>
          <cell r="N465">
            <v>0</v>
          </cell>
          <cell r="O465">
            <v>3827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W465">
            <v>3827</v>
          </cell>
          <cell r="X465">
            <v>0</v>
          </cell>
          <cell r="Y465">
            <v>3827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G465">
            <v>3827</v>
          </cell>
          <cell r="AH465">
            <v>0</v>
          </cell>
          <cell r="AI465">
            <v>3827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Q465">
            <v>3827</v>
          </cell>
          <cell r="AR465">
            <v>0</v>
          </cell>
          <cell r="AS465">
            <v>3827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BA465">
            <v>3827</v>
          </cell>
          <cell r="BB465">
            <v>0</v>
          </cell>
          <cell r="BC465">
            <v>3827</v>
          </cell>
          <cell r="BD465">
            <v>0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K465">
            <v>4005</v>
          </cell>
          <cell r="BL465">
            <v>0</v>
          </cell>
          <cell r="BM465">
            <v>4005</v>
          </cell>
          <cell r="BN465">
            <v>0</v>
          </cell>
          <cell r="BO465">
            <v>0</v>
          </cell>
          <cell r="BP465">
            <v>0</v>
          </cell>
          <cell r="BQ465">
            <v>0</v>
          </cell>
          <cell r="BR465">
            <v>0</v>
          </cell>
          <cell r="BS465">
            <v>0</v>
          </cell>
          <cell r="BU465">
            <v>4005</v>
          </cell>
          <cell r="BV465">
            <v>0</v>
          </cell>
          <cell r="BW465">
            <v>4005</v>
          </cell>
          <cell r="BX465">
            <v>0</v>
          </cell>
          <cell r="BY465">
            <v>0</v>
          </cell>
          <cell r="BZ465">
            <v>0</v>
          </cell>
          <cell r="CA465">
            <v>0</v>
          </cell>
          <cell r="CB465">
            <v>0</v>
          </cell>
          <cell r="CC465">
            <v>0</v>
          </cell>
          <cell r="CE465">
            <v>4005</v>
          </cell>
          <cell r="CF465">
            <v>0</v>
          </cell>
          <cell r="CG465">
            <v>4005</v>
          </cell>
          <cell r="CH465">
            <v>0</v>
          </cell>
          <cell r="CI465">
            <v>0</v>
          </cell>
          <cell r="CJ465">
            <v>0</v>
          </cell>
          <cell r="CK465">
            <v>0</v>
          </cell>
          <cell r="CL465">
            <v>0</v>
          </cell>
          <cell r="CM465">
            <v>0</v>
          </cell>
          <cell r="CO465">
            <v>4005</v>
          </cell>
          <cell r="CP465">
            <v>0</v>
          </cell>
          <cell r="CQ465">
            <v>4005</v>
          </cell>
          <cell r="CR465">
            <v>0</v>
          </cell>
          <cell r="CS465">
            <v>0</v>
          </cell>
          <cell r="CT465">
            <v>0</v>
          </cell>
          <cell r="CU465">
            <v>0</v>
          </cell>
          <cell r="CV465">
            <v>0</v>
          </cell>
          <cell r="CW465">
            <v>0</v>
          </cell>
          <cell r="CY465">
            <v>4005</v>
          </cell>
          <cell r="CZ465">
            <v>0</v>
          </cell>
          <cell r="DA465">
            <v>4005</v>
          </cell>
          <cell r="DB465">
            <v>0</v>
          </cell>
          <cell r="DC465">
            <v>0</v>
          </cell>
          <cell r="DD465">
            <v>0</v>
          </cell>
          <cell r="DE465">
            <v>0</v>
          </cell>
          <cell r="DF465">
            <v>0</v>
          </cell>
          <cell r="DG465">
            <v>0</v>
          </cell>
          <cell r="DI465">
            <v>2700</v>
          </cell>
          <cell r="DJ465">
            <v>39160</v>
          </cell>
          <cell r="DK465">
            <v>0</v>
          </cell>
          <cell r="DL465">
            <v>39160</v>
          </cell>
          <cell r="DM465">
            <v>39160</v>
          </cell>
          <cell r="DN465">
            <v>0</v>
          </cell>
          <cell r="DO465">
            <v>39160</v>
          </cell>
          <cell r="DP465">
            <v>0</v>
          </cell>
          <cell r="DQ465">
            <v>0</v>
          </cell>
          <cell r="DR465">
            <v>0</v>
          </cell>
          <cell r="DS465">
            <v>0</v>
          </cell>
          <cell r="DT465">
            <v>78320</v>
          </cell>
          <cell r="DU465">
            <v>0</v>
          </cell>
          <cell r="DW465">
            <v>0</v>
          </cell>
          <cell r="DX465">
            <v>0</v>
          </cell>
          <cell r="DY465">
            <v>10354</v>
          </cell>
          <cell r="DZ465">
            <v>18008</v>
          </cell>
          <cell r="EA465">
            <v>25662</v>
          </cell>
          <cell r="EB465">
            <v>33316</v>
          </cell>
          <cell r="EC465">
            <v>40970</v>
          </cell>
          <cell r="ED465">
            <v>48980</v>
          </cell>
          <cell r="EE465">
            <v>56990</v>
          </cell>
          <cell r="EF465">
            <v>65000</v>
          </cell>
          <cell r="EG465">
            <v>73010</v>
          </cell>
          <cell r="EH465">
            <v>81020</v>
          </cell>
          <cell r="EI465">
            <v>453310</v>
          </cell>
          <cell r="EK465">
            <v>0</v>
          </cell>
          <cell r="EL465">
            <v>0</v>
          </cell>
          <cell r="EM465">
            <v>69.026666666666671</v>
          </cell>
          <cell r="EN465">
            <v>120.05333333333334</v>
          </cell>
          <cell r="EO465">
            <v>171.08</v>
          </cell>
          <cell r="EP465">
            <v>222.10666666666668</v>
          </cell>
          <cell r="EQ465">
            <v>273.13333333333333</v>
          </cell>
          <cell r="ER465">
            <v>326.53333333333336</v>
          </cell>
          <cell r="ES465">
            <v>408.42833333333334</v>
          </cell>
          <cell r="ET465">
            <v>465.83333333333331</v>
          </cell>
          <cell r="EU465">
            <v>523.23833333333334</v>
          </cell>
          <cell r="EV465">
            <v>580.64333333333332</v>
          </cell>
          <cell r="EW465">
            <v>3160.0766666666668</v>
          </cell>
          <cell r="EY465">
            <v>177290</v>
          </cell>
          <cell r="EZ465">
            <v>8</v>
          </cell>
          <cell r="FA465">
            <v>1181.9333333333334</v>
          </cell>
          <cell r="FB465">
            <v>276020</v>
          </cell>
          <cell r="FC465">
            <v>8.6</v>
          </cell>
          <cell r="FD465">
            <v>1978.1433333333334</v>
          </cell>
          <cell r="FE465">
            <v>3160.0766666666668</v>
          </cell>
          <cell r="FF465">
            <v>84180</v>
          </cell>
          <cell r="FH465">
            <v>84180</v>
          </cell>
        </row>
        <row r="466">
          <cell r="B466">
            <v>9619</v>
          </cell>
          <cell r="C466" t="str">
            <v>05.09.2008</v>
          </cell>
          <cell r="D466" t="str">
            <v>Pawar Soniya Ganesh</v>
          </cell>
          <cell r="F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BA466">
            <v>0</v>
          </cell>
          <cell r="BB466">
            <v>0</v>
          </cell>
          <cell r="BC466">
            <v>0</v>
          </cell>
          <cell r="BD466">
            <v>0</v>
          </cell>
          <cell r="BE466">
            <v>0</v>
          </cell>
          <cell r="BF466">
            <v>0</v>
          </cell>
          <cell r="BG466">
            <v>0</v>
          </cell>
          <cell r="BH466">
            <v>0</v>
          </cell>
          <cell r="BI466">
            <v>0</v>
          </cell>
          <cell r="BK466">
            <v>0</v>
          </cell>
          <cell r="BL466">
            <v>0</v>
          </cell>
          <cell r="BM466">
            <v>0</v>
          </cell>
          <cell r="BN466">
            <v>0</v>
          </cell>
          <cell r="BO466">
            <v>0</v>
          </cell>
          <cell r="BP466">
            <v>0</v>
          </cell>
          <cell r="BQ466">
            <v>0</v>
          </cell>
          <cell r="BR466">
            <v>0</v>
          </cell>
          <cell r="BS466">
            <v>0</v>
          </cell>
          <cell r="BU466">
            <v>1106</v>
          </cell>
          <cell r="BV466">
            <v>0</v>
          </cell>
          <cell r="BW466">
            <v>1106</v>
          </cell>
          <cell r="BX466">
            <v>0</v>
          </cell>
          <cell r="BY466">
            <v>0</v>
          </cell>
          <cell r="BZ466">
            <v>0</v>
          </cell>
          <cell r="CA466">
            <v>0</v>
          </cell>
          <cell r="CB466">
            <v>0</v>
          </cell>
          <cell r="CC466">
            <v>0</v>
          </cell>
          <cell r="CE466">
            <v>1106</v>
          </cell>
          <cell r="CF466">
            <v>0</v>
          </cell>
          <cell r="CG466">
            <v>1106</v>
          </cell>
          <cell r="CH466">
            <v>0</v>
          </cell>
          <cell r="CI466">
            <v>0</v>
          </cell>
          <cell r="CJ466">
            <v>0</v>
          </cell>
          <cell r="CK466">
            <v>0</v>
          </cell>
          <cell r="CL466">
            <v>0</v>
          </cell>
          <cell r="CM466">
            <v>0</v>
          </cell>
          <cell r="CO466">
            <v>1106</v>
          </cell>
          <cell r="CP466">
            <v>0</v>
          </cell>
          <cell r="CQ466">
            <v>1106</v>
          </cell>
          <cell r="CR466">
            <v>0</v>
          </cell>
          <cell r="CS466">
            <v>0</v>
          </cell>
          <cell r="CT466">
            <v>0</v>
          </cell>
          <cell r="CU466">
            <v>0</v>
          </cell>
          <cell r="CV466">
            <v>0</v>
          </cell>
          <cell r="CW466">
            <v>0</v>
          </cell>
          <cell r="CY466">
            <v>1106</v>
          </cell>
          <cell r="CZ466">
            <v>0</v>
          </cell>
          <cell r="DA466">
            <v>1106</v>
          </cell>
          <cell r="DB466">
            <v>0</v>
          </cell>
          <cell r="DC466">
            <v>0</v>
          </cell>
          <cell r="DD466">
            <v>0</v>
          </cell>
          <cell r="DE466">
            <v>0</v>
          </cell>
          <cell r="DF466">
            <v>0</v>
          </cell>
          <cell r="DG466">
            <v>0</v>
          </cell>
          <cell r="DI466">
            <v>0</v>
          </cell>
          <cell r="DJ466">
            <v>4424</v>
          </cell>
          <cell r="DK466">
            <v>0</v>
          </cell>
          <cell r="DL466">
            <v>4424</v>
          </cell>
          <cell r="DM466">
            <v>4424</v>
          </cell>
          <cell r="DN466">
            <v>0</v>
          </cell>
          <cell r="DO466">
            <v>4424</v>
          </cell>
          <cell r="DP466">
            <v>0</v>
          </cell>
          <cell r="DQ466">
            <v>0</v>
          </cell>
          <cell r="DR466">
            <v>0</v>
          </cell>
          <cell r="DS466">
            <v>0</v>
          </cell>
          <cell r="DT466">
            <v>8848</v>
          </cell>
          <cell r="DU466">
            <v>0</v>
          </cell>
          <cell r="DW466">
            <v>0</v>
          </cell>
          <cell r="DX466">
            <v>0</v>
          </cell>
          <cell r="DY466">
            <v>0</v>
          </cell>
          <cell r="DZ466">
            <v>0</v>
          </cell>
          <cell r="EA466">
            <v>0</v>
          </cell>
          <cell r="EB466">
            <v>0</v>
          </cell>
          <cell r="EC466">
            <v>0</v>
          </cell>
          <cell r="ED466">
            <v>0</v>
          </cell>
          <cell r="EE466">
            <v>2212</v>
          </cell>
          <cell r="EF466">
            <v>4424</v>
          </cell>
          <cell r="EG466">
            <v>6636</v>
          </cell>
          <cell r="EH466">
            <v>8848</v>
          </cell>
          <cell r="EI466">
            <v>22120</v>
          </cell>
          <cell r="EK466">
            <v>0</v>
          </cell>
          <cell r="EL466">
            <v>0</v>
          </cell>
          <cell r="EM466">
            <v>0</v>
          </cell>
          <cell r="EN466">
            <v>0</v>
          </cell>
          <cell r="EO466">
            <v>0</v>
          </cell>
          <cell r="EP466">
            <v>0</v>
          </cell>
          <cell r="EQ466">
            <v>0</v>
          </cell>
          <cell r="ER466">
            <v>0</v>
          </cell>
          <cell r="ES466">
            <v>15.852666666666666</v>
          </cell>
          <cell r="ET466">
            <v>31.705333333333332</v>
          </cell>
          <cell r="EU466">
            <v>47.558</v>
          </cell>
          <cell r="EV466">
            <v>63.410666666666664</v>
          </cell>
          <cell r="EW466">
            <v>158.52666666666667</v>
          </cell>
          <cell r="EY466">
            <v>0</v>
          </cell>
          <cell r="EZ466">
            <v>8</v>
          </cell>
          <cell r="FA466">
            <v>0</v>
          </cell>
          <cell r="FB466">
            <v>22120</v>
          </cell>
          <cell r="FC466">
            <v>8.6</v>
          </cell>
          <cell r="FD466">
            <v>158.52666666666667</v>
          </cell>
          <cell r="FE466">
            <v>158.52666666666667</v>
          </cell>
          <cell r="FF466">
            <v>9007</v>
          </cell>
          <cell r="FH466">
            <v>9007</v>
          </cell>
        </row>
        <row r="467">
          <cell r="B467">
            <v>9556</v>
          </cell>
          <cell r="C467" t="str">
            <v>09.09.2008</v>
          </cell>
          <cell r="D467" t="str">
            <v>Sonawane (Lomte) Anuradha Saga</v>
          </cell>
          <cell r="F467">
            <v>3676</v>
          </cell>
          <cell r="G467">
            <v>41104</v>
          </cell>
          <cell r="H467">
            <v>1350</v>
          </cell>
          <cell r="I467">
            <v>1350</v>
          </cell>
          <cell r="J467">
            <v>2700</v>
          </cell>
          <cell r="K467">
            <v>-976</v>
          </cell>
          <cell r="M467">
            <v>3827</v>
          </cell>
          <cell r="N467">
            <v>0</v>
          </cell>
          <cell r="O467">
            <v>3827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W467">
            <v>3827</v>
          </cell>
          <cell r="X467">
            <v>0</v>
          </cell>
          <cell r="Y467">
            <v>3827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G467">
            <v>3827</v>
          </cell>
          <cell r="AH467">
            <v>0</v>
          </cell>
          <cell r="AI467">
            <v>3827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Q467">
            <v>3827</v>
          </cell>
          <cell r="AR467">
            <v>0</v>
          </cell>
          <cell r="AS467">
            <v>3827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BA467">
            <v>3827</v>
          </cell>
          <cell r="BB467">
            <v>0</v>
          </cell>
          <cell r="BC467">
            <v>3827</v>
          </cell>
          <cell r="BD467">
            <v>0</v>
          </cell>
          <cell r="BE467">
            <v>0</v>
          </cell>
          <cell r="BF467">
            <v>0</v>
          </cell>
          <cell r="BG467">
            <v>0</v>
          </cell>
          <cell r="BH467">
            <v>0</v>
          </cell>
          <cell r="BI467">
            <v>0</v>
          </cell>
          <cell r="BK467">
            <v>4005</v>
          </cell>
          <cell r="BL467">
            <v>0</v>
          </cell>
          <cell r="BM467">
            <v>4005</v>
          </cell>
          <cell r="BN467">
            <v>0</v>
          </cell>
          <cell r="BO467">
            <v>0</v>
          </cell>
          <cell r="BP467">
            <v>0</v>
          </cell>
          <cell r="BQ467">
            <v>0</v>
          </cell>
          <cell r="BR467">
            <v>0</v>
          </cell>
          <cell r="BS467">
            <v>0</v>
          </cell>
          <cell r="BU467">
            <v>0</v>
          </cell>
          <cell r="BV467">
            <v>0</v>
          </cell>
          <cell r="BW467">
            <v>0</v>
          </cell>
          <cell r="BX467">
            <v>0</v>
          </cell>
          <cell r="BY467">
            <v>0</v>
          </cell>
          <cell r="BZ467">
            <v>0</v>
          </cell>
          <cell r="CA467">
            <v>0</v>
          </cell>
          <cell r="CB467">
            <v>0</v>
          </cell>
          <cell r="CC467">
            <v>0</v>
          </cell>
          <cell r="CE467">
            <v>0</v>
          </cell>
          <cell r="CF467">
            <v>0</v>
          </cell>
          <cell r="CG467">
            <v>0</v>
          </cell>
          <cell r="CH467">
            <v>0</v>
          </cell>
          <cell r="CI467">
            <v>0</v>
          </cell>
          <cell r="CJ467">
            <v>0</v>
          </cell>
          <cell r="CK467">
            <v>0</v>
          </cell>
          <cell r="CL467">
            <v>0</v>
          </cell>
          <cell r="CM467">
            <v>0</v>
          </cell>
          <cell r="CO467">
            <v>0</v>
          </cell>
          <cell r="CP467">
            <v>0</v>
          </cell>
          <cell r="CQ467">
            <v>0</v>
          </cell>
          <cell r="CR467">
            <v>0</v>
          </cell>
          <cell r="CS467">
            <v>0</v>
          </cell>
          <cell r="CT467">
            <v>0</v>
          </cell>
          <cell r="CU467">
            <v>0</v>
          </cell>
          <cell r="CV467">
            <v>0</v>
          </cell>
          <cell r="CW467">
            <v>0</v>
          </cell>
          <cell r="CY467">
            <v>0</v>
          </cell>
          <cell r="CZ467">
            <v>0</v>
          </cell>
          <cell r="DA467">
            <v>0</v>
          </cell>
          <cell r="DB467">
            <v>0</v>
          </cell>
          <cell r="DC467">
            <v>0</v>
          </cell>
          <cell r="DD467">
            <v>0</v>
          </cell>
          <cell r="DE467">
            <v>0</v>
          </cell>
          <cell r="DF467">
            <v>0</v>
          </cell>
          <cell r="DG467">
            <v>0</v>
          </cell>
          <cell r="DI467">
            <v>2700</v>
          </cell>
          <cell r="DJ467">
            <v>23140</v>
          </cell>
          <cell r="DK467">
            <v>0</v>
          </cell>
          <cell r="DL467">
            <v>23140</v>
          </cell>
          <cell r="DM467">
            <v>23140</v>
          </cell>
          <cell r="DN467">
            <v>0</v>
          </cell>
          <cell r="DO467">
            <v>23140</v>
          </cell>
          <cell r="DP467">
            <v>0</v>
          </cell>
          <cell r="DQ467">
            <v>0</v>
          </cell>
          <cell r="DR467">
            <v>0</v>
          </cell>
          <cell r="DS467">
            <v>0</v>
          </cell>
          <cell r="DT467">
            <v>46280</v>
          </cell>
          <cell r="DU467">
            <v>0</v>
          </cell>
          <cell r="DW467">
            <v>0</v>
          </cell>
          <cell r="DX467">
            <v>0</v>
          </cell>
          <cell r="DY467">
            <v>10354</v>
          </cell>
          <cell r="DZ467">
            <v>18008</v>
          </cell>
          <cell r="EA467">
            <v>25662</v>
          </cell>
          <cell r="EB467">
            <v>33316</v>
          </cell>
          <cell r="EC467">
            <v>40970</v>
          </cell>
          <cell r="ED467">
            <v>48980</v>
          </cell>
          <cell r="EE467">
            <v>48980</v>
          </cell>
          <cell r="EF467">
            <v>48980</v>
          </cell>
          <cell r="EG467">
            <v>48980</v>
          </cell>
          <cell r="EH467">
            <v>48980</v>
          </cell>
          <cell r="EI467">
            <v>373210</v>
          </cell>
          <cell r="EK467">
            <v>0</v>
          </cell>
          <cell r="EL467">
            <v>0</v>
          </cell>
          <cell r="EM467">
            <v>69.026666666666671</v>
          </cell>
          <cell r="EN467">
            <v>120.05333333333334</v>
          </cell>
          <cell r="EO467">
            <v>171.08</v>
          </cell>
          <cell r="EP467">
            <v>222.10666666666668</v>
          </cell>
          <cell r="EQ467">
            <v>273.13333333333333</v>
          </cell>
          <cell r="ER467">
            <v>326.53333333333336</v>
          </cell>
          <cell r="ES467">
            <v>351.02333333333331</v>
          </cell>
          <cell r="ET467">
            <v>351.02333333333331</v>
          </cell>
          <cell r="EU467">
            <v>351.02333333333331</v>
          </cell>
          <cell r="EV467">
            <v>351.02333333333331</v>
          </cell>
          <cell r="EW467">
            <v>2586.0266666666666</v>
          </cell>
          <cell r="EY467">
            <v>177290</v>
          </cell>
          <cell r="EZ467">
            <v>8</v>
          </cell>
          <cell r="FA467">
            <v>1181.9333333333334</v>
          </cell>
          <cell r="FB467">
            <v>195920</v>
          </cell>
          <cell r="FC467">
            <v>8.6</v>
          </cell>
          <cell r="FD467">
            <v>1404.0933333333332</v>
          </cell>
          <cell r="FE467">
            <v>2586.0266666666666</v>
          </cell>
          <cell r="FF467">
            <v>51566</v>
          </cell>
          <cell r="FH467">
            <v>51566</v>
          </cell>
        </row>
        <row r="468">
          <cell r="B468">
            <v>10198</v>
          </cell>
          <cell r="C468" t="str">
            <v>18.09.2008</v>
          </cell>
          <cell r="D468" t="str">
            <v>Shaikh Gayasoddin Nizamoddin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0</v>
          </cell>
          <cell r="BG468">
            <v>0</v>
          </cell>
          <cell r="BH468">
            <v>0</v>
          </cell>
          <cell r="BI468">
            <v>0</v>
          </cell>
          <cell r="BK468">
            <v>0</v>
          </cell>
          <cell r="BL468">
            <v>0</v>
          </cell>
          <cell r="BM468">
            <v>0</v>
          </cell>
          <cell r="BN468">
            <v>0</v>
          </cell>
          <cell r="BO468">
            <v>0</v>
          </cell>
          <cell r="BP468">
            <v>0</v>
          </cell>
          <cell r="BQ468">
            <v>0</v>
          </cell>
          <cell r="BR468">
            <v>0</v>
          </cell>
          <cell r="BS468">
            <v>0</v>
          </cell>
          <cell r="BU468">
            <v>0</v>
          </cell>
          <cell r="BV468">
            <v>0</v>
          </cell>
          <cell r="BW468">
            <v>0</v>
          </cell>
          <cell r="BX468">
            <v>0</v>
          </cell>
          <cell r="BY468">
            <v>0</v>
          </cell>
          <cell r="BZ468">
            <v>0</v>
          </cell>
          <cell r="CA468">
            <v>0</v>
          </cell>
          <cell r="CB468">
            <v>0</v>
          </cell>
          <cell r="CC468">
            <v>0</v>
          </cell>
          <cell r="CE468">
            <v>0</v>
          </cell>
          <cell r="CF468">
            <v>0</v>
          </cell>
          <cell r="CG468">
            <v>0</v>
          </cell>
          <cell r="CH468">
            <v>0</v>
          </cell>
          <cell r="CI468">
            <v>0</v>
          </cell>
          <cell r="CJ468">
            <v>0</v>
          </cell>
          <cell r="CK468">
            <v>0</v>
          </cell>
          <cell r="CL468">
            <v>0</v>
          </cell>
          <cell r="CM468">
            <v>0</v>
          </cell>
          <cell r="CO468">
            <v>0</v>
          </cell>
          <cell r="CP468">
            <v>0</v>
          </cell>
          <cell r="CQ468">
            <v>0</v>
          </cell>
          <cell r="CR468">
            <v>0</v>
          </cell>
          <cell r="CS468">
            <v>0</v>
          </cell>
          <cell r="CT468">
            <v>0</v>
          </cell>
          <cell r="CU468">
            <v>0</v>
          </cell>
          <cell r="CV468">
            <v>0</v>
          </cell>
          <cell r="CW468">
            <v>0</v>
          </cell>
          <cell r="CY468">
            <v>0</v>
          </cell>
          <cell r="CZ468">
            <v>0</v>
          </cell>
          <cell r="DA468">
            <v>0</v>
          </cell>
          <cell r="DB468">
            <v>0</v>
          </cell>
          <cell r="DC468">
            <v>0</v>
          </cell>
          <cell r="DD468">
            <v>0</v>
          </cell>
          <cell r="DE468">
            <v>0</v>
          </cell>
          <cell r="DF468">
            <v>0</v>
          </cell>
          <cell r="DG468">
            <v>0</v>
          </cell>
          <cell r="DI468">
            <v>0</v>
          </cell>
          <cell r="DJ468">
            <v>0</v>
          </cell>
          <cell r="DK468">
            <v>0</v>
          </cell>
          <cell r="DL468">
            <v>0</v>
          </cell>
          <cell r="DM468">
            <v>0</v>
          </cell>
          <cell r="DN468">
            <v>0</v>
          </cell>
          <cell r="DO468">
            <v>0</v>
          </cell>
          <cell r="DP468">
            <v>0</v>
          </cell>
          <cell r="DQ468">
            <v>0</v>
          </cell>
          <cell r="DR468">
            <v>0</v>
          </cell>
          <cell r="DS468">
            <v>0</v>
          </cell>
          <cell r="DT468">
            <v>0</v>
          </cell>
          <cell r="DU468">
            <v>0</v>
          </cell>
          <cell r="DW468">
            <v>0</v>
          </cell>
          <cell r="DX468">
            <v>0</v>
          </cell>
          <cell r="DY468">
            <v>0</v>
          </cell>
          <cell r="DZ468">
            <v>0</v>
          </cell>
          <cell r="EA468">
            <v>0</v>
          </cell>
          <cell r="EB468">
            <v>0</v>
          </cell>
          <cell r="EC468">
            <v>0</v>
          </cell>
          <cell r="ED468">
            <v>0</v>
          </cell>
          <cell r="EE468">
            <v>0</v>
          </cell>
          <cell r="EF468">
            <v>0</v>
          </cell>
          <cell r="EG468">
            <v>0</v>
          </cell>
          <cell r="EH468">
            <v>0</v>
          </cell>
          <cell r="EI468">
            <v>0</v>
          </cell>
          <cell r="EK468">
            <v>0</v>
          </cell>
          <cell r="EL468">
            <v>0</v>
          </cell>
          <cell r="EM468">
            <v>0</v>
          </cell>
          <cell r="EN468">
            <v>0</v>
          </cell>
          <cell r="EO468">
            <v>0</v>
          </cell>
          <cell r="EP468">
            <v>0</v>
          </cell>
          <cell r="EQ468">
            <v>0</v>
          </cell>
          <cell r="ER468">
            <v>0</v>
          </cell>
          <cell r="ES468">
            <v>0</v>
          </cell>
          <cell r="ET468">
            <v>0</v>
          </cell>
          <cell r="EU468">
            <v>0</v>
          </cell>
          <cell r="EV468">
            <v>0</v>
          </cell>
          <cell r="EW468">
            <v>0</v>
          </cell>
          <cell r="EY468">
            <v>0</v>
          </cell>
          <cell r="EZ468">
            <v>8</v>
          </cell>
          <cell r="FA468">
            <v>0</v>
          </cell>
          <cell r="FB468">
            <v>0</v>
          </cell>
          <cell r="FC468">
            <v>8.6</v>
          </cell>
          <cell r="FD468">
            <v>0</v>
          </cell>
          <cell r="FE468">
            <v>0</v>
          </cell>
          <cell r="FF468">
            <v>0</v>
          </cell>
          <cell r="FH468">
            <v>0</v>
          </cell>
        </row>
        <row r="469">
          <cell r="B469">
            <v>9627</v>
          </cell>
          <cell r="C469" t="str">
            <v>08.10.2008</v>
          </cell>
          <cell r="D469" t="str">
            <v>Ganate Sagar Rajendra</v>
          </cell>
          <cell r="F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0</v>
          </cell>
          <cell r="BA469">
            <v>0</v>
          </cell>
          <cell r="BB469">
            <v>0</v>
          </cell>
          <cell r="BC469">
            <v>0</v>
          </cell>
          <cell r="BD469">
            <v>0</v>
          </cell>
          <cell r="BE469">
            <v>0</v>
          </cell>
          <cell r="BF469">
            <v>0</v>
          </cell>
          <cell r="BG469">
            <v>0</v>
          </cell>
          <cell r="BH469">
            <v>0</v>
          </cell>
          <cell r="BI469">
            <v>0</v>
          </cell>
          <cell r="BK469">
            <v>0</v>
          </cell>
          <cell r="BL469">
            <v>0</v>
          </cell>
          <cell r="BM469">
            <v>0</v>
          </cell>
          <cell r="BN469">
            <v>0</v>
          </cell>
          <cell r="BO469">
            <v>0</v>
          </cell>
          <cell r="BP469">
            <v>0</v>
          </cell>
          <cell r="BQ469">
            <v>0</v>
          </cell>
          <cell r="BR469">
            <v>0</v>
          </cell>
          <cell r="BS469">
            <v>0</v>
          </cell>
          <cell r="BU469">
            <v>0</v>
          </cell>
          <cell r="BV469">
            <v>0</v>
          </cell>
          <cell r="BW469">
            <v>0</v>
          </cell>
          <cell r="BX469">
            <v>0</v>
          </cell>
          <cell r="BY469">
            <v>0</v>
          </cell>
          <cell r="BZ469">
            <v>0</v>
          </cell>
          <cell r="CA469">
            <v>0</v>
          </cell>
          <cell r="CB469">
            <v>0</v>
          </cell>
          <cell r="CC469">
            <v>0</v>
          </cell>
          <cell r="CE469">
            <v>1106</v>
          </cell>
          <cell r="CF469">
            <v>0</v>
          </cell>
          <cell r="CG469">
            <v>1106</v>
          </cell>
          <cell r="CH469">
            <v>0</v>
          </cell>
          <cell r="CI469">
            <v>0</v>
          </cell>
          <cell r="CJ469">
            <v>0</v>
          </cell>
          <cell r="CK469">
            <v>0</v>
          </cell>
          <cell r="CL469">
            <v>0</v>
          </cell>
          <cell r="CM469">
            <v>0</v>
          </cell>
          <cell r="CO469">
            <v>1106</v>
          </cell>
          <cell r="CP469">
            <v>0</v>
          </cell>
          <cell r="CQ469">
            <v>1106</v>
          </cell>
          <cell r="CR469">
            <v>0</v>
          </cell>
          <cell r="CS469">
            <v>0</v>
          </cell>
          <cell r="CT469">
            <v>0</v>
          </cell>
          <cell r="CU469">
            <v>0</v>
          </cell>
          <cell r="CV469">
            <v>0</v>
          </cell>
          <cell r="CW469">
            <v>0</v>
          </cell>
          <cell r="CY469">
            <v>1106</v>
          </cell>
          <cell r="CZ469">
            <v>0</v>
          </cell>
          <cell r="DA469">
            <v>1106</v>
          </cell>
          <cell r="DB469">
            <v>0</v>
          </cell>
          <cell r="DC469">
            <v>0</v>
          </cell>
          <cell r="DD469">
            <v>0</v>
          </cell>
          <cell r="DE469">
            <v>0</v>
          </cell>
          <cell r="DF469">
            <v>0</v>
          </cell>
          <cell r="DG469">
            <v>0</v>
          </cell>
          <cell r="DI469">
            <v>0</v>
          </cell>
          <cell r="DJ469">
            <v>3318</v>
          </cell>
          <cell r="DK469">
            <v>0</v>
          </cell>
          <cell r="DL469">
            <v>3318</v>
          </cell>
          <cell r="DM469">
            <v>3318</v>
          </cell>
          <cell r="DN469">
            <v>0</v>
          </cell>
          <cell r="DO469">
            <v>3318</v>
          </cell>
          <cell r="DP469">
            <v>0</v>
          </cell>
          <cell r="DQ469">
            <v>0</v>
          </cell>
          <cell r="DR469">
            <v>0</v>
          </cell>
          <cell r="DS469">
            <v>0</v>
          </cell>
          <cell r="DT469">
            <v>6636</v>
          </cell>
          <cell r="DU469">
            <v>0</v>
          </cell>
          <cell r="DW469">
            <v>0</v>
          </cell>
          <cell r="DX469">
            <v>0</v>
          </cell>
          <cell r="DY469">
            <v>0</v>
          </cell>
          <cell r="DZ469">
            <v>0</v>
          </cell>
          <cell r="EA469">
            <v>0</v>
          </cell>
          <cell r="EB469">
            <v>0</v>
          </cell>
          <cell r="EC469">
            <v>0</v>
          </cell>
          <cell r="ED469">
            <v>0</v>
          </cell>
          <cell r="EE469">
            <v>0</v>
          </cell>
          <cell r="EF469">
            <v>2212</v>
          </cell>
          <cell r="EG469">
            <v>4424</v>
          </cell>
          <cell r="EH469">
            <v>6636</v>
          </cell>
          <cell r="EI469">
            <v>13272</v>
          </cell>
          <cell r="EK469">
            <v>0</v>
          </cell>
          <cell r="EL469">
            <v>0</v>
          </cell>
          <cell r="EM469">
            <v>0</v>
          </cell>
          <cell r="EN469">
            <v>0</v>
          </cell>
          <cell r="EO469">
            <v>0</v>
          </cell>
          <cell r="EP469">
            <v>0</v>
          </cell>
          <cell r="EQ469">
            <v>0</v>
          </cell>
          <cell r="ER469">
            <v>0</v>
          </cell>
          <cell r="ES469">
            <v>0</v>
          </cell>
          <cell r="ET469">
            <v>15.852666666666666</v>
          </cell>
          <cell r="EU469">
            <v>31.705333333333332</v>
          </cell>
          <cell r="EV469">
            <v>47.558</v>
          </cell>
          <cell r="EW469">
            <v>95.116</v>
          </cell>
          <cell r="EY469">
            <v>0</v>
          </cell>
          <cell r="EZ469">
            <v>8</v>
          </cell>
          <cell r="FA469">
            <v>0</v>
          </cell>
          <cell r="FB469">
            <v>13272</v>
          </cell>
          <cell r="FC469">
            <v>8.6</v>
          </cell>
          <cell r="FD469">
            <v>95.116</v>
          </cell>
          <cell r="FE469">
            <v>95.116</v>
          </cell>
          <cell r="FF469">
            <v>6731</v>
          </cell>
          <cell r="FH469">
            <v>6731</v>
          </cell>
        </row>
        <row r="470">
          <cell r="B470">
            <v>9615</v>
          </cell>
          <cell r="C470" t="str">
            <v>15.10.2008</v>
          </cell>
          <cell r="D470" t="str">
            <v>Pagare Bharati Sudhakar</v>
          </cell>
          <cell r="F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0</v>
          </cell>
          <cell r="BA470">
            <v>0</v>
          </cell>
          <cell r="BB470">
            <v>0</v>
          </cell>
          <cell r="BC470">
            <v>0</v>
          </cell>
          <cell r="BD470">
            <v>0</v>
          </cell>
          <cell r="BE470">
            <v>0</v>
          </cell>
          <cell r="BF470">
            <v>0</v>
          </cell>
          <cell r="BG470">
            <v>0</v>
          </cell>
          <cell r="BH470">
            <v>0</v>
          </cell>
          <cell r="BI470">
            <v>0</v>
          </cell>
          <cell r="BK470">
            <v>0</v>
          </cell>
          <cell r="BL470">
            <v>0</v>
          </cell>
          <cell r="BM470">
            <v>0</v>
          </cell>
          <cell r="BN470">
            <v>0</v>
          </cell>
          <cell r="BO470">
            <v>0</v>
          </cell>
          <cell r="BP470">
            <v>0</v>
          </cell>
          <cell r="BQ470">
            <v>0</v>
          </cell>
          <cell r="BR470">
            <v>0</v>
          </cell>
          <cell r="BS470">
            <v>0</v>
          </cell>
          <cell r="BU470">
            <v>1106</v>
          </cell>
          <cell r="BV470">
            <v>0</v>
          </cell>
          <cell r="BW470">
            <v>1106</v>
          </cell>
          <cell r="BX470">
            <v>0</v>
          </cell>
          <cell r="BY470">
            <v>0</v>
          </cell>
          <cell r="BZ470">
            <v>0</v>
          </cell>
          <cell r="CA470">
            <v>0</v>
          </cell>
          <cell r="CB470">
            <v>0</v>
          </cell>
          <cell r="CC470">
            <v>0</v>
          </cell>
          <cell r="CE470">
            <v>1106</v>
          </cell>
          <cell r="CF470">
            <v>0</v>
          </cell>
          <cell r="CG470">
            <v>1106</v>
          </cell>
          <cell r="CH470">
            <v>0</v>
          </cell>
          <cell r="CI470">
            <v>0</v>
          </cell>
          <cell r="CJ470">
            <v>0</v>
          </cell>
          <cell r="CK470">
            <v>0</v>
          </cell>
          <cell r="CL470">
            <v>0</v>
          </cell>
          <cell r="CM470">
            <v>0</v>
          </cell>
          <cell r="CO470">
            <v>1106</v>
          </cell>
          <cell r="CP470">
            <v>0</v>
          </cell>
          <cell r="CQ470">
            <v>1106</v>
          </cell>
          <cell r="CR470">
            <v>0</v>
          </cell>
          <cell r="CS470">
            <v>0</v>
          </cell>
          <cell r="CT470">
            <v>0</v>
          </cell>
          <cell r="CU470">
            <v>0</v>
          </cell>
          <cell r="CV470">
            <v>0</v>
          </cell>
          <cell r="CW470">
            <v>0</v>
          </cell>
          <cell r="CY470">
            <v>1106</v>
          </cell>
          <cell r="CZ470">
            <v>0</v>
          </cell>
          <cell r="DA470">
            <v>1106</v>
          </cell>
          <cell r="DB470">
            <v>0</v>
          </cell>
          <cell r="DC470">
            <v>0</v>
          </cell>
          <cell r="DD470">
            <v>0</v>
          </cell>
          <cell r="DE470">
            <v>0</v>
          </cell>
          <cell r="DF470">
            <v>0</v>
          </cell>
          <cell r="DG470">
            <v>0</v>
          </cell>
          <cell r="DI470">
            <v>0</v>
          </cell>
          <cell r="DJ470">
            <v>4424</v>
          </cell>
          <cell r="DK470">
            <v>0</v>
          </cell>
          <cell r="DL470">
            <v>4424</v>
          </cell>
          <cell r="DM470">
            <v>4424</v>
          </cell>
          <cell r="DN470">
            <v>0</v>
          </cell>
          <cell r="DO470">
            <v>4424</v>
          </cell>
          <cell r="DP470">
            <v>0</v>
          </cell>
          <cell r="DQ470">
            <v>0</v>
          </cell>
          <cell r="DR470">
            <v>0</v>
          </cell>
          <cell r="DS470">
            <v>0</v>
          </cell>
          <cell r="DT470">
            <v>8848</v>
          </cell>
          <cell r="DU470">
            <v>0</v>
          </cell>
          <cell r="DW470">
            <v>0</v>
          </cell>
          <cell r="DX470">
            <v>0</v>
          </cell>
          <cell r="DY470">
            <v>0</v>
          </cell>
          <cell r="DZ470">
            <v>0</v>
          </cell>
          <cell r="EA470">
            <v>0</v>
          </cell>
          <cell r="EB470">
            <v>0</v>
          </cell>
          <cell r="EC470">
            <v>0</v>
          </cell>
          <cell r="ED470">
            <v>0</v>
          </cell>
          <cell r="EE470">
            <v>2212</v>
          </cell>
          <cell r="EF470">
            <v>4424</v>
          </cell>
          <cell r="EG470">
            <v>6636</v>
          </cell>
          <cell r="EH470">
            <v>8848</v>
          </cell>
          <cell r="EI470">
            <v>22120</v>
          </cell>
          <cell r="EK470">
            <v>0</v>
          </cell>
          <cell r="EL470">
            <v>0</v>
          </cell>
          <cell r="EM470">
            <v>0</v>
          </cell>
          <cell r="EN470">
            <v>0</v>
          </cell>
          <cell r="EO470">
            <v>0</v>
          </cell>
          <cell r="EP470">
            <v>0</v>
          </cell>
          <cell r="EQ470">
            <v>0</v>
          </cell>
          <cell r="ER470">
            <v>0</v>
          </cell>
          <cell r="ES470">
            <v>15.852666666666666</v>
          </cell>
          <cell r="ET470">
            <v>31.705333333333332</v>
          </cell>
          <cell r="EU470">
            <v>47.558</v>
          </cell>
          <cell r="EV470">
            <v>63.410666666666664</v>
          </cell>
          <cell r="EW470">
            <v>158.52666666666667</v>
          </cell>
          <cell r="EY470">
            <v>0</v>
          </cell>
          <cell r="EZ470">
            <v>8</v>
          </cell>
          <cell r="FA470">
            <v>0</v>
          </cell>
          <cell r="FB470">
            <v>22120</v>
          </cell>
          <cell r="FC470">
            <v>8.6</v>
          </cell>
          <cell r="FD470">
            <v>158.52666666666667</v>
          </cell>
          <cell r="FE470">
            <v>158.52666666666667</v>
          </cell>
          <cell r="FF470">
            <v>9007</v>
          </cell>
          <cell r="FH470">
            <v>9007</v>
          </cell>
        </row>
        <row r="471">
          <cell r="B471">
            <v>9622</v>
          </cell>
          <cell r="C471" t="str">
            <v>16.10.2008</v>
          </cell>
          <cell r="D471" t="str">
            <v>Wagh Dinesh Shantaram</v>
          </cell>
          <cell r="F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0</v>
          </cell>
          <cell r="BG471">
            <v>0</v>
          </cell>
          <cell r="BH471">
            <v>0</v>
          </cell>
          <cell r="BI471">
            <v>0</v>
          </cell>
          <cell r="BK471">
            <v>0</v>
          </cell>
          <cell r="BL471">
            <v>0</v>
          </cell>
          <cell r="BM471">
            <v>0</v>
          </cell>
          <cell r="BN471">
            <v>0</v>
          </cell>
          <cell r="BO471">
            <v>0</v>
          </cell>
          <cell r="BP471">
            <v>0</v>
          </cell>
          <cell r="BQ471">
            <v>0</v>
          </cell>
          <cell r="BR471">
            <v>0</v>
          </cell>
          <cell r="BS471">
            <v>0</v>
          </cell>
          <cell r="BU471">
            <v>0</v>
          </cell>
          <cell r="BV471">
            <v>0</v>
          </cell>
          <cell r="BW471">
            <v>0</v>
          </cell>
          <cell r="BX471">
            <v>0</v>
          </cell>
          <cell r="BY471">
            <v>0</v>
          </cell>
          <cell r="BZ471">
            <v>0</v>
          </cell>
          <cell r="CA471">
            <v>0</v>
          </cell>
          <cell r="CB471">
            <v>0</v>
          </cell>
          <cell r="CC471">
            <v>0</v>
          </cell>
          <cell r="CE471">
            <v>1106</v>
          </cell>
          <cell r="CF471">
            <v>0</v>
          </cell>
          <cell r="CG471">
            <v>1106</v>
          </cell>
          <cell r="CH471">
            <v>0</v>
          </cell>
          <cell r="CI471">
            <v>0</v>
          </cell>
          <cell r="CJ471">
            <v>0</v>
          </cell>
          <cell r="CK471">
            <v>0</v>
          </cell>
          <cell r="CL471">
            <v>0</v>
          </cell>
          <cell r="CM471">
            <v>0</v>
          </cell>
          <cell r="CO471">
            <v>1106</v>
          </cell>
          <cell r="CP471">
            <v>0</v>
          </cell>
          <cell r="CQ471">
            <v>1106</v>
          </cell>
          <cell r="CR471">
            <v>0</v>
          </cell>
          <cell r="CS471">
            <v>0</v>
          </cell>
          <cell r="CT471">
            <v>0</v>
          </cell>
          <cell r="CU471">
            <v>0</v>
          </cell>
          <cell r="CV471">
            <v>0</v>
          </cell>
          <cell r="CW471">
            <v>0</v>
          </cell>
          <cell r="CY471">
            <v>1106</v>
          </cell>
          <cell r="CZ471">
            <v>0</v>
          </cell>
          <cell r="DA471">
            <v>1106</v>
          </cell>
          <cell r="DB471">
            <v>0</v>
          </cell>
          <cell r="DC471">
            <v>0</v>
          </cell>
          <cell r="DD471">
            <v>0</v>
          </cell>
          <cell r="DE471">
            <v>0</v>
          </cell>
          <cell r="DF471">
            <v>0</v>
          </cell>
          <cell r="DG471">
            <v>0</v>
          </cell>
          <cell r="DI471">
            <v>0</v>
          </cell>
          <cell r="DJ471">
            <v>3318</v>
          </cell>
          <cell r="DK471">
            <v>0</v>
          </cell>
          <cell r="DL471">
            <v>3318</v>
          </cell>
          <cell r="DM471">
            <v>3318</v>
          </cell>
          <cell r="DN471">
            <v>0</v>
          </cell>
          <cell r="DO471">
            <v>3318</v>
          </cell>
          <cell r="DP471">
            <v>0</v>
          </cell>
          <cell r="DQ471">
            <v>0</v>
          </cell>
          <cell r="DR471">
            <v>0</v>
          </cell>
          <cell r="DS471">
            <v>0</v>
          </cell>
          <cell r="DT471">
            <v>6636</v>
          </cell>
          <cell r="DU471">
            <v>0</v>
          </cell>
          <cell r="DW471">
            <v>0</v>
          </cell>
          <cell r="DX471">
            <v>0</v>
          </cell>
          <cell r="DY471">
            <v>0</v>
          </cell>
          <cell r="DZ471">
            <v>0</v>
          </cell>
          <cell r="EA471">
            <v>0</v>
          </cell>
          <cell r="EB471">
            <v>0</v>
          </cell>
          <cell r="EC471">
            <v>0</v>
          </cell>
          <cell r="ED471">
            <v>0</v>
          </cell>
          <cell r="EE471">
            <v>0</v>
          </cell>
          <cell r="EF471">
            <v>2212</v>
          </cell>
          <cell r="EG471">
            <v>4424</v>
          </cell>
          <cell r="EH471">
            <v>6636</v>
          </cell>
          <cell r="EI471">
            <v>13272</v>
          </cell>
          <cell r="EK471">
            <v>0</v>
          </cell>
          <cell r="EL471">
            <v>0</v>
          </cell>
          <cell r="EM471">
            <v>0</v>
          </cell>
          <cell r="EN471">
            <v>0</v>
          </cell>
          <cell r="EO471">
            <v>0</v>
          </cell>
          <cell r="EP471">
            <v>0</v>
          </cell>
          <cell r="EQ471">
            <v>0</v>
          </cell>
          <cell r="ER471">
            <v>0</v>
          </cell>
          <cell r="ES471">
            <v>0</v>
          </cell>
          <cell r="ET471">
            <v>15.852666666666666</v>
          </cell>
          <cell r="EU471">
            <v>31.705333333333332</v>
          </cell>
          <cell r="EV471">
            <v>47.558</v>
          </cell>
          <cell r="EW471">
            <v>95.116</v>
          </cell>
          <cell r="EY471">
            <v>0</v>
          </cell>
          <cell r="EZ471">
            <v>8</v>
          </cell>
          <cell r="FA471">
            <v>0</v>
          </cell>
          <cell r="FB471">
            <v>13272</v>
          </cell>
          <cell r="FC471">
            <v>8.6</v>
          </cell>
          <cell r="FD471">
            <v>95.116</v>
          </cell>
          <cell r="FE471">
            <v>95.116</v>
          </cell>
          <cell r="FF471">
            <v>6731</v>
          </cell>
          <cell r="FH471">
            <v>6731</v>
          </cell>
        </row>
        <row r="472">
          <cell r="B472">
            <v>9630</v>
          </cell>
          <cell r="C472" t="str">
            <v>17.10.2008</v>
          </cell>
          <cell r="D472" t="str">
            <v>Borisa Kapil Jetha</v>
          </cell>
          <cell r="F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BA472">
            <v>0</v>
          </cell>
          <cell r="BB472">
            <v>0</v>
          </cell>
          <cell r="BC472">
            <v>0</v>
          </cell>
          <cell r="BD472">
            <v>0</v>
          </cell>
          <cell r="BE472">
            <v>0</v>
          </cell>
          <cell r="BF472">
            <v>0</v>
          </cell>
          <cell r="BG472">
            <v>0</v>
          </cell>
          <cell r="BH472">
            <v>0</v>
          </cell>
          <cell r="BI472">
            <v>0</v>
          </cell>
          <cell r="BK472">
            <v>0</v>
          </cell>
          <cell r="BL472">
            <v>0</v>
          </cell>
          <cell r="BM472">
            <v>0</v>
          </cell>
          <cell r="BN472">
            <v>0</v>
          </cell>
          <cell r="BO472">
            <v>0</v>
          </cell>
          <cell r="BP472">
            <v>0</v>
          </cell>
          <cell r="BQ472">
            <v>0</v>
          </cell>
          <cell r="BR472">
            <v>0</v>
          </cell>
          <cell r="BS472">
            <v>0</v>
          </cell>
          <cell r="BU472">
            <v>0</v>
          </cell>
          <cell r="BV472">
            <v>0</v>
          </cell>
          <cell r="BW472">
            <v>0</v>
          </cell>
          <cell r="BX472">
            <v>0</v>
          </cell>
          <cell r="BY472">
            <v>0</v>
          </cell>
          <cell r="BZ472">
            <v>0</v>
          </cell>
          <cell r="CA472">
            <v>0</v>
          </cell>
          <cell r="CB472">
            <v>0</v>
          </cell>
          <cell r="CC472">
            <v>0</v>
          </cell>
          <cell r="CE472">
            <v>0</v>
          </cell>
          <cell r="CF472">
            <v>0</v>
          </cell>
          <cell r="CG472">
            <v>0</v>
          </cell>
          <cell r="CH472">
            <v>0</v>
          </cell>
          <cell r="CI472">
            <v>0</v>
          </cell>
          <cell r="CJ472">
            <v>0</v>
          </cell>
          <cell r="CK472">
            <v>0</v>
          </cell>
          <cell r="CL472">
            <v>0</v>
          </cell>
          <cell r="CM472">
            <v>0</v>
          </cell>
          <cell r="CO472">
            <v>1106</v>
          </cell>
          <cell r="CP472">
            <v>0</v>
          </cell>
          <cell r="CQ472">
            <v>1106</v>
          </cell>
          <cell r="CR472">
            <v>0</v>
          </cell>
          <cell r="CS472">
            <v>0</v>
          </cell>
          <cell r="CT472">
            <v>0</v>
          </cell>
          <cell r="CU472">
            <v>0</v>
          </cell>
          <cell r="CV472">
            <v>0</v>
          </cell>
          <cell r="CW472">
            <v>0</v>
          </cell>
          <cell r="CY472">
            <v>1106</v>
          </cell>
          <cell r="CZ472">
            <v>0</v>
          </cell>
          <cell r="DA472">
            <v>1106</v>
          </cell>
          <cell r="DB472">
            <v>0</v>
          </cell>
          <cell r="DC472">
            <v>0</v>
          </cell>
          <cell r="DD472">
            <v>0</v>
          </cell>
          <cell r="DE472">
            <v>0</v>
          </cell>
          <cell r="DF472">
            <v>0</v>
          </cell>
          <cell r="DG472">
            <v>0</v>
          </cell>
          <cell r="DI472">
            <v>0</v>
          </cell>
          <cell r="DJ472">
            <v>2212</v>
          </cell>
          <cell r="DK472">
            <v>0</v>
          </cell>
          <cell r="DL472">
            <v>2212</v>
          </cell>
          <cell r="DM472">
            <v>2212</v>
          </cell>
          <cell r="DN472">
            <v>0</v>
          </cell>
          <cell r="DO472">
            <v>2212</v>
          </cell>
          <cell r="DP472">
            <v>0</v>
          </cell>
          <cell r="DQ472">
            <v>0</v>
          </cell>
          <cell r="DR472">
            <v>0</v>
          </cell>
          <cell r="DS472">
            <v>0</v>
          </cell>
          <cell r="DT472">
            <v>4424</v>
          </cell>
          <cell r="DU472">
            <v>0</v>
          </cell>
          <cell r="DW472">
            <v>0</v>
          </cell>
          <cell r="DX472">
            <v>0</v>
          </cell>
          <cell r="DY472">
            <v>0</v>
          </cell>
          <cell r="DZ472">
            <v>0</v>
          </cell>
          <cell r="EA472">
            <v>0</v>
          </cell>
          <cell r="EB472">
            <v>0</v>
          </cell>
          <cell r="EC472">
            <v>0</v>
          </cell>
          <cell r="ED472">
            <v>0</v>
          </cell>
          <cell r="EE472">
            <v>0</v>
          </cell>
          <cell r="EF472">
            <v>0</v>
          </cell>
          <cell r="EG472">
            <v>2212</v>
          </cell>
          <cell r="EH472">
            <v>4424</v>
          </cell>
          <cell r="EI472">
            <v>6636</v>
          </cell>
          <cell r="EK472">
            <v>0</v>
          </cell>
          <cell r="EL472">
            <v>0</v>
          </cell>
          <cell r="EM472">
            <v>0</v>
          </cell>
          <cell r="EN472">
            <v>0</v>
          </cell>
          <cell r="EO472">
            <v>0</v>
          </cell>
          <cell r="EP472">
            <v>0</v>
          </cell>
          <cell r="EQ472">
            <v>0</v>
          </cell>
          <cell r="ER472">
            <v>0</v>
          </cell>
          <cell r="ES472">
            <v>0</v>
          </cell>
          <cell r="ET472">
            <v>0</v>
          </cell>
          <cell r="EU472">
            <v>15.852666666666666</v>
          </cell>
          <cell r="EV472">
            <v>31.705333333333332</v>
          </cell>
          <cell r="EW472">
            <v>47.558</v>
          </cell>
          <cell r="EY472">
            <v>0</v>
          </cell>
          <cell r="EZ472">
            <v>8</v>
          </cell>
          <cell r="FA472">
            <v>0</v>
          </cell>
          <cell r="FB472">
            <v>6636</v>
          </cell>
          <cell r="FC472">
            <v>8.6</v>
          </cell>
          <cell r="FD472">
            <v>47.558</v>
          </cell>
          <cell r="FE472">
            <v>47.558</v>
          </cell>
          <cell r="FF472">
            <v>4472</v>
          </cell>
          <cell r="FH472">
            <v>4472</v>
          </cell>
        </row>
        <row r="473">
          <cell r="B473">
            <v>9626</v>
          </cell>
          <cell r="C473" t="str">
            <v>25.10.2008</v>
          </cell>
          <cell r="D473" t="str">
            <v>Hire Jyoti Laxman</v>
          </cell>
          <cell r="F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0</v>
          </cell>
          <cell r="BG473">
            <v>0</v>
          </cell>
          <cell r="BH473">
            <v>0</v>
          </cell>
          <cell r="BI473">
            <v>0</v>
          </cell>
          <cell r="BK473">
            <v>0</v>
          </cell>
          <cell r="BL473">
            <v>0</v>
          </cell>
          <cell r="BM473">
            <v>0</v>
          </cell>
          <cell r="BN473">
            <v>0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  <cell r="BS473">
            <v>0</v>
          </cell>
          <cell r="BU473">
            <v>0</v>
          </cell>
          <cell r="BV473">
            <v>0</v>
          </cell>
          <cell r="BW473">
            <v>0</v>
          </cell>
          <cell r="BX473">
            <v>0</v>
          </cell>
          <cell r="BY473">
            <v>0</v>
          </cell>
          <cell r="BZ473">
            <v>0</v>
          </cell>
          <cell r="CA473">
            <v>0</v>
          </cell>
          <cell r="CB473">
            <v>0</v>
          </cell>
          <cell r="CC473">
            <v>0</v>
          </cell>
          <cell r="CE473">
            <v>1106</v>
          </cell>
          <cell r="CF473">
            <v>0</v>
          </cell>
          <cell r="CG473">
            <v>1106</v>
          </cell>
          <cell r="CH473">
            <v>0</v>
          </cell>
          <cell r="CI473">
            <v>0</v>
          </cell>
          <cell r="CJ473">
            <v>0</v>
          </cell>
          <cell r="CK473">
            <v>0</v>
          </cell>
          <cell r="CL473">
            <v>0</v>
          </cell>
          <cell r="CM473">
            <v>0</v>
          </cell>
          <cell r="CO473">
            <v>1106</v>
          </cell>
          <cell r="CP473">
            <v>0</v>
          </cell>
          <cell r="CQ473">
            <v>1106</v>
          </cell>
          <cell r="CR473">
            <v>0</v>
          </cell>
          <cell r="CS473">
            <v>0</v>
          </cell>
          <cell r="CT473">
            <v>0</v>
          </cell>
          <cell r="CU473">
            <v>0</v>
          </cell>
          <cell r="CV473">
            <v>0</v>
          </cell>
          <cell r="CW473">
            <v>0</v>
          </cell>
          <cell r="CY473">
            <v>1106</v>
          </cell>
          <cell r="CZ473">
            <v>0</v>
          </cell>
          <cell r="DA473">
            <v>1106</v>
          </cell>
          <cell r="DB473">
            <v>0</v>
          </cell>
          <cell r="DC473">
            <v>0</v>
          </cell>
          <cell r="DD473">
            <v>0</v>
          </cell>
          <cell r="DE473">
            <v>0</v>
          </cell>
          <cell r="DF473">
            <v>0</v>
          </cell>
          <cell r="DG473">
            <v>0</v>
          </cell>
          <cell r="DI473">
            <v>0</v>
          </cell>
          <cell r="DJ473">
            <v>3318</v>
          </cell>
          <cell r="DK473">
            <v>0</v>
          </cell>
          <cell r="DL473">
            <v>3318</v>
          </cell>
          <cell r="DM473">
            <v>3318</v>
          </cell>
          <cell r="DN473">
            <v>0</v>
          </cell>
          <cell r="DO473">
            <v>3318</v>
          </cell>
          <cell r="DP473">
            <v>0</v>
          </cell>
          <cell r="DQ473">
            <v>0</v>
          </cell>
          <cell r="DR473">
            <v>0</v>
          </cell>
          <cell r="DS473">
            <v>0</v>
          </cell>
          <cell r="DT473">
            <v>6636</v>
          </cell>
          <cell r="DU473">
            <v>0</v>
          </cell>
          <cell r="DW473">
            <v>0</v>
          </cell>
          <cell r="DX473">
            <v>0</v>
          </cell>
          <cell r="DY473">
            <v>0</v>
          </cell>
          <cell r="DZ473">
            <v>0</v>
          </cell>
          <cell r="EA473">
            <v>0</v>
          </cell>
          <cell r="EB473">
            <v>0</v>
          </cell>
          <cell r="EC473">
            <v>0</v>
          </cell>
          <cell r="ED473">
            <v>0</v>
          </cell>
          <cell r="EE473">
            <v>0</v>
          </cell>
          <cell r="EF473">
            <v>2212</v>
          </cell>
          <cell r="EG473">
            <v>4424</v>
          </cell>
          <cell r="EH473">
            <v>6636</v>
          </cell>
          <cell r="EI473">
            <v>13272</v>
          </cell>
          <cell r="EK473">
            <v>0</v>
          </cell>
          <cell r="EL473">
            <v>0</v>
          </cell>
          <cell r="EM473">
            <v>0</v>
          </cell>
          <cell r="EN473">
            <v>0</v>
          </cell>
          <cell r="EO473">
            <v>0</v>
          </cell>
          <cell r="EP473">
            <v>0</v>
          </cell>
          <cell r="EQ473">
            <v>0</v>
          </cell>
          <cell r="ER473">
            <v>0</v>
          </cell>
          <cell r="ES473">
            <v>0</v>
          </cell>
          <cell r="ET473">
            <v>15.852666666666666</v>
          </cell>
          <cell r="EU473">
            <v>31.705333333333332</v>
          </cell>
          <cell r="EV473">
            <v>47.558</v>
          </cell>
          <cell r="EW473">
            <v>95.116</v>
          </cell>
          <cell r="EY473">
            <v>0</v>
          </cell>
          <cell r="EZ473">
            <v>8</v>
          </cell>
          <cell r="FA473">
            <v>0</v>
          </cell>
          <cell r="FB473">
            <v>13272</v>
          </cell>
          <cell r="FC473">
            <v>8.6</v>
          </cell>
          <cell r="FD473">
            <v>95.116</v>
          </cell>
          <cell r="FE473">
            <v>95.116</v>
          </cell>
          <cell r="FF473">
            <v>6731</v>
          </cell>
          <cell r="FH473">
            <v>6731</v>
          </cell>
        </row>
        <row r="474">
          <cell r="B474">
            <v>10181</v>
          </cell>
          <cell r="C474" t="str">
            <v>02.11.2008</v>
          </cell>
          <cell r="D474" t="str">
            <v>Bidlon Sona Maychand</v>
          </cell>
          <cell r="F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>
            <v>0</v>
          </cell>
          <cell r="BK474">
            <v>0</v>
          </cell>
          <cell r="BL474">
            <v>0</v>
          </cell>
          <cell r="BM474">
            <v>0</v>
          </cell>
          <cell r="BN474">
            <v>0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  <cell r="BS474">
            <v>0</v>
          </cell>
          <cell r="BU474">
            <v>0</v>
          </cell>
          <cell r="BV474">
            <v>0</v>
          </cell>
          <cell r="BW474">
            <v>0</v>
          </cell>
          <cell r="BX474">
            <v>0</v>
          </cell>
          <cell r="BY474">
            <v>0</v>
          </cell>
          <cell r="BZ474">
            <v>0</v>
          </cell>
          <cell r="CA474">
            <v>0</v>
          </cell>
          <cell r="CB474">
            <v>0</v>
          </cell>
          <cell r="CC474">
            <v>0</v>
          </cell>
          <cell r="CE474">
            <v>0</v>
          </cell>
          <cell r="CF474">
            <v>0</v>
          </cell>
          <cell r="CG474">
            <v>0</v>
          </cell>
          <cell r="CH474">
            <v>0</v>
          </cell>
          <cell r="CI474">
            <v>0</v>
          </cell>
          <cell r="CJ474">
            <v>0</v>
          </cell>
          <cell r="CK474">
            <v>0</v>
          </cell>
          <cell r="CL474">
            <v>0</v>
          </cell>
          <cell r="CM474">
            <v>0</v>
          </cell>
          <cell r="CO474">
            <v>0</v>
          </cell>
          <cell r="CP474">
            <v>0</v>
          </cell>
          <cell r="CQ474">
            <v>0</v>
          </cell>
          <cell r="CR474">
            <v>0</v>
          </cell>
          <cell r="CS474">
            <v>0</v>
          </cell>
          <cell r="CT474">
            <v>0</v>
          </cell>
          <cell r="CU474">
            <v>0</v>
          </cell>
          <cell r="CV474">
            <v>0</v>
          </cell>
          <cell r="CW474">
            <v>0</v>
          </cell>
          <cell r="CY474">
            <v>0</v>
          </cell>
          <cell r="CZ474">
            <v>0</v>
          </cell>
          <cell r="DA474">
            <v>0</v>
          </cell>
          <cell r="DB474">
            <v>0</v>
          </cell>
          <cell r="DC474">
            <v>0</v>
          </cell>
          <cell r="DD474">
            <v>0</v>
          </cell>
          <cell r="DE474">
            <v>0</v>
          </cell>
          <cell r="DF474">
            <v>0</v>
          </cell>
          <cell r="DG474">
            <v>0</v>
          </cell>
          <cell r="DI474">
            <v>0</v>
          </cell>
          <cell r="DJ474">
            <v>0</v>
          </cell>
          <cell r="DK474">
            <v>0</v>
          </cell>
          <cell r="DL474">
            <v>0</v>
          </cell>
          <cell r="DM474">
            <v>0</v>
          </cell>
          <cell r="DN474">
            <v>0</v>
          </cell>
          <cell r="DO474">
            <v>0</v>
          </cell>
          <cell r="DP474">
            <v>0</v>
          </cell>
          <cell r="DQ474">
            <v>0</v>
          </cell>
          <cell r="DR474">
            <v>0</v>
          </cell>
          <cell r="DS474">
            <v>0</v>
          </cell>
          <cell r="DT474">
            <v>0</v>
          </cell>
          <cell r="DU474">
            <v>0</v>
          </cell>
          <cell r="DW474">
            <v>0</v>
          </cell>
          <cell r="DX474">
            <v>0</v>
          </cell>
          <cell r="DY474">
            <v>0</v>
          </cell>
          <cell r="DZ474">
            <v>0</v>
          </cell>
          <cell r="EA474">
            <v>0</v>
          </cell>
          <cell r="EB474">
            <v>0</v>
          </cell>
          <cell r="EC474">
            <v>0</v>
          </cell>
          <cell r="ED474">
            <v>0</v>
          </cell>
          <cell r="EE474">
            <v>0</v>
          </cell>
          <cell r="EF474">
            <v>0</v>
          </cell>
          <cell r="EG474">
            <v>0</v>
          </cell>
          <cell r="EH474">
            <v>0</v>
          </cell>
          <cell r="EI474">
            <v>0</v>
          </cell>
          <cell r="EK474">
            <v>0</v>
          </cell>
          <cell r="EL474">
            <v>0</v>
          </cell>
          <cell r="EM474">
            <v>0</v>
          </cell>
          <cell r="EN474">
            <v>0</v>
          </cell>
          <cell r="EO474">
            <v>0</v>
          </cell>
          <cell r="EP474">
            <v>0</v>
          </cell>
          <cell r="EQ474">
            <v>0</v>
          </cell>
          <cell r="ER474">
            <v>0</v>
          </cell>
          <cell r="ES474">
            <v>0</v>
          </cell>
          <cell r="ET474">
            <v>0</v>
          </cell>
          <cell r="EU474">
            <v>0</v>
          </cell>
          <cell r="EV474">
            <v>0</v>
          </cell>
          <cell r="EW474">
            <v>0</v>
          </cell>
          <cell r="EY474">
            <v>0</v>
          </cell>
          <cell r="EZ474">
            <v>8</v>
          </cell>
          <cell r="FA474">
            <v>0</v>
          </cell>
          <cell r="FB474">
            <v>0</v>
          </cell>
          <cell r="FC474">
            <v>8.6</v>
          </cell>
          <cell r="FD474">
            <v>0</v>
          </cell>
          <cell r="FE474">
            <v>0</v>
          </cell>
          <cell r="FF474">
            <v>0</v>
          </cell>
          <cell r="FH474">
            <v>0</v>
          </cell>
        </row>
        <row r="475">
          <cell r="B475">
            <v>9628</v>
          </cell>
          <cell r="C475" t="str">
            <v>18.11.2008</v>
          </cell>
          <cell r="D475" t="str">
            <v>Sonawane Pramod Madhavrao</v>
          </cell>
          <cell r="E475" t="str">
            <v>F</v>
          </cell>
          <cell r="F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>
            <v>0</v>
          </cell>
          <cell r="BK475">
            <v>0</v>
          </cell>
          <cell r="BL475">
            <v>0</v>
          </cell>
          <cell r="BM475">
            <v>0</v>
          </cell>
          <cell r="BN475">
            <v>0</v>
          </cell>
          <cell r="BO475">
            <v>0</v>
          </cell>
          <cell r="BP475">
            <v>0</v>
          </cell>
          <cell r="BQ475">
            <v>0</v>
          </cell>
          <cell r="BR475">
            <v>0</v>
          </cell>
          <cell r="BS475">
            <v>0</v>
          </cell>
          <cell r="BU475">
            <v>0</v>
          </cell>
          <cell r="BV475">
            <v>0</v>
          </cell>
          <cell r="BW475">
            <v>0</v>
          </cell>
          <cell r="BX475">
            <v>0</v>
          </cell>
          <cell r="BY475">
            <v>0</v>
          </cell>
          <cell r="BZ475">
            <v>0</v>
          </cell>
          <cell r="CA475">
            <v>0</v>
          </cell>
          <cell r="CB475">
            <v>0</v>
          </cell>
          <cell r="CC475">
            <v>0</v>
          </cell>
          <cell r="CE475">
            <v>0</v>
          </cell>
          <cell r="CF475">
            <v>0</v>
          </cell>
          <cell r="CG475">
            <v>0</v>
          </cell>
          <cell r="CH475">
            <v>0</v>
          </cell>
          <cell r="CI475">
            <v>0</v>
          </cell>
          <cell r="CJ475">
            <v>0</v>
          </cell>
          <cell r="CK475">
            <v>0</v>
          </cell>
          <cell r="CL475">
            <v>0</v>
          </cell>
          <cell r="CM475">
            <v>0</v>
          </cell>
          <cell r="CO475">
            <v>2417</v>
          </cell>
          <cell r="CP475">
            <v>0</v>
          </cell>
          <cell r="CQ475">
            <v>2417</v>
          </cell>
          <cell r="CR475">
            <v>0</v>
          </cell>
          <cell r="CS475">
            <v>0</v>
          </cell>
          <cell r="CT475">
            <v>0</v>
          </cell>
          <cell r="CU475">
            <v>0</v>
          </cell>
          <cell r="CV475">
            <v>0</v>
          </cell>
          <cell r="CW475">
            <v>0</v>
          </cell>
          <cell r="CY475">
            <v>2417</v>
          </cell>
          <cell r="CZ475">
            <v>2622</v>
          </cell>
          <cell r="DA475">
            <v>2417</v>
          </cell>
          <cell r="DB475">
            <v>2622</v>
          </cell>
          <cell r="DC475">
            <v>0</v>
          </cell>
          <cell r="DD475">
            <v>0</v>
          </cell>
          <cell r="DE475">
            <v>0</v>
          </cell>
          <cell r="DF475">
            <v>0</v>
          </cell>
          <cell r="DG475">
            <v>0</v>
          </cell>
          <cell r="DI475">
            <v>0</v>
          </cell>
          <cell r="DJ475">
            <v>4834</v>
          </cell>
          <cell r="DK475">
            <v>2622</v>
          </cell>
          <cell r="DL475">
            <v>7456</v>
          </cell>
          <cell r="DM475">
            <v>4834</v>
          </cell>
          <cell r="DN475">
            <v>2622</v>
          </cell>
          <cell r="DO475">
            <v>7456</v>
          </cell>
          <cell r="DP475">
            <v>0</v>
          </cell>
          <cell r="DQ475">
            <v>0</v>
          </cell>
          <cell r="DR475">
            <v>0</v>
          </cell>
          <cell r="DS475">
            <v>0</v>
          </cell>
          <cell r="DT475">
            <v>14912</v>
          </cell>
          <cell r="DU475">
            <v>0</v>
          </cell>
          <cell r="DW475">
            <v>0</v>
          </cell>
          <cell r="DX475">
            <v>0</v>
          </cell>
          <cell r="DY475">
            <v>0</v>
          </cell>
          <cell r="DZ475">
            <v>0</v>
          </cell>
          <cell r="EA475">
            <v>0</v>
          </cell>
          <cell r="EB475">
            <v>0</v>
          </cell>
          <cell r="EC475">
            <v>0</v>
          </cell>
          <cell r="ED475">
            <v>0</v>
          </cell>
          <cell r="EE475">
            <v>0</v>
          </cell>
          <cell r="EF475">
            <v>0</v>
          </cell>
          <cell r="EG475">
            <v>4834</v>
          </cell>
          <cell r="EH475">
            <v>14912</v>
          </cell>
          <cell r="EI475">
            <v>19746</v>
          </cell>
          <cell r="EK475">
            <v>0</v>
          </cell>
          <cell r="EL475">
            <v>0</v>
          </cell>
          <cell r="EM475">
            <v>0</v>
          </cell>
          <cell r="EN475">
            <v>0</v>
          </cell>
          <cell r="EO475">
            <v>0</v>
          </cell>
          <cell r="EP475">
            <v>0</v>
          </cell>
          <cell r="EQ475">
            <v>0</v>
          </cell>
          <cell r="ER475">
            <v>0</v>
          </cell>
          <cell r="ES475">
            <v>0</v>
          </cell>
          <cell r="ET475">
            <v>0</v>
          </cell>
          <cell r="EU475">
            <v>34.643666666666668</v>
          </cell>
          <cell r="EV475">
            <v>106.86933333333333</v>
          </cell>
          <cell r="EW475">
            <v>141.51300000000001</v>
          </cell>
          <cell r="EY475">
            <v>0</v>
          </cell>
          <cell r="EZ475">
            <v>8</v>
          </cell>
          <cell r="FA475">
            <v>0</v>
          </cell>
          <cell r="FB475">
            <v>19746</v>
          </cell>
          <cell r="FC475">
            <v>8.6</v>
          </cell>
          <cell r="FD475">
            <v>141.51300000000001</v>
          </cell>
          <cell r="FE475">
            <v>141.51300000000001</v>
          </cell>
          <cell r="FF475">
            <v>15054</v>
          </cell>
          <cell r="FH475">
            <v>15054</v>
          </cell>
        </row>
        <row r="476">
          <cell r="B476">
            <v>9623</v>
          </cell>
          <cell r="C476" t="str">
            <v>06.12.2008</v>
          </cell>
          <cell r="D476" t="str">
            <v>Kharat Vijay Kisan</v>
          </cell>
          <cell r="F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K476">
            <v>0</v>
          </cell>
          <cell r="BL476">
            <v>0</v>
          </cell>
          <cell r="BM476">
            <v>0</v>
          </cell>
          <cell r="BN476">
            <v>0</v>
          </cell>
          <cell r="BO476">
            <v>0</v>
          </cell>
          <cell r="BP476">
            <v>0</v>
          </cell>
          <cell r="BQ476">
            <v>0</v>
          </cell>
          <cell r="BR476">
            <v>0</v>
          </cell>
          <cell r="BS476">
            <v>0</v>
          </cell>
          <cell r="BU476">
            <v>0</v>
          </cell>
          <cell r="BV476">
            <v>0</v>
          </cell>
          <cell r="BW476">
            <v>0</v>
          </cell>
          <cell r="BX476">
            <v>0</v>
          </cell>
          <cell r="BY476">
            <v>0</v>
          </cell>
          <cell r="BZ476">
            <v>0</v>
          </cell>
          <cell r="CA476">
            <v>0</v>
          </cell>
          <cell r="CB476">
            <v>0</v>
          </cell>
          <cell r="CC476">
            <v>0</v>
          </cell>
          <cell r="CE476">
            <v>1106</v>
          </cell>
          <cell r="CF476">
            <v>0</v>
          </cell>
          <cell r="CG476">
            <v>1106</v>
          </cell>
          <cell r="CH476">
            <v>0</v>
          </cell>
          <cell r="CI476">
            <v>0</v>
          </cell>
          <cell r="CJ476">
            <v>0</v>
          </cell>
          <cell r="CK476">
            <v>0</v>
          </cell>
          <cell r="CL476">
            <v>0</v>
          </cell>
          <cell r="CM476">
            <v>0</v>
          </cell>
          <cell r="CO476">
            <v>1106</v>
          </cell>
          <cell r="CP476">
            <v>0</v>
          </cell>
          <cell r="CQ476">
            <v>1106</v>
          </cell>
          <cell r="CR476">
            <v>0</v>
          </cell>
          <cell r="CS476">
            <v>0</v>
          </cell>
          <cell r="CT476">
            <v>0</v>
          </cell>
          <cell r="CU476">
            <v>0</v>
          </cell>
          <cell r="CV476">
            <v>0</v>
          </cell>
          <cell r="CW476">
            <v>0</v>
          </cell>
          <cell r="CY476">
            <v>1106</v>
          </cell>
          <cell r="CZ476">
            <v>0</v>
          </cell>
          <cell r="DA476">
            <v>1106</v>
          </cell>
          <cell r="DB476">
            <v>0</v>
          </cell>
          <cell r="DC476">
            <v>0</v>
          </cell>
          <cell r="DD476">
            <v>0</v>
          </cell>
          <cell r="DE476">
            <v>0</v>
          </cell>
          <cell r="DF476">
            <v>0</v>
          </cell>
          <cell r="DG476">
            <v>0</v>
          </cell>
          <cell r="DI476">
            <v>0</v>
          </cell>
          <cell r="DJ476">
            <v>3318</v>
          </cell>
          <cell r="DK476">
            <v>0</v>
          </cell>
          <cell r="DL476">
            <v>3318</v>
          </cell>
          <cell r="DM476">
            <v>3318</v>
          </cell>
          <cell r="DN476">
            <v>0</v>
          </cell>
          <cell r="DO476">
            <v>3318</v>
          </cell>
          <cell r="DP476">
            <v>0</v>
          </cell>
          <cell r="DQ476">
            <v>0</v>
          </cell>
          <cell r="DR476">
            <v>0</v>
          </cell>
          <cell r="DS476">
            <v>0</v>
          </cell>
          <cell r="DT476">
            <v>6636</v>
          </cell>
          <cell r="DU476">
            <v>0</v>
          </cell>
          <cell r="DW476">
            <v>0</v>
          </cell>
          <cell r="DX476">
            <v>0</v>
          </cell>
          <cell r="DY476">
            <v>0</v>
          </cell>
          <cell r="DZ476">
            <v>0</v>
          </cell>
          <cell r="EA476">
            <v>0</v>
          </cell>
          <cell r="EB476">
            <v>0</v>
          </cell>
          <cell r="EC476">
            <v>0</v>
          </cell>
          <cell r="ED476">
            <v>0</v>
          </cell>
          <cell r="EE476">
            <v>0</v>
          </cell>
          <cell r="EF476">
            <v>2212</v>
          </cell>
          <cell r="EG476">
            <v>4424</v>
          </cell>
          <cell r="EH476">
            <v>6636</v>
          </cell>
          <cell r="EI476">
            <v>13272</v>
          </cell>
          <cell r="EK476">
            <v>0</v>
          </cell>
          <cell r="EL476">
            <v>0</v>
          </cell>
          <cell r="EM476">
            <v>0</v>
          </cell>
          <cell r="EN476">
            <v>0</v>
          </cell>
          <cell r="EO476">
            <v>0</v>
          </cell>
          <cell r="EP476">
            <v>0</v>
          </cell>
          <cell r="EQ476">
            <v>0</v>
          </cell>
          <cell r="ER476">
            <v>0</v>
          </cell>
          <cell r="ES476">
            <v>0</v>
          </cell>
          <cell r="ET476">
            <v>15.852666666666666</v>
          </cell>
          <cell r="EU476">
            <v>31.705333333333332</v>
          </cell>
          <cell r="EV476">
            <v>47.558</v>
          </cell>
          <cell r="EW476">
            <v>95.116</v>
          </cell>
          <cell r="EY476">
            <v>0</v>
          </cell>
          <cell r="EZ476">
            <v>8</v>
          </cell>
          <cell r="FA476">
            <v>0</v>
          </cell>
          <cell r="FB476">
            <v>13272</v>
          </cell>
          <cell r="FC476">
            <v>8.6</v>
          </cell>
          <cell r="FD476">
            <v>95.116</v>
          </cell>
          <cell r="FE476">
            <v>95.116</v>
          </cell>
          <cell r="FF476">
            <v>6731</v>
          </cell>
          <cell r="FH476">
            <v>6731</v>
          </cell>
        </row>
        <row r="477">
          <cell r="B477">
            <v>9629</v>
          </cell>
          <cell r="C477" t="str">
            <v>08.12.2008</v>
          </cell>
          <cell r="D477" t="str">
            <v>Donde Rahul Sudhakar</v>
          </cell>
          <cell r="F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K477">
            <v>0</v>
          </cell>
          <cell r="BL477">
            <v>0</v>
          </cell>
          <cell r="BM477">
            <v>0</v>
          </cell>
          <cell r="BN477">
            <v>0</v>
          </cell>
          <cell r="BO477">
            <v>0</v>
          </cell>
          <cell r="BP477">
            <v>0</v>
          </cell>
          <cell r="BQ477">
            <v>0</v>
          </cell>
          <cell r="BR477">
            <v>0</v>
          </cell>
          <cell r="BS477">
            <v>0</v>
          </cell>
          <cell r="BU477">
            <v>0</v>
          </cell>
          <cell r="BV477">
            <v>0</v>
          </cell>
          <cell r="BW477">
            <v>0</v>
          </cell>
          <cell r="BX477">
            <v>0</v>
          </cell>
          <cell r="BY477">
            <v>0</v>
          </cell>
          <cell r="BZ477">
            <v>0</v>
          </cell>
          <cell r="CA477">
            <v>0</v>
          </cell>
          <cell r="CB477">
            <v>0</v>
          </cell>
          <cell r="CC477">
            <v>0</v>
          </cell>
          <cell r="CE477">
            <v>0</v>
          </cell>
          <cell r="CF477">
            <v>0</v>
          </cell>
          <cell r="CG477">
            <v>0</v>
          </cell>
          <cell r="CH477">
            <v>0</v>
          </cell>
          <cell r="CI477">
            <v>0</v>
          </cell>
          <cell r="CJ477">
            <v>0</v>
          </cell>
          <cell r="CK477">
            <v>0</v>
          </cell>
          <cell r="CL477">
            <v>0</v>
          </cell>
          <cell r="CM477">
            <v>0</v>
          </cell>
          <cell r="CO477">
            <v>1106</v>
          </cell>
          <cell r="CP477">
            <v>0</v>
          </cell>
          <cell r="CQ477">
            <v>1106</v>
          </cell>
          <cell r="CR477">
            <v>0</v>
          </cell>
          <cell r="CS477">
            <v>0</v>
          </cell>
          <cell r="CT477">
            <v>0</v>
          </cell>
          <cell r="CU477">
            <v>0</v>
          </cell>
          <cell r="CV477">
            <v>0</v>
          </cell>
          <cell r="CW477">
            <v>0</v>
          </cell>
          <cell r="CY477">
            <v>1106</v>
          </cell>
          <cell r="CZ477">
            <v>0</v>
          </cell>
          <cell r="DA477">
            <v>1106</v>
          </cell>
          <cell r="DB477">
            <v>0</v>
          </cell>
          <cell r="DC477">
            <v>0</v>
          </cell>
          <cell r="DD477">
            <v>0</v>
          </cell>
          <cell r="DE477">
            <v>0</v>
          </cell>
          <cell r="DF477">
            <v>0</v>
          </cell>
          <cell r="DG477">
            <v>0</v>
          </cell>
          <cell r="DI477">
            <v>0</v>
          </cell>
          <cell r="DJ477">
            <v>2212</v>
          </cell>
          <cell r="DK477">
            <v>0</v>
          </cell>
          <cell r="DL477">
            <v>2212</v>
          </cell>
          <cell r="DM477">
            <v>2212</v>
          </cell>
          <cell r="DN477">
            <v>0</v>
          </cell>
          <cell r="DO477">
            <v>2212</v>
          </cell>
          <cell r="DP477">
            <v>0</v>
          </cell>
          <cell r="DQ477">
            <v>0</v>
          </cell>
          <cell r="DR477">
            <v>0</v>
          </cell>
          <cell r="DS477">
            <v>0</v>
          </cell>
          <cell r="DT477">
            <v>4424</v>
          </cell>
          <cell r="DU477">
            <v>0</v>
          </cell>
          <cell r="DW477">
            <v>0</v>
          </cell>
          <cell r="DX477">
            <v>0</v>
          </cell>
          <cell r="DY477">
            <v>0</v>
          </cell>
          <cell r="DZ477">
            <v>0</v>
          </cell>
          <cell r="EA477">
            <v>0</v>
          </cell>
          <cell r="EB477">
            <v>0</v>
          </cell>
          <cell r="EC477">
            <v>0</v>
          </cell>
          <cell r="ED477">
            <v>0</v>
          </cell>
          <cell r="EE477">
            <v>0</v>
          </cell>
          <cell r="EF477">
            <v>0</v>
          </cell>
          <cell r="EG477">
            <v>2212</v>
          </cell>
          <cell r="EH477">
            <v>4424</v>
          </cell>
          <cell r="EI477">
            <v>6636</v>
          </cell>
          <cell r="EK477">
            <v>0</v>
          </cell>
          <cell r="EL477">
            <v>0</v>
          </cell>
          <cell r="EM477">
            <v>0</v>
          </cell>
          <cell r="EN477">
            <v>0</v>
          </cell>
          <cell r="EO477">
            <v>0</v>
          </cell>
          <cell r="EP477">
            <v>0</v>
          </cell>
          <cell r="EQ477">
            <v>0</v>
          </cell>
          <cell r="ER477">
            <v>0</v>
          </cell>
          <cell r="ES477">
            <v>0</v>
          </cell>
          <cell r="ET477">
            <v>0</v>
          </cell>
          <cell r="EU477">
            <v>15.852666666666666</v>
          </cell>
          <cell r="EV477">
            <v>31.705333333333332</v>
          </cell>
          <cell r="EW477">
            <v>47.558</v>
          </cell>
          <cell r="EY477">
            <v>0</v>
          </cell>
          <cell r="EZ477">
            <v>8</v>
          </cell>
          <cell r="FA477">
            <v>0</v>
          </cell>
          <cell r="FB477">
            <v>6636</v>
          </cell>
          <cell r="FC477">
            <v>8.6</v>
          </cell>
          <cell r="FD477">
            <v>47.558</v>
          </cell>
          <cell r="FE477">
            <v>47.558</v>
          </cell>
          <cell r="FF477">
            <v>4472</v>
          </cell>
          <cell r="FH477">
            <v>4472</v>
          </cell>
        </row>
        <row r="478">
          <cell r="B478">
            <v>9633</v>
          </cell>
          <cell r="C478" t="str">
            <v>08.12.2008</v>
          </cell>
          <cell r="D478" t="str">
            <v>Pawar Anil Jagdish</v>
          </cell>
          <cell r="F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BA478">
            <v>0</v>
          </cell>
          <cell r="BB478">
            <v>0</v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0</v>
          </cell>
          <cell r="BI478">
            <v>0</v>
          </cell>
          <cell r="BK478">
            <v>0</v>
          </cell>
          <cell r="BL478">
            <v>0</v>
          </cell>
          <cell r="BM478">
            <v>0</v>
          </cell>
          <cell r="BN478">
            <v>0</v>
          </cell>
          <cell r="BO478">
            <v>0</v>
          </cell>
          <cell r="BP478">
            <v>0</v>
          </cell>
          <cell r="BQ478">
            <v>0</v>
          </cell>
          <cell r="BR478">
            <v>0</v>
          </cell>
          <cell r="BS478">
            <v>0</v>
          </cell>
          <cell r="BU478">
            <v>0</v>
          </cell>
          <cell r="BV478">
            <v>0</v>
          </cell>
          <cell r="BW478">
            <v>0</v>
          </cell>
          <cell r="BX478">
            <v>0</v>
          </cell>
          <cell r="BY478">
            <v>0</v>
          </cell>
          <cell r="BZ478">
            <v>0</v>
          </cell>
          <cell r="CA478">
            <v>0</v>
          </cell>
          <cell r="CB478">
            <v>0</v>
          </cell>
          <cell r="CC478">
            <v>0</v>
          </cell>
          <cell r="CE478">
            <v>0</v>
          </cell>
          <cell r="CF478">
            <v>0</v>
          </cell>
          <cell r="CG478">
            <v>0</v>
          </cell>
          <cell r="CH478">
            <v>0</v>
          </cell>
          <cell r="CI478">
            <v>0</v>
          </cell>
          <cell r="CJ478">
            <v>0</v>
          </cell>
          <cell r="CK478">
            <v>0</v>
          </cell>
          <cell r="CL478">
            <v>0</v>
          </cell>
          <cell r="CM478">
            <v>0</v>
          </cell>
          <cell r="CO478">
            <v>0</v>
          </cell>
          <cell r="CP478">
            <v>0</v>
          </cell>
          <cell r="CQ478">
            <v>0</v>
          </cell>
          <cell r="CR478">
            <v>0</v>
          </cell>
          <cell r="CS478">
            <v>0</v>
          </cell>
          <cell r="CT478">
            <v>0</v>
          </cell>
          <cell r="CU478">
            <v>0</v>
          </cell>
          <cell r="CV478">
            <v>0</v>
          </cell>
          <cell r="CW478">
            <v>0</v>
          </cell>
          <cell r="CY478">
            <v>1106</v>
          </cell>
          <cell r="CZ478">
            <v>0</v>
          </cell>
          <cell r="DA478">
            <v>1106</v>
          </cell>
          <cell r="DB478">
            <v>0</v>
          </cell>
          <cell r="DC478">
            <v>0</v>
          </cell>
          <cell r="DD478">
            <v>0</v>
          </cell>
          <cell r="DE478">
            <v>0</v>
          </cell>
          <cell r="DF478">
            <v>0</v>
          </cell>
          <cell r="DG478">
            <v>0</v>
          </cell>
          <cell r="DI478">
            <v>0</v>
          </cell>
          <cell r="DJ478">
            <v>1106</v>
          </cell>
          <cell r="DK478">
            <v>0</v>
          </cell>
          <cell r="DL478">
            <v>1106</v>
          </cell>
          <cell r="DM478">
            <v>1106</v>
          </cell>
          <cell r="DN478">
            <v>0</v>
          </cell>
          <cell r="DO478">
            <v>1106</v>
          </cell>
          <cell r="DP478">
            <v>0</v>
          </cell>
          <cell r="DQ478">
            <v>0</v>
          </cell>
          <cell r="DR478">
            <v>0</v>
          </cell>
          <cell r="DS478">
            <v>0</v>
          </cell>
          <cell r="DT478">
            <v>2212</v>
          </cell>
          <cell r="DU478">
            <v>0</v>
          </cell>
          <cell r="DW478">
            <v>0</v>
          </cell>
          <cell r="DX478">
            <v>0</v>
          </cell>
          <cell r="DY478">
            <v>0</v>
          </cell>
          <cell r="DZ478">
            <v>0</v>
          </cell>
          <cell r="EA478">
            <v>0</v>
          </cell>
          <cell r="EB478">
            <v>0</v>
          </cell>
          <cell r="EC478">
            <v>0</v>
          </cell>
          <cell r="ED478">
            <v>0</v>
          </cell>
          <cell r="EE478">
            <v>0</v>
          </cell>
          <cell r="EF478">
            <v>0</v>
          </cell>
          <cell r="EG478">
            <v>0</v>
          </cell>
          <cell r="EH478">
            <v>2212</v>
          </cell>
          <cell r="EI478">
            <v>2212</v>
          </cell>
          <cell r="EK478">
            <v>0</v>
          </cell>
          <cell r="EL478">
            <v>0</v>
          </cell>
          <cell r="EM478">
            <v>0</v>
          </cell>
          <cell r="EN478">
            <v>0</v>
          </cell>
          <cell r="EO478">
            <v>0</v>
          </cell>
          <cell r="EP478">
            <v>0</v>
          </cell>
          <cell r="EQ478">
            <v>0</v>
          </cell>
          <cell r="ER478">
            <v>0</v>
          </cell>
          <cell r="ES478">
            <v>0</v>
          </cell>
          <cell r="ET478">
            <v>0</v>
          </cell>
          <cell r="EU478">
            <v>0</v>
          </cell>
          <cell r="EV478">
            <v>15.852666666666666</v>
          </cell>
          <cell r="EW478">
            <v>15.852666666666666</v>
          </cell>
          <cell r="EY478">
            <v>0</v>
          </cell>
          <cell r="EZ478">
            <v>8</v>
          </cell>
          <cell r="FA478">
            <v>0</v>
          </cell>
          <cell r="FB478">
            <v>2212</v>
          </cell>
          <cell r="FC478">
            <v>8.6</v>
          </cell>
          <cell r="FD478">
            <v>15.852666666666666</v>
          </cell>
          <cell r="FE478">
            <v>15.852666666666666</v>
          </cell>
          <cell r="FF478">
            <v>2228</v>
          </cell>
          <cell r="FH478">
            <v>2228</v>
          </cell>
        </row>
        <row r="479">
          <cell r="B479">
            <v>9655</v>
          </cell>
          <cell r="C479" t="str">
            <v>18.12.2008</v>
          </cell>
          <cell r="D479" t="str">
            <v>Solanki Jitendra Vinod</v>
          </cell>
          <cell r="F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K479">
            <v>0</v>
          </cell>
          <cell r="BL479">
            <v>0</v>
          </cell>
          <cell r="BM479">
            <v>0</v>
          </cell>
          <cell r="BN479">
            <v>0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  <cell r="BS479">
            <v>0</v>
          </cell>
          <cell r="BU479">
            <v>0</v>
          </cell>
          <cell r="BV479">
            <v>0</v>
          </cell>
          <cell r="BW479">
            <v>0</v>
          </cell>
          <cell r="BX479">
            <v>0</v>
          </cell>
          <cell r="BY479">
            <v>0</v>
          </cell>
          <cell r="BZ479">
            <v>0</v>
          </cell>
          <cell r="CA479">
            <v>0</v>
          </cell>
          <cell r="CB479">
            <v>0</v>
          </cell>
          <cell r="CC479">
            <v>0</v>
          </cell>
          <cell r="CE479">
            <v>0</v>
          </cell>
          <cell r="CF479">
            <v>0</v>
          </cell>
          <cell r="CG479">
            <v>0</v>
          </cell>
          <cell r="CH479">
            <v>0</v>
          </cell>
          <cell r="CI479">
            <v>0</v>
          </cell>
          <cell r="CJ479">
            <v>0</v>
          </cell>
          <cell r="CK479">
            <v>0</v>
          </cell>
          <cell r="CL479">
            <v>0</v>
          </cell>
          <cell r="CM479">
            <v>0</v>
          </cell>
          <cell r="CO479">
            <v>0</v>
          </cell>
          <cell r="CP479">
            <v>0</v>
          </cell>
          <cell r="CQ479">
            <v>0</v>
          </cell>
          <cell r="CR479">
            <v>0</v>
          </cell>
          <cell r="CS479">
            <v>0</v>
          </cell>
          <cell r="CT479">
            <v>0</v>
          </cell>
          <cell r="CU479">
            <v>0</v>
          </cell>
          <cell r="CV479">
            <v>0</v>
          </cell>
          <cell r="CW479">
            <v>0</v>
          </cell>
          <cell r="CY479">
            <v>0</v>
          </cell>
          <cell r="CZ479">
            <v>0</v>
          </cell>
          <cell r="DA479">
            <v>0</v>
          </cell>
          <cell r="DB479">
            <v>0</v>
          </cell>
          <cell r="DC479">
            <v>0</v>
          </cell>
          <cell r="DD479">
            <v>0</v>
          </cell>
          <cell r="DE479">
            <v>0</v>
          </cell>
          <cell r="DF479">
            <v>0</v>
          </cell>
          <cell r="DG479">
            <v>0</v>
          </cell>
          <cell r="DI479">
            <v>0</v>
          </cell>
          <cell r="DJ479">
            <v>0</v>
          </cell>
          <cell r="DK479">
            <v>0</v>
          </cell>
          <cell r="DL479">
            <v>0</v>
          </cell>
          <cell r="DM479">
            <v>0</v>
          </cell>
          <cell r="DN479">
            <v>0</v>
          </cell>
          <cell r="DO479">
            <v>0</v>
          </cell>
          <cell r="DP479">
            <v>0</v>
          </cell>
          <cell r="DQ479">
            <v>0</v>
          </cell>
          <cell r="DR479">
            <v>0</v>
          </cell>
          <cell r="DS479">
            <v>0</v>
          </cell>
          <cell r="DT479">
            <v>0</v>
          </cell>
          <cell r="DU479">
            <v>0</v>
          </cell>
          <cell r="DW479">
            <v>0</v>
          </cell>
          <cell r="DX479">
            <v>0</v>
          </cell>
          <cell r="DY479">
            <v>0</v>
          </cell>
          <cell r="DZ479">
            <v>0</v>
          </cell>
          <cell r="EA479">
            <v>0</v>
          </cell>
          <cell r="EB479">
            <v>0</v>
          </cell>
          <cell r="EC479">
            <v>0</v>
          </cell>
          <cell r="ED479">
            <v>0</v>
          </cell>
          <cell r="EE479">
            <v>0</v>
          </cell>
          <cell r="EF479">
            <v>0</v>
          </cell>
          <cell r="EG479">
            <v>0</v>
          </cell>
          <cell r="EH479">
            <v>0</v>
          </cell>
          <cell r="EI479">
            <v>0</v>
          </cell>
          <cell r="EK479">
            <v>0</v>
          </cell>
          <cell r="EL479">
            <v>0</v>
          </cell>
          <cell r="EM479">
            <v>0</v>
          </cell>
          <cell r="EN479">
            <v>0</v>
          </cell>
          <cell r="EO479">
            <v>0</v>
          </cell>
          <cell r="EP479">
            <v>0</v>
          </cell>
          <cell r="EQ479">
            <v>0</v>
          </cell>
          <cell r="ER479">
            <v>0</v>
          </cell>
          <cell r="ES479">
            <v>0</v>
          </cell>
          <cell r="ET479">
            <v>0</v>
          </cell>
          <cell r="EU479">
            <v>0</v>
          </cell>
          <cell r="EV479">
            <v>0</v>
          </cell>
          <cell r="EW479">
            <v>0</v>
          </cell>
          <cell r="EY479">
            <v>0</v>
          </cell>
          <cell r="EZ479">
            <v>8</v>
          </cell>
          <cell r="FA479">
            <v>0</v>
          </cell>
          <cell r="FB479">
            <v>0</v>
          </cell>
          <cell r="FC479">
            <v>8.6</v>
          </cell>
          <cell r="FD479">
            <v>0</v>
          </cell>
          <cell r="FE479">
            <v>0</v>
          </cell>
          <cell r="FF479">
            <v>0</v>
          </cell>
          <cell r="FH479">
            <v>0</v>
          </cell>
        </row>
        <row r="480">
          <cell r="B480">
            <v>9645</v>
          </cell>
          <cell r="C480" t="str">
            <v>02.01.2009</v>
          </cell>
          <cell r="D480" t="str">
            <v>Biganiya Anil Ramesh</v>
          </cell>
          <cell r="F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K480">
            <v>0</v>
          </cell>
          <cell r="BL480">
            <v>0</v>
          </cell>
          <cell r="BM480">
            <v>0</v>
          </cell>
          <cell r="BN480">
            <v>0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  <cell r="BS480">
            <v>0</v>
          </cell>
          <cell r="BU480">
            <v>0</v>
          </cell>
          <cell r="BV480">
            <v>0</v>
          </cell>
          <cell r="BW480">
            <v>0</v>
          </cell>
          <cell r="BX480">
            <v>0</v>
          </cell>
          <cell r="BY480">
            <v>0</v>
          </cell>
          <cell r="BZ480">
            <v>0</v>
          </cell>
          <cell r="CA480">
            <v>0</v>
          </cell>
          <cell r="CB480">
            <v>0</v>
          </cell>
          <cell r="CC480">
            <v>0</v>
          </cell>
          <cell r="CE480">
            <v>0</v>
          </cell>
          <cell r="CF480">
            <v>0</v>
          </cell>
          <cell r="CG480">
            <v>0</v>
          </cell>
          <cell r="CH480">
            <v>0</v>
          </cell>
          <cell r="CI480">
            <v>0</v>
          </cell>
          <cell r="CJ480">
            <v>0</v>
          </cell>
          <cell r="CK480">
            <v>0</v>
          </cell>
          <cell r="CL480">
            <v>0</v>
          </cell>
          <cell r="CM480">
            <v>0</v>
          </cell>
          <cell r="CO480">
            <v>0</v>
          </cell>
          <cell r="CP480">
            <v>0</v>
          </cell>
          <cell r="CQ480">
            <v>0</v>
          </cell>
          <cell r="CR480">
            <v>0</v>
          </cell>
          <cell r="CS480">
            <v>0</v>
          </cell>
          <cell r="CT480">
            <v>0</v>
          </cell>
          <cell r="CU480">
            <v>0</v>
          </cell>
          <cell r="CV480">
            <v>0</v>
          </cell>
          <cell r="CW480">
            <v>0</v>
          </cell>
          <cell r="CY480">
            <v>0</v>
          </cell>
          <cell r="CZ480">
            <v>0</v>
          </cell>
          <cell r="DA480">
            <v>0</v>
          </cell>
          <cell r="DB480">
            <v>0</v>
          </cell>
          <cell r="DC480">
            <v>0</v>
          </cell>
          <cell r="DD480">
            <v>0</v>
          </cell>
          <cell r="DE480">
            <v>0</v>
          </cell>
          <cell r="DF480">
            <v>0</v>
          </cell>
          <cell r="DG480">
            <v>0</v>
          </cell>
          <cell r="DI480">
            <v>0</v>
          </cell>
          <cell r="DJ480">
            <v>0</v>
          </cell>
          <cell r="DK480">
            <v>0</v>
          </cell>
          <cell r="DL480">
            <v>0</v>
          </cell>
          <cell r="DM480">
            <v>0</v>
          </cell>
          <cell r="DN480">
            <v>0</v>
          </cell>
          <cell r="DO480">
            <v>0</v>
          </cell>
          <cell r="DP480">
            <v>0</v>
          </cell>
          <cell r="DQ480">
            <v>0</v>
          </cell>
          <cell r="DR480">
            <v>0</v>
          </cell>
          <cell r="DS480">
            <v>0</v>
          </cell>
          <cell r="DT480">
            <v>0</v>
          </cell>
          <cell r="DU480">
            <v>0</v>
          </cell>
          <cell r="DW480">
            <v>0</v>
          </cell>
          <cell r="DX480">
            <v>0</v>
          </cell>
          <cell r="DY480">
            <v>0</v>
          </cell>
          <cell r="DZ480">
            <v>0</v>
          </cell>
          <cell r="EA480">
            <v>0</v>
          </cell>
          <cell r="EB480">
            <v>0</v>
          </cell>
          <cell r="EC480">
            <v>0</v>
          </cell>
          <cell r="ED480">
            <v>0</v>
          </cell>
          <cell r="EE480">
            <v>0</v>
          </cell>
          <cell r="EF480">
            <v>0</v>
          </cell>
          <cell r="EG480">
            <v>0</v>
          </cell>
          <cell r="EH480">
            <v>0</v>
          </cell>
          <cell r="EI480">
            <v>0</v>
          </cell>
          <cell r="EK480">
            <v>0</v>
          </cell>
          <cell r="EL480">
            <v>0</v>
          </cell>
          <cell r="EM480">
            <v>0</v>
          </cell>
          <cell r="EN480">
            <v>0</v>
          </cell>
          <cell r="EO480">
            <v>0</v>
          </cell>
          <cell r="EP480">
            <v>0</v>
          </cell>
          <cell r="EQ480">
            <v>0</v>
          </cell>
          <cell r="ER480">
            <v>0</v>
          </cell>
          <cell r="ES480">
            <v>0</v>
          </cell>
          <cell r="ET480">
            <v>0</v>
          </cell>
          <cell r="EU480">
            <v>0</v>
          </cell>
          <cell r="EV480">
            <v>0</v>
          </cell>
          <cell r="EW480">
            <v>0</v>
          </cell>
          <cell r="EY480">
            <v>0</v>
          </cell>
          <cell r="EZ480">
            <v>8</v>
          </cell>
          <cell r="FA480">
            <v>0</v>
          </cell>
          <cell r="FB480">
            <v>0</v>
          </cell>
          <cell r="FC480">
            <v>8.6</v>
          </cell>
          <cell r="FD480">
            <v>0</v>
          </cell>
          <cell r="FE480">
            <v>0</v>
          </cell>
          <cell r="FF480">
            <v>0</v>
          </cell>
          <cell r="FH480">
            <v>0</v>
          </cell>
        </row>
        <row r="481">
          <cell r="B481">
            <v>9651</v>
          </cell>
          <cell r="C481" t="str">
            <v>09.01.2009</v>
          </cell>
          <cell r="D481" t="str">
            <v>Muthe Shashinath Ramesh</v>
          </cell>
          <cell r="F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0</v>
          </cell>
          <cell r="BF481">
            <v>0</v>
          </cell>
          <cell r="BG481">
            <v>0</v>
          </cell>
          <cell r="BH481">
            <v>0</v>
          </cell>
          <cell r="BI481">
            <v>0</v>
          </cell>
          <cell r="BK481">
            <v>0</v>
          </cell>
          <cell r="BL481">
            <v>0</v>
          </cell>
          <cell r="BM481">
            <v>0</v>
          </cell>
          <cell r="BN481">
            <v>0</v>
          </cell>
          <cell r="BO481">
            <v>0</v>
          </cell>
          <cell r="BP481">
            <v>0</v>
          </cell>
          <cell r="BQ481">
            <v>0</v>
          </cell>
          <cell r="BR481">
            <v>0</v>
          </cell>
          <cell r="BS481">
            <v>0</v>
          </cell>
          <cell r="BU481">
            <v>0</v>
          </cell>
          <cell r="BV481">
            <v>0</v>
          </cell>
          <cell r="BW481">
            <v>0</v>
          </cell>
          <cell r="BX481">
            <v>0</v>
          </cell>
          <cell r="BY481">
            <v>0</v>
          </cell>
          <cell r="BZ481">
            <v>0</v>
          </cell>
          <cell r="CA481">
            <v>0</v>
          </cell>
          <cell r="CB481">
            <v>0</v>
          </cell>
          <cell r="CC481">
            <v>0</v>
          </cell>
          <cell r="CE481">
            <v>0</v>
          </cell>
          <cell r="CF481">
            <v>0</v>
          </cell>
          <cell r="CG481">
            <v>0</v>
          </cell>
          <cell r="CH481">
            <v>0</v>
          </cell>
          <cell r="CI481">
            <v>0</v>
          </cell>
          <cell r="CJ481">
            <v>0</v>
          </cell>
          <cell r="CK481">
            <v>0</v>
          </cell>
          <cell r="CL481">
            <v>0</v>
          </cell>
          <cell r="CM481">
            <v>0</v>
          </cell>
          <cell r="CO481">
            <v>0</v>
          </cell>
          <cell r="CP481">
            <v>0</v>
          </cell>
          <cell r="CQ481">
            <v>0</v>
          </cell>
          <cell r="CR481">
            <v>0</v>
          </cell>
          <cell r="CS481">
            <v>0</v>
          </cell>
          <cell r="CT481">
            <v>0</v>
          </cell>
          <cell r="CU481">
            <v>0</v>
          </cell>
          <cell r="CV481">
            <v>0</v>
          </cell>
          <cell r="CW481">
            <v>0</v>
          </cell>
          <cell r="CY481">
            <v>0</v>
          </cell>
          <cell r="CZ481">
            <v>0</v>
          </cell>
          <cell r="DA481">
            <v>0</v>
          </cell>
          <cell r="DB481">
            <v>0</v>
          </cell>
          <cell r="DC481">
            <v>0</v>
          </cell>
          <cell r="DD481">
            <v>0</v>
          </cell>
          <cell r="DE481">
            <v>0</v>
          </cell>
          <cell r="DF481">
            <v>0</v>
          </cell>
          <cell r="DG481">
            <v>0</v>
          </cell>
          <cell r="DI481">
            <v>0</v>
          </cell>
          <cell r="DJ481">
            <v>0</v>
          </cell>
          <cell r="DK481">
            <v>0</v>
          </cell>
          <cell r="DL481">
            <v>0</v>
          </cell>
          <cell r="DM481">
            <v>0</v>
          </cell>
          <cell r="DN481">
            <v>0</v>
          </cell>
          <cell r="DO481">
            <v>0</v>
          </cell>
          <cell r="DP481">
            <v>0</v>
          </cell>
          <cell r="DQ481">
            <v>0</v>
          </cell>
          <cell r="DR481">
            <v>0</v>
          </cell>
          <cell r="DS481">
            <v>0</v>
          </cell>
          <cell r="DT481">
            <v>0</v>
          </cell>
          <cell r="DU481">
            <v>0</v>
          </cell>
          <cell r="DW481">
            <v>0</v>
          </cell>
          <cell r="DX481">
            <v>0</v>
          </cell>
          <cell r="DY481">
            <v>0</v>
          </cell>
          <cell r="DZ481">
            <v>0</v>
          </cell>
          <cell r="EA481">
            <v>0</v>
          </cell>
          <cell r="EB481">
            <v>0</v>
          </cell>
          <cell r="EC481">
            <v>0</v>
          </cell>
          <cell r="ED481">
            <v>0</v>
          </cell>
          <cell r="EE481">
            <v>0</v>
          </cell>
          <cell r="EF481">
            <v>0</v>
          </cell>
          <cell r="EG481">
            <v>0</v>
          </cell>
          <cell r="EH481">
            <v>0</v>
          </cell>
          <cell r="EI481">
            <v>0</v>
          </cell>
          <cell r="EK481">
            <v>0</v>
          </cell>
          <cell r="EL481">
            <v>0</v>
          </cell>
          <cell r="EM481">
            <v>0</v>
          </cell>
          <cell r="EN481">
            <v>0</v>
          </cell>
          <cell r="EO481">
            <v>0</v>
          </cell>
          <cell r="EP481">
            <v>0</v>
          </cell>
          <cell r="EQ481">
            <v>0</v>
          </cell>
          <cell r="ER481">
            <v>0</v>
          </cell>
          <cell r="ES481">
            <v>0</v>
          </cell>
          <cell r="ET481">
            <v>0</v>
          </cell>
          <cell r="EU481">
            <v>0</v>
          </cell>
          <cell r="EV481">
            <v>0</v>
          </cell>
          <cell r="EW481">
            <v>0</v>
          </cell>
          <cell r="EY481">
            <v>0</v>
          </cell>
          <cell r="EZ481">
            <v>8</v>
          </cell>
          <cell r="FA481">
            <v>0</v>
          </cell>
          <cell r="FB481">
            <v>0</v>
          </cell>
          <cell r="FC481">
            <v>8.6</v>
          </cell>
          <cell r="FD481">
            <v>0</v>
          </cell>
          <cell r="FE481">
            <v>0</v>
          </cell>
          <cell r="FF481">
            <v>0</v>
          </cell>
          <cell r="FH481">
            <v>0</v>
          </cell>
        </row>
        <row r="482">
          <cell r="B482">
            <v>9652</v>
          </cell>
          <cell r="C482" t="str">
            <v>15.01.2009</v>
          </cell>
          <cell r="D482" t="str">
            <v>Tasambad Jyoti Keshav</v>
          </cell>
          <cell r="F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  <cell r="BS482">
            <v>0</v>
          </cell>
          <cell r="BU482">
            <v>0</v>
          </cell>
          <cell r="BV482">
            <v>0</v>
          </cell>
          <cell r="BW482">
            <v>0</v>
          </cell>
          <cell r="BX482">
            <v>0</v>
          </cell>
          <cell r="BY482">
            <v>0</v>
          </cell>
          <cell r="BZ482">
            <v>0</v>
          </cell>
          <cell r="CA482">
            <v>0</v>
          </cell>
          <cell r="CB482">
            <v>0</v>
          </cell>
          <cell r="CC482">
            <v>0</v>
          </cell>
          <cell r="CE482">
            <v>0</v>
          </cell>
          <cell r="CF482">
            <v>0</v>
          </cell>
          <cell r="CG482">
            <v>0</v>
          </cell>
          <cell r="CH482">
            <v>0</v>
          </cell>
          <cell r="CI482">
            <v>0</v>
          </cell>
          <cell r="CJ482">
            <v>0</v>
          </cell>
          <cell r="CK482">
            <v>0</v>
          </cell>
          <cell r="CL482">
            <v>0</v>
          </cell>
          <cell r="CM482">
            <v>0</v>
          </cell>
          <cell r="CO482">
            <v>0</v>
          </cell>
          <cell r="CP482">
            <v>0</v>
          </cell>
          <cell r="CQ482">
            <v>0</v>
          </cell>
          <cell r="CR482">
            <v>0</v>
          </cell>
          <cell r="CS482">
            <v>0</v>
          </cell>
          <cell r="CT482">
            <v>0</v>
          </cell>
          <cell r="CU482">
            <v>0</v>
          </cell>
          <cell r="CV482">
            <v>0</v>
          </cell>
          <cell r="CW482">
            <v>0</v>
          </cell>
          <cell r="CY482">
            <v>0</v>
          </cell>
          <cell r="CZ482">
            <v>0</v>
          </cell>
          <cell r="DA482">
            <v>0</v>
          </cell>
          <cell r="DB482">
            <v>0</v>
          </cell>
          <cell r="DC482">
            <v>0</v>
          </cell>
          <cell r="DD482">
            <v>0</v>
          </cell>
          <cell r="DE482">
            <v>0</v>
          </cell>
          <cell r="DF482">
            <v>0</v>
          </cell>
          <cell r="DG482">
            <v>0</v>
          </cell>
          <cell r="DI482">
            <v>0</v>
          </cell>
          <cell r="DJ482">
            <v>0</v>
          </cell>
          <cell r="DK482">
            <v>0</v>
          </cell>
          <cell r="DL482">
            <v>0</v>
          </cell>
          <cell r="DM482">
            <v>0</v>
          </cell>
          <cell r="DN482">
            <v>0</v>
          </cell>
          <cell r="DO482">
            <v>0</v>
          </cell>
          <cell r="DP482">
            <v>0</v>
          </cell>
          <cell r="DQ482">
            <v>0</v>
          </cell>
          <cell r="DR482">
            <v>0</v>
          </cell>
          <cell r="DS482">
            <v>0</v>
          </cell>
          <cell r="DT482">
            <v>0</v>
          </cell>
          <cell r="DU482">
            <v>0</v>
          </cell>
          <cell r="DW482">
            <v>0</v>
          </cell>
          <cell r="DX482">
            <v>0</v>
          </cell>
          <cell r="DY482">
            <v>0</v>
          </cell>
          <cell r="DZ482">
            <v>0</v>
          </cell>
          <cell r="EA482">
            <v>0</v>
          </cell>
          <cell r="EB482">
            <v>0</v>
          </cell>
          <cell r="EC482">
            <v>0</v>
          </cell>
          <cell r="ED482">
            <v>0</v>
          </cell>
          <cell r="EE482">
            <v>0</v>
          </cell>
          <cell r="EF482">
            <v>0</v>
          </cell>
          <cell r="EG482">
            <v>0</v>
          </cell>
          <cell r="EH482">
            <v>0</v>
          </cell>
          <cell r="EI482">
            <v>0</v>
          </cell>
          <cell r="EK482">
            <v>0</v>
          </cell>
          <cell r="EL482">
            <v>0</v>
          </cell>
          <cell r="EM482">
            <v>0</v>
          </cell>
          <cell r="EN482">
            <v>0</v>
          </cell>
          <cell r="EO482">
            <v>0</v>
          </cell>
          <cell r="EP482">
            <v>0</v>
          </cell>
          <cell r="EQ482">
            <v>0</v>
          </cell>
          <cell r="ER482">
            <v>0</v>
          </cell>
          <cell r="ES482">
            <v>0</v>
          </cell>
          <cell r="ET482">
            <v>0</v>
          </cell>
          <cell r="EU482">
            <v>0</v>
          </cell>
          <cell r="EV482">
            <v>0</v>
          </cell>
          <cell r="EW482">
            <v>0</v>
          </cell>
          <cell r="EY482">
            <v>0</v>
          </cell>
          <cell r="EZ482">
            <v>8</v>
          </cell>
          <cell r="FA482">
            <v>0</v>
          </cell>
          <cell r="FB482">
            <v>0</v>
          </cell>
          <cell r="FC482">
            <v>8.6</v>
          </cell>
          <cell r="FD482">
            <v>0</v>
          </cell>
          <cell r="FE482">
            <v>0</v>
          </cell>
          <cell r="FF482">
            <v>0</v>
          </cell>
          <cell r="FH482">
            <v>0</v>
          </cell>
        </row>
        <row r="483">
          <cell r="B483">
            <v>9667</v>
          </cell>
          <cell r="C483" t="str">
            <v>23.01.2009</v>
          </cell>
          <cell r="D483" t="str">
            <v>Shinde Ankush Suresh</v>
          </cell>
          <cell r="F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>
            <v>0</v>
          </cell>
          <cell r="BI483">
            <v>0</v>
          </cell>
          <cell r="BK483">
            <v>0</v>
          </cell>
          <cell r="BL483">
            <v>0</v>
          </cell>
          <cell r="BM483">
            <v>0</v>
          </cell>
          <cell r="BN483">
            <v>0</v>
          </cell>
          <cell r="BO483">
            <v>0</v>
          </cell>
          <cell r="BP483">
            <v>0</v>
          </cell>
          <cell r="BQ483">
            <v>0</v>
          </cell>
          <cell r="BR483">
            <v>0</v>
          </cell>
          <cell r="BS483">
            <v>0</v>
          </cell>
          <cell r="BU483">
            <v>0</v>
          </cell>
          <cell r="BV483">
            <v>0</v>
          </cell>
          <cell r="BW483">
            <v>0</v>
          </cell>
          <cell r="BX483">
            <v>0</v>
          </cell>
          <cell r="BY483">
            <v>0</v>
          </cell>
          <cell r="BZ483">
            <v>0</v>
          </cell>
          <cell r="CA483">
            <v>0</v>
          </cell>
          <cell r="CB483">
            <v>0</v>
          </cell>
          <cell r="CC483">
            <v>0</v>
          </cell>
          <cell r="CE483">
            <v>0</v>
          </cell>
          <cell r="CF483">
            <v>0</v>
          </cell>
          <cell r="CG483">
            <v>0</v>
          </cell>
          <cell r="CH483">
            <v>0</v>
          </cell>
          <cell r="CI483">
            <v>0</v>
          </cell>
          <cell r="CJ483">
            <v>0</v>
          </cell>
          <cell r="CK483">
            <v>0</v>
          </cell>
          <cell r="CL483">
            <v>0</v>
          </cell>
          <cell r="CM483">
            <v>0</v>
          </cell>
          <cell r="CO483">
            <v>0</v>
          </cell>
          <cell r="CP483">
            <v>0</v>
          </cell>
          <cell r="CQ483">
            <v>0</v>
          </cell>
          <cell r="CR483">
            <v>0</v>
          </cell>
          <cell r="CS483">
            <v>0</v>
          </cell>
          <cell r="CT483">
            <v>0</v>
          </cell>
          <cell r="CU483">
            <v>0</v>
          </cell>
          <cell r="CV483">
            <v>0</v>
          </cell>
          <cell r="CW483">
            <v>0</v>
          </cell>
          <cell r="CY483">
            <v>0</v>
          </cell>
          <cell r="CZ483">
            <v>0</v>
          </cell>
          <cell r="DA483">
            <v>0</v>
          </cell>
          <cell r="DB483">
            <v>0</v>
          </cell>
          <cell r="DC483">
            <v>0</v>
          </cell>
          <cell r="DD483">
            <v>0</v>
          </cell>
          <cell r="DE483">
            <v>0</v>
          </cell>
          <cell r="DF483">
            <v>0</v>
          </cell>
          <cell r="DG483">
            <v>0</v>
          </cell>
          <cell r="DI483">
            <v>0</v>
          </cell>
          <cell r="DJ483">
            <v>0</v>
          </cell>
          <cell r="DK483">
            <v>0</v>
          </cell>
          <cell r="DL483">
            <v>0</v>
          </cell>
          <cell r="DM483">
            <v>0</v>
          </cell>
          <cell r="DN483">
            <v>0</v>
          </cell>
          <cell r="DO483">
            <v>0</v>
          </cell>
          <cell r="DP483">
            <v>0</v>
          </cell>
          <cell r="DQ483">
            <v>0</v>
          </cell>
          <cell r="DR483">
            <v>0</v>
          </cell>
          <cell r="DS483">
            <v>0</v>
          </cell>
          <cell r="DT483">
            <v>0</v>
          </cell>
          <cell r="DU483">
            <v>0</v>
          </cell>
          <cell r="DW483">
            <v>0</v>
          </cell>
          <cell r="DX483">
            <v>0</v>
          </cell>
          <cell r="DY483">
            <v>0</v>
          </cell>
          <cell r="DZ483">
            <v>0</v>
          </cell>
          <cell r="EA483">
            <v>0</v>
          </cell>
          <cell r="EB483">
            <v>0</v>
          </cell>
          <cell r="EC483">
            <v>0</v>
          </cell>
          <cell r="ED483">
            <v>0</v>
          </cell>
          <cell r="EE483">
            <v>0</v>
          </cell>
          <cell r="EF483">
            <v>0</v>
          </cell>
          <cell r="EG483">
            <v>0</v>
          </cell>
          <cell r="EH483">
            <v>0</v>
          </cell>
          <cell r="EI483">
            <v>0</v>
          </cell>
          <cell r="EK483">
            <v>0</v>
          </cell>
          <cell r="EL483">
            <v>0</v>
          </cell>
          <cell r="EM483">
            <v>0</v>
          </cell>
          <cell r="EN483">
            <v>0</v>
          </cell>
          <cell r="EO483">
            <v>0</v>
          </cell>
          <cell r="EP483">
            <v>0</v>
          </cell>
          <cell r="EQ483">
            <v>0</v>
          </cell>
          <cell r="ER483">
            <v>0</v>
          </cell>
          <cell r="ES483">
            <v>0</v>
          </cell>
          <cell r="ET483">
            <v>0</v>
          </cell>
          <cell r="EU483">
            <v>0</v>
          </cell>
          <cell r="EV483">
            <v>0</v>
          </cell>
          <cell r="EW483">
            <v>0</v>
          </cell>
          <cell r="EY483">
            <v>0</v>
          </cell>
          <cell r="EZ483">
            <v>8</v>
          </cell>
          <cell r="FA483">
            <v>0</v>
          </cell>
          <cell r="FB483">
            <v>0</v>
          </cell>
          <cell r="FC483">
            <v>8.6</v>
          </cell>
          <cell r="FD483">
            <v>0</v>
          </cell>
          <cell r="FE483">
            <v>0</v>
          </cell>
          <cell r="FF483">
            <v>0</v>
          </cell>
          <cell r="FH483">
            <v>0</v>
          </cell>
        </row>
        <row r="484">
          <cell r="B484">
            <v>9302</v>
          </cell>
          <cell r="C484" t="str">
            <v>27.01.2009</v>
          </cell>
          <cell r="D484" t="str">
            <v>Deore Milan Mangu</v>
          </cell>
          <cell r="F484">
            <v>39482</v>
          </cell>
          <cell r="G484">
            <v>51772</v>
          </cell>
          <cell r="H484">
            <v>14520</v>
          </cell>
          <cell r="I484">
            <v>14520</v>
          </cell>
          <cell r="J484">
            <v>29040</v>
          </cell>
          <cell r="K484">
            <v>-10442</v>
          </cell>
          <cell r="M484">
            <v>2240</v>
          </cell>
          <cell r="N484">
            <v>0</v>
          </cell>
          <cell r="O484">
            <v>2240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W484">
            <v>2240</v>
          </cell>
          <cell r="X484">
            <v>0</v>
          </cell>
          <cell r="Y484">
            <v>2240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G484">
            <v>2308</v>
          </cell>
          <cell r="AH484">
            <v>0</v>
          </cell>
          <cell r="AI484">
            <v>2308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Q484">
            <v>2308</v>
          </cell>
          <cell r="AR484">
            <v>0</v>
          </cell>
          <cell r="AS484">
            <v>2308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BA484">
            <v>2308</v>
          </cell>
          <cell r="BB484">
            <v>0</v>
          </cell>
          <cell r="BC484">
            <v>2308</v>
          </cell>
          <cell r="BD484">
            <v>0</v>
          </cell>
          <cell r="BE484">
            <v>0</v>
          </cell>
          <cell r="BF484">
            <v>0</v>
          </cell>
          <cell r="BG484">
            <v>0</v>
          </cell>
          <cell r="BH484">
            <v>0</v>
          </cell>
          <cell r="BI484">
            <v>0</v>
          </cell>
          <cell r="BK484">
            <v>2415</v>
          </cell>
          <cell r="BL484">
            <v>0</v>
          </cell>
          <cell r="BM484">
            <v>2415</v>
          </cell>
          <cell r="BN484">
            <v>0</v>
          </cell>
          <cell r="BO484">
            <v>0</v>
          </cell>
          <cell r="BP484">
            <v>0</v>
          </cell>
          <cell r="BQ484">
            <v>0</v>
          </cell>
          <cell r="BR484">
            <v>0</v>
          </cell>
          <cell r="BS484">
            <v>0</v>
          </cell>
          <cell r="BU484">
            <v>2415</v>
          </cell>
          <cell r="BV484">
            <v>0</v>
          </cell>
          <cell r="BW484">
            <v>2415</v>
          </cell>
          <cell r="BX484">
            <v>0</v>
          </cell>
          <cell r="BY484">
            <v>0</v>
          </cell>
          <cell r="BZ484">
            <v>0</v>
          </cell>
          <cell r="CA484">
            <v>0</v>
          </cell>
          <cell r="CB484">
            <v>0</v>
          </cell>
          <cell r="CC484">
            <v>0</v>
          </cell>
          <cell r="CE484">
            <v>2415</v>
          </cell>
          <cell r="CF484">
            <v>0</v>
          </cell>
          <cell r="CG484">
            <v>2415</v>
          </cell>
          <cell r="CH484">
            <v>0</v>
          </cell>
          <cell r="CI484">
            <v>0</v>
          </cell>
          <cell r="CJ484">
            <v>0</v>
          </cell>
          <cell r="CK484">
            <v>0</v>
          </cell>
          <cell r="CL484">
            <v>0</v>
          </cell>
          <cell r="CM484">
            <v>0</v>
          </cell>
          <cell r="CO484">
            <v>2415</v>
          </cell>
          <cell r="CP484">
            <v>0</v>
          </cell>
          <cell r="CQ484">
            <v>2415</v>
          </cell>
          <cell r="CR484">
            <v>0</v>
          </cell>
          <cell r="CS484">
            <v>0</v>
          </cell>
          <cell r="CT484">
            <v>0</v>
          </cell>
          <cell r="CU484">
            <v>0</v>
          </cell>
          <cell r="CV484">
            <v>0</v>
          </cell>
          <cell r="CW484">
            <v>0</v>
          </cell>
          <cell r="CY484">
            <v>2415</v>
          </cell>
          <cell r="CZ484">
            <v>0</v>
          </cell>
          <cell r="DA484">
            <v>2415</v>
          </cell>
          <cell r="DB484">
            <v>0</v>
          </cell>
          <cell r="DC484">
            <v>0</v>
          </cell>
          <cell r="DD484">
            <v>0</v>
          </cell>
          <cell r="DE484">
            <v>0</v>
          </cell>
          <cell r="DF484">
            <v>0</v>
          </cell>
          <cell r="DG484">
            <v>0</v>
          </cell>
          <cell r="DI484">
            <v>29040</v>
          </cell>
          <cell r="DJ484">
            <v>23479</v>
          </cell>
          <cell r="DK484">
            <v>0</v>
          </cell>
          <cell r="DL484">
            <v>23479</v>
          </cell>
          <cell r="DM484">
            <v>23479</v>
          </cell>
          <cell r="DN484">
            <v>0</v>
          </cell>
          <cell r="DO484">
            <v>23479</v>
          </cell>
          <cell r="DP484">
            <v>0</v>
          </cell>
          <cell r="DQ484">
            <v>0</v>
          </cell>
          <cell r="DR484">
            <v>0</v>
          </cell>
          <cell r="DS484">
            <v>0</v>
          </cell>
          <cell r="DT484">
            <v>46958</v>
          </cell>
          <cell r="DU484">
            <v>0</v>
          </cell>
          <cell r="DW484">
            <v>0</v>
          </cell>
          <cell r="DX484">
            <v>0</v>
          </cell>
          <cell r="DY484">
            <v>33520</v>
          </cell>
          <cell r="DZ484">
            <v>38000</v>
          </cell>
          <cell r="EA484">
            <v>42616</v>
          </cell>
          <cell r="EB484">
            <v>47232</v>
          </cell>
          <cell r="EC484">
            <v>51848</v>
          </cell>
          <cell r="ED484">
            <v>56678</v>
          </cell>
          <cell r="EE484">
            <v>61508</v>
          </cell>
          <cell r="EF484">
            <v>66338</v>
          </cell>
          <cell r="EG484">
            <v>71168</v>
          </cell>
          <cell r="EH484">
            <v>75998</v>
          </cell>
          <cell r="EI484">
            <v>544906</v>
          </cell>
          <cell r="EK484">
            <v>0</v>
          </cell>
          <cell r="EL484">
            <v>0</v>
          </cell>
          <cell r="EM484">
            <v>223.46666666666667</v>
          </cell>
          <cell r="EN484">
            <v>253.33333333333334</v>
          </cell>
          <cell r="EO484">
            <v>284.10666666666668</v>
          </cell>
          <cell r="EP484">
            <v>314.88</v>
          </cell>
          <cell r="EQ484">
            <v>345.65333333333336</v>
          </cell>
          <cell r="ER484">
            <v>377.8533333333333</v>
          </cell>
          <cell r="ES484">
            <v>440.80733333333325</v>
          </cell>
          <cell r="ET484">
            <v>475.42233333333326</v>
          </cell>
          <cell r="EU484">
            <v>510.03733333333327</v>
          </cell>
          <cell r="EV484">
            <v>544.65233333333333</v>
          </cell>
          <cell r="EW484">
            <v>3770.2126666666668</v>
          </cell>
          <cell r="EY484">
            <v>269894</v>
          </cell>
          <cell r="EZ484">
            <v>8</v>
          </cell>
          <cell r="FA484">
            <v>1799.2933333333333</v>
          </cell>
          <cell r="FB484">
            <v>275012</v>
          </cell>
          <cell r="FC484">
            <v>8.6</v>
          </cell>
          <cell r="FD484">
            <v>1970.919333333333</v>
          </cell>
          <cell r="FE484">
            <v>3770.2126666666663</v>
          </cell>
          <cell r="FF484">
            <v>79768</v>
          </cell>
          <cell r="FH484">
            <v>79768</v>
          </cell>
        </row>
        <row r="485">
          <cell r="B485">
            <v>9303</v>
          </cell>
          <cell r="C485" t="str">
            <v>27.01.2009</v>
          </cell>
          <cell r="D485" t="str">
            <v>Dongaonkar Vina Dattarey</v>
          </cell>
          <cell r="F485">
            <v>39482</v>
          </cell>
          <cell r="G485">
            <v>51772</v>
          </cell>
          <cell r="H485">
            <v>14520</v>
          </cell>
          <cell r="I485">
            <v>14520</v>
          </cell>
          <cell r="J485">
            <v>29040</v>
          </cell>
          <cell r="K485">
            <v>-10442</v>
          </cell>
          <cell r="M485">
            <v>2240</v>
          </cell>
          <cell r="N485">
            <v>0</v>
          </cell>
          <cell r="O485">
            <v>2240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W485">
            <v>2240</v>
          </cell>
          <cell r="X485">
            <v>0</v>
          </cell>
          <cell r="Y485">
            <v>2240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G485">
            <v>2308</v>
          </cell>
          <cell r="AH485">
            <v>0</v>
          </cell>
          <cell r="AI485">
            <v>2308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Q485">
            <v>2308</v>
          </cell>
          <cell r="AR485">
            <v>0</v>
          </cell>
          <cell r="AS485">
            <v>2308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BA485">
            <v>2308</v>
          </cell>
          <cell r="BB485">
            <v>0</v>
          </cell>
          <cell r="BC485">
            <v>2308</v>
          </cell>
          <cell r="BD485">
            <v>0</v>
          </cell>
          <cell r="BE485">
            <v>0</v>
          </cell>
          <cell r="BF485">
            <v>0</v>
          </cell>
          <cell r="BG485">
            <v>0</v>
          </cell>
          <cell r="BH485">
            <v>0</v>
          </cell>
          <cell r="BI485">
            <v>0</v>
          </cell>
          <cell r="BK485">
            <v>2415</v>
          </cell>
          <cell r="BL485">
            <v>0</v>
          </cell>
          <cell r="BM485">
            <v>2415</v>
          </cell>
          <cell r="BN485">
            <v>0</v>
          </cell>
          <cell r="BO485">
            <v>0</v>
          </cell>
          <cell r="BP485">
            <v>0</v>
          </cell>
          <cell r="BQ485">
            <v>0</v>
          </cell>
          <cell r="BR485">
            <v>0</v>
          </cell>
          <cell r="BS485">
            <v>0</v>
          </cell>
          <cell r="BU485">
            <v>2415</v>
          </cell>
          <cell r="BV485">
            <v>0</v>
          </cell>
          <cell r="BW485">
            <v>2415</v>
          </cell>
          <cell r="BX485">
            <v>0</v>
          </cell>
          <cell r="BY485">
            <v>0</v>
          </cell>
          <cell r="BZ485">
            <v>0</v>
          </cell>
          <cell r="CA485">
            <v>0</v>
          </cell>
          <cell r="CB485">
            <v>0</v>
          </cell>
          <cell r="CC485">
            <v>0</v>
          </cell>
          <cell r="CE485">
            <v>2415</v>
          </cell>
          <cell r="CF485">
            <v>0</v>
          </cell>
          <cell r="CG485">
            <v>2415</v>
          </cell>
          <cell r="CH485">
            <v>0</v>
          </cell>
          <cell r="CI485">
            <v>0</v>
          </cell>
          <cell r="CJ485">
            <v>0</v>
          </cell>
          <cell r="CK485">
            <v>0</v>
          </cell>
          <cell r="CL485">
            <v>0</v>
          </cell>
          <cell r="CM485">
            <v>0</v>
          </cell>
          <cell r="CO485">
            <v>2415</v>
          </cell>
          <cell r="CP485">
            <v>0</v>
          </cell>
          <cell r="CQ485">
            <v>2415</v>
          </cell>
          <cell r="CR485">
            <v>0</v>
          </cell>
          <cell r="CS485">
            <v>0</v>
          </cell>
          <cell r="CT485">
            <v>0</v>
          </cell>
          <cell r="CU485">
            <v>0</v>
          </cell>
          <cell r="CV485">
            <v>0</v>
          </cell>
          <cell r="CW485">
            <v>0</v>
          </cell>
          <cell r="CY485">
            <v>2415</v>
          </cell>
          <cell r="CZ485">
            <v>0</v>
          </cell>
          <cell r="DA485">
            <v>2415</v>
          </cell>
          <cell r="DB485">
            <v>0</v>
          </cell>
          <cell r="DC485">
            <v>0</v>
          </cell>
          <cell r="DD485">
            <v>0</v>
          </cell>
          <cell r="DE485">
            <v>0</v>
          </cell>
          <cell r="DF485">
            <v>0</v>
          </cell>
          <cell r="DG485">
            <v>0</v>
          </cell>
          <cell r="DI485">
            <v>29040</v>
          </cell>
          <cell r="DJ485">
            <v>23479</v>
          </cell>
          <cell r="DK485">
            <v>0</v>
          </cell>
          <cell r="DL485">
            <v>23479</v>
          </cell>
          <cell r="DM485">
            <v>23479</v>
          </cell>
          <cell r="DN485">
            <v>0</v>
          </cell>
          <cell r="DO485">
            <v>23479</v>
          </cell>
          <cell r="DP485">
            <v>0</v>
          </cell>
          <cell r="DQ485">
            <v>0</v>
          </cell>
          <cell r="DR485">
            <v>0</v>
          </cell>
          <cell r="DS485">
            <v>0</v>
          </cell>
          <cell r="DT485">
            <v>46958</v>
          </cell>
          <cell r="DU485">
            <v>0</v>
          </cell>
          <cell r="DW485">
            <v>0</v>
          </cell>
          <cell r="DX485">
            <v>0</v>
          </cell>
          <cell r="DY485">
            <v>33520</v>
          </cell>
          <cell r="DZ485">
            <v>38000</v>
          </cell>
          <cell r="EA485">
            <v>42616</v>
          </cell>
          <cell r="EB485">
            <v>47232</v>
          </cell>
          <cell r="EC485">
            <v>51848</v>
          </cell>
          <cell r="ED485">
            <v>56678</v>
          </cell>
          <cell r="EE485">
            <v>61508</v>
          </cell>
          <cell r="EF485">
            <v>66338</v>
          </cell>
          <cell r="EG485">
            <v>71168</v>
          </cell>
          <cell r="EH485">
            <v>75998</v>
          </cell>
          <cell r="EI485">
            <v>544906</v>
          </cell>
          <cell r="EK485">
            <v>0</v>
          </cell>
          <cell r="EL485">
            <v>0</v>
          </cell>
          <cell r="EM485">
            <v>223.46666666666667</v>
          </cell>
          <cell r="EN485">
            <v>253.33333333333334</v>
          </cell>
          <cell r="EO485">
            <v>284.10666666666668</v>
          </cell>
          <cell r="EP485">
            <v>314.88</v>
          </cell>
          <cell r="EQ485">
            <v>345.65333333333336</v>
          </cell>
          <cell r="ER485">
            <v>377.8533333333333</v>
          </cell>
          <cell r="ES485">
            <v>440.80733333333325</v>
          </cell>
          <cell r="ET485">
            <v>475.42233333333326</v>
          </cell>
          <cell r="EU485">
            <v>510.03733333333327</v>
          </cell>
          <cell r="EV485">
            <v>544.65233333333333</v>
          </cell>
          <cell r="EW485">
            <v>3770.2126666666668</v>
          </cell>
          <cell r="EY485">
            <v>269894</v>
          </cell>
          <cell r="EZ485">
            <v>8</v>
          </cell>
          <cell r="FA485">
            <v>1799.2933333333333</v>
          </cell>
          <cell r="FB485">
            <v>275012</v>
          </cell>
          <cell r="FC485">
            <v>8.6</v>
          </cell>
          <cell r="FD485">
            <v>1970.919333333333</v>
          </cell>
          <cell r="FE485">
            <v>3770.2126666666663</v>
          </cell>
          <cell r="FF485">
            <v>79768</v>
          </cell>
          <cell r="FH485">
            <v>79768</v>
          </cell>
        </row>
        <row r="486">
          <cell r="B486">
            <v>9304</v>
          </cell>
          <cell r="C486" t="str">
            <v>27.01.2009</v>
          </cell>
          <cell r="D486" t="str">
            <v>More Shilpa vishram</v>
          </cell>
          <cell r="F486">
            <v>39482</v>
          </cell>
          <cell r="G486">
            <v>51772</v>
          </cell>
          <cell r="H486">
            <v>14520</v>
          </cell>
          <cell r="I486">
            <v>14520</v>
          </cell>
          <cell r="J486">
            <v>29040</v>
          </cell>
          <cell r="K486">
            <v>-10442</v>
          </cell>
          <cell r="M486">
            <v>2240</v>
          </cell>
          <cell r="N486">
            <v>0</v>
          </cell>
          <cell r="O486">
            <v>2240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W486">
            <v>2240</v>
          </cell>
          <cell r="X486">
            <v>0</v>
          </cell>
          <cell r="Y486">
            <v>2240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G486">
            <v>2308</v>
          </cell>
          <cell r="AH486">
            <v>0</v>
          </cell>
          <cell r="AI486">
            <v>2308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Q486">
            <v>2308</v>
          </cell>
          <cell r="AR486">
            <v>0</v>
          </cell>
          <cell r="AS486">
            <v>2308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BA486">
            <v>2308</v>
          </cell>
          <cell r="BB486">
            <v>0</v>
          </cell>
          <cell r="BC486">
            <v>2308</v>
          </cell>
          <cell r="BD486">
            <v>0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>
            <v>0</v>
          </cell>
          <cell r="BK486">
            <v>2415</v>
          </cell>
          <cell r="BL486">
            <v>0</v>
          </cell>
          <cell r="BM486">
            <v>2415</v>
          </cell>
          <cell r="BN486">
            <v>0</v>
          </cell>
          <cell r="BO486">
            <v>0</v>
          </cell>
          <cell r="BP486">
            <v>0</v>
          </cell>
          <cell r="BQ486">
            <v>0</v>
          </cell>
          <cell r="BR486">
            <v>0</v>
          </cell>
          <cell r="BS486">
            <v>0</v>
          </cell>
          <cell r="BU486">
            <v>2415</v>
          </cell>
          <cell r="BV486">
            <v>0</v>
          </cell>
          <cell r="BW486">
            <v>2415</v>
          </cell>
          <cell r="BX486">
            <v>0</v>
          </cell>
          <cell r="BY486">
            <v>0</v>
          </cell>
          <cell r="BZ486">
            <v>0</v>
          </cell>
          <cell r="CA486">
            <v>0</v>
          </cell>
          <cell r="CB486">
            <v>0</v>
          </cell>
          <cell r="CC486">
            <v>0</v>
          </cell>
          <cell r="CE486">
            <v>2415</v>
          </cell>
          <cell r="CF486">
            <v>0</v>
          </cell>
          <cell r="CG486">
            <v>2415</v>
          </cell>
          <cell r="CH486">
            <v>0</v>
          </cell>
          <cell r="CI486">
            <v>0</v>
          </cell>
          <cell r="CJ486">
            <v>0</v>
          </cell>
          <cell r="CK486">
            <v>0</v>
          </cell>
          <cell r="CL486">
            <v>0</v>
          </cell>
          <cell r="CM486">
            <v>0</v>
          </cell>
          <cell r="CO486">
            <v>2415</v>
          </cell>
          <cell r="CP486">
            <v>0</v>
          </cell>
          <cell r="CQ486">
            <v>2415</v>
          </cell>
          <cell r="CR486">
            <v>0</v>
          </cell>
          <cell r="CS486">
            <v>0</v>
          </cell>
          <cell r="CT486">
            <v>0</v>
          </cell>
          <cell r="CU486">
            <v>0</v>
          </cell>
          <cell r="CV486">
            <v>0</v>
          </cell>
          <cell r="CW486">
            <v>0</v>
          </cell>
          <cell r="CY486">
            <v>2415</v>
          </cell>
          <cell r="CZ486">
            <v>0</v>
          </cell>
          <cell r="DA486">
            <v>2415</v>
          </cell>
          <cell r="DB486">
            <v>0</v>
          </cell>
          <cell r="DC486">
            <v>0</v>
          </cell>
          <cell r="DD486">
            <v>0</v>
          </cell>
          <cell r="DE486">
            <v>0</v>
          </cell>
          <cell r="DF486">
            <v>0</v>
          </cell>
          <cell r="DG486">
            <v>0</v>
          </cell>
          <cell r="DI486">
            <v>29040</v>
          </cell>
          <cell r="DJ486">
            <v>23479</v>
          </cell>
          <cell r="DK486">
            <v>0</v>
          </cell>
          <cell r="DL486">
            <v>23479</v>
          </cell>
          <cell r="DM486">
            <v>23479</v>
          </cell>
          <cell r="DN486">
            <v>0</v>
          </cell>
          <cell r="DO486">
            <v>23479</v>
          </cell>
          <cell r="DP486">
            <v>0</v>
          </cell>
          <cell r="DQ486">
            <v>0</v>
          </cell>
          <cell r="DR486">
            <v>0</v>
          </cell>
          <cell r="DS486">
            <v>0</v>
          </cell>
          <cell r="DT486">
            <v>46958</v>
          </cell>
          <cell r="DU486">
            <v>0</v>
          </cell>
          <cell r="DW486">
            <v>0</v>
          </cell>
          <cell r="DX486">
            <v>0</v>
          </cell>
          <cell r="DY486">
            <v>33520</v>
          </cell>
          <cell r="DZ486">
            <v>38000</v>
          </cell>
          <cell r="EA486">
            <v>42616</v>
          </cell>
          <cell r="EB486">
            <v>47232</v>
          </cell>
          <cell r="EC486">
            <v>51848</v>
          </cell>
          <cell r="ED486">
            <v>56678</v>
          </cell>
          <cell r="EE486">
            <v>61508</v>
          </cell>
          <cell r="EF486">
            <v>66338</v>
          </cell>
          <cell r="EG486">
            <v>71168</v>
          </cell>
          <cell r="EH486">
            <v>75998</v>
          </cell>
          <cell r="EI486">
            <v>544906</v>
          </cell>
          <cell r="EK486">
            <v>0</v>
          </cell>
          <cell r="EL486">
            <v>0</v>
          </cell>
          <cell r="EM486">
            <v>223.46666666666667</v>
          </cell>
          <cell r="EN486">
            <v>253.33333333333334</v>
          </cell>
          <cell r="EO486">
            <v>284.10666666666668</v>
          </cell>
          <cell r="EP486">
            <v>314.88</v>
          </cell>
          <cell r="EQ486">
            <v>345.65333333333336</v>
          </cell>
          <cell r="ER486">
            <v>377.8533333333333</v>
          </cell>
          <cell r="ES486">
            <v>440.80733333333325</v>
          </cell>
          <cell r="ET486">
            <v>475.42233333333326</v>
          </cell>
          <cell r="EU486">
            <v>510.03733333333327</v>
          </cell>
          <cell r="EV486">
            <v>544.65233333333333</v>
          </cell>
          <cell r="EW486">
            <v>3770.2126666666668</v>
          </cell>
          <cell r="EY486">
            <v>269894</v>
          </cell>
          <cell r="EZ486">
            <v>8</v>
          </cell>
          <cell r="FA486">
            <v>1799.2933333333333</v>
          </cell>
          <cell r="FB486">
            <v>275012</v>
          </cell>
          <cell r="FC486">
            <v>8.6</v>
          </cell>
          <cell r="FD486">
            <v>1970.919333333333</v>
          </cell>
          <cell r="FE486">
            <v>3770.2126666666663</v>
          </cell>
          <cell r="FF486">
            <v>79768</v>
          </cell>
          <cell r="FH486">
            <v>79768</v>
          </cell>
        </row>
        <row r="487">
          <cell r="B487">
            <v>9305</v>
          </cell>
          <cell r="C487" t="str">
            <v>27.01.2009</v>
          </cell>
          <cell r="D487" t="str">
            <v>Kushare Nandkishor Rangnath</v>
          </cell>
          <cell r="F487">
            <v>39482</v>
          </cell>
          <cell r="G487">
            <v>51772</v>
          </cell>
          <cell r="H487">
            <v>14520</v>
          </cell>
          <cell r="I487">
            <v>14520</v>
          </cell>
          <cell r="J487">
            <v>29040</v>
          </cell>
          <cell r="K487">
            <v>-10442</v>
          </cell>
          <cell r="M487">
            <v>2240</v>
          </cell>
          <cell r="N487">
            <v>0</v>
          </cell>
          <cell r="O487">
            <v>2240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W487">
            <v>2240</v>
          </cell>
          <cell r="X487">
            <v>0</v>
          </cell>
          <cell r="Y487">
            <v>2240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G487">
            <v>2308</v>
          </cell>
          <cell r="AH487">
            <v>0</v>
          </cell>
          <cell r="AI487">
            <v>2308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Q487">
            <v>2308</v>
          </cell>
          <cell r="AR487">
            <v>0</v>
          </cell>
          <cell r="AS487">
            <v>2308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  <cell r="AY487">
            <v>0</v>
          </cell>
          <cell r="BA487">
            <v>2308</v>
          </cell>
          <cell r="BB487">
            <v>0</v>
          </cell>
          <cell r="BC487">
            <v>2308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0</v>
          </cell>
          <cell r="BI487">
            <v>0</v>
          </cell>
          <cell r="BK487">
            <v>2415</v>
          </cell>
          <cell r="BL487">
            <v>0</v>
          </cell>
          <cell r="BM487">
            <v>2415</v>
          </cell>
          <cell r="BN487">
            <v>0</v>
          </cell>
          <cell r="BO487">
            <v>0</v>
          </cell>
          <cell r="BP487">
            <v>0</v>
          </cell>
          <cell r="BQ487">
            <v>0</v>
          </cell>
          <cell r="BR487">
            <v>0</v>
          </cell>
          <cell r="BS487">
            <v>0</v>
          </cell>
          <cell r="BU487">
            <v>2415</v>
          </cell>
          <cell r="BV487">
            <v>0</v>
          </cell>
          <cell r="BW487">
            <v>2415</v>
          </cell>
          <cell r="BX487">
            <v>0</v>
          </cell>
          <cell r="BY487">
            <v>0</v>
          </cell>
          <cell r="BZ487">
            <v>0</v>
          </cell>
          <cell r="CA487">
            <v>0</v>
          </cell>
          <cell r="CB487">
            <v>0</v>
          </cell>
          <cell r="CC487">
            <v>0</v>
          </cell>
          <cell r="CE487">
            <v>2415</v>
          </cell>
          <cell r="CF487">
            <v>0</v>
          </cell>
          <cell r="CG487">
            <v>2415</v>
          </cell>
          <cell r="CH487">
            <v>0</v>
          </cell>
          <cell r="CI487">
            <v>0</v>
          </cell>
          <cell r="CJ487">
            <v>0</v>
          </cell>
          <cell r="CK487">
            <v>0</v>
          </cell>
          <cell r="CL487">
            <v>0</v>
          </cell>
          <cell r="CM487">
            <v>0</v>
          </cell>
          <cell r="CO487">
            <v>2415</v>
          </cell>
          <cell r="CP487">
            <v>0</v>
          </cell>
          <cell r="CQ487">
            <v>2415</v>
          </cell>
          <cell r="CR487">
            <v>0</v>
          </cell>
          <cell r="CS487">
            <v>0</v>
          </cell>
          <cell r="CT487">
            <v>0</v>
          </cell>
          <cell r="CU487">
            <v>0</v>
          </cell>
          <cell r="CV487">
            <v>0</v>
          </cell>
          <cell r="CW487">
            <v>0</v>
          </cell>
          <cell r="CY487">
            <v>2415</v>
          </cell>
          <cell r="CZ487">
            <v>0</v>
          </cell>
          <cell r="DA487">
            <v>2415</v>
          </cell>
          <cell r="DB487">
            <v>0</v>
          </cell>
          <cell r="DC487">
            <v>0</v>
          </cell>
          <cell r="DD487">
            <v>0</v>
          </cell>
          <cell r="DE487">
            <v>0</v>
          </cell>
          <cell r="DF487">
            <v>0</v>
          </cell>
          <cell r="DG487">
            <v>0</v>
          </cell>
          <cell r="DI487">
            <v>29040</v>
          </cell>
          <cell r="DJ487">
            <v>23479</v>
          </cell>
          <cell r="DK487">
            <v>0</v>
          </cell>
          <cell r="DL487">
            <v>23479</v>
          </cell>
          <cell r="DM487">
            <v>23479</v>
          </cell>
          <cell r="DN487">
            <v>0</v>
          </cell>
          <cell r="DO487">
            <v>23479</v>
          </cell>
          <cell r="DP487">
            <v>0</v>
          </cell>
          <cell r="DQ487">
            <v>0</v>
          </cell>
          <cell r="DR487">
            <v>0</v>
          </cell>
          <cell r="DS487">
            <v>0</v>
          </cell>
          <cell r="DT487">
            <v>46958</v>
          </cell>
          <cell r="DU487">
            <v>0</v>
          </cell>
          <cell r="DW487">
            <v>0</v>
          </cell>
          <cell r="DX487">
            <v>0</v>
          </cell>
          <cell r="DY487">
            <v>33520</v>
          </cell>
          <cell r="DZ487">
            <v>38000</v>
          </cell>
          <cell r="EA487">
            <v>42616</v>
          </cell>
          <cell r="EB487">
            <v>47232</v>
          </cell>
          <cell r="EC487">
            <v>51848</v>
          </cell>
          <cell r="ED487">
            <v>56678</v>
          </cell>
          <cell r="EE487">
            <v>61508</v>
          </cell>
          <cell r="EF487">
            <v>66338</v>
          </cell>
          <cell r="EG487">
            <v>71168</v>
          </cell>
          <cell r="EH487">
            <v>75998</v>
          </cell>
          <cell r="EI487">
            <v>544906</v>
          </cell>
          <cell r="EK487">
            <v>0</v>
          </cell>
          <cell r="EL487">
            <v>0</v>
          </cell>
          <cell r="EM487">
            <v>223.46666666666667</v>
          </cell>
          <cell r="EN487">
            <v>253.33333333333334</v>
          </cell>
          <cell r="EO487">
            <v>284.10666666666668</v>
          </cell>
          <cell r="EP487">
            <v>314.88</v>
          </cell>
          <cell r="EQ487">
            <v>345.65333333333336</v>
          </cell>
          <cell r="ER487">
            <v>377.8533333333333</v>
          </cell>
          <cell r="ES487">
            <v>440.80733333333325</v>
          </cell>
          <cell r="ET487">
            <v>475.42233333333326</v>
          </cell>
          <cell r="EU487">
            <v>510.03733333333327</v>
          </cell>
          <cell r="EV487">
            <v>544.65233333333333</v>
          </cell>
          <cell r="EW487">
            <v>3770.2126666666668</v>
          </cell>
          <cell r="EY487">
            <v>269894</v>
          </cell>
          <cell r="EZ487">
            <v>8</v>
          </cell>
          <cell r="FA487">
            <v>1799.2933333333333</v>
          </cell>
          <cell r="FB487">
            <v>275012</v>
          </cell>
          <cell r="FC487">
            <v>8.6</v>
          </cell>
          <cell r="FD487">
            <v>1970.919333333333</v>
          </cell>
          <cell r="FE487">
            <v>3770.2126666666663</v>
          </cell>
          <cell r="FF487">
            <v>79768</v>
          </cell>
          <cell r="FH487">
            <v>79768</v>
          </cell>
        </row>
        <row r="488">
          <cell r="B488">
            <v>9306</v>
          </cell>
          <cell r="C488" t="str">
            <v>27.01.2009</v>
          </cell>
          <cell r="D488" t="str">
            <v>Jadhav Sunanda Sanjay</v>
          </cell>
          <cell r="F488">
            <v>39482</v>
          </cell>
          <cell r="G488">
            <v>51772</v>
          </cell>
          <cell r="H488">
            <v>14520</v>
          </cell>
          <cell r="I488">
            <v>14520</v>
          </cell>
          <cell r="J488">
            <v>29040</v>
          </cell>
          <cell r="K488">
            <v>-10442</v>
          </cell>
          <cell r="M488">
            <v>2240</v>
          </cell>
          <cell r="N488">
            <v>0</v>
          </cell>
          <cell r="O488">
            <v>2240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W488">
            <v>2240</v>
          </cell>
          <cell r="X488">
            <v>0</v>
          </cell>
          <cell r="Y488">
            <v>2240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G488">
            <v>2308</v>
          </cell>
          <cell r="AH488">
            <v>0</v>
          </cell>
          <cell r="AI488">
            <v>2308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Q488">
            <v>2308</v>
          </cell>
          <cell r="AR488">
            <v>0</v>
          </cell>
          <cell r="AS488">
            <v>2308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BA488">
            <v>2308</v>
          </cell>
          <cell r="BB488">
            <v>0</v>
          </cell>
          <cell r="BC488">
            <v>2308</v>
          </cell>
          <cell r="BD488">
            <v>0</v>
          </cell>
          <cell r="BE488">
            <v>0</v>
          </cell>
          <cell r="BF488">
            <v>0</v>
          </cell>
          <cell r="BG488">
            <v>0</v>
          </cell>
          <cell r="BH488">
            <v>0</v>
          </cell>
          <cell r="BI488">
            <v>0</v>
          </cell>
          <cell r="BK488">
            <v>2415</v>
          </cell>
          <cell r="BL488">
            <v>0</v>
          </cell>
          <cell r="BM488">
            <v>2415</v>
          </cell>
          <cell r="BN488">
            <v>0</v>
          </cell>
          <cell r="BO488">
            <v>0</v>
          </cell>
          <cell r="BP488">
            <v>0</v>
          </cell>
          <cell r="BQ488">
            <v>0</v>
          </cell>
          <cell r="BR488">
            <v>0</v>
          </cell>
          <cell r="BS488">
            <v>0</v>
          </cell>
          <cell r="BU488">
            <v>2415</v>
          </cell>
          <cell r="BV488">
            <v>0</v>
          </cell>
          <cell r="BW488">
            <v>2415</v>
          </cell>
          <cell r="BX488">
            <v>0</v>
          </cell>
          <cell r="BY488">
            <v>0</v>
          </cell>
          <cell r="BZ488">
            <v>0</v>
          </cell>
          <cell r="CA488">
            <v>0</v>
          </cell>
          <cell r="CB488">
            <v>0</v>
          </cell>
          <cell r="CC488">
            <v>0</v>
          </cell>
          <cell r="CE488">
            <v>2415</v>
          </cell>
          <cell r="CF488">
            <v>0</v>
          </cell>
          <cell r="CG488">
            <v>2415</v>
          </cell>
          <cell r="CH488">
            <v>0</v>
          </cell>
          <cell r="CI488">
            <v>0</v>
          </cell>
          <cell r="CJ488">
            <v>0</v>
          </cell>
          <cell r="CK488">
            <v>0</v>
          </cell>
          <cell r="CL488">
            <v>0</v>
          </cell>
          <cell r="CM488">
            <v>0</v>
          </cell>
          <cell r="CO488">
            <v>2415</v>
          </cell>
          <cell r="CP488">
            <v>0</v>
          </cell>
          <cell r="CQ488">
            <v>2415</v>
          </cell>
          <cell r="CR488">
            <v>0</v>
          </cell>
          <cell r="CS488">
            <v>0</v>
          </cell>
          <cell r="CT488">
            <v>0</v>
          </cell>
          <cell r="CU488">
            <v>0</v>
          </cell>
          <cell r="CV488">
            <v>0</v>
          </cell>
          <cell r="CW488">
            <v>0</v>
          </cell>
          <cell r="CY488">
            <v>2415</v>
          </cell>
          <cell r="CZ488">
            <v>0</v>
          </cell>
          <cell r="DA488">
            <v>2415</v>
          </cell>
          <cell r="DB488">
            <v>0</v>
          </cell>
          <cell r="DC488">
            <v>0</v>
          </cell>
          <cell r="DD488">
            <v>0</v>
          </cell>
          <cell r="DE488">
            <v>0</v>
          </cell>
          <cell r="DF488">
            <v>0</v>
          </cell>
          <cell r="DG488">
            <v>0</v>
          </cell>
          <cell r="DI488">
            <v>29040</v>
          </cell>
          <cell r="DJ488">
            <v>23479</v>
          </cell>
          <cell r="DK488">
            <v>0</v>
          </cell>
          <cell r="DL488">
            <v>23479</v>
          </cell>
          <cell r="DM488">
            <v>23479</v>
          </cell>
          <cell r="DN488">
            <v>0</v>
          </cell>
          <cell r="DO488">
            <v>23479</v>
          </cell>
          <cell r="DP488">
            <v>0</v>
          </cell>
          <cell r="DQ488">
            <v>0</v>
          </cell>
          <cell r="DR488">
            <v>0</v>
          </cell>
          <cell r="DS488">
            <v>0</v>
          </cell>
          <cell r="DT488">
            <v>46958</v>
          </cell>
          <cell r="DU488">
            <v>0</v>
          </cell>
          <cell r="DW488">
            <v>0</v>
          </cell>
          <cell r="DX488">
            <v>0</v>
          </cell>
          <cell r="DY488">
            <v>33520</v>
          </cell>
          <cell r="DZ488">
            <v>38000</v>
          </cell>
          <cell r="EA488">
            <v>42616</v>
          </cell>
          <cell r="EB488">
            <v>47232</v>
          </cell>
          <cell r="EC488">
            <v>51848</v>
          </cell>
          <cell r="ED488">
            <v>56678</v>
          </cell>
          <cell r="EE488">
            <v>61508</v>
          </cell>
          <cell r="EF488">
            <v>66338</v>
          </cell>
          <cell r="EG488">
            <v>71168</v>
          </cell>
          <cell r="EH488">
            <v>75998</v>
          </cell>
          <cell r="EI488">
            <v>544906</v>
          </cell>
          <cell r="EK488">
            <v>0</v>
          </cell>
          <cell r="EL488">
            <v>0</v>
          </cell>
          <cell r="EM488">
            <v>223.46666666666667</v>
          </cell>
          <cell r="EN488">
            <v>253.33333333333334</v>
          </cell>
          <cell r="EO488">
            <v>284.10666666666668</v>
          </cell>
          <cell r="EP488">
            <v>314.88</v>
          </cell>
          <cell r="EQ488">
            <v>345.65333333333336</v>
          </cell>
          <cell r="ER488">
            <v>377.8533333333333</v>
          </cell>
          <cell r="ES488">
            <v>440.80733333333325</v>
          </cell>
          <cell r="ET488">
            <v>475.42233333333326</v>
          </cell>
          <cell r="EU488">
            <v>510.03733333333327</v>
          </cell>
          <cell r="EV488">
            <v>544.65233333333333</v>
          </cell>
          <cell r="EW488">
            <v>3770.2126666666668</v>
          </cell>
          <cell r="EY488">
            <v>269894</v>
          </cell>
          <cell r="EZ488">
            <v>8</v>
          </cell>
          <cell r="FA488">
            <v>1799.2933333333333</v>
          </cell>
          <cell r="FB488">
            <v>275012</v>
          </cell>
          <cell r="FC488">
            <v>8.6</v>
          </cell>
          <cell r="FD488">
            <v>1970.919333333333</v>
          </cell>
          <cell r="FE488">
            <v>3770.2126666666663</v>
          </cell>
          <cell r="FF488">
            <v>79768</v>
          </cell>
          <cell r="FH488">
            <v>79768</v>
          </cell>
        </row>
        <row r="489">
          <cell r="B489">
            <v>9307</v>
          </cell>
          <cell r="C489" t="str">
            <v>27.01.2009</v>
          </cell>
          <cell r="D489" t="str">
            <v>Mahajan Namdev Abhimanyu</v>
          </cell>
          <cell r="F489">
            <v>39482</v>
          </cell>
          <cell r="G489">
            <v>51772</v>
          </cell>
          <cell r="H489">
            <v>14520</v>
          </cell>
          <cell r="I489">
            <v>14520</v>
          </cell>
          <cell r="J489">
            <v>29040</v>
          </cell>
          <cell r="K489">
            <v>-10442</v>
          </cell>
          <cell r="M489">
            <v>2240</v>
          </cell>
          <cell r="N489">
            <v>0</v>
          </cell>
          <cell r="O489">
            <v>2240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W489">
            <v>2240</v>
          </cell>
          <cell r="X489">
            <v>0</v>
          </cell>
          <cell r="Y489">
            <v>2240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G489">
            <v>2308</v>
          </cell>
          <cell r="AH489">
            <v>0</v>
          </cell>
          <cell r="AI489">
            <v>2308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  <cell r="AQ489">
            <v>2308</v>
          </cell>
          <cell r="AR489">
            <v>0</v>
          </cell>
          <cell r="AS489">
            <v>2308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>
            <v>0</v>
          </cell>
          <cell r="BA489">
            <v>2308</v>
          </cell>
          <cell r="BB489">
            <v>0</v>
          </cell>
          <cell r="BC489">
            <v>2308</v>
          </cell>
          <cell r="BD489">
            <v>0</v>
          </cell>
          <cell r="BE489">
            <v>0</v>
          </cell>
          <cell r="BF489">
            <v>0</v>
          </cell>
          <cell r="BG489">
            <v>0</v>
          </cell>
          <cell r="BH489">
            <v>0</v>
          </cell>
          <cell r="BI489">
            <v>0</v>
          </cell>
          <cell r="BK489">
            <v>2415</v>
          </cell>
          <cell r="BL489">
            <v>0</v>
          </cell>
          <cell r="BM489">
            <v>2415</v>
          </cell>
          <cell r="BN489">
            <v>0</v>
          </cell>
          <cell r="BO489">
            <v>0</v>
          </cell>
          <cell r="BP489">
            <v>0</v>
          </cell>
          <cell r="BQ489">
            <v>0</v>
          </cell>
          <cell r="BR489">
            <v>0</v>
          </cell>
          <cell r="BS489">
            <v>0</v>
          </cell>
          <cell r="BU489">
            <v>2415</v>
          </cell>
          <cell r="BV489">
            <v>0</v>
          </cell>
          <cell r="BW489">
            <v>2415</v>
          </cell>
          <cell r="BX489">
            <v>0</v>
          </cell>
          <cell r="BY489">
            <v>0</v>
          </cell>
          <cell r="BZ489">
            <v>0</v>
          </cell>
          <cell r="CA489">
            <v>0</v>
          </cell>
          <cell r="CB489">
            <v>0</v>
          </cell>
          <cell r="CC489">
            <v>0</v>
          </cell>
          <cell r="CE489">
            <v>2415</v>
          </cell>
          <cell r="CF489">
            <v>0</v>
          </cell>
          <cell r="CG489">
            <v>2415</v>
          </cell>
          <cell r="CH489">
            <v>0</v>
          </cell>
          <cell r="CI489">
            <v>0</v>
          </cell>
          <cell r="CJ489">
            <v>0</v>
          </cell>
          <cell r="CK489">
            <v>0</v>
          </cell>
          <cell r="CL489">
            <v>0</v>
          </cell>
          <cell r="CM489">
            <v>0</v>
          </cell>
          <cell r="CO489">
            <v>2415</v>
          </cell>
          <cell r="CP489">
            <v>0</v>
          </cell>
          <cell r="CQ489">
            <v>2415</v>
          </cell>
          <cell r="CR489">
            <v>0</v>
          </cell>
          <cell r="CS489">
            <v>0</v>
          </cell>
          <cell r="CT489">
            <v>0</v>
          </cell>
          <cell r="CU489">
            <v>0</v>
          </cell>
          <cell r="CV489">
            <v>0</v>
          </cell>
          <cell r="CW489">
            <v>0</v>
          </cell>
          <cell r="CY489">
            <v>2415</v>
          </cell>
          <cell r="CZ489">
            <v>0</v>
          </cell>
          <cell r="DA489">
            <v>2415</v>
          </cell>
          <cell r="DB489">
            <v>0</v>
          </cell>
          <cell r="DC489">
            <v>0</v>
          </cell>
          <cell r="DD489">
            <v>0</v>
          </cell>
          <cell r="DE489">
            <v>0</v>
          </cell>
          <cell r="DF489">
            <v>0</v>
          </cell>
          <cell r="DG489">
            <v>0</v>
          </cell>
          <cell r="DI489">
            <v>29040</v>
          </cell>
          <cell r="DJ489">
            <v>23479</v>
          </cell>
          <cell r="DK489">
            <v>0</v>
          </cell>
          <cell r="DL489">
            <v>23479</v>
          </cell>
          <cell r="DM489">
            <v>23479</v>
          </cell>
          <cell r="DN489">
            <v>0</v>
          </cell>
          <cell r="DO489">
            <v>23479</v>
          </cell>
          <cell r="DP489">
            <v>0</v>
          </cell>
          <cell r="DQ489">
            <v>0</v>
          </cell>
          <cell r="DR489">
            <v>0</v>
          </cell>
          <cell r="DS489">
            <v>0</v>
          </cell>
          <cell r="DT489">
            <v>46958</v>
          </cell>
          <cell r="DU489">
            <v>0</v>
          </cell>
          <cell r="DW489">
            <v>0</v>
          </cell>
          <cell r="DX489">
            <v>0</v>
          </cell>
          <cell r="DY489">
            <v>33520</v>
          </cell>
          <cell r="DZ489">
            <v>38000</v>
          </cell>
          <cell r="EA489">
            <v>42616</v>
          </cell>
          <cell r="EB489">
            <v>47232</v>
          </cell>
          <cell r="EC489">
            <v>51848</v>
          </cell>
          <cell r="ED489">
            <v>56678</v>
          </cell>
          <cell r="EE489">
            <v>61508</v>
          </cell>
          <cell r="EF489">
            <v>66338</v>
          </cell>
          <cell r="EG489">
            <v>71168</v>
          </cell>
          <cell r="EH489">
            <v>75998</v>
          </cell>
          <cell r="EI489">
            <v>544906</v>
          </cell>
          <cell r="EK489">
            <v>0</v>
          </cell>
          <cell r="EL489">
            <v>0</v>
          </cell>
          <cell r="EM489">
            <v>223.46666666666667</v>
          </cell>
          <cell r="EN489">
            <v>253.33333333333334</v>
          </cell>
          <cell r="EO489">
            <v>284.10666666666668</v>
          </cell>
          <cell r="EP489">
            <v>314.88</v>
          </cell>
          <cell r="EQ489">
            <v>345.65333333333336</v>
          </cell>
          <cell r="ER489">
            <v>377.8533333333333</v>
          </cell>
          <cell r="ES489">
            <v>440.80733333333325</v>
          </cell>
          <cell r="ET489">
            <v>475.42233333333326</v>
          </cell>
          <cell r="EU489">
            <v>510.03733333333327</v>
          </cell>
          <cell r="EV489">
            <v>544.65233333333333</v>
          </cell>
          <cell r="EW489">
            <v>3770.2126666666668</v>
          </cell>
          <cell r="EY489">
            <v>269894</v>
          </cell>
          <cell r="EZ489">
            <v>8</v>
          </cell>
          <cell r="FA489">
            <v>1799.2933333333333</v>
          </cell>
          <cell r="FB489">
            <v>275012</v>
          </cell>
          <cell r="FC489">
            <v>8.6</v>
          </cell>
          <cell r="FD489">
            <v>1970.919333333333</v>
          </cell>
          <cell r="FE489">
            <v>3770.2126666666663</v>
          </cell>
          <cell r="FF489">
            <v>79768</v>
          </cell>
          <cell r="FH489">
            <v>79768</v>
          </cell>
        </row>
        <row r="490">
          <cell r="B490">
            <v>9308</v>
          </cell>
          <cell r="C490" t="str">
            <v>27.01.2009</v>
          </cell>
          <cell r="D490" t="str">
            <v>Patil Vijay Lotan</v>
          </cell>
          <cell r="F490">
            <v>39482</v>
          </cell>
          <cell r="G490">
            <v>51772</v>
          </cell>
          <cell r="H490">
            <v>13068</v>
          </cell>
          <cell r="I490">
            <v>13068</v>
          </cell>
          <cell r="J490">
            <v>26136</v>
          </cell>
          <cell r="K490">
            <v>-13346</v>
          </cell>
          <cell r="M490">
            <v>2240</v>
          </cell>
          <cell r="N490">
            <v>0</v>
          </cell>
          <cell r="O490">
            <v>2240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W490">
            <v>2240</v>
          </cell>
          <cell r="X490">
            <v>0</v>
          </cell>
          <cell r="Y490">
            <v>2240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G490">
            <v>2308</v>
          </cell>
          <cell r="AH490">
            <v>0</v>
          </cell>
          <cell r="AI490">
            <v>2308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>
            <v>0</v>
          </cell>
          <cell r="AQ490">
            <v>2308</v>
          </cell>
          <cell r="AR490">
            <v>0</v>
          </cell>
          <cell r="AS490">
            <v>2308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  <cell r="AX490">
            <v>0</v>
          </cell>
          <cell r="AY490">
            <v>0</v>
          </cell>
          <cell r="BA490">
            <v>2308</v>
          </cell>
          <cell r="BB490">
            <v>0</v>
          </cell>
          <cell r="BC490">
            <v>2308</v>
          </cell>
          <cell r="BD490">
            <v>0</v>
          </cell>
          <cell r="BE490">
            <v>0</v>
          </cell>
          <cell r="BF490">
            <v>0</v>
          </cell>
          <cell r="BG490">
            <v>0</v>
          </cell>
          <cell r="BH490">
            <v>0</v>
          </cell>
          <cell r="BI490">
            <v>0</v>
          </cell>
          <cell r="BK490">
            <v>2415</v>
          </cell>
          <cell r="BL490">
            <v>0</v>
          </cell>
          <cell r="BM490">
            <v>2415</v>
          </cell>
          <cell r="BN490">
            <v>0</v>
          </cell>
          <cell r="BO490">
            <v>0</v>
          </cell>
          <cell r="BP490">
            <v>0</v>
          </cell>
          <cell r="BQ490">
            <v>0</v>
          </cell>
          <cell r="BR490">
            <v>0</v>
          </cell>
          <cell r="BS490">
            <v>0</v>
          </cell>
          <cell r="BU490">
            <v>2415</v>
          </cell>
          <cell r="BV490">
            <v>0</v>
          </cell>
          <cell r="BW490">
            <v>2415</v>
          </cell>
          <cell r="BX490">
            <v>0</v>
          </cell>
          <cell r="BY490">
            <v>0</v>
          </cell>
          <cell r="BZ490">
            <v>0</v>
          </cell>
          <cell r="CA490">
            <v>0</v>
          </cell>
          <cell r="CB490">
            <v>0</v>
          </cell>
          <cell r="CC490">
            <v>0</v>
          </cell>
          <cell r="CE490">
            <v>2415</v>
          </cell>
          <cell r="CF490">
            <v>0</v>
          </cell>
          <cell r="CG490">
            <v>2415</v>
          </cell>
          <cell r="CH490">
            <v>0</v>
          </cell>
          <cell r="CI490">
            <v>0</v>
          </cell>
          <cell r="CJ490">
            <v>0</v>
          </cell>
          <cell r="CK490">
            <v>0</v>
          </cell>
          <cell r="CL490">
            <v>0</v>
          </cell>
          <cell r="CM490">
            <v>0</v>
          </cell>
          <cell r="CO490">
            <v>2415</v>
          </cell>
          <cell r="CP490">
            <v>0</v>
          </cell>
          <cell r="CQ490">
            <v>2415</v>
          </cell>
          <cell r="CR490">
            <v>0</v>
          </cell>
          <cell r="CS490">
            <v>0</v>
          </cell>
          <cell r="CT490">
            <v>0</v>
          </cell>
          <cell r="CU490">
            <v>0</v>
          </cell>
          <cell r="CV490">
            <v>0</v>
          </cell>
          <cell r="CW490">
            <v>0</v>
          </cell>
          <cell r="CY490">
            <v>2415</v>
          </cell>
          <cell r="CZ490">
            <v>0</v>
          </cell>
          <cell r="DA490">
            <v>2415</v>
          </cell>
          <cell r="DB490">
            <v>0</v>
          </cell>
          <cell r="DC490">
            <v>0</v>
          </cell>
          <cell r="DD490">
            <v>0</v>
          </cell>
          <cell r="DE490">
            <v>0</v>
          </cell>
          <cell r="DF490">
            <v>0</v>
          </cell>
          <cell r="DG490">
            <v>0</v>
          </cell>
          <cell r="DI490">
            <v>26136</v>
          </cell>
          <cell r="DJ490">
            <v>23479</v>
          </cell>
          <cell r="DK490">
            <v>0</v>
          </cell>
          <cell r="DL490">
            <v>23479</v>
          </cell>
          <cell r="DM490">
            <v>23479</v>
          </cell>
          <cell r="DN490">
            <v>0</v>
          </cell>
          <cell r="DO490">
            <v>23479</v>
          </cell>
          <cell r="DP490">
            <v>0</v>
          </cell>
          <cell r="DQ490">
            <v>0</v>
          </cell>
          <cell r="DR490">
            <v>0</v>
          </cell>
          <cell r="DS490">
            <v>0</v>
          </cell>
          <cell r="DT490">
            <v>46958</v>
          </cell>
          <cell r="DU490">
            <v>0</v>
          </cell>
          <cell r="DW490">
            <v>0</v>
          </cell>
          <cell r="DX490">
            <v>0</v>
          </cell>
          <cell r="DY490">
            <v>30616</v>
          </cell>
          <cell r="DZ490">
            <v>35096</v>
          </cell>
          <cell r="EA490">
            <v>39712</v>
          </cell>
          <cell r="EB490">
            <v>44328</v>
          </cell>
          <cell r="EC490">
            <v>48944</v>
          </cell>
          <cell r="ED490">
            <v>53774</v>
          </cell>
          <cell r="EE490">
            <v>58604</v>
          </cell>
          <cell r="EF490">
            <v>63434</v>
          </cell>
          <cell r="EG490">
            <v>68264</v>
          </cell>
          <cell r="EH490">
            <v>73094</v>
          </cell>
          <cell r="EI490">
            <v>515866</v>
          </cell>
          <cell r="EK490">
            <v>0</v>
          </cell>
          <cell r="EL490">
            <v>0</v>
          </cell>
          <cell r="EM490">
            <v>204.10666666666668</v>
          </cell>
          <cell r="EN490">
            <v>233.97333333333333</v>
          </cell>
          <cell r="EO490">
            <v>264.74666666666667</v>
          </cell>
          <cell r="EP490">
            <v>295.52</v>
          </cell>
          <cell r="EQ490">
            <v>326.29333333333335</v>
          </cell>
          <cell r="ER490">
            <v>358.49333333333334</v>
          </cell>
          <cell r="ES490">
            <v>419.99533333333329</v>
          </cell>
          <cell r="ET490">
            <v>454.61033333333336</v>
          </cell>
          <cell r="EU490">
            <v>489.22533333333337</v>
          </cell>
          <cell r="EV490">
            <v>523.84033333333332</v>
          </cell>
          <cell r="EW490">
            <v>3570.8046666666669</v>
          </cell>
          <cell r="EY490">
            <v>252470</v>
          </cell>
          <cell r="EZ490">
            <v>8</v>
          </cell>
          <cell r="FA490">
            <v>1683.1333333333332</v>
          </cell>
          <cell r="FB490">
            <v>263396</v>
          </cell>
          <cell r="FC490">
            <v>8.6</v>
          </cell>
          <cell r="FD490">
            <v>1887.6713333333335</v>
          </cell>
          <cell r="FE490">
            <v>3570.8046666666669</v>
          </cell>
          <cell r="FF490">
            <v>76665</v>
          </cell>
          <cell r="FH490">
            <v>76665</v>
          </cell>
        </row>
        <row r="491">
          <cell r="B491">
            <v>9309</v>
          </cell>
          <cell r="C491" t="str">
            <v>27.01.2009</v>
          </cell>
          <cell r="D491" t="str">
            <v>Gampale Tanuja Damodhar</v>
          </cell>
          <cell r="F491">
            <v>39482</v>
          </cell>
          <cell r="G491">
            <v>51772</v>
          </cell>
          <cell r="H491">
            <v>14520</v>
          </cell>
          <cell r="I491">
            <v>14520</v>
          </cell>
          <cell r="J491">
            <v>29040</v>
          </cell>
          <cell r="K491">
            <v>-10442</v>
          </cell>
          <cell r="M491">
            <v>2240</v>
          </cell>
          <cell r="N491">
            <v>0</v>
          </cell>
          <cell r="O491">
            <v>2240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W491">
            <v>2240</v>
          </cell>
          <cell r="X491">
            <v>0</v>
          </cell>
          <cell r="Y491">
            <v>2240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G491">
            <v>2308</v>
          </cell>
          <cell r="AH491">
            <v>0</v>
          </cell>
          <cell r="AI491">
            <v>2308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>
            <v>0</v>
          </cell>
          <cell r="AQ491">
            <v>2308</v>
          </cell>
          <cell r="AR491">
            <v>0</v>
          </cell>
          <cell r="AS491">
            <v>2308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0</v>
          </cell>
          <cell r="BA491">
            <v>2308</v>
          </cell>
          <cell r="BB491">
            <v>0</v>
          </cell>
          <cell r="BC491">
            <v>2308</v>
          </cell>
          <cell r="BD491">
            <v>0</v>
          </cell>
          <cell r="BE491">
            <v>0</v>
          </cell>
          <cell r="BF491">
            <v>0</v>
          </cell>
          <cell r="BG491">
            <v>0</v>
          </cell>
          <cell r="BH491">
            <v>0</v>
          </cell>
          <cell r="BI491">
            <v>0</v>
          </cell>
          <cell r="BK491">
            <v>2415</v>
          </cell>
          <cell r="BL491">
            <v>0</v>
          </cell>
          <cell r="BM491">
            <v>2415</v>
          </cell>
          <cell r="BN491">
            <v>0</v>
          </cell>
          <cell r="BO491">
            <v>0</v>
          </cell>
          <cell r="BP491">
            <v>0</v>
          </cell>
          <cell r="BQ491">
            <v>0</v>
          </cell>
          <cell r="BR491">
            <v>0</v>
          </cell>
          <cell r="BS491">
            <v>0</v>
          </cell>
          <cell r="BU491">
            <v>2415</v>
          </cell>
          <cell r="BV491">
            <v>0</v>
          </cell>
          <cell r="BW491">
            <v>2415</v>
          </cell>
          <cell r="BX491">
            <v>0</v>
          </cell>
          <cell r="BY491">
            <v>0</v>
          </cell>
          <cell r="BZ491">
            <v>0</v>
          </cell>
          <cell r="CA491">
            <v>0</v>
          </cell>
          <cell r="CB491">
            <v>0</v>
          </cell>
          <cell r="CC491">
            <v>0</v>
          </cell>
          <cell r="CE491">
            <v>2415</v>
          </cell>
          <cell r="CF491">
            <v>0</v>
          </cell>
          <cell r="CG491">
            <v>2415</v>
          </cell>
          <cell r="CH491">
            <v>0</v>
          </cell>
          <cell r="CI491">
            <v>0</v>
          </cell>
          <cell r="CJ491">
            <v>0</v>
          </cell>
          <cell r="CK491">
            <v>0</v>
          </cell>
          <cell r="CL491">
            <v>0</v>
          </cell>
          <cell r="CM491">
            <v>0</v>
          </cell>
          <cell r="CO491">
            <v>2415</v>
          </cell>
          <cell r="CP491">
            <v>0</v>
          </cell>
          <cell r="CQ491">
            <v>2415</v>
          </cell>
          <cell r="CR491">
            <v>0</v>
          </cell>
          <cell r="CS491">
            <v>0</v>
          </cell>
          <cell r="CT491">
            <v>0</v>
          </cell>
          <cell r="CU491">
            <v>0</v>
          </cell>
          <cell r="CV491">
            <v>0</v>
          </cell>
          <cell r="CW491">
            <v>0</v>
          </cell>
          <cell r="CY491">
            <v>2415</v>
          </cell>
          <cell r="CZ491">
            <v>0</v>
          </cell>
          <cell r="DA491">
            <v>2415</v>
          </cell>
          <cell r="DB491">
            <v>0</v>
          </cell>
          <cell r="DC491">
            <v>0</v>
          </cell>
          <cell r="DD491">
            <v>0</v>
          </cell>
          <cell r="DE491">
            <v>0</v>
          </cell>
          <cell r="DF491">
            <v>0</v>
          </cell>
          <cell r="DG491">
            <v>0</v>
          </cell>
          <cell r="DI491">
            <v>29040</v>
          </cell>
          <cell r="DJ491">
            <v>23479</v>
          </cell>
          <cell r="DK491">
            <v>0</v>
          </cell>
          <cell r="DL491">
            <v>23479</v>
          </cell>
          <cell r="DM491">
            <v>23479</v>
          </cell>
          <cell r="DN491">
            <v>0</v>
          </cell>
          <cell r="DO491">
            <v>23479</v>
          </cell>
          <cell r="DP491">
            <v>0</v>
          </cell>
          <cell r="DQ491">
            <v>0</v>
          </cell>
          <cell r="DR491">
            <v>0</v>
          </cell>
          <cell r="DS491">
            <v>0</v>
          </cell>
          <cell r="DT491">
            <v>46958</v>
          </cell>
          <cell r="DU491">
            <v>0</v>
          </cell>
          <cell r="DW491">
            <v>0</v>
          </cell>
          <cell r="DX491">
            <v>0</v>
          </cell>
          <cell r="DY491">
            <v>33520</v>
          </cell>
          <cell r="DZ491">
            <v>38000</v>
          </cell>
          <cell r="EA491">
            <v>42616</v>
          </cell>
          <cell r="EB491">
            <v>47232</v>
          </cell>
          <cell r="EC491">
            <v>51848</v>
          </cell>
          <cell r="ED491">
            <v>56678</v>
          </cell>
          <cell r="EE491">
            <v>61508</v>
          </cell>
          <cell r="EF491">
            <v>66338</v>
          </cell>
          <cell r="EG491">
            <v>71168</v>
          </cell>
          <cell r="EH491">
            <v>75998</v>
          </cell>
          <cell r="EI491">
            <v>544906</v>
          </cell>
          <cell r="EK491">
            <v>0</v>
          </cell>
          <cell r="EL491">
            <v>0</v>
          </cell>
          <cell r="EM491">
            <v>223.46666666666667</v>
          </cell>
          <cell r="EN491">
            <v>253.33333333333334</v>
          </cell>
          <cell r="EO491">
            <v>284.10666666666668</v>
          </cell>
          <cell r="EP491">
            <v>314.88</v>
          </cell>
          <cell r="EQ491">
            <v>345.65333333333336</v>
          </cell>
          <cell r="ER491">
            <v>377.8533333333333</v>
          </cell>
          <cell r="ES491">
            <v>440.80733333333325</v>
          </cell>
          <cell r="ET491">
            <v>475.42233333333326</v>
          </cell>
          <cell r="EU491">
            <v>510.03733333333327</v>
          </cell>
          <cell r="EV491">
            <v>544.65233333333333</v>
          </cell>
          <cell r="EW491">
            <v>3770.2126666666668</v>
          </cell>
          <cell r="EY491">
            <v>269894</v>
          </cell>
          <cell r="EZ491">
            <v>8</v>
          </cell>
          <cell r="FA491">
            <v>1799.2933333333333</v>
          </cell>
          <cell r="FB491">
            <v>275012</v>
          </cell>
          <cell r="FC491">
            <v>8.6</v>
          </cell>
          <cell r="FD491">
            <v>1970.919333333333</v>
          </cell>
          <cell r="FE491">
            <v>3770.2126666666663</v>
          </cell>
          <cell r="FF491">
            <v>79768</v>
          </cell>
          <cell r="FH491">
            <v>79768</v>
          </cell>
        </row>
        <row r="492">
          <cell r="B492">
            <v>9310</v>
          </cell>
          <cell r="C492" t="str">
            <v>27.01.2009</v>
          </cell>
          <cell r="D492" t="str">
            <v>Kothawade Yashvant Kashinath</v>
          </cell>
          <cell r="F492">
            <v>39482</v>
          </cell>
          <cell r="G492">
            <v>51772</v>
          </cell>
          <cell r="H492">
            <v>14520</v>
          </cell>
          <cell r="I492">
            <v>14520</v>
          </cell>
          <cell r="J492">
            <v>29040</v>
          </cell>
          <cell r="K492">
            <v>-10442</v>
          </cell>
          <cell r="M492">
            <v>2240</v>
          </cell>
          <cell r="N492">
            <v>0</v>
          </cell>
          <cell r="O492">
            <v>2240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W492">
            <v>2240</v>
          </cell>
          <cell r="X492">
            <v>0</v>
          </cell>
          <cell r="Y492">
            <v>2240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G492">
            <v>2308</v>
          </cell>
          <cell r="AH492">
            <v>0</v>
          </cell>
          <cell r="AI492">
            <v>2308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Q492">
            <v>2308</v>
          </cell>
          <cell r="AR492">
            <v>0</v>
          </cell>
          <cell r="AS492">
            <v>2308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BA492">
            <v>2308</v>
          </cell>
          <cell r="BB492">
            <v>0</v>
          </cell>
          <cell r="BC492">
            <v>2308</v>
          </cell>
          <cell r="BD492">
            <v>0</v>
          </cell>
          <cell r="BE492">
            <v>0</v>
          </cell>
          <cell r="BF492">
            <v>0</v>
          </cell>
          <cell r="BG492">
            <v>0</v>
          </cell>
          <cell r="BH492">
            <v>0</v>
          </cell>
          <cell r="BI492">
            <v>0</v>
          </cell>
          <cell r="BK492">
            <v>2415</v>
          </cell>
          <cell r="BL492">
            <v>0</v>
          </cell>
          <cell r="BM492">
            <v>2415</v>
          </cell>
          <cell r="BN492">
            <v>0</v>
          </cell>
          <cell r="BO492">
            <v>0</v>
          </cell>
          <cell r="BP492">
            <v>0</v>
          </cell>
          <cell r="BQ492">
            <v>0</v>
          </cell>
          <cell r="BR492">
            <v>0</v>
          </cell>
          <cell r="BS492">
            <v>0</v>
          </cell>
          <cell r="BU492">
            <v>2415</v>
          </cell>
          <cell r="BV492">
            <v>0</v>
          </cell>
          <cell r="BW492">
            <v>2415</v>
          </cell>
          <cell r="BX492">
            <v>0</v>
          </cell>
          <cell r="BY492">
            <v>0</v>
          </cell>
          <cell r="BZ492">
            <v>0</v>
          </cell>
          <cell r="CA492">
            <v>0</v>
          </cell>
          <cell r="CB492">
            <v>0</v>
          </cell>
          <cell r="CC492">
            <v>0</v>
          </cell>
          <cell r="CE492">
            <v>2415</v>
          </cell>
          <cell r="CF492">
            <v>0</v>
          </cell>
          <cell r="CG492">
            <v>2415</v>
          </cell>
          <cell r="CH492">
            <v>0</v>
          </cell>
          <cell r="CI492">
            <v>0</v>
          </cell>
          <cell r="CJ492">
            <v>0</v>
          </cell>
          <cell r="CK492">
            <v>0</v>
          </cell>
          <cell r="CL492">
            <v>0</v>
          </cell>
          <cell r="CM492">
            <v>0</v>
          </cell>
          <cell r="CO492">
            <v>2415</v>
          </cell>
          <cell r="CP492">
            <v>0</v>
          </cell>
          <cell r="CQ492">
            <v>2415</v>
          </cell>
          <cell r="CR492">
            <v>0</v>
          </cell>
          <cell r="CS492">
            <v>0</v>
          </cell>
          <cell r="CT492">
            <v>0</v>
          </cell>
          <cell r="CU492">
            <v>0</v>
          </cell>
          <cell r="CV492">
            <v>0</v>
          </cell>
          <cell r="CW492">
            <v>0</v>
          </cell>
          <cell r="CY492">
            <v>2415</v>
          </cell>
          <cell r="CZ492">
            <v>0</v>
          </cell>
          <cell r="DA492">
            <v>2415</v>
          </cell>
          <cell r="DB492">
            <v>0</v>
          </cell>
          <cell r="DC492">
            <v>0</v>
          </cell>
          <cell r="DD492">
            <v>0</v>
          </cell>
          <cell r="DE492">
            <v>0</v>
          </cell>
          <cell r="DF492">
            <v>0</v>
          </cell>
          <cell r="DG492">
            <v>0</v>
          </cell>
          <cell r="DI492">
            <v>29040</v>
          </cell>
          <cell r="DJ492">
            <v>23479</v>
          </cell>
          <cell r="DK492">
            <v>0</v>
          </cell>
          <cell r="DL492">
            <v>23479</v>
          </cell>
          <cell r="DM492">
            <v>23479</v>
          </cell>
          <cell r="DN492">
            <v>0</v>
          </cell>
          <cell r="DO492">
            <v>23479</v>
          </cell>
          <cell r="DP492">
            <v>0</v>
          </cell>
          <cell r="DQ492">
            <v>0</v>
          </cell>
          <cell r="DR492">
            <v>0</v>
          </cell>
          <cell r="DS492">
            <v>0</v>
          </cell>
          <cell r="DT492">
            <v>46958</v>
          </cell>
          <cell r="DU492">
            <v>0</v>
          </cell>
          <cell r="DW492">
            <v>0</v>
          </cell>
          <cell r="DX492">
            <v>0</v>
          </cell>
          <cell r="DY492">
            <v>33520</v>
          </cell>
          <cell r="DZ492">
            <v>38000</v>
          </cell>
          <cell r="EA492">
            <v>42616</v>
          </cell>
          <cell r="EB492">
            <v>47232</v>
          </cell>
          <cell r="EC492">
            <v>51848</v>
          </cell>
          <cell r="ED492">
            <v>56678</v>
          </cell>
          <cell r="EE492">
            <v>61508</v>
          </cell>
          <cell r="EF492">
            <v>66338</v>
          </cell>
          <cell r="EG492">
            <v>71168</v>
          </cell>
          <cell r="EH492">
            <v>75998</v>
          </cell>
          <cell r="EI492">
            <v>544906</v>
          </cell>
          <cell r="EK492">
            <v>0</v>
          </cell>
          <cell r="EL492">
            <v>0</v>
          </cell>
          <cell r="EM492">
            <v>223.46666666666667</v>
          </cell>
          <cell r="EN492">
            <v>253.33333333333334</v>
          </cell>
          <cell r="EO492">
            <v>284.10666666666668</v>
          </cell>
          <cell r="EP492">
            <v>314.88</v>
          </cell>
          <cell r="EQ492">
            <v>345.65333333333336</v>
          </cell>
          <cell r="ER492">
            <v>377.8533333333333</v>
          </cell>
          <cell r="ES492">
            <v>440.80733333333325</v>
          </cell>
          <cell r="ET492">
            <v>475.42233333333326</v>
          </cell>
          <cell r="EU492">
            <v>510.03733333333327</v>
          </cell>
          <cell r="EV492">
            <v>544.65233333333333</v>
          </cell>
          <cell r="EW492">
            <v>3770.2126666666668</v>
          </cell>
          <cell r="EY492">
            <v>269894</v>
          </cell>
          <cell r="EZ492">
            <v>8</v>
          </cell>
          <cell r="FA492">
            <v>1799.2933333333333</v>
          </cell>
          <cell r="FB492">
            <v>275012</v>
          </cell>
          <cell r="FC492">
            <v>8.6</v>
          </cell>
          <cell r="FD492">
            <v>1970.919333333333</v>
          </cell>
          <cell r="FE492">
            <v>3770.2126666666663</v>
          </cell>
          <cell r="FF492">
            <v>79768</v>
          </cell>
          <cell r="FH492">
            <v>79768</v>
          </cell>
        </row>
        <row r="493">
          <cell r="B493">
            <v>9311</v>
          </cell>
          <cell r="C493" t="str">
            <v>27.01.2009</v>
          </cell>
          <cell r="D493" t="str">
            <v>Dhepale Rajendra Jaykrushna</v>
          </cell>
          <cell r="F493">
            <v>39482</v>
          </cell>
          <cell r="G493">
            <v>51772</v>
          </cell>
          <cell r="H493">
            <v>13068</v>
          </cell>
          <cell r="I493">
            <v>13068</v>
          </cell>
          <cell r="J493">
            <v>26136</v>
          </cell>
          <cell r="K493">
            <v>-13346</v>
          </cell>
          <cell r="M493">
            <v>2240</v>
          </cell>
          <cell r="N493">
            <v>0</v>
          </cell>
          <cell r="O493">
            <v>2240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W493">
            <v>2240</v>
          </cell>
          <cell r="X493">
            <v>0</v>
          </cell>
          <cell r="Y493">
            <v>2240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G493">
            <v>2308</v>
          </cell>
          <cell r="AH493">
            <v>0</v>
          </cell>
          <cell r="AI493">
            <v>2308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Q493">
            <v>2308</v>
          </cell>
          <cell r="AR493">
            <v>0</v>
          </cell>
          <cell r="AS493">
            <v>2308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BA493">
            <v>2308</v>
          </cell>
          <cell r="BB493">
            <v>0</v>
          </cell>
          <cell r="BC493">
            <v>2308</v>
          </cell>
          <cell r="BD493">
            <v>0</v>
          </cell>
          <cell r="BE493">
            <v>0</v>
          </cell>
          <cell r="BF493">
            <v>0</v>
          </cell>
          <cell r="BG493">
            <v>0</v>
          </cell>
          <cell r="BH493">
            <v>0</v>
          </cell>
          <cell r="BI493">
            <v>0</v>
          </cell>
          <cell r="BK493">
            <v>2415</v>
          </cell>
          <cell r="BL493">
            <v>0</v>
          </cell>
          <cell r="BM493">
            <v>2415</v>
          </cell>
          <cell r="BN493">
            <v>0</v>
          </cell>
          <cell r="BO493">
            <v>0</v>
          </cell>
          <cell r="BP493">
            <v>0</v>
          </cell>
          <cell r="BQ493">
            <v>0</v>
          </cell>
          <cell r="BR493">
            <v>0</v>
          </cell>
          <cell r="BS493">
            <v>0</v>
          </cell>
          <cell r="BU493">
            <v>2415</v>
          </cell>
          <cell r="BV493">
            <v>0</v>
          </cell>
          <cell r="BW493">
            <v>2415</v>
          </cell>
          <cell r="BX493">
            <v>0</v>
          </cell>
          <cell r="BY493">
            <v>0</v>
          </cell>
          <cell r="BZ493">
            <v>0</v>
          </cell>
          <cell r="CA493">
            <v>0</v>
          </cell>
          <cell r="CB493">
            <v>0</v>
          </cell>
          <cell r="CC493">
            <v>0</v>
          </cell>
          <cell r="CE493">
            <v>2415</v>
          </cell>
          <cell r="CF493">
            <v>0</v>
          </cell>
          <cell r="CG493">
            <v>2415</v>
          </cell>
          <cell r="CH493">
            <v>0</v>
          </cell>
          <cell r="CI493">
            <v>0</v>
          </cell>
          <cell r="CJ493">
            <v>0</v>
          </cell>
          <cell r="CK493">
            <v>0</v>
          </cell>
          <cell r="CL493">
            <v>0</v>
          </cell>
          <cell r="CM493">
            <v>0</v>
          </cell>
          <cell r="CO493">
            <v>2415</v>
          </cell>
          <cell r="CP493">
            <v>0</v>
          </cell>
          <cell r="CQ493">
            <v>2415</v>
          </cell>
          <cell r="CR493">
            <v>0</v>
          </cell>
          <cell r="CS493">
            <v>0</v>
          </cell>
          <cell r="CT493">
            <v>0</v>
          </cell>
          <cell r="CU493">
            <v>0</v>
          </cell>
          <cell r="CV493">
            <v>0</v>
          </cell>
          <cell r="CW493">
            <v>0</v>
          </cell>
          <cell r="CY493">
            <v>2415</v>
          </cell>
          <cell r="CZ493">
            <v>0</v>
          </cell>
          <cell r="DA493">
            <v>2415</v>
          </cell>
          <cell r="DB493">
            <v>0</v>
          </cell>
          <cell r="DC493">
            <v>0</v>
          </cell>
          <cell r="DD493">
            <v>0</v>
          </cell>
          <cell r="DE493">
            <v>0</v>
          </cell>
          <cell r="DF493">
            <v>0</v>
          </cell>
          <cell r="DG493">
            <v>0</v>
          </cell>
          <cell r="DI493">
            <v>26136</v>
          </cell>
          <cell r="DJ493">
            <v>23479</v>
          </cell>
          <cell r="DK493">
            <v>0</v>
          </cell>
          <cell r="DL493">
            <v>23479</v>
          </cell>
          <cell r="DM493">
            <v>23479</v>
          </cell>
          <cell r="DN493">
            <v>0</v>
          </cell>
          <cell r="DO493">
            <v>23479</v>
          </cell>
          <cell r="DP493">
            <v>0</v>
          </cell>
          <cell r="DQ493">
            <v>0</v>
          </cell>
          <cell r="DR493">
            <v>0</v>
          </cell>
          <cell r="DS493">
            <v>0</v>
          </cell>
          <cell r="DT493">
            <v>46958</v>
          </cell>
          <cell r="DU493">
            <v>0</v>
          </cell>
          <cell r="DW493">
            <v>0</v>
          </cell>
          <cell r="DX493">
            <v>0</v>
          </cell>
          <cell r="DY493">
            <v>30616</v>
          </cell>
          <cell r="DZ493">
            <v>35096</v>
          </cell>
          <cell r="EA493">
            <v>39712</v>
          </cell>
          <cell r="EB493">
            <v>44328</v>
          </cell>
          <cell r="EC493">
            <v>48944</v>
          </cell>
          <cell r="ED493">
            <v>53774</v>
          </cell>
          <cell r="EE493">
            <v>58604</v>
          </cell>
          <cell r="EF493">
            <v>63434</v>
          </cell>
          <cell r="EG493">
            <v>68264</v>
          </cell>
          <cell r="EH493">
            <v>73094</v>
          </cell>
          <cell r="EI493">
            <v>515866</v>
          </cell>
          <cell r="EK493">
            <v>0</v>
          </cell>
          <cell r="EL493">
            <v>0</v>
          </cell>
          <cell r="EM493">
            <v>204.10666666666668</v>
          </cell>
          <cell r="EN493">
            <v>233.97333333333333</v>
          </cell>
          <cell r="EO493">
            <v>264.74666666666667</v>
          </cell>
          <cell r="EP493">
            <v>295.52</v>
          </cell>
          <cell r="EQ493">
            <v>326.29333333333335</v>
          </cell>
          <cell r="ER493">
            <v>358.49333333333334</v>
          </cell>
          <cell r="ES493">
            <v>419.99533333333329</v>
          </cell>
          <cell r="ET493">
            <v>454.61033333333336</v>
          </cell>
          <cell r="EU493">
            <v>489.22533333333337</v>
          </cell>
          <cell r="EV493">
            <v>523.84033333333332</v>
          </cell>
          <cell r="EW493">
            <v>3570.8046666666669</v>
          </cell>
          <cell r="EY493">
            <v>252470</v>
          </cell>
          <cell r="EZ493">
            <v>8</v>
          </cell>
          <cell r="FA493">
            <v>1683.1333333333332</v>
          </cell>
          <cell r="FB493">
            <v>263396</v>
          </cell>
          <cell r="FC493">
            <v>8.6</v>
          </cell>
          <cell r="FD493">
            <v>1887.6713333333335</v>
          </cell>
          <cell r="FE493">
            <v>3570.8046666666669</v>
          </cell>
          <cell r="FF493">
            <v>76665</v>
          </cell>
          <cell r="FH493">
            <v>76665</v>
          </cell>
        </row>
        <row r="494">
          <cell r="B494">
            <v>9312</v>
          </cell>
          <cell r="C494" t="str">
            <v>27.01.2009</v>
          </cell>
          <cell r="D494" t="str">
            <v>Devare Pratibha Damodar</v>
          </cell>
          <cell r="F494">
            <v>39482</v>
          </cell>
          <cell r="G494">
            <v>51772</v>
          </cell>
          <cell r="H494">
            <v>14520</v>
          </cell>
          <cell r="I494">
            <v>14520</v>
          </cell>
          <cell r="J494">
            <v>29040</v>
          </cell>
          <cell r="K494">
            <v>-10442</v>
          </cell>
          <cell r="M494">
            <v>2240</v>
          </cell>
          <cell r="N494">
            <v>0</v>
          </cell>
          <cell r="O494">
            <v>2240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W494">
            <v>2240</v>
          </cell>
          <cell r="X494">
            <v>0</v>
          </cell>
          <cell r="Y494">
            <v>2240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G494">
            <v>2308</v>
          </cell>
          <cell r="AH494">
            <v>0</v>
          </cell>
          <cell r="AI494">
            <v>2308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>
            <v>0</v>
          </cell>
          <cell r="AQ494">
            <v>2308</v>
          </cell>
          <cell r="AR494">
            <v>0</v>
          </cell>
          <cell r="AS494">
            <v>2308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  <cell r="AX494">
            <v>0</v>
          </cell>
          <cell r="AY494">
            <v>0</v>
          </cell>
          <cell r="BA494">
            <v>2308</v>
          </cell>
          <cell r="BB494">
            <v>0</v>
          </cell>
          <cell r="BC494">
            <v>2308</v>
          </cell>
          <cell r="BD494">
            <v>0</v>
          </cell>
          <cell r="BE494">
            <v>0</v>
          </cell>
          <cell r="BF494">
            <v>0</v>
          </cell>
          <cell r="BG494">
            <v>0</v>
          </cell>
          <cell r="BH494">
            <v>0</v>
          </cell>
          <cell r="BI494">
            <v>0</v>
          </cell>
          <cell r="BK494">
            <v>2415</v>
          </cell>
          <cell r="BL494">
            <v>0</v>
          </cell>
          <cell r="BM494">
            <v>2415</v>
          </cell>
          <cell r="BN494">
            <v>0</v>
          </cell>
          <cell r="BO494">
            <v>0</v>
          </cell>
          <cell r="BP494">
            <v>0</v>
          </cell>
          <cell r="BQ494">
            <v>0</v>
          </cell>
          <cell r="BR494">
            <v>0</v>
          </cell>
          <cell r="BS494">
            <v>0</v>
          </cell>
          <cell r="BU494">
            <v>2415</v>
          </cell>
          <cell r="BV494">
            <v>0</v>
          </cell>
          <cell r="BW494">
            <v>2415</v>
          </cell>
          <cell r="BX494">
            <v>0</v>
          </cell>
          <cell r="BY494">
            <v>0</v>
          </cell>
          <cell r="BZ494">
            <v>0</v>
          </cell>
          <cell r="CA494">
            <v>0</v>
          </cell>
          <cell r="CB494">
            <v>0</v>
          </cell>
          <cell r="CC494">
            <v>0</v>
          </cell>
          <cell r="CE494">
            <v>2415</v>
          </cell>
          <cell r="CF494">
            <v>0</v>
          </cell>
          <cell r="CG494">
            <v>2415</v>
          </cell>
          <cell r="CH494">
            <v>0</v>
          </cell>
          <cell r="CI494">
            <v>0</v>
          </cell>
          <cell r="CJ494">
            <v>0</v>
          </cell>
          <cell r="CK494">
            <v>0</v>
          </cell>
          <cell r="CL494">
            <v>0</v>
          </cell>
          <cell r="CM494">
            <v>0</v>
          </cell>
          <cell r="CO494">
            <v>2415</v>
          </cell>
          <cell r="CP494">
            <v>0</v>
          </cell>
          <cell r="CQ494">
            <v>2415</v>
          </cell>
          <cell r="CR494">
            <v>0</v>
          </cell>
          <cell r="CS494">
            <v>0</v>
          </cell>
          <cell r="CT494">
            <v>0</v>
          </cell>
          <cell r="CU494">
            <v>0</v>
          </cell>
          <cell r="CV494">
            <v>0</v>
          </cell>
          <cell r="CW494">
            <v>0</v>
          </cell>
          <cell r="CY494">
            <v>2415</v>
          </cell>
          <cell r="CZ494">
            <v>0</v>
          </cell>
          <cell r="DA494">
            <v>2415</v>
          </cell>
          <cell r="DB494">
            <v>0</v>
          </cell>
          <cell r="DC494">
            <v>0</v>
          </cell>
          <cell r="DD494">
            <v>0</v>
          </cell>
          <cell r="DE494">
            <v>0</v>
          </cell>
          <cell r="DF494">
            <v>0</v>
          </cell>
          <cell r="DG494">
            <v>0</v>
          </cell>
          <cell r="DI494">
            <v>29040</v>
          </cell>
          <cell r="DJ494">
            <v>23479</v>
          </cell>
          <cell r="DK494">
            <v>0</v>
          </cell>
          <cell r="DL494">
            <v>23479</v>
          </cell>
          <cell r="DM494">
            <v>23479</v>
          </cell>
          <cell r="DN494">
            <v>0</v>
          </cell>
          <cell r="DO494">
            <v>23479</v>
          </cell>
          <cell r="DP494">
            <v>0</v>
          </cell>
          <cell r="DQ494">
            <v>0</v>
          </cell>
          <cell r="DR494">
            <v>0</v>
          </cell>
          <cell r="DS494">
            <v>0</v>
          </cell>
          <cell r="DT494">
            <v>46958</v>
          </cell>
          <cell r="DU494">
            <v>0</v>
          </cell>
          <cell r="DW494">
            <v>0</v>
          </cell>
          <cell r="DX494">
            <v>0</v>
          </cell>
          <cell r="DY494">
            <v>33520</v>
          </cell>
          <cell r="DZ494">
            <v>38000</v>
          </cell>
          <cell r="EA494">
            <v>42616</v>
          </cell>
          <cell r="EB494">
            <v>47232</v>
          </cell>
          <cell r="EC494">
            <v>51848</v>
          </cell>
          <cell r="ED494">
            <v>56678</v>
          </cell>
          <cell r="EE494">
            <v>61508</v>
          </cell>
          <cell r="EF494">
            <v>66338</v>
          </cell>
          <cell r="EG494">
            <v>71168</v>
          </cell>
          <cell r="EH494">
            <v>75998</v>
          </cell>
          <cell r="EI494">
            <v>544906</v>
          </cell>
          <cell r="EK494">
            <v>0</v>
          </cell>
          <cell r="EL494">
            <v>0</v>
          </cell>
          <cell r="EM494">
            <v>223.46666666666667</v>
          </cell>
          <cell r="EN494">
            <v>253.33333333333334</v>
          </cell>
          <cell r="EO494">
            <v>284.10666666666668</v>
          </cell>
          <cell r="EP494">
            <v>314.88</v>
          </cell>
          <cell r="EQ494">
            <v>345.65333333333336</v>
          </cell>
          <cell r="ER494">
            <v>377.8533333333333</v>
          </cell>
          <cell r="ES494">
            <v>440.80733333333325</v>
          </cell>
          <cell r="ET494">
            <v>475.42233333333326</v>
          </cell>
          <cell r="EU494">
            <v>510.03733333333327</v>
          </cell>
          <cell r="EV494">
            <v>544.65233333333333</v>
          </cell>
          <cell r="EW494">
            <v>3770.2126666666668</v>
          </cell>
          <cell r="EY494">
            <v>269894</v>
          </cell>
          <cell r="EZ494">
            <v>8</v>
          </cell>
          <cell r="FA494">
            <v>1799.2933333333333</v>
          </cell>
          <cell r="FB494">
            <v>275012</v>
          </cell>
          <cell r="FC494">
            <v>8.6</v>
          </cell>
          <cell r="FD494">
            <v>1970.919333333333</v>
          </cell>
          <cell r="FE494">
            <v>3770.2126666666663</v>
          </cell>
          <cell r="FF494">
            <v>79768</v>
          </cell>
          <cell r="FH494">
            <v>79768</v>
          </cell>
        </row>
        <row r="495">
          <cell r="B495">
            <v>9313</v>
          </cell>
          <cell r="C495" t="str">
            <v>27.01.2009</v>
          </cell>
          <cell r="D495" t="str">
            <v>Sonawane Sanjay Jayvant</v>
          </cell>
          <cell r="F495">
            <v>39482</v>
          </cell>
          <cell r="G495">
            <v>51772</v>
          </cell>
          <cell r="H495">
            <v>13068</v>
          </cell>
          <cell r="I495">
            <v>13068</v>
          </cell>
          <cell r="J495">
            <v>26136</v>
          </cell>
          <cell r="K495">
            <v>-13346</v>
          </cell>
          <cell r="M495">
            <v>2240</v>
          </cell>
          <cell r="N495">
            <v>0</v>
          </cell>
          <cell r="O495">
            <v>2240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W495">
            <v>2240</v>
          </cell>
          <cell r="X495">
            <v>0</v>
          </cell>
          <cell r="Y495">
            <v>2240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G495">
            <v>2308</v>
          </cell>
          <cell r="AH495">
            <v>0</v>
          </cell>
          <cell r="AI495">
            <v>2308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>
            <v>0</v>
          </cell>
          <cell r="AQ495">
            <v>2308</v>
          </cell>
          <cell r="AR495">
            <v>0</v>
          </cell>
          <cell r="AS495">
            <v>2308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  <cell r="AX495">
            <v>0</v>
          </cell>
          <cell r="AY495">
            <v>0</v>
          </cell>
          <cell r="BA495">
            <v>2308</v>
          </cell>
          <cell r="BB495">
            <v>0</v>
          </cell>
          <cell r="BC495">
            <v>2308</v>
          </cell>
          <cell r="BD495">
            <v>0</v>
          </cell>
          <cell r="BE495">
            <v>0</v>
          </cell>
          <cell r="BF495">
            <v>0</v>
          </cell>
          <cell r="BG495">
            <v>0</v>
          </cell>
          <cell r="BH495">
            <v>0</v>
          </cell>
          <cell r="BI495">
            <v>0</v>
          </cell>
          <cell r="BK495">
            <v>2415</v>
          </cell>
          <cell r="BL495">
            <v>0</v>
          </cell>
          <cell r="BM495">
            <v>2415</v>
          </cell>
          <cell r="BN495">
            <v>0</v>
          </cell>
          <cell r="BO495">
            <v>0</v>
          </cell>
          <cell r="BP495">
            <v>0</v>
          </cell>
          <cell r="BQ495">
            <v>0</v>
          </cell>
          <cell r="BR495">
            <v>0</v>
          </cell>
          <cell r="BS495">
            <v>0</v>
          </cell>
          <cell r="BU495">
            <v>2415</v>
          </cell>
          <cell r="BV495">
            <v>0</v>
          </cell>
          <cell r="BW495">
            <v>2415</v>
          </cell>
          <cell r="BX495">
            <v>0</v>
          </cell>
          <cell r="BY495">
            <v>0</v>
          </cell>
          <cell r="BZ495">
            <v>0</v>
          </cell>
          <cell r="CA495">
            <v>0</v>
          </cell>
          <cell r="CB495">
            <v>0</v>
          </cell>
          <cell r="CC495">
            <v>0</v>
          </cell>
          <cell r="CE495">
            <v>2415</v>
          </cell>
          <cell r="CF495">
            <v>0</v>
          </cell>
          <cell r="CG495">
            <v>2415</v>
          </cell>
          <cell r="CH495">
            <v>0</v>
          </cell>
          <cell r="CI495">
            <v>0</v>
          </cell>
          <cell r="CJ495">
            <v>0</v>
          </cell>
          <cell r="CK495">
            <v>0</v>
          </cell>
          <cell r="CL495">
            <v>0</v>
          </cell>
          <cell r="CM495">
            <v>0</v>
          </cell>
          <cell r="CO495">
            <v>2415</v>
          </cell>
          <cell r="CP495">
            <v>0</v>
          </cell>
          <cell r="CQ495">
            <v>2415</v>
          </cell>
          <cell r="CR495">
            <v>0</v>
          </cell>
          <cell r="CS495">
            <v>0</v>
          </cell>
          <cell r="CT495">
            <v>0</v>
          </cell>
          <cell r="CU495">
            <v>0</v>
          </cell>
          <cell r="CV495">
            <v>0</v>
          </cell>
          <cell r="CW495">
            <v>0</v>
          </cell>
          <cell r="CY495">
            <v>2415</v>
          </cell>
          <cell r="CZ495">
            <v>0</v>
          </cell>
          <cell r="DA495">
            <v>2415</v>
          </cell>
          <cell r="DB495">
            <v>0</v>
          </cell>
          <cell r="DC495">
            <v>0</v>
          </cell>
          <cell r="DD495">
            <v>0</v>
          </cell>
          <cell r="DE495">
            <v>0</v>
          </cell>
          <cell r="DF495">
            <v>0</v>
          </cell>
          <cell r="DG495">
            <v>0</v>
          </cell>
          <cell r="DI495">
            <v>26136</v>
          </cell>
          <cell r="DJ495">
            <v>23479</v>
          </cell>
          <cell r="DK495">
            <v>0</v>
          </cell>
          <cell r="DL495">
            <v>23479</v>
          </cell>
          <cell r="DM495">
            <v>23479</v>
          </cell>
          <cell r="DN495">
            <v>0</v>
          </cell>
          <cell r="DO495">
            <v>23479</v>
          </cell>
          <cell r="DP495">
            <v>0</v>
          </cell>
          <cell r="DQ495">
            <v>0</v>
          </cell>
          <cell r="DR495">
            <v>0</v>
          </cell>
          <cell r="DS495">
            <v>0</v>
          </cell>
          <cell r="DT495">
            <v>46958</v>
          </cell>
          <cell r="DU495">
            <v>0</v>
          </cell>
          <cell r="DW495">
            <v>0</v>
          </cell>
          <cell r="DX495">
            <v>0</v>
          </cell>
          <cell r="DY495">
            <v>30616</v>
          </cell>
          <cell r="DZ495">
            <v>35096</v>
          </cell>
          <cell r="EA495">
            <v>39712</v>
          </cell>
          <cell r="EB495">
            <v>44328</v>
          </cell>
          <cell r="EC495">
            <v>48944</v>
          </cell>
          <cell r="ED495">
            <v>53774</v>
          </cell>
          <cell r="EE495">
            <v>58604</v>
          </cell>
          <cell r="EF495">
            <v>63434</v>
          </cell>
          <cell r="EG495">
            <v>68264</v>
          </cell>
          <cell r="EH495">
            <v>73094</v>
          </cell>
          <cell r="EI495">
            <v>515866</v>
          </cell>
          <cell r="EK495">
            <v>0</v>
          </cell>
          <cell r="EL495">
            <v>0</v>
          </cell>
          <cell r="EM495">
            <v>204.10666666666668</v>
          </cell>
          <cell r="EN495">
            <v>233.97333333333333</v>
          </cell>
          <cell r="EO495">
            <v>264.74666666666667</v>
          </cell>
          <cell r="EP495">
            <v>295.52</v>
          </cell>
          <cell r="EQ495">
            <v>326.29333333333335</v>
          </cell>
          <cell r="ER495">
            <v>358.49333333333334</v>
          </cell>
          <cell r="ES495">
            <v>419.99533333333329</v>
          </cell>
          <cell r="ET495">
            <v>454.61033333333336</v>
          </cell>
          <cell r="EU495">
            <v>489.22533333333337</v>
          </cell>
          <cell r="EV495">
            <v>523.84033333333332</v>
          </cell>
          <cell r="EW495">
            <v>3570.8046666666669</v>
          </cell>
          <cell r="EY495">
            <v>252470</v>
          </cell>
          <cell r="EZ495">
            <v>8</v>
          </cell>
          <cell r="FA495">
            <v>1683.1333333333332</v>
          </cell>
          <cell r="FB495">
            <v>263396</v>
          </cell>
          <cell r="FC495">
            <v>8.6</v>
          </cell>
          <cell r="FD495">
            <v>1887.6713333333335</v>
          </cell>
          <cell r="FE495">
            <v>3570.8046666666669</v>
          </cell>
          <cell r="FF495">
            <v>76665</v>
          </cell>
          <cell r="FH495">
            <v>76665</v>
          </cell>
        </row>
        <row r="496">
          <cell r="B496">
            <v>9314</v>
          </cell>
          <cell r="C496" t="str">
            <v>27.01.2009</v>
          </cell>
          <cell r="D496" t="str">
            <v>Bairagi Sarla Tulsidas</v>
          </cell>
          <cell r="F496">
            <v>39482</v>
          </cell>
          <cell r="G496">
            <v>51772</v>
          </cell>
          <cell r="H496">
            <v>43560</v>
          </cell>
          <cell r="I496">
            <v>43560</v>
          </cell>
          <cell r="J496">
            <v>87120</v>
          </cell>
          <cell r="K496">
            <v>47638</v>
          </cell>
          <cell r="M496">
            <v>2240</v>
          </cell>
          <cell r="N496">
            <v>0</v>
          </cell>
          <cell r="O496">
            <v>2240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W496">
            <v>2240</v>
          </cell>
          <cell r="X496">
            <v>0</v>
          </cell>
          <cell r="Y496">
            <v>2240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G496">
            <v>2308</v>
          </cell>
          <cell r="AH496">
            <v>0</v>
          </cell>
          <cell r="AI496">
            <v>2308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>
            <v>0</v>
          </cell>
          <cell r="AQ496">
            <v>2308</v>
          </cell>
          <cell r="AR496">
            <v>0</v>
          </cell>
          <cell r="AS496">
            <v>2308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  <cell r="AX496">
            <v>0</v>
          </cell>
          <cell r="AY496">
            <v>0</v>
          </cell>
          <cell r="BA496">
            <v>2308</v>
          </cell>
          <cell r="BB496">
            <v>0</v>
          </cell>
          <cell r="BC496">
            <v>2308</v>
          </cell>
          <cell r="BD496">
            <v>0</v>
          </cell>
          <cell r="BE496">
            <v>0</v>
          </cell>
          <cell r="BF496">
            <v>0</v>
          </cell>
          <cell r="BG496">
            <v>0</v>
          </cell>
          <cell r="BH496">
            <v>0</v>
          </cell>
          <cell r="BI496">
            <v>0</v>
          </cell>
          <cell r="BK496">
            <v>2415</v>
          </cell>
          <cell r="BL496">
            <v>0</v>
          </cell>
          <cell r="BM496">
            <v>2415</v>
          </cell>
          <cell r="BN496">
            <v>0</v>
          </cell>
          <cell r="BO496">
            <v>0</v>
          </cell>
          <cell r="BP496">
            <v>0</v>
          </cell>
          <cell r="BQ496">
            <v>0</v>
          </cell>
          <cell r="BR496">
            <v>0</v>
          </cell>
          <cell r="BS496">
            <v>0</v>
          </cell>
          <cell r="BU496">
            <v>2415</v>
          </cell>
          <cell r="BV496">
            <v>0</v>
          </cell>
          <cell r="BW496">
            <v>2415</v>
          </cell>
          <cell r="BX496">
            <v>0</v>
          </cell>
          <cell r="BY496">
            <v>0</v>
          </cell>
          <cell r="BZ496">
            <v>0</v>
          </cell>
          <cell r="CA496">
            <v>0</v>
          </cell>
          <cell r="CB496">
            <v>0</v>
          </cell>
          <cell r="CC496">
            <v>0</v>
          </cell>
          <cell r="CE496">
            <v>2415</v>
          </cell>
          <cell r="CF496">
            <v>0</v>
          </cell>
          <cell r="CG496">
            <v>2415</v>
          </cell>
          <cell r="CH496">
            <v>0</v>
          </cell>
          <cell r="CI496">
            <v>0</v>
          </cell>
          <cell r="CJ496">
            <v>0</v>
          </cell>
          <cell r="CK496">
            <v>0</v>
          </cell>
          <cell r="CL496">
            <v>0</v>
          </cell>
          <cell r="CM496">
            <v>0</v>
          </cell>
          <cell r="CO496">
            <v>2415</v>
          </cell>
          <cell r="CP496">
            <v>0</v>
          </cell>
          <cell r="CQ496">
            <v>2415</v>
          </cell>
          <cell r="CR496">
            <v>0</v>
          </cell>
          <cell r="CS496">
            <v>0</v>
          </cell>
          <cell r="CT496">
            <v>0</v>
          </cell>
          <cell r="CU496">
            <v>0</v>
          </cell>
          <cell r="CV496">
            <v>0</v>
          </cell>
          <cell r="CW496">
            <v>0</v>
          </cell>
          <cell r="CY496">
            <v>2415</v>
          </cell>
          <cell r="CZ496">
            <v>0</v>
          </cell>
          <cell r="DA496">
            <v>2415</v>
          </cell>
          <cell r="DB496">
            <v>0</v>
          </cell>
          <cell r="DC496">
            <v>0</v>
          </cell>
          <cell r="DD496">
            <v>0</v>
          </cell>
          <cell r="DE496">
            <v>0</v>
          </cell>
          <cell r="DF496">
            <v>0</v>
          </cell>
          <cell r="DG496">
            <v>0</v>
          </cell>
          <cell r="DI496">
            <v>87120</v>
          </cell>
          <cell r="DJ496">
            <v>23479</v>
          </cell>
          <cell r="DK496">
            <v>0</v>
          </cell>
          <cell r="DL496">
            <v>23479</v>
          </cell>
          <cell r="DM496">
            <v>23479</v>
          </cell>
          <cell r="DN496">
            <v>0</v>
          </cell>
          <cell r="DO496">
            <v>23479</v>
          </cell>
          <cell r="DP496">
            <v>0</v>
          </cell>
          <cell r="DQ496">
            <v>0</v>
          </cell>
          <cell r="DR496">
            <v>0</v>
          </cell>
          <cell r="DS496">
            <v>0</v>
          </cell>
          <cell r="DT496">
            <v>46958</v>
          </cell>
          <cell r="DU496">
            <v>0</v>
          </cell>
          <cell r="DW496">
            <v>0</v>
          </cell>
          <cell r="DX496">
            <v>0</v>
          </cell>
          <cell r="DY496">
            <v>91600</v>
          </cell>
          <cell r="DZ496">
            <v>96080</v>
          </cell>
          <cell r="EA496">
            <v>100696</v>
          </cell>
          <cell r="EB496">
            <v>105312</v>
          </cell>
          <cell r="EC496">
            <v>109928</v>
          </cell>
          <cell r="ED496">
            <v>114758</v>
          </cell>
          <cell r="EE496">
            <v>119588</v>
          </cell>
          <cell r="EF496">
            <v>124418</v>
          </cell>
          <cell r="EG496">
            <v>129248</v>
          </cell>
          <cell r="EH496">
            <v>134078</v>
          </cell>
          <cell r="EI496">
            <v>1125706</v>
          </cell>
          <cell r="EK496">
            <v>0</v>
          </cell>
          <cell r="EL496">
            <v>0</v>
          </cell>
          <cell r="EM496">
            <v>610.66666666666663</v>
          </cell>
          <cell r="EN496">
            <v>640.5333333333333</v>
          </cell>
          <cell r="EO496">
            <v>671.30666666666673</v>
          </cell>
          <cell r="EP496">
            <v>702.07999999999993</v>
          </cell>
          <cell r="EQ496">
            <v>732.85333333333335</v>
          </cell>
          <cell r="ER496">
            <v>765.05333333333328</v>
          </cell>
          <cell r="ES496">
            <v>857.04733333333331</v>
          </cell>
          <cell r="ET496">
            <v>891.66233333333332</v>
          </cell>
          <cell r="EU496">
            <v>926.27733333333344</v>
          </cell>
          <cell r="EV496">
            <v>960.89233333333334</v>
          </cell>
          <cell r="EW496">
            <v>7758.3726666666671</v>
          </cell>
          <cell r="EY496">
            <v>618374</v>
          </cell>
          <cell r="EZ496">
            <v>8</v>
          </cell>
          <cell r="FA496">
            <v>4122.4933333333329</v>
          </cell>
          <cell r="FB496">
            <v>507332</v>
          </cell>
          <cell r="FC496">
            <v>8.6</v>
          </cell>
          <cell r="FD496">
            <v>3635.8793333333338</v>
          </cell>
          <cell r="FE496">
            <v>7758.3726666666662</v>
          </cell>
          <cell r="FF496">
            <v>141836</v>
          </cell>
          <cell r="FH496">
            <v>141836</v>
          </cell>
        </row>
        <row r="497">
          <cell r="B497">
            <v>9315</v>
          </cell>
          <cell r="C497" t="str">
            <v>27.01.2009</v>
          </cell>
          <cell r="D497" t="str">
            <v>Devare Shantaram Omkar</v>
          </cell>
          <cell r="F497">
            <v>39482</v>
          </cell>
          <cell r="G497">
            <v>51772</v>
          </cell>
          <cell r="H497">
            <v>14520</v>
          </cell>
          <cell r="I497">
            <v>14520</v>
          </cell>
          <cell r="J497">
            <v>29040</v>
          </cell>
          <cell r="K497">
            <v>-10442</v>
          </cell>
          <cell r="M497">
            <v>2240</v>
          </cell>
          <cell r="N497">
            <v>0</v>
          </cell>
          <cell r="O497">
            <v>2240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W497">
            <v>2240</v>
          </cell>
          <cell r="X497">
            <v>0</v>
          </cell>
          <cell r="Y497">
            <v>2240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G497">
            <v>2308</v>
          </cell>
          <cell r="AH497">
            <v>0</v>
          </cell>
          <cell r="AI497">
            <v>2308</v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>
            <v>0</v>
          </cell>
          <cell r="AQ497">
            <v>2308</v>
          </cell>
          <cell r="AR497">
            <v>0</v>
          </cell>
          <cell r="AS497">
            <v>2308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  <cell r="AX497">
            <v>0</v>
          </cell>
          <cell r="AY497">
            <v>0</v>
          </cell>
          <cell r="BA497">
            <v>2308</v>
          </cell>
          <cell r="BB497">
            <v>0</v>
          </cell>
          <cell r="BC497">
            <v>2308</v>
          </cell>
          <cell r="BD497">
            <v>0</v>
          </cell>
          <cell r="BE497">
            <v>0</v>
          </cell>
          <cell r="BF497">
            <v>0</v>
          </cell>
          <cell r="BG497">
            <v>0</v>
          </cell>
          <cell r="BH497">
            <v>0</v>
          </cell>
          <cell r="BI497">
            <v>0</v>
          </cell>
          <cell r="BK497">
            <v>2415</v>
          </cell>
          <cell r="BL497">
            <v>0</v>
          </cell>
          <cell r="BM497">
            <v>2415</v>
          </cell>
          <cell r="BN497">
            <v>0</v>
          </cell>
          <cell r="BO497">
            <v>0</v>
          </cell>
          <cell r="BP497">
            <v>0</v>
          </cell>
          <cell r="BQ497">
            <v>0</v>
          </cell>
          <cell r="BR497">
            <v>0</v>
          </cell>
          <cell r="BS497">
            <v>0</v>
          </cell>
          <cell r="BU497">
            <v>2415</v>
          </cell>
          <cell r="BV497">
            <v>0</v>
          </cell>
          <cell r="BW497">
            <v>2415</v>
          </cell>
          <cell r="BX497">
            <v>0</v>
          </cell>
          <cell r="BY497">
            <v>0</v>
          </cell>
          <cell r="BZ497">
            <v>0</v>
          </cell>
          <cell r="CA497">
            <v>0</v>
          </cell>
          <cell r="CB497">
            <v>0</v>
          </cell>
          <cell r="CC497">
            <v>0</v>
          </cell>
          <cell r="CE497">
            <v>2415</v>
          </cell>
          <cell r="CF497">
            <v>0</v>
          </cell>
          <cell r="CG497">
            <v>2415</v>
          </cell>
          <cell r="CH497">
            <v>0</v>
          </cell>
          <cell r="CI497">
            <v>0</v>
          </cell>
          <cell r="CJ497">
            <v>0</v>
          </cell>
          <cell r="CK497">
            <v>0</v>
          </cell>
          <cell r="CL497">
            <v>0</v>
          </cell>
          <cell r="CM497">
            <v>0</v>
          </cell>
          <cell r="CO497">
            <v>2415</v>
          </cell>
          <cell r="CP497">
            <v>0</v>
          </cell>
          <cell r="CQ497">
            <v>2415</v>
          </cell>
          <cell r="CR497">
            <v>0</v>
          </cell>
          <cell r="CS497">
            <v>0</v>
          </cell>
          <cell r="CT497">
            <v>0</v>
          </cell>
          <cell r="CU497">
            <v>0</v>
          </cell>
          <cell r="CV497">
            <v>0</v>
          </cell>
          <cell r="CW497">
            <v>0</v>
          </cell>
          <cell r="CY497">
            <v>2415</v>
          </cell>
          <cell r="CZ497">
            <v>0</v>
          </cell>
          <cell r="DA497">
            <v>2415</v>
          </cell>
          <cell r="DB497">
            <v>0</v>
          </cell>
          <cell r="DC497">
            <v>0</v>
          </cell>
          <cell r="DD497">
            <v>0</v>
          </cell>
          <cell r="DE497">
            <v>0</v>
          </cell>
          <cell r="DF497">
            <v>0</v>
          </cell>
          <cell r="DG497">
            <v>0</v>
          </cell>
          <cell r="DI497">
            <v>29040</v>
          </cell>
          <cell r="DJ497">
            <v>23479</v>
          </cell>
          <cell r="DK497">
            <v>0</v>
          </cell>
          <cell r="DL497">
            <v>23479</v>
          </cell>
          <cell r="DM497">
            <v>23479</v>
          </cell>
          <cell r="DN497">
            <v>0</v>
          </cell>
          <cell r="DO497">
            <v>23479</v>
          </cell>
          <cell r="DP497">
            <v>0</v>
          </cell>
          <cell r="DQ497">
            <v>0</v>
          </cell>
          <cell r="DR497">
            <v>0</v>
          </cell>
          <cell r="DS497">
            <v>0</v>
          </cell>
          <cell r="DT497">
            <v>46958</v>
          </cell>
          <cell r="DU497">
            <v>0</v>
          </cell>
          <cell r="DW497">
            <v>0</v>
          </cell>
          <cell r="DX497">
            <v>0</v>
          </cell>
          <cell r="DY497">
            <v>33520</v>
          </cell>
          <cell r="DZ497">
            <v>38000</v>
          </cell>
          <cell r="EA497">
            <v>42616</v>
          </cell>
          <cell r="EB497">
            <v>47232</v>
          </cell>
          <cell r="EC497">
            <v>51848</v>
          </cell>
          <cell r="ED497">
            <v>56678</v>
          </cell>
          <cell r="EE497">
            <v>61508</v>
          </cell>
          <cell r="EF497">
            <v>66338</v>
          </cell>
          <cell r="EG497">
            <v>71168</v>
          </cell>
          <cell r="EH497">
            <v>75998</v>
          </cell>
          <cell r="EI497">
            <v>544906</v>
          </cell>
          <cell r="EK497">
            <v>0</v>
          </cell>
          <cell r="EL497">
            <v>0</v>
          </cell>
          <cell r="EM497">
            <v>223.46666666666667</v>
          </cell>
          <cell r="EN497">
            <v>253.33333333333334</v>
          </cell>
          <cell r="EO497">
            <v>284.10666666666668</v>
          </cell>
          <cell r="EP497">
            <v>314.88</v>
          </cell>
          <cell r="EQ497">
            <v>345.65333333333336</v>
          </cell>
          <cell r="ER497">
            <v>377.8533333333333</v>
          </cell>
          <cell r="ES497">
            <v>440.80733333333325</v>
          </cell>
          <cell r="ET497">
            <v>475.42233333333326</v>
          </cell>
          <cell r="EU497">
            <v>510.03733333333327</v>
          </cell>
          <cell r="EV497">
            <v>544.65233333333333</v>
          </cell>
          <cell r="EW497">
            <v>3770.2126666666668</v>
          </cell>
          <cell r="EY497">
            <v>269894</v>
          </cell>
          <cell r="EZ497">
            <v>8</v>
          </cell>
          <cell r="FA497">
            <v>1799.2933333333333</v>
          </cell>
          <cell r="FB497">
            <v>275012</v>
          </cell>
          <cell r="FC497">
            <v>8.6</v>
          </cell>
          <cell r="FD497">
            <v>1970.919333333333</v>
          </cell>
          <cell r="FE497">
            <v>3770.2126666666663</v>
          </cell>
          <cell r="FF497">
            <v>79768</v>
          </cell>
          <cell r="FH497">
            <v>79768</v>
          </cell>
        </row>
        <row r="498">
          <cell r="B498">
            <v>9301</v>
          </cell>
          <cell r="C498" t="str">
            <v>31.01.2009</v>
          </cell>
          <cell r="D498" t="str">
            <v>Borase Dattu Chatram</v>
          </cell>
          <cell r="F498">
            <v>39482</v>
          </cell>
          <cell r="G498">
            <v>51772</v>
          </cell>
          <cell r="H498">
            <v>14520</v>
          </cell>
          <cell r="I498">
            <v>14520</v>
          </cell>
          <cell r="J498">
            <v>29040</v>
          </cell>
          <cell r="K498">
            <v>-10442</v>
          </cell>
          <cell r="M498">
            <v>2240</v>
          </cell>
          <cell r="N498">
            <v>0</v>
          </cell>
          <cell r="O498">
            <v>2240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W498">
            <v>2240</v>
          </cell>
          <cell r="X498">
            <v>0</v>
          </cell>
          <cell r="Y498">
            <v>2240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G498">
            <v>2308</v>
          </cell>
          <cell r="AH498">
            <v>0</v>
          </cell>
          <cell r="AI498">
            <v>2308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>
            <v>0</v>
          </cell>
          <cell r="AQ498">
            <v>2308</v>
          </cell>
          <cell r="AR498">
            <v>0</v>
          </cell>
          <cell r="AS498">
            <v>2308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  <cell r="AX498">
            <v>0</v>
          </cell>
          <cell r="AY498">
            <v>0</v>
          </cell>
          <cell r="BA498">
            <v>2308</v>
          </cell>
          <cell r="BB498">
            <v>0</v>
          </cell>
          <cell r="BC498">
            <v>2308</v>
          </cell>
          <cell r="BD498">
            <v>0</v>
          </cell>
          <cell r="BE498">
            <v>0</v>
          </cell>
          <cell r="BF498">
            <v>0</v>
          </cell>
          <cell r="BG498">
            <v>0</v>
          </cell>
          <cell r="BH498">
            <v>0</v>
          </cell>
          <cell r="BI498">
            <v>0</v>
          </cell>
          <cell r="BK498">
            <v>2415</v>
          </cell>
          <cell r="BL498">
            <v>0</v>
          </cell>
          <cell r="BM498">
            <v>2415</v>
          </cell>
          <cell r="BN498">
            <v>0</v>
          </cell>
          <cell r="BO498">
            <v>0</v>
          </cell>
          <cell r="BP498">
            <v>0</v>
          </cell>
          <cell r="BQ498">
            <v>0</v>
          </cell>
          <cell r="BR498">
            <v>0</v>
          </cell>
          <cell r="BS498">
            <v>0</v>
          </cell>
          <cell r="BU498">
            <v>2415</v>
          </cell>
          <cell r="BV498">
            <v>0</v>
          </cell>
          <cell r="BW498">
            <v>2415</v>
          </cell>
          <cell r="BX498">
            <v>0</v>
          </cell>
          <cell r="BY498">
            <v>0</v>
          </cell>
          <cell r="BZ498">
            <v>0</v>
          </cell>
          <cell r="CA498">
            <v>0</v>
          </cell>
          <cell r="CB498">
            <v>0</v>
          </cell>
          <cell r="CC498">
            <v>0</v>
          </cell>
          <cell r="CE498">
            <v>2415</v>
          </cell>
          <cell r="CF498">
            <v>0</v>
          </cell>
          <cell r="CG498">
            <v>2415</v>
          </cell>
          <cell r="CH498">
            <v>0</v>
          </cell>
          <cell r="CI498">
            <v>0</v>
          </cell>
          <cell r="CJ498">
            <v>0</v>
          </cell>
          <cell r="CK498">
            <v>0</v>
          </cell>
          <cell r="CL498">
            <v>0</v>
          </cell>
          <cell r="CM498">
            <v>0</v>
          </cell>
          <cell r="CO498">
            <v>2415</v>
          </cell>
          <cell r="CP498">
            <v>0</v>
          </cell>
          <cell r="CQ498">
            <v>2415</v>
          </cell>
          <cell r="CR498">
            <v>0</v>
          </cell>
          <cell r="CS498">
            <v>0</v>
          </cell>
          <cell r="CT498">
            <v>0</v>
          </cell>
          <cell r="CU498">
            <v>0</v>
          </cell>
          <cell r="CV498">
            <v>0</v>
          </cell>
          <cell r="CW498">
            <v>0</v>
          </cell>
          <cell r="CY498">
            <v>2415</v>
          </cell>
          <cell r="CZ498">
            <v>0</v>
          </cell>
          <cell r="DA498">
            <v>2415</v>
          </cell>
          <cell r="DB498">
            <v>0</v>
          </cell>
          <cell r="DC498">
            <v>0</v>
          </cell>
          <cell r="DD498">
            <v>0</v>
          </cell>
          <cell r="DE498">
            <v>0</v>
          </cell>
          <cell r="DF498">
            <v>0</v>
          </cell>
          <cell r="DG498">
            <v>0</v>
          </cell>
          <cell r="DI498">
            <v>29040</v>
          </cell>
          <cell r="DJ498">
            <v>23479</v>
          </cell>
          <cell r="DK498">
            <v>0</v>
          </cell>
          <cell r="DL498">
            <v>23479</v>
          </cell>
          <cell r="DM498">
            <v>23479</v>
          </cell>
          <cell r="DN498">
            <v>0</v>
          </cell>
          <cell r="DO498">
            <v>23479</v>
          </cell>
          <cell r="DP498">
            <v>0</v>
          </cell>
          <cell r="DQ498">
            <v>0</v>
          </cell>
          <cell r="DR498">
            <v>0</v>
          </cell>
          <cell r="DS498">
            <v>0</v>
          </cell>
          <cell r="DT498">
            <v>46958</v>
          </cell>
          <cell r="DU498">
            <v>0</v>
          </cell>
          <cell r="DW498">
            <v>0</v>
          </cell>
          <cell r="DX498">
            <v>0</v>
          </cell>
          <cell r="DY498">
            <v>33520</v>
          </cell>
          <cell r="DZ498">
            <v>38000</v>
          </cell>
          <cell r="EA498">
            <v>42616</v>
          </cell>
          <cell r="EB498">
            <v>47232</v>
          </cell>
          <cell r="EC498">
            <v>51848</v>
          </cell>
          <cell r="ED498">
            <v>56678</v>
          </cell>
          <cell r="EE498">
            <v>61508</v>
          </cell>
          <cell r="EF498">
            <v>66338</v>
          </cell>
          <cell r="EG498">
            <v>71168</v>
          </cell>
          <cell r="EH498">
            <v>75998</v>
          </cell>
          <cell r="EI498">
            <v>544906</v>
          </cell>
          <cell r="EK498">
            <v>0</v>
          </cell>
          <cell r="EL498">
            <v>0</v>
          </cell>
          <cell r="EM498">
            <v>223.46666666666667</v>
          </cell>
          <cell r="EN498">
            <v>253.33333333333334</v>
          </cell>
          <cell r="EO498">
            <v>284.10666666666668</v>
          </cell>
          <cell r="EP498">
            <v>314.88</v>
          </cell>
          <cell r="EQ498">
            <v>345.65333333333336</v>
          </cell>
          <cell r="ER498">
            <v>377.8533333333333</v>
          </cell>
          <cell r="ES498">
            <v>440.80733333333325</v>
          </cell>
          <cell r="ET498">
            <v>475.42233333333326</v>
          </cell>
          <cell r="EU498">
            <v>510.03733333333327</v>
          </cell>
          <cell r="EV498">
            <v>544.65233333333333</v>
          </cell>
          <cell r="EW498">
            <v>3770.2126666666668</v>
          </cell>
          <cell r="EY498">
            <v>269894</v>
          </cell>
          <cell r="EZ498">
            <v>8</v>
          </cell>
          <cell r="FA498">
            <v>1799.2933333333333</v>
          </cell>
          <cell r="FB498">
            <v>275012</v>
          </cell>
          <cell r="FC498">
            <v>8.6</v>
          </cell>
          <cell r="FD498">
            <v>1970.919333333333</v>
          </cell>
          <cell r="FE498">
            <v>3770.2126666666663</v>
          </cell>
          <cell r="FF498">
            <v>79768</v>
          </cell>
          <cell r="FH498">
            <v>79768</v>
          </cell>
        </row>
        <row r="499">
          <cell r="B499">
            <v>9639</v>
          </cell>
          <cell r="C499" t="str">
            <v>31.01.2009</v>
          </cell>
          <cell r="D499" t="str">
            <v>Ansari Afrin Mohamad Kasim</v>
          </cell>
          <cell r="F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0</v>
          </cell>
          <cell r="BA499">
            <v>0</v>
          </cell>
          <cell r="BB499">
            <v>0</v>
          </cell>
          <cell r="BC499">
            <v>0</v>
          </cell>
          <cell r="BD499">
            <v>0</v>
          </cell>
          <cell r="BE499">
            <v>0</v>
          </cell>
          <cell r="BF499">
            <v>0</v>
          </cell>
          <cell r="BG499">
            <v>0</v>
          </cell>
          <cell r="BH499">
            <v>0</v>
          </cell>
          <cell r="BI499">
            <v>0</v>
          </cell>
          <cell r="BK499">
            <v>0</v>
          </cell>
          <cell r="BL499">
            <v>0</v>
          </cell>
          <cell r="BM499">
            <v>0</v>
          </cell>
          <cell r="BN499">
            <v>0</v>
          </cell>
          <cell r="BO499">
            <v>0</v>
          </cell>
          <cell r="BP499">
            <v>0</v>
          </cell>
          <cell r="BQ499">
            <v>0</v>
          </cell>
          <cell r="BR499">
            <v>0</v>
          </cell>
          <cell r="BS499">
            <v>0</v>
          </cell>
          <cell r="BU499">
            <v>0</v>
          </cell>
          <cell r="BV499">
            <v>0</v>
          </cell>
          <cell r="BW499">
            <v>0</v>
          </cell>
          <cell r="BX499">
            <v>0</v>
          </cell>
          <cell r="BY499">
            <v>0</v>
          </cell>
          <cell r="BZ499">
            <v>0</v>
          </cell>
          <cell r="CA499">
            <v>0</v>
          </cell>
          <cell r="CB499">
            <v>0</v>
          </cell>
          <cell r="CC499">
            <v>0</v>
          </cell>
          <cell r="CE499">
            <v>0</v>
          </cell>
          <cell r="CF499">
            <v>0</v>
          </cell>
          <cell r="CG499">
            <v>0</v>
          </cell>
          <cell r="CH499">
            <v>0</v>
          </cell>
          <cell r="CI499">
            <v>0</v>
          </cell>
          <cell r="CJ499">
            <v>0</v>
          </cell>
          <cell r="CK499">
            <v>0</v>
          </cell>
          <cell r="CL499">
            <v>0</v>
          </cell>
          <cell r="CM499">
            <v>0</v>
          </cell>
          <cell r="CO499">
            <v>0</v>
          </cell>
          <cell r="CP499">
            <v>0</v>
          </cell>
          <cell r="CQ499">
            <v>0</v>
          </cell>
          <cell r="CR499">
            <v>0</v>
          </cell>
          <cell r="CS499">
            <v>0</v>
          </cell>
          <cell r="CT499">
            <v>0</v>
          </cell>
          <cell r="CU499">
            <v>0</v>
          </cell>
          <cell r="CV499">
            <v>0</v>
          </cell>
          <cell r="CW499">
            <v>0</v>
          </cell>
          <cell r="CY499">
            <v>0</v>
          </cell>
          <cell r="CZ499">
            <v>0</v>
          </cell>
          <cell r="DA499">
            <v>0</v>
          </cell>
          <cell r="DB499">
            <v>0</v>
          </cell>
          <cell r="DC499">
            <v>0</v>
          </cell>
          <cell r="DD499">
            <v>0</v>
          </cell>
          <cell r="DE499">
            <v>0</v>
          </cell>
          <cell r="DF499">
            <v>0</v>
          </cell>
          <cell r="DG499">
            <v>0</v>
          </cell>
          <cell r="DI499">
            <v>0</v>
          </cell>
          <cell r="DJ499">
            <v>0</v>
          </cell>
          <cell r="DK499">
            <v>0</v>
          </cell>
          <cell r="DL499">
            <v>0</v>
          </cell>
          <cell r="DM499">
            <v>0</v>
          </cell>
          <cell r="DN499">
            <v>0</v>
          </cell>
          <cell r="DO499">
            <v>0</v>
          </cell>
          <cell r="DP499">
            <v>0</v>
          </cell>
          <cell r="DQ499">
            <v>0</v>
          </cell>
          <cell r="DR499">
            <v>0</v>
          </cell>
          <cell r="DS499">
            <v>0</v>
          </cell>
          <cell r="DT499">
            <v>0</v>
          </cell>
          <cell r="DU499">
            <v>0</v>
          </cell>
          <cell r="DW499">
            <v>0</v>
          </cell>
          <cell r="DX499">
            <v>0</v>
          </cell>
          <cell r="DY499">
            <v>0</v>
          </cell>
          <cell r="DZ499">
            <v>0</v>
          </cell>
          <cell r="EA499">
            <v>0</v>
          </cell>
          <cell r="EB499">
            <v>0</v>
          </cell>
          <cell r="EC499">
            <v>0</v>
          </cell>
          <cell r="ED499">
            <v>0</v>
          </cell>
          <cell r="EE499">
            <v>0</v>
          </cell>
          <cell r="EF499">
            <v>0</v>
          </cell>
          <cell r="EG499">
            <v>0</v>
          </cell>
          <cell r="EH499">
            <v>0</v>
          </cell>
          <cell r="EI499">
            <v>0</v>
          </cell>
          <cell r="EK499">
            <v>0</v>
          </cell>
          <cell r="EL499">
            <v>0</v>
          </cell>
          <cell r="EM499">
            <v>0</v>
          </cell>
          <cell r="EN499">
            <v>0</v>
          </cell>
          <cell r="EO499">
            <v>0</v>
          </cell>
          <cell r="EP499">
            <v>0</v>
          </cell>
          <cell r="EQ499">
            <v>0</v>
          </cell>
          <cell r="ER499">
            <v>0</v>
          </cell>
          <cell r="ES499">
            <v>0</v>
          </cell>
          <cell r="ET499">
            <v>0</v>
          </cell>
          <cell r="EU499">
            <v>0</v>
          </cell>
          <cell r="EV499">
            <v>0</v>
          </cell>
          <cell r="EW499">
            <v>0</v>
          </cell>
          <cell r="EY499">
            <v>0</v>
          </cell>
          <cell r="EZ499">
            <v>8</v>
          </cell>
          <cell r="FA499">
            <v>0</v>
          </cell>
          <cell r="FB499">
            <v>0</v>
          </cell>
          <cell r="FC499">
            <v>8.6</v>
          </cell>
          <cell r="FD499">
            <v>0</v>
          </cell>
          <cell r="FE499">
            <v>0</v>
          </cell>
          <cell r="FF499">
            <v>0</v>
          </cell>
          <cell r="FH499">
            <v>0</v>
          </cell>
        </row>
        <row r="500">
          <cell r="B500">
            <v>9640</v>
          </cell>
          <cell r="C500" t="str">
            <v>02.02.2009</v>
          </cell>
          <cell r="D500" t="str">
            <v>Bachhav Devendra Laxman</v>
          </cell>
          <cell r="F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O500">
            <v>0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  <cell r="AX500">
            <v>0</v>
          </cell>
          <cell r="AY500">
            <v>0</v>
          </cell>
          <cell r="BA500">
            <v>0</v>
          </cell>
          <cell r="BB500">
            <v>0</v>
          </cell>
          <cell r="BC500">
            <v>0</v>
          </cell>
          <cell r="BD500">
            <v>0</v>
          </cell>
          <cell r="BE500">
            <v>0</v>
          </cell>
          <cell r="BF500">
            <v>0</v>
          </cell>
          <cell r="BG500">
            <v>0</v>
          </cell>
          <cell r="BH500">
            <v>0</v>
          </cell>
          <cell r="BI500">
            <v>0</v>
          </cell>
          <cell r="BK500">
            <v>0</v>
          </cell>
          <cell r="BL500">
            <v>0</v>
          </cell>
          <cell r="BM500">
            <v>0</v>
          </cell>
          <cell r="BN500">
            <v>0</v>
          </cell>
          <cell r="BO500">
            <v>0</v>
          </cell>
          <cell r="BP500">
            <v>0</v>
          </cell>
          <cell r="BQ500">
            <v>0</v>
          </cell>
          <cell r="BR500">
            <v>0</v>
          </cell>
          <cell r="BS500">
            <v>0</v>
          </cell>
          <cell r="BU500">
            <v>0</v>
          </cell>
          <cell r="BV500">
            <v>0</v>
          </cell>
          <cell r="BW500">
            <v>0</v>
          </cell>
          <cell r="BX500">
            <v>0</v>
          </cell>
          <cell r="BY500">
            <v>0</v>
          </cell>
          <cell r="BZ500">
            <v>0</v>
          </cell>
          <cell r="CA500">
            <v>0</v>
          </cell>
          <cell r="CB500">
            <v>0</v>
          </cell>
          <cell r="CC500">
            <v>0</v>
          </cell>
          <cell r="CE500">
            <v>0</v>
          </cell>
          <cell r="CF500">
            <v>0</v>
          </cell>
          <cell r="CG500">
            <v>0</v>
          </cell>
          <cell r="CH500">
            <v>0</v>
          </cell>
          <cell r="CI500">
            <v>0</v>
          </cell>
          <cell r="CJ500">
            <v>0</v>
          </cell>
          <cell r="CK500">
            <v>0</v>
          </cell>
          <cell r="CL500">
            <v>0</v>
          </cell>
          <cell r="CM500">
            <v>0</v>
          </cell>
          <cell r="CO500">
            <v>0</v>
          </cell>
          <cell r="CP500">
            <v>0</v>
          </cell>
          <cell r="CQ500">
            <v>0</v>
          </cell>
          <cell r="CR500">
            <v>0</v>
          </cell>
          <cell r="CS500">
            <v>0</v>
          </cell>
          <cell r="CT500">
            <v>0</v>
          </cell>
          <cell r="CU500">
            <v>0</v>
          </cell>
          <cell r="CV500">
            <v>0</v>
          </cell>
          <cell r="CW500">
            <v>0</v>
          </cell>
          <cell r="CY500">
            <v>0</v>
          </cell>
          <cell r="CZ500">
            <v>0</v>
          </cell>
          <cell r="DA500">
            <v>0</v>
          </cell>
          <cell r="DB500">
            <v>0</v>
          </cell>
          <cell r="DC500">
            <v>0</v>
          </cell>
          <cell r="DD500">
            <v>0</v>
          </cell>
          <cell r="DE500">
            <v>0</v>
          </cell>
          <cell r="DF500">
            <v>0</v>
          </cell>
          <cell r="DG500">
            <v>0</v>
          </cell>
          <cell r="DI500">
            <v>0</v>
          </cell>
          <cell r="DJ500">
            <v>0</v>
          </cell>
          <cell r="DK500">
            <v>0</v>
          </cell>
          <cell r="DL500">
            <v>0</v>
          </cell>
          <cell r="DM500">
            <v>0</v>
          </cell>
          <cell r="DN500">
            <v>0</v>
          </cell>
          <cell r="DO500">
            <v>0</v>
          </cell>
          <cell r="DP500">
            <v>0</v>
          </cell>
          <cell r="DQ500">
            <v>0</v>
          </cell>
          <cell r="DR500">
            <v>0</v>
          </cell>
          <cell r="DS500">
            <v>0</v>
          </cell>
          <cell r="DT500">
            <v>0</v>
          </cell>
          <cell r="DU500">
            <v>0</v>
          </cell>
          <cell r="DW500">
            <v>0</v>
          </cell>
          <cell r="DX500">
            <v>0</v>
          </cell>
          <cell r="DY500">
            <v>0</v>
          </cell>
          <cell r="DZ500">
            <v>0</v>
          </cell>
          <cell r="EA500">
            <v>0</v>
          </cell>
          <cell r="EB500">
            <v>0</v>
          </cell>
          <cell r="EC500">
            <v>0</v>
          </cell>
          <cell r="ED500">
            <v>0</v>
          </cell>
          <cell r="EE500">
            <v>0</v>
          </cell>
          <cell r="EF500">
            <v>0</v>
          </cell>
          <cell r="EG500">
            <v>0</v>
          </cell>
          <cell r="EH500">
            <v>0</v>
          </cell>
          <cell r="EI500">
            <v>0</v>
          </cell>
          <cell r="EK500">
            <v>0</v>
          </cell>
          <cell r="EL500">
            <v>0</v>
          </cell>
          <cell r="EM500">
            <v>0</v>
          </cell>
          <cell r="EN500">
            <v>0</v>
          </cell>
          <cell r="EO500">
            <v>0</v>
          </cell>
          <cell r="EP500">
            <v>0</v>
          </cell>
          <cell r="EQ500">
            <v>0</v>
          </cell>
          <cell r="ER500">
            <v>0</v>
          </cell>
          <cell r="ES500">
            <v>0</v>
          </cell>
          <cell r="ET500">
            <v>0</v>
          </cell>
          <cell r="EU500">
            <v>0</v>
          </cell>
          <cell r="EV500">
            <v>0</v>
          </cell>
          <cell r="EW500">
            <v>0</v>
          </cell>
          <cell r="EY500">
            <v>0</v>
          </cell>
          <cell r="EZ500">
            <v>8</v>
          </cell>
          <cell r="FA500">
            <v>0</v>
          </cell>
          <cell r="FB500">
            <v>0</v>
          </cell>
          <cell r="FC500">
            <v>8.6</v>
          </cell>
          <cell r="FD500">
            <v>0</v>
          </cell>
          <cell r="FE500">
            <v>0</v>
          </cell>
          <cell r="FF500">
            <v>0</v>
          </cell>
          <cell r="FH500">
            <v>0</v>
          </cell>
        </row>
        <row r="501">
          <cell r="B501">
            <v>9641</v>
          </cell>
          <cell r="C501" t="str">
            <v>08.03.2009</v>
          </cell>
          <cell r="D501" t="str">
            <v>Chavan Rajesh Premji</v>
          </cell>
          <cell r="F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BA501">
            <v>0</v>
          </cell>
          <cell r="BB501">
            <v>0</v>
          </cell>
          <cell r="BC501">
            <v>0</v>
          </cell>
          <cell r="BD501">
            <v>0</v>
          </cell>
          <cell r="BE501">
            <v>0</v>
          </cell>
          <cell r="BF501">
            <v>0</v>
          </cell>
          <cell r="BG501">
            <v>0</v>
          </cell>
          <cell r="BH501">
            <v>0</v>
          </cell>
          <cell r="BI501">
            <v>0</v>
          </cell>
          <cell r="BK501">
            <v>0</v>
          </cell>
          <cell r="BL501">
            <v>0</v>
          </cell>
          <cell r="BM501">
            <v>0</v>
          </cell>
          <cell r="BN501">
            <v>0</v>
          </cell>
          <cell r="BO501">
            <v>0</v>
          </cell>
          <cell r="BP501">
            <v>0</v>
          </cell>
          <cell r="BQ501">
            <v>0</v>
          </cell>
          <cell r="BR501">
            <v>0</v>
          </cell>
          <cell r="BS501">
            <v>0</v>
          </cell>
          <cell r="BU501">
            <v>0</v>
          </cell>
          <cell r="BV501">
            <v>0</v>
          </cell>
          <cell r="BW501">
            <v>0</v>
          </cell>
          <cell r="BX501">
            <v>0</v>
          </cell>
          <cell r="BY501">
            <v>0</v>
          </cell>
          <cell r="BZ501">
            <v>0</v>
          </cell>
          <cell r="CA501">
            <v>0</v>
          </cell>
          <cell r="CB501">
            <v>0</v>
          </cell>
          <cell r="CC501">
            <v>0</v>
          </cell>
          <cell r="CE501">
            <v>0</v>
          </cell>
          <cell r="CF501">
            <v>0</v>
          </cell>
          <cell r="CG501">
            <v>0</v>
          </cell>
          <cell r="CH501">
            <v>0</v>
          </cell>
          <cell r="CI501">
            <v>0</v>
          </cell>
          <cell r="CJ501">
            <v>0</v>
          </cell>
          <cell r="CK501">
            <v>0</v>
          </cell>
          <cell r="CL501">
            <v>0</v>
          </cell>
          <cell r="CM501">
            <v>0</v>
          </cell>
          <cell r="CO501">
            <v>0</v>
          </cell>
          <cell r="CP501">
            <v>0</v>
          </cell>
          <cell r="CQ501">
            <v>0</v>
          </cell>
          <cell r="CR501">
            <v>0</v>
          </cell>
          <cell r="CS501">
            <v>0</v>
          </cell>
          <cell r="CT501">
            <v>0</v>
          </cell>
          <cell r="CU501">
            <v>0</v>
          </cell>
          <cell r="CV501">
            <v>0</v>
          </cell>
          <cell r="CW501">
            <v>0</v>
          </cell>
          <cell r="CY501">
            <v>0</v>
          </cell>
          <cell r="CZ501">
            <v>0</v>
          </cell>
          <cell r="DA501">
            <v>0</v>
          </cell>
          <cell r="DB501">
            <v>0</v>
          </cell>
          <cell r="DC501">
            <v>0</v>
          </cell>
          <cell r="DD501">
            <v>0</v>
          </cell>
          <cell r="DE501">
            <v>0</v>
          </cell>
          <cell r="DF501">
            <v>0</v>
          </cell>
          <cell r="DG501">
            <v>0</v>
          </cell>
          <cell r="DI501">
            <v>0</v>
          </cell>
          <cell r="DJ501">
            <v>0</v>
          </cell>
          <cell r="DK501">
            <v>0</v>
          </cell>
          <cell r="DL501">
            <v>0</v>
          </cell>
          <cell r="DM501">
            <v>0</v>
          </cell>
          <cell r="DN501">
            <v>0</v>
          </cell>
          <cell r="DO501">
            <v>0</v>
          </cell>
          <cell r="DP501">
            <v>0</v>
          </cell>
          <cell r="DQ501">
            <v>0</v>
          </cell>
          <cell r="DR501">
            <v>0</v>
          </cell>
          <cell r="DS501">
            <v>0</v>
          </cell>
          <cell r="DT501">
            <v>0</v>
          </cell>
          <cell r="DU501">
            <v>0</v>
          </cell>
          <cell r="DW501">
            <v>0</v>
          </cell>
          <cell r="DX501">
            <v>0</v>
          </cell>
          <cell r="DY501">
            <v>0</v>
          </cell>
          <cell r="DZ501">
            <v>0</v>
          </cell>
          <cell r="EA501">
            <v>0</v>
          </cell>
          <cell r="EB501">
            <v>0</v>
          </cell>
          <cell r="EC501">
            <v>0</v>
          </cell>
          <cell r="ED501">
            <v>0</v>
          </cell>
          <cell r="EE501">
            <v>0</v>
          </cell>
          <cell r="EF501">
            <v>0</v>
          </cell>
          <cell r="EG501">
            <v>0</v>
          </cell>
          <cell r="EH501">
            <v>0</v>
          </cell>
          <cell r="EI501">
            <v>0</v>
          </cell>
          <cell r="EK501">
            <v>0</v>
          </cell>
          <cell r="EL501">
            <v>0</v>
          </cell>
          <cell r="EM501">
            <v>0</v>
          </cell>
          <cell r="EN501">
            <v>0</v>
          </cell>
          <cell r="EO501">
            <v>0</v>
          </cell>
          <cell r="EP501">
            <v>0</v>
          </cell>
          <cell r="EQ501">
            <v>0</v>
          </cell>
          <cell r="ER501">
            <v>0</v>
          </cell>
          <cell r="ES501">
            <v>0</v>
          </cell>
          <cell r="ET501">
            <v>0</v>
          </cell>
          <cell r="EU501">
            <v>0</v>
          </cell>
          <cell r="EV501">
            <v>0</v>
          </cell>
          <cell r="EW501">
            <v>0</v>
          </cell>
          <cell r="EY501">
            <v>0</v>
          </cell>
          <cell r="EZ501">
            <v>8</v>
          </cell>
          <cell r="FA501">
            <v>0</v>
          </cell>
          <cell r="FB501">
            <v>0</v>
          </cell>
          <cell r="FC501">
            <v>8.6</v>
          </cell>
          <cell r="FD501">
            <v>0</v>
          </cell>
          <cell r="FE501">
            <v>0</v>
          </cell>
          <cell r="FF501">
            <v>0</v>
          </cell>
          <cell r="FH501">
            <v>0</v>
          </cell>
        </row>
        <row r="502">
          <cell r="B502">
            <v>9617</v>
          </cell>
          <cell r="C502" t="str">
            <v>18.03.2009</v>
          </cell>
          <cell r="D502" t="str">
            <v>Dhakoliya Akshay Laxman</v>
          </cell>
          <cell r="F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0</v>
          </cell>
          <cell r="AO502">
            <v>0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BA502">
            <v>0</v>
          </cell>
          <cell r="BB502">
            <v>0</v>
          </cell>
          <cell r="BC502">
            <v>0</v>
          </cell>
          <cell r="BD502">
            <v>0</v>
          </cell>
          <cell r="BE502">
            <v>0</v>
          </cell>
          <cell r="BF502">
            <v>0</v>
          </cell>
          <cell r="BG502">
            <v>0</v>
          </cell>
          <cell r="BH502">
            <v>0</v>
          </cell>
          <cell r="BI502">
            <v>0</v>
          </cell>
          <cell r="BK502">
            <v>0</v>
          </cell>
          <cell r="BL502">
            <v>0</v>
          </cell>
          <cell r="BM502">
            <v>0</v>
          </cell>
          <cell r="BN502">
            <v>0</v>
          </cell>
          <cell r="BO502">
            <v>0</v>
          </cell>
          <cell r="BP502">
            <v>0</v>
          </cell>
          <cell r="BQ502">
            <v>0</v>
          </cell>
          <cell r="BR502">
            <v>0</v>
          </cell>
          <cell r="BS502">
            <v>0</v>
          </cell>
          <cell r="BU502">
            <v>1173</v>
          </cell>
          <cell r="BV502">
            <v>0</v>
          </cell>
          <cell r="BW502">
            <v>1173</v>
          </cell>
          <cell r="BX502">
            <v>0</v>
          </cell>
          <cell r="BY502">
            <v>0</v>
          </cell>
          <cell r="BZ502">
            <v>0</v>
          </cell>
          <cell r="CA502">
            <v>0</v>
          </cell>
          <cell r="CB502">
            <v>0</v>
          </cell>
          <cell r="CC502">
            <v>0</v>
          </cell>
          <cell r="CE502">
            <v>1173</v>
          </cell>
          <cell r="CF502">
            <v>0</v>
          </cell>
          <cell r="CG502">
            <v>1173</v>
          </cell>
          <cell r="CH502">
            <v>0</v>
          </cell>
          <cell r="CI502">
            <v>0</v>
          </cell>
          <cell r="CJ502">
            <v>0</v>
          </cell>
          <cell r="CK502">
            <v>0</v>
          </cell>
          <cell r="CL502">
            <v>0</v>
          </cell>
          <cell r="CM502">
            <v>0</v>
          </cell>
          <cell r="CO502">
            <v>1173</v>
          </cell>
          <cell r="CP502">
            <v>0</v>
          </cell>
          <cell r="CQ502">
            <v>1173</v>
          </cell>
          <cell r="CR502">
            <v>0</v>
          </cell>
          <cell r="CS502">
            <v>0</v>
          </cell>
          <cell r="CT502">
            <v>0</v>
          </cell>
          <cell r="CU502">
            <v>0</v>
          </cell>
          <cell r="CV502">
            <v>0</v>
          </cell>
          <cell r="CW502">
            <v>0</v>
          </cell>
          <cell r="CY502">
            <v>1173</v>
          </cell>
          <cell r="CZ502">
            <v>0</v>
          </cell>
          <cell r="DA502">
            <v>1173</v>
          </cell>
          <cell r="DB502">
            <v>0</v>
          </cell>
          <cell r="DC502">
            <v>0</v>
          </cell>
          <cell r="DD502">
            <v>0</v>
          </cell>
          <cell r="DE502">
            <v>0</v>
          </cell>
          <cell r="DF502">
            <v>0</v>
          </cell>
          <cell r="DG502">
            <v>0</v>
          </cell>
          <cell r="DI502">
            <v>0</v>
          </cell>
          <cell r="DJ502">
            <v>4692</v>
          </cell>
          <cell r="DK502">
            <v>0</v>
          </cell>
          <cell r="DL502">
            <v>4692</v>
          </cell>
          <cell r="DM502">
            <v>4692</v>
          </cell>
          <cell r="DN502">
            <v>0</v>
          </cell>
          <cell r="DO502">
            <v>4692</v>
          </cell>
          <cell r="DP502">
            <v>0</v>
          </cell>
          <cell r="DQ502">
            <v>0</v>
          </cell>
          <cell r="DR502">
            <v>0</v>
          </cell>
          <cell r="DS502">
            <v>0</v>
          </cell>
          <cell r="DT502">
            <v>9384</v>
          </cell>
          <cell r="DU502">
            <v>0</v>
          </cell>
          <cell r="DW502">
            <v>0</v>
          </cell>
          <cell r="DX502">
            <v>0</v>
          </cell>
          <cell r="DY502">
            <v>0</v>
          </cell>
          <cell r="DZ502">
            <v>0</v>
          </cell>
          <cell r="EA502">
            <v>0</v>
          </cell>
          <cell r="EB502">
            <v>0</v>
          </cell>
          <cell r="EC502">
            <v>0</v>
          </cell>
          <cell r="ED502">
            <v>0</v>
          </cell>
          <cell r="EE502">
            <v>2346</v>
          </cell>
          <cell r="EF502">
            <v>4692</v>
          </cell>
          <cell r="EG502">
            <v>7038</v>
          </cell>
          <cell r="EH502">
            <v>9384</v>
          </cell>
          <cell r="EI502">
            <v>23460</v>
          </cell>
          <cell r="EK502">
            <v>0</v>
          </cell>
          <cell r="EL502">
            <v>0</v>
          </cell>
          <cell r="EM502">
            <v>0</v>
          </cell>
          <cell r="EN502">
            <v>0</v>
          </cell>
          <cell r="EO502">
            <v>0</v>
          </cell>
          <cell r="EP502">
            <v>0</v>
          </cell>
          <cell r="EQ502">
            <v>0</v>
          </cell>
          <cell r="ER502">
            <v>0</v>
          </cell>
          <cell r="ES502">
            <v>16.812999999999999</v>
          </cell>
          <cell r="ET502">
            <v>33.625999999999998</v>
          </cell>
          <cell r="EU502">
            <v>50.438999999999993</v>
          </cell>
          <cell r="EV502">
            <v>67.251999999999995</v>
          </cell>
          <cell r="EW502">
            <v>168.13</v>
          </cell>
          <cell r="EY502">
            <v>0</v>
          </cell>
          <cell r="EZ502">
            <v>8</v>
          </cell>
          <cell r="FA502">
            <v>0</v>
          </cell>
          <cell r="FB502">
            <v>23460</v>
          </cell>
          <cell r="FC502">
            <v>8.6</v>
          </cell>
          <cell r="FD502">
            <v>168.13</v>
          </cell>
          <cell r="FE502">
            <v>168.13</v>
          </cell>
          <cell r="FF502">
            <v>9552</v>
          </cell>
          <cell r="FH502">
            <v>9552</v>
          </cell>
        </row>
        <row r="503">
          <cell r="B503">
            <v>9319</v>
          </cell>
          <cell r="C503" t="str">
            <v>30.04.2009</v>
          </cell>
          <cell r="D503" t="str">
            <v>Bhamare Surekha Tarachand</v>
          </cell>
          <cell r="F503">
            <v>38252</v>
          </cell>
          <cell r="G503">
            <v>46501</v>
          </cell>
          <cell r="H503">
            <v>13068</v>
          </cell>
          <cell r="I503">
            <v>13068</v>
          </cell>
          <cell r="J503">
            <v>26136</v>
          </cell>
          <cell r="K503">
            <v>-12116</v>
          </cell>
          <cell r="M503">
            <v>2240</v>
          </cell>
          <cell r="N503">
            <v>0</v>
          </cell>
          <cell r="O503">
            <v>2240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W503">
            <v>2240</v>
          </cell>
          <cell r="X503">
            <v>0</v>
          </cell>
          <cell r="Y503">
            <v>2240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G503">
            <v>2308</v>
          </cell>
          <cell r="AH503">
            <v>0</v>
          </cell>
          <cell r="AI503">
            <v>2308</v>
          </cell>
          <cell r="AJ503">
            <v>0</v>
          </cell>
          <cell r="AK503">
            <v>0</v>
          </cell>
          <cell r="AL503">
            <v>0</v>
          </cell>
          <cell r="AM503">
            <v>0</v>
          </cell>
          <cell r="AN503">
            <v>0</v>
          </cell>
          <cell r="AO503">
            <v>0</v>
          </cell>
          <cell r="AQ503">
            <v>2308</v>
          </cell>
          <cell r="AR503">
            <v>0</v>
          </cell>
          <cell r="AS503">
            <v>2308</v>
          </cell>
          <cell r="AT503">
            <v>0</v>
          </cell>
          <cell r="AU503">
            <v>0</v>
          </cell>
          <cell r="AV503">
            <v>0</v>
          </cell>
          <cell r="AW503">
            <v>0</v>
          </cell>
          <cell r="AX503">
            <v>0</v>
          </cell>
          <cell r="AY503">
            <v>0</v>
          </cell>
          <cell r="BA503">
            <v>2308</v>
          </cell>
          <cell r="BB503">
            <v>0</v>
          </cell>
          <cell r="BC503">
            <v>2308</v>
          </cell>
          <cell r="BD503">
            <v>0</v>
          </cell>
          <cell r="BE503">
            <v>0</v>
          </cell>
          <cell r="BF503">
            <v>0</v>
          </cell>
          <cell r="BG503">
            <v>0</v>
          </cell>
          <cell r="BH503">
            <v>0</v>
          </cell>
          <cell r="BI503">
            <v>0</v>
          </cell>
          <cell r="BK503">
            <v>2415</v>
          </cell>
          <cell r="BL503">
            <v>0</v>
          </cell>
          <cell r="BM503">
            <v>2415</v>
          </cell>
          <cell r="BN503">
            <v>0</v>
          </cell>
          <cell r="BO503">
            <v>0</v>
          </cell>
          <cell r="BP503">
            <v>0</v>
          </cell>
          <cell r="BQ503">
            <v>0</v>
          </cell>
          <cell r="BR503">
            <v>0</v>
          </cell>
          <cell r="BS503">
            <v>0</v>
          </cell>
          <cell r="BU503">
            <v>2415</v>
          </cell>
          <cell r="BV503">
            <v>0</v>
          </cell>
          <cell r="BW503">
            <v>2415</v>
          </cell>
          <cell r="BX503">
            <v>0</v>
          </cell>
          <cell r="BY503">
            <v>0</v>
          </cell>
          <cell r="BZ503">
            <v>0</v>
          </cell>
          <cell r="CA503">
            <v>0</v>
          </cell>
          <cell r="CB503">
            <v>0</v>
          </cell>
          <cell r="CC503">
            <v>0</v>
          </cell>
          <cell r="CE503">
            <v>2415</v>
          </cell>
          <cell r="CF503">
            <v>0</v>
          </cell>
          <cell r="CG503">
            <v>2415</v>
          </cell>
          <cell r="CH503">
            <v>0</v>
          </cell>
          <cell r="CI503">
            <v>0</v>
          </cell>
          <cell r="CJ503">
            <v>0</v>
          </cell>
          <cell r="CK503">
            <v>0</v>
          </cell>
          <cell r="CL503">
            <v>0</v>
          </cell>
          <cell r="CM503">
            <v>0</v>
          </cell>
          <cell r="CO503">
            <v>2415</v>
          </cell>
          <cell r="CP503">
            <v>0</v>
          </cell>
          <cell r="CQ503">
            <v>2415</v>
          </cell>
          <cell r="CR503">
            <v>0</v>
          </cell>
          <cell r="CS503">
            <v>0</v>
          </cell>
          <cell r="CT503">
            <v>0</v>
          </cell>
          <cell r="CU503">
            <v>0</v>
          </cell>
          <cell r="CV503">
            <v>0</v>
          </cell>
          <cell r="CW503">
            <v>0</v>
          </cell>
          <cell r="CY503">
            <v>2415</v>
          </cell>
          <cell r="CZ503">
            <v>0</v>
          </cell>
          <cell r="DA503">
            <v>2415</v>
          </cell>
          <cell r="DB503">
            <v>0</v>
          </cell>
          <cell r="DC503">
            <v>0</v>
          </cell>
          <cell r="DD503">
            <v>0</v>
          </cell>
          <cell r="DE503">
            <v>0</v>
          </cell>
          <cell r="DF503">
            <v>0</v>
          </cell>
          <cell r="DG503">
            <v>0</v>
          </cell>
          <cell r="DI503">
            <v>26136</v>
          </cell>
          <cell r="DJ503">
            <v>23479</v>
          </cell>
          <cell r="DK503">
            <v>0</v>
          </cell>
          <cell r="DL503">
            <v>23479</v>
          </cell>
          <cell r="DM503">
            <v>23479</v>
          </cell>
          <cell r="DN503">
            <v>0</v>
          </cell>
          <cell r="DO503">
            <v>23479</v>
          </cell>
          <cell r="DP503">
            <v>0</v>
          </cell>
          <cell r="DQ503">
            <v>0</v>
          </cell>
          <cell r="DR503">
            <v>0</v>
          </cell>
          <cell r="DS503">
            <v>0</v>
          </cell>
          <cell r="DT503">
            <v>46958</v>
          </cell>
          <cell r="DU503">
            <v>0</v>
          </cell>
          <cell r="DW503">
            <v>0</v>
          </cell>
          <cell r="DX503">
            <v>0</v>
          </cell>
          <cell r="DY503">
            <v>30616</v>
          </cell>
          <cell r="DZ503">
            <v>35096</v>
          </cell>
          <cell r="EA503">
            <v>39712</v>
          </cell>
          <cell r="EB503">
            <v>44328</v>
          </cell>
          <cell r="EC503">
            <v>48944</v>
          </cell>
          <cell r="ED503">
            <v>53774</v>
          </cell>
          <cell r="EE503">
            <v>58604</v>
          </cell>
          <cell r="EF503">
            <v>63434</v>
          </cell>
          <cell r="EG503">
            <v>68264</v>
          </cell>
          <cell r="EH503">
            <v>73094</v>
          </cell>
          <cell r="EI503">
            <v>515866</v>
          </cell>
          <cell r="EK503">
            <v>0</v>
          </cell>
          <cell r="EL503">
            <v>0</v>
          </cell>
          <cell r="EM503">
            <v>204.10666666666668</v>
          </cell>
          <cell r="EN503">
            <v>233.97333333333333</v>
          </cell>
          <cell r="EO503">
            <v>264.74666666666667</v>
          </cell>
          <cell r="EP503">
            <v>295.52</v>
          </cell>
          <cell r="EQ503">
            <v>326.29333333333335</v>
          </cell>
          <cell r="ER503">
            <v>358.49333333333334</v>
          </cell>
          <cell r="ES503">
            <v>419.99533333333329</v>
          </cell>
          <cell r="ET503">
            <v>454.61033333333336</v>
          </cell>
          <cell r="EU503">
            <v>489.22533333333337</v>
          </cell>
          <cell r="EV503">
            <v>523.84033333333332</v>
          </cell>
          <cell r="EW503">
            <v>3570.8046666666669</v>
          </cell>
          <cell r="EY503">
            <v>252470</v>
          </cell>
          <cell r="EZ503">
            <v>8</v>
          </cell>
          <cell r="FA503">
            <v>1683.1333333333332</v>
          </cell>
          <cell r="FB503">
            <v>263396</v>
          </cell>
          <cell r="FC503">
            <v>8.6</v>
          </cell>
          <cell r="FD503">
            <v>1887.6713333333335</v>
          </cell>
          <cell r="FE503">
            <v>3570.8046666666669</v>
          </cell>
          <cell r="FF503">
            <v>76665</v>
          </cell>
          <cell r="FH503">
            <v>76665</v>
          </cell>
        </row>
        <row r="504">
          <cell r="B504">
            <v>9320</v>
          </cell>
          <cell r="C504" t="str">
            <v>30.04.2009</v>
          </cell>
          <cell r="D504" t="str">
            <v>Devare Shamrao Bhikaji</v>
          </cell>
          <cell r="F504">
            <v>38252</v>
          </cell>
          <cell r="G504">
            <v>46501</v>
          </cell>
          <cell r="H504">
            <v>14520</v>
          </cell>
          <cell r="I504">
            <v>14520</v>
          </cell>
          <cell r="J504">
            <v>29040</v>
          </cell>
          <cell r="K504">
            <v>-9212</v>
          </cell>
          <cell r="M504">
            <v>2240</v>
          </cell>
          <cell r="N504">
            <v>0</v>
          </cell>
          <cell r="O504">
            <v>2240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W504">
            <v>2240</v>
          </cell>
          <cell r="X504">
            <v>0</v>
          </cell>
          <cell r="Y504">
            <v>2240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G504">
            <v>2308</v>
          </cell>
          <cell r="AH504">
            <v>0</v>
          </cell>
          <cell r="AI504">
            <v>2308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Q504">
            <v>2308</v>
          </cell>
          <cell r="AR504">
            <v>0</v>
          </cell>
          <cell r="AS504">
            <v>2308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BA504">
            <v>2308</v>
          </cell>
          <cell r="BB504">
            <v>0</v>
          </cell>
          <cell r="BC504">
            <v>2308</v>
          </cell>
          <cell r="BD504">
            <v>0</v>
          </cell>
          <cell r="BE504">
            <v>0</v>
          </cell>
          <cell r="BF504">
            <v>0</v>
          </cell>
          <cell r="BG504">
            <v>0</v>
          </cell>
          <cell r="BH504">
            <v>0</v>
          </cell>
          <cell r="BI504">
            <v>0</v>
          </cell>
          <cell r="BK504">
            <v>2415</v>
          </cell>
          <cell r="BL504">
            <v>0</v>
          </cell>
          <cell r="BM504">
            <v>2415</v>
          </cell>
          <cell r="BN504">
            <v>0</v>
          </cell>
          <cell r="BO504">
            <v>0</v>
          </cell>
          <cell r="BP504">
            <v>0</v>
          </cell>
          <cell r="BQ504">
            <v>0</v>
          </cell>
          <cell r="BR504">
            <v>0</v>
          </cell>
          <cell r="BS504">
            <v>0</v>
          </cell>
          <cell r="BU504">
            <v>2415</v>
          </cell>
          <cell r="BV504">
            <v>0</v>
          </cell>
          <cell r="BW504">
            <v>2415</v>
          </cell>
          <cell r="BX504">
            <v>0</v>
          </cell>
          <cell r="BY504">
            <v>0</v>
          </cell>
          <cell r="BZ504">
            <v>0</v>
          </cell>
          <cell r="CA504">
            <v>0</v>
          </cell>
          <cell r="CB504">
            <v>0</v>
          </cell>
          <cell r="CC504">
            <v>0</v>
          </cell>
          <cell r="CE504">
            <v>2415</v>
          </cell>
          <cell r="CF504">
            <v>0</v>
          </cell>
          <cell r="CG504">
            <v>2415</v>
          </cell>
          <cell r="CH504">
            <v>0</v>
          </cell>
          <cell r="CI504">
            <v>0</v>
          </cell>
          <cell r="CJ504">
            <v>0</v>
          </cell>
          <cell r="CK504">
            <v>0</v>
          </cell>
          <cell r="CL504">
            <v>0</v>
          </cell>
          <cell r="CM504">
            <v>0</v>
          </cell>
          <cell r="CO504">
            <v>2415</v>
          </cell>
          <cell r="CP504">
            <v>0</v>
          </cell>
          <cell r="CQ504">
            <v>2415</v>
          </cell>
          <cell r="CR504">
            <v>0</v>
          </cell>
          <cell r="CS504">
            <v>0</v>
          </cell>
          <cell r="CT504">
            <v>0</v>
          </cell>
          <cell r="CU504">
            <v>0</v>
          </cell>
          <cell r="CV504">
            <v>0</v>
          </cell>
          <cell r="CW504">
            <v>0</v>
          </cell>
          <cell r="CY504">
            <v>2415</v>
          </cell>
          <cell r="CZ504">
            <v>0</v>
          </cell>
          <cell r="DA504">
            <v>2415</v>
          </cell>
          <cell r="DB504">
            <v>0</v>
          </cell>
          <cell r="DC504">
            <v>0</v>
          </cell>
          <cell r="DD504">
            <v>0</v>
          </cell>
          <cell r="DE504">
            <v>0</v>
          </cell>
          <cell r="DF504">
            <v>0</v>
          </cell>
          <cell r="DG504">
            <v>0</v>
          </cell>
          <cell r="DI504">
            <v>29040</v>
          </cell>
          <cell r="DJ504">
            <v>23479</v>
          </cell>
          <cell r="DK504">
            <v>0</v>
          </cell>
          <cell r="DL504">
            <v>23479</v>
          </cell>
          <cell r="DM504">
            <v>23479</v>
          </cell>
          <cell r="DN504">
            <v>0</v>
          </cell>
          <cell r="DO504">
            <v>23479</v>
          </cell>
          <cell r="DP504">
            <v>0</v>
          </cell>
          <cell r="DQ504">
            <v>0</v>
          </cell>
          <cell r="DR504">
            <v>0</v>
          </cell>
          <cell r="DS504">
            <v>0</v>
          </cell>
          <cell r="DT504">
            <v>46958</v>
          </cell>
          <cell r="DU504">
            <v>0</v>
          </cell>
          <cell r="DW504">
            <v>0</v>
          </cell>
          <cell r="DX504">
            <v>0</v>
          </cell>
          <cell r="DY504">
            <v>33520</v>
          </cell>
          <cell r="DZ504">
            <v>38000</v>
          </cell>
          <cell r="EA504">
            <v>42616</v>
          </cell>
          <cell r="EB504">
            <v>47232</v>
          </cell>
          <cell r="EC504">
            <v>51848</v>
          </cell>
          <cell r="ED504">
            <v>56678</v>
          </cell>
          <cell r="EE504">
            <v>61508</v>
          </cell>
          <cell r="EF504">
            <v>66338</v>
          </cell>
          <cell r="EG504">
            <v>71168</v>
          </cell>
          <cell r="EH504">
            <v>75998</v>
          </cell>
          <cell r="EI504">
            <v>544906</v>
          </cell>
          <cell r="EK504">
            <v>0</v>
          </cell>
          <cell r="EL504">
            <v>0</v>
          </cell>
          <cell r="EM504">
            <v>223.46666666666667</v>
          </cell>
          <cell r="EN504">
            <v>253.33333333333334</v>
          </cell>
          <cell r="EO504">
            <v>284.10666666666668</v>
          </cell>
          <cell r="EP504">
            <v>314.88</v>
          </cell>
          <cell r="EQ504">
            <v>345.65333333333336</v>
          </cell>
          <cell r="ER504">
            <v>377.8533333333333</v>
          </cell>
          <cell r="ES504">
            <v>440.80733333333325</v>
          </cell>
          <cell r="ET504">
            <v>475.42233333333326</v>
          </cell>
          <cell r="EU504">
            <v>510.03733333333327</v>
          </cell>
          <cell r="EV504">
            <v>544.65233333333333</v>
          </cell>
          <cell r="EW504">
            <v>3770.2126666666668</v>
          </cell>
          <cell r="EY504">
            <v>269894</v>
          </cell>
          <cell r="EZ504">
            <v>8</v>
          </cell>
          <cell r="FA504">
            <v>1799.2933333333333</v>
          </cell>
          <cell r="FB504">
            <v>275012</v>
          </cell>
          <cell r="FC504">
            <v>8.6</v>
          </cell>
          <cell r="FD504">
            <v>1970.919333333333</v>
          </cell>
          <cell r="FE504">
            <v>3770.2126666666663</v>
          </cell>
          <cell r="FF504">
            <v>79768</v>
          </cell>
          <cell r="FH504">
            <v>79768</v>
          </cell>
        </row>
        <row r="505">
          <cell r="B505">
            <v>9321</v>
          </cell>
          <cell r="C505" t="str">
            <v>30.04.2009</v>
          </cell>
          <cell r="D505" t="str">
            <v>Sonawane Minakshi Motilal</v>
          </cell>
          <cell r="F505">
            <v>38252</v>
          </cell>
          <cell r="G505">
            <v>46501</v>
          </cell>
          <cell r="H505">
            <v>14520</v>
          </cell>
          <cell r="I505">
            <v>14520</v>
          </cell>
          <cell r="J505">
            <v>29040</v>
          </cell>
          <cell r="K505">
            <v>-9212</v>
          </cell>
          <cell r="M505">
            <v>2240</v>
          </cell>
          <cell r="N505">
            <v>0</v>
          </cell>
          <cell r="O505">
            <v>2240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W505">
            <v>2240</v>
          </cell>
          <cell r="X505">
            <v>0</v>
          </cell>
          <cell r="Y505">
            <v>2240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G505">
            <v>2308</v>
          </cell>
          <cell r="AH505">
            <v>0</v>
          </cell>
          <cell r="AI505">
            <v>2308</v>
          </cell>
          <cell r="AJ505">
            <v>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Q505">
            <v>2308</v>
          </cell>
          <cell r="AR505">
            <v>0</v>
          </cell>
          <cell r="AS505">
            <v>2308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0</v>
          </cell>
          <cell r="BA505">
            <v>2308</v>
          </cell>
          <cell r="BB505">
            <v>0</v>
          </cell>
          <cell r="BC505">
            <v>2308</v>
          </cell>
          <cell r="BD505">
            <v>0</v>
          </cell>
          <cell r="BE505">
            <v>0</v>
          </cell>
          <cell r="BF505">
            <v>0</v>
          </cell>
          <cell r="BG505">
            <v>0</v>
          </cell>
          <cell r="BH505">
            <v>0</v>
          </cell>
          <cell r="BI505">
            <v>0</v>
          </cell>
          <cell r="BK505">
            <v>2415</v>
          </cell>
          <cell r="BL505">
            <v>0</v>
          </cell>
          <cell r="BM505">
            <v>2415</v>
          </cell>
          <cell r="BN505">
            <v>0</v>
          </cell>
          <cell r="BO505">
            <v>0</v>
          </cell>
          <cell r="BP505">
            <v>0</v>
          </cell>
          <cell r="BQ505">
            <v>0</v>
          </cell>
          <cell r="BR505">
            <v>0</v>
          </cell>
          <cell r="BS505">
            <v>0</v>
          </cell>
          <cell r="BU505">
            <v>2415</v>
          </cell>
          <cell r="BV505">
            <v>0</v>
          </cell>
          <cell r="BW505">
            <v>2415</v>
          </cell>
          <cell r="BX505">
            <v>0</v>
          </cell>
          <cell r="BY505">
            <v>0</v>
          </cell>
          <cell r="BZ505">
            <v>0</v>
          </cell>
          <cell r="CA505">
            <v>0</v>
          </cell>
          <cell r="CB505">
            <v>0</v>
          </cell>
          <cell r="CC505">
            <v>0</v>
          </cell>
          <cell r="CE505">
            <v>2415</v>
          </cell>
          <cell r="CF505">
            <v>0</v>
          </cell>
          <cell r="CG505">
            <v>2415</v>
          </cell>
          <cell r="CH505">
            <v>0</v>
          </cell>
          <cell r="CI505">
            <v>0</v>
          </cell>
          <cell r="CJ505">
            <v>0</v>
          </cell>
          <cell r="CK505">
            <v>0</v>
          </cell>
          <cell r="CL505">
            <v>0</v>
          </cell>
          <cell r="CM505">
            <v>0</v>
          </cell>
          <cell r="CO505">
            <v>2415</v>
          </cell>
          <cell r="CP505">
            <v>0</v>
          </cell>
          <cell r="CQ505">
            <v>2415</v>
          </cell>
          <cell r="CR505">
            <v>0</v>
          </cell>
          <cell r="CS505">
            <v>0</v>
          </cell>
          <cell r="CT505">
            <v>0</v>
          </cell>
          <cell r="CU505">
            <v>0</v>
          </cell>
          <cell r="CV505">
            <v>0</v>
          </cell>
          <cell r="CW505">
            <v>0</v>
          </cell>
          <cell r="CY505">
            <v>2415</v>
          </cell>
          <cell r="CZ505">
            <v>0</v>
          </cell>
          <cell r="DA505">
            <v>2415</v>
          </cell>
          <cell r="DB505">
            <v>0</v>
          </cell>
          <cell r="DC505">
            <v>0</v>
          </cell>
          <cell r="DD505">
            <v>0</v>
          </cell>
          <cell r="DE505">
            <v>0</v>
          </cell>
          <cell r="DF505">
            <v>0</v>
          </cell>
          <cell r="DG505">
            <v>0</v>
          </cell>
          <cell r="DI505">
            <v>29040</v>
          </cell>
          <cell r="DJ505">
            <v>23479</v>
          </cell>
          <cell r="DK505">
            <v>0</v>
          </cell>
          <cell r="DL505">
            <v>23479</v>
          </cell>
          <cell r="DM505">
            <v>23479</v>
          </cell>
          <cell r="DN505">
            <v>0</v>
          </cell>
          <cell r="DO505">
            <v>23479</v>
          </cell>
          <cell r="DP505">
            <v>0</v>
          </cell>
          <cell r="DQ505">
            <v>0</v>
          </cell>
          <cell r="DR505">
            <v>0</v>
          </cell>
          <cell r="DS505">
            <v>0</v>
          </cell>
          <cell r="DT505">
            <v>46958</v>
          </cell>
          <cell r="DU505">
            <v>0</v>
          </cell>
          <cell r="DW505">
            <v>0</v>
          </cell>
          <cell r="DX505">
            <v>0</v>
          </cell>
          <cell r="DY505">
            <v>33520</v>
          </cell>
          <cell r="DZ505">
            <v>38000</v>
          </cell>
          <cell r="EA505">
            <v>42616</v>
          </cell>
          <cell r="EB505">
            <v>47232</v>
          </cell>
          <cell r="EC505">
            <v>51848</v>
          </cell>
          <cell r="ED505">
            <v>56678</v>
          </cell>
          <cell r="EE505">
            <v>61508</v>
          </cell>
          <cell r="EF505">
            <v>66338</v>
          </cell>
          <cell r="EG505">
            <v>71168</v>
          </cell>
          <cell r="EH505">
            <v>75998</v>
          </cell>
          <cell r="EI505">
            <v>544906</v>
          </cell>
          <cell r="EK505">
            <v>0</v>
          </cell>
          <cell r="EL505">
            <v>0</v>
          </cell>
          <cell r="EM505">
            <v>223.46666666666667</v>
          </cell>
          <cell r="EN505">
            <v>253.33333333333334</v>
          </cell>
          <cell r="EO505">
            <v>284.10666666666668</v>
          </cell>
          <cell r="EP505">
            <v>314.88</v>
          </cell>
          <cell r="EQ505">
            <v>345.65333333333336</v>
          </cell>
          <cell r="ER505">
            <v>377.8533333333333</v>
          </cell>
          <cell r="ES505">
            <v>440.80733333333325</v>
          </cell>
          <cell r="ET505">
            <v>475.42233333333326</v>
          </cell>
          <cell r="EU505">
            <v>510.03733333333327</v>
          </cell>
          <cell r="EV505">
            <v>544.65233333333333</v>
          </cell>
          <cell r="EW505">
            <v>3770.2126666666668</v>
          </cell>
          <cell r="EY505">
            <v>269894</v>
          </cell>
          <cell r="EZ505">
            <v>8</v>
          </cell>
          <cell r="FA505">
            <v>1799.2933333333333</v>
          </cell>
          <cell r="FB505">
            <v>275012</v>
          </cell>
          <cell r="FC505">
            <v>8.6</v>
          </cell>
          <cell r="FD505">
            <v>1970.919333333333</v>
          </cell>
          <cell r="FE505">
            <v>3770.2126666666663</v>
          </cell>
          <cell r="FF505">
            <v>79768</v>
          </cell>
          <cell r="FH505">
            <v>79768</v>
          </cell>
        </row>
        <row r="506">
          <cell r="B506">
            <v>9322</v>
          </cell>
          <cell r="C506" t="str">
            <v>30.04.2009</v>
          </cell>
          <cell r="D506" t="str">
            <v>Pakhale Anil Murlidhar</v>
          </cell>
          <cell r="F506">
            <v>38252</v>
          </cell>
          <cell r="G506">
            <v>46501</v>
          </cell>
          <cell r="H506">
            <v>13068</v>
          </cell>
          <cell r="I506">
            <v>13068</v>
          </cell>
          <cell r="J506">
            <v>26136</v>
          </cell>
          <cell r="K506">
            <v>-12116</v>
          </cell>
          <cell r="M506">
            <v>2240</v>
          </cell>
          <cell r="N506">
            <v>0</v>
          </cell>
          <cell r="O506">
            <v>2240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W506">
            <v>2240</v>
          </cell>
          <cell r="X506">
            <v>0</v>
          </cell>
          <cell r="Y506">
            <v>2240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G506">
            <v>2308</v>
          </cell>
          <cell r="AH506">
            <v>0</v>
          </cell>
          <cell r="AI506">
            <v>2308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Q506">
            <v>2308</v>
          </cell>
          <cell r="AR506">
            <v>0</v>
          </cell>
          <cell r="AS506">
            <v>2308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BA506">
            <v>2308</v>
          </cell>
          <cell r="BB506">
            <v>0</v>
          </cell>
          <cell r="BC506">
            <v>2308</v>
          </cell>
          <cell r="BD506">
            <v>0</v>
          </cell>
          <cell r="BE506">
            <v>0</v>
          </cell>
          <cell r="BF506">
            <v>0</v>
          </cell>
          <cell r="BG506">
            <v>0</v>
          </cell>
          <cell r="BH506">
            <v>0</v>
          </cell>
          <cell r="BI506">
            <v>0</v>
          </cell>
          <cell r="BK506">
            <v>2415</v>
          </cell>
          <cell r="BL506">
            <v>0</v>
          </cell>
          <cell r="BM506">
            <v>2415</v>
          </cell>
          <cell r="BN506">
            <v>0</v>
          </cell>
          <cell r="BO506">
            <v>0</v>
          </cell>
          <cell r="BP506">
            <v>0</v>
          </cell>
          <cell r="BQ506">
            <v>0</v>
          </cell>
          <cell r="BR506">
            <v>0</v>
          </cell>
          <cell r="BS506">
            <v>0</v>
          </cell>
          <cell r="BU506">
            <v>2415</v>
          </cell>
          <cell r="BV506">
            <v>0</v>
          </cell>
          <cell r="BW506">
            <v>2415</v>
          </cell>
          <cell r="BX506">
            <v>0</v>
          </cell>
          <cell r="BY506">
            <v>0</v>
          </cell>
          <cell r="BZ506">
            <v>0</v>
          </cell>
          <cell r="CA506">
            <v>0</v>
          </cell>
          <cell r="CB506">
            <v>0</v>
          </cell>
          <cell r="CC506">
            <v>0</v>
          </cell>
          <cell r="CE506">
            <v>2415</v>
          </cell>
          <cell r="CF506">
            <v>0</v>
          </cell>
          <cell r="CG506">
            <v>2415</v>
          </cell>
          <cell r="CH506">
            <v>0</v>
          </cell>
          <cell r="CI506">
            <v>0</v>
          </cell>
          <cell r="CJ506">
            <v>0</v>
          </cell>
          <cell r="CK506">
            <v>0</v>
          </cell>
          <cell r="CL506">
            <v>0</v>
          </cell>
          <cell r="CM506">
            <v>0</v>
          </cell>
          <cell r="CO506">
            <v>2415</v>
          </cell>
          <cell r="CP506">
            <v>0</v>
          </cell>
          <cell r="CQ506">
            <v>2415</v>
          </cell>
          <cell r="CR506">
            <v>0</v>
          </cell>
          <cell r="CS506">
            <v>0</v>
          </cell>
          <cell r="CT506">
            <v>0</v>
          </cell>
          <cell r="CU506">
            <v>0</v>
          </cell>
          <cell r="CV506">
            <v>0</v>
          </cell>
          <cell r="CW506">
            <v>0</v>
          </cell>
          <cell r="CY506">
            <v>2415</v>
          </cell>
          <cell r="CZ506">
            <v>0</v>
          </cell>
          <cell r="DA506">
            <v>2415</v>
          </cell>
          <cell r="DB506">
            <v>0</v>
          </cell>
          <cell r="DC506">
            <v>0</v>
          </cell>
          <cell r="DD506">
            <v>0</v>
          </cell>
          <cell r="DE506">
            <v>0</v>
          </cell>
          <cell r="DF506">
            <v>0</v>
          </cell>
          <cell r="DG506">
            <v>0</v>
          </cell>
          <cell r="DI506">
            <v>26136</v>
          </cell>
          <cell r="DJ506">
            <v>23479</v>
          </cell>
          <cell r="DK506">
            <v>0</v>
          </cell>
          <cell r="DL506">
            <v>23479</v>
          </cell>
          <cell r="DM506">
            <v>23479</v>
          </cell>
          <cell r="DN506">
            <v>0</v>
          </cell>
          <cell r="DO506">
            <v>23479</v>
          </cell>
          <cell r="DP506">
            <v>0</v>
          </cell>
          <cell r="DQ506">
            <v>0</v>
          </cell>
          <cell r="DR506">
            <v>0</v>
          </cell>
          <cell r="DS506">
            <v>0</v>
          </cell>
          <cell r="DT506">
            <v>46958</v>
          </cell>
          <cell r="DU506">
            <v>0</v>
          </cell>
          <cell r="DW506">
            <v>0</v>
          </cell>
          <cell r="DX506">
            <v>0</v>
          </cell>
          <cell r="DY506">
            <v>30616</v>
          </cell>
          <cell r="DZ506">
            <v>35096</v>
          </cell>
          <cell r="EA506">
            <v>39712</v>
          </cell>
          <cell r="EB506">
            <v>44328</v>
          </cell>
          <cell r="EC506">
            <v>48944</v>
          </cell>
          <cell r="ED506">
            <v>53774</v>
          </cell>
          <cell r="EE506">
            <v>58604</v>
          </cell>
          <cell r="EF506">
            <v>63434</v>
          </cell>
          <cell r="EG506">
            <v>68264</v>
          </cell>
          <cell r="EH506">
            <v>73094</v>
          </cell>
          <cell r="EI506">
            <v>515866</v>
          </cell>
          <cell r="EK506">
            <v>0</v>
          </cell>
          <cell r="EL506">
            <v>0</v>
          </cell>
          <cell r="EM506">
            <v>204.10666666666668</v>
          </cell>
          <cell r="EN506">
            <v>233.97333333333333</v>
          </cell>
          <cell r="EO506">
            <v>264.74666666666667</v>
          </cell>
          <cell r="EP506">
            <v>295.52</v>
          </cell>
          <cell r="EQ506">
            <v>326.29333333333335</v>
          </cell>
          <cell r="ER506">
            <v>358.49333333333334</v>
          </cell>
          <cell r="ES506">
            <v>419.99533333333329</v>
          </cell>
          <cell r="ET506">
            <v>454.61033333333336</v>
          </cell>
          <cell r="EU506">
            <v>489.22533333333337</v>
          </cell>
          <cell r="EV506">
            <v>523.84033333333332</v>
          </cell>
          <cell r="EW506">
            <v>3570.8046666666669</v>
          </cell>
          <cell r="EY506">
            <v>252470</v>
          </cell>
          <cell r="EZ506">
            <v>8</v>
          </cell>
          <cell r="FA506">
            <v>1683.1333333333332</v>
          </cell>
          <cell r="FB506">
            <v>263396</v>
          </cell>
          <cell r="FC506">
            <v>8.6</v>
          </cell>
          <cell r="FD506">
            <v>1887.6713333333335</v>
          </cell>
          <cell r="FE506">
            <v>3570.8046666666669</v>
          </cell>
          <cell r="FF506">
            <v>76665</v>
          </cell>
          <cell r="FH506">
            <v>76665</v>
          </cell>
        </row>
        <row r="507">
          <cell r="B507">
            <v>9323</v>
          </cell>
          <cell r="C507" t="str">
            <v>30.04.2009</v>
          </cell>
          <cell r="D507" t="str">
            <v>Wagh Archana Ramrao</v>
          </cell>
          <cell r="F507">
            <v>38252</v>
          </cell>
          <cell r="G507">
            <v>46501</v>
          </cell>
          <cell r="H507">
            <v>13068</v>
          </cell>
          <cell r="I507">
            <v>13068</v>
          </cell>
          <cell r="J507">
            <v>26136</v>
          </cell>
          <cell r="K507">
            <v>-12116</v>
          </cell>
          <cell r="M507">
            <v>2240</v>
          </cell>
          <cell r="N507">
            <v>0</v>
          </cell>
          <cell r="O507">
            <v>2240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W507">
            <v>2240</v>
          </cell>
          <cell r="X507">
            <v>0</v>
          </cell>
          <cell r="Y507">
            <v>2240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G507">
            <v>2308</v>
          </cell>
          <cell r="AH507">
            <v>0</v>
          </cell>
          <cell r="AI507">
            <v>2308</v>
          </cell>
          <cell r="AJ507">
            <v>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Q507">
            <v>2308</v>
          </cell>
          <cell r="AR507">
            <v>0</v>
          </cell>
          <cell r="AS507">
            <v>2308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0</v>
          </cell>
          <cell r="BA507">
            <v>2308</v>
          </cell>
          <cell r="BB507">
            <v>0</v>
          </cell>
          <cell r="BC507">
            <v>2308</v>
          </cell>
          <cell r="BD507">
            <v>0</v>
          </cell>
          <cell r="BE507">
            <v>0</v>
          </cell>
          <cell r="BF507">
            <v>0</v>
          </cell>
          <cell r="BG507">
            <v>0</v>
          </cell>
          <cell r="BH507">
            <v>0</v>
          </cell>
          <cell r="BI507">
            <v>0</v>
          </cell>
          <cell r="BK507">
            <v>2415</v>
          </cell>
          <cell r="BL507">
            <v>0</v>
          </cell>
          <cell r="BM507">
            <v>2415</v>
          </cell>
          <cell r="BN507">
            <v>0</v>
          </cell>
          <cell r="BO507">
            <v>0</v>
          </cell>
          <cell r="BP507">
            <v>0</v>
          </cell>
          <cell r="BQ507">
            <v>0</v>
          </cell>
          <cell r="BR507">
            <v>0</v>
          </cell>
          <cell r="BS507">
            <v>0</v>
          </cell>
          <cell r="BU507">
            <v>2415</v>
          </cell>
          <cell r="BV507">
            <v>0</v>
          </cell>
          <cell r="BW507">
            <v>2415</v>
          </cell>
          <cell r="BX507">
            <v>0</v>
          </cell>
          <cell r="BY507">
            <v>0</v>
          </cell>
          <cell r="BZ507">
            <v>0</v>
          </cell>
          <cell r="CA507">
            <v>0</v>
          </cell>
          <cell r="CB507">
            <v>0</v>
          </cell>
          <cell r="CC507">
            <v>0</v>
          </cell>
          <cell r="CE507">
            <v>2415</v>
          </cell>
          <cell r="CF507">
            <v>0</v>
          </cell>
          <cell r="CG507">
            <v>2415</v>
          </cell>
          <cell r="CH507">
            <v>0</v>
          </cell>
          <cell r="CI507">
            <v>0</v>
          </cell>
          <cell r="CJ507">
            <v>0</v>
          </cell>
          <cell r="CK507">
            <v>0</v>
          </cell>
          <cell r="CL507">
            <v>0</v>
          </cell>
          <cell r="CM507">
            <v>0</v>
          </cell>
          <cell r="CO507">
            <v>2415</v>
          </cell>
          <cell r="CP507">
            <v>0</v>
          </cell>
          <cell r="CQ507">
            <v>2415</v>
          </cell>
          <cell r="CR507">
            <v>0</v>
          </cell>
          <cell r="CS507">
            <v>0</v>
          </cell>
          <cell r="CT507">
            <v>0</v>
          </cell>
          <cell r="CU507">
            <v>0</v>
          </cell>
          <cell r="CV507">
            <v>0</v>
          </cell>
          <cell r="CW507">
            <v>0</v>
          </cell>
          <cell r="CY507">
            <v>2415</v>
          </cell>
          <cell r="CZ507">
            <v>0</v>
          </cell>
          <cell r="DA507">
            <v>2415</v>
          </cell>
          <cell r="DB507">
            <v>0</v>
          </cell>
          <cell r="DC507">
            <v>0</v>
          </cell>
          <cell r="DD507">
            <v>0</v>
          </cell>
          <cell r="DE507">
            <v>0</v>
          </cell>
          <cell r="DF507">
            <v>0</v>
          </cell>
          <cell r="DG507">
            <v>0</v>
          </cell>
          <cell r="DI507">
            <v>26136</v>
          </cell>
          <cell r="DJ507">
            <v>23479</v>
          </cell>
          <cell r="DK507">
            <v>0</v>
          </cell>
          <cell r="DL507">
            <v>23479</v>
          </cell>
          <cell r="DM507">
            <v>23479</v>
          </cell>
          <cell r="DN507">
            <v>0</v>
          </cell>
          <cell r="DO507">
            <v>23479</v>
          </cell>
          <cell r="DP507">
            <v>0</v>
          </cell>
          <cell r="DQ507">
            <v>0</v>
          </cell>
          <cell r="DR507">
            <v>0</v>
          </cell>
          <cell r="DS507">
            <v>0</v>
          </cell>
          <cell r="DT507">
            <v>46958</v>
          </cell>
          <cell r="DU507">
            <v>0</v>
          </cell>
          <cell r="DW507">
            <v>0</v>
          </cell>
          <cell r="DX507">
            <v>0</v>
          </cell>
          <cell r="DY507">
            <v>30616</v>
          </cell>
          <cell r="DZ507">
            <v>35096</v>
          </cell>
          <cell r="EA507">
            <v>39712</v>
          </cell>
          <cell r="EB507">
            <v>44328</v>
          </cell>
          <cell r="EC507">
            <v>48944</v>
          </cell>
          <cell r="ED507">
            <v>53774</v>
          </cell>
          <cell r="EE507">
            <v>58604</v>
          </cell>
          <cell r="EF507">
            <v>63434</v>
          </cell>
          <cell r="EG507">
            <v>68264</v>
          </cell>
          <cell r="EH507">
            <v>73094</v>
          </cell>
          <cell r="EI507">
            <v>515866</v>
          </cell>
          <cell r="EK507">
            <v>0</v>
          </cell>
          <cell r="EL507">
            <v>0</v>
          </cell>
          <cell r="EM507">
            <v>204.10666666666668</v>
          </cell>
          <cell r="EN507">
            <v>233.97333333333333</v>
          </cell>
          <cell r="EO507">
            <v>264.74666666666667</v>
          </cell>
          <cell r="EP507">
            <v>295.52</v>
          </cell>
          <cell r="EQ507">
            <v>326.29333333333335</v>
          </cell>
          <cell r="ER507">
            <v>358.49333333333334</v>
          </cell>
          <cell r="ES507">
            <v>419.99533333333329</v>
          </cell>
          <cell r="ET507">
            <v>454.61033333333336</v>
          </cell>
          <cell r="EU507">
            <v>489.22533333333337</v>
          </cell>
          <cell r="EV507">
            <v>523.84033333333332</v>
          </cell>
          <cell r="EW507">
            <v>3570.8046666666669</v>
          </cell>
          <cell r="EY507">
            <v>252470</v>
          </cell>
          <cell r="EZ507">
            <v>8</v>
          </cell>
          <cell r="FA507">
            <v>1683.1333333333332</v>
          </cell>
          <cell r="FB507">
            <v>263396</v>
          </cell>
          <cell r="FC507">
            <v>8.6</v>
          </cell>
          <cell r="FD507">
            <v>1887.6713333333335</v>
          </cell>
          <cell r="FE507">
            <v>3570.8046666666669</v>
          </cell>
          <cell r="FF507">
            <v>76665</v>
          </cell>
          <cell r="FH507">
            <v>76665</v>
          </cell>
        </row>
        <row r="508">
          <cell r="B508">
            <v>9324</v>
          </cell>
          <cell r="C508" t="str">
            <v>30.04.2009</v>
          </cell>
          <cell r="D508" t="str">
            <v>Hire Sunita Balasaheb</v>
          </cell>
          <cell r="F508">
            <v>38252</v>
          </cell>
          <cell r="G508">
            <v>46501</v>
          </cell>
          <cell r="H508">
            <v>14520</v>
          </cell>
          <cell r="I508">
            <v>14520</v>
          </cell>
          <cell r="J508">
            <v>29040</v>
          </cell>
          <cell r="K508">
            <v>-9212</v>
          </cell>
          <cell r="M508">
            <v>2240</v>
          </cell>
          <cell r="N508">
            <v>0</v>
          </cell>
          <cell r="O508">
            <v>2240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W508">
            <v>2240</v>
          </cell>
          <cell r="X508">
            <v>0</v>
          </cell>
          <cell r="Y508">
            <v>2240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G508">
            <v>2308</v>
          </cell>
          <cell r="AH508">
            <v>0</v>
          </cell>
          <cell r="AI508">
            <v>2308</v>
          </cell>
          <cell r="AJ508">
            <v>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Q508">
            <v>2308</v>
          </cell>
          <cell r="AR508">
            <v>0</v>
          </cell>
          <cell r="AS508">
            <v>2308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BA508">
            <v>2308</v>
          </cell>
          <cell r="BB508">
            <v>0</v>
          </cell>
          <cell r="BC508">
            <v>2308</v>
          </cell>
          <cell r="BD508">
            <v>0</v>
          </cell>
          <cell r="BE508">
            <v>0</v>
          </cell>
          <cell r="BF508">
            <v>0</v>
          </cell>
          <cell r="BG508">
            <v>0</v>
          </cell>
          <cell r="BH508">
            <v>0</v>
          </cell>
          <cell r="BI508">
            <v>0</v>
          </cell>
          <cell r="BK508">
            <v>2415</v>
          </cell>
          <cell r="BL508">
            <v>0</v>
          </cell>
          <cell r="BM508">
            <v>2415</v>
          </cell>
          <cell r="BN508">
            <v>0</v>
          </cell>
          <cell r="BO508">
            <v>0</v>
          </cell>
          <cell r="BP508">
            <v>0</v>
          </cell>
          <cell r="BQ508">
            <v>0</v>
          </cell>
          <cell r="BR508">
            <v>0</v>
          </cell>
          <cell r="BS508">
            <v>0</v>
          </cell>
          <cell r="BU508">
            <v>2415</v>
          </cell>
          <cell r="BV508">
            <v>0</v>
          </cell>
          <cell r="BW508">
            <v>2415</v>
          </cell>
          <cell r="BX508">
            <v>0</v>
          </cell>
          <cell r="BY508">
            <v>0</v>
          </cell>
          <cell r="BZ508">
            <v>0</v>
          </cell>
          <cell r="CA508">
            <v>0</v>
          </cell>
          <cell r="CB508">
            <v>0</v>
          </cell>
          <cell r="CC508">
            <v>0</v>
          </cell>
          <cell r="CE508">
            <v>2415</v>
          </cell>
          <cell r="CF508">
            <v>0</v>
          </cell>
          <cell r="CG508">
            <v>2415</v>
          </cell>
          <cell r="CH508">
            <v>0</v>
          </cell>
          <cell r="CI508">
            <v>0</v>
          </cell>
          <cell r="CJ508">
            <v>0</v>
          </cell>
          <cell r="CK508">
            <v>0</v>
          </cell>
          <cell r="CL508">
            <v>0</v>
          </cell>
          <cell r="CM508">
            <v>0</v>
          </cell>
          <cell r="CO508">
            <v>2415</v>
          </cell>
          <cell r="CP508">
            <v>0</v>
          </cell>
          <cell r="CQ508">
            <v>2415</v>
          </cell>
          <cell r="CR508">
            <v>0</v>
          </cell>
          <cell r="CS508">
            <v>0</v>
          </cell>
          <cell r="CT508">
            <v>0</v>
          </cell>
          <cell r="CU508">
            <v>0</v>
          </cell>
          <cell r="CV508">
            <v>0</v>
          </cell>
          <cell r="CW508">
            <v>0</v>
          </cell>
          <cell r="CY508">
            <v>2415</v>
          </cell>
          <cell r="CZ508">
            <v>0</v>
          </cell>
          <cell r="DA508">
            <v>2415</v>
          </cell>
          <cell r="DB508">
            <v>0</v>
          </cell>
          <cell r="DC508">
            <v>0</v>
          </cell>
          <cell r="DD508">
            <v>0</v>
          </cell>
          <cell r="DE508">
            <v>0</v>
          </cell>
          <cell r="DF508">
            <v>0</v>
          </cell>
          <cell r="DG508">
            <v>0</v>
          </cell>
          <cell r="DI508">
            <v>29040</v>
          </cell>
          <cell r="DJ508">
            <v>23479</v>
          </cell>
          <cell r="DK508">
            <v>0</v>
          </cell>
          <cell r="DL508">
            <v>23479</v>
          </cell>
          <cell r="DM508">
            <v>23479</v>
          </cell>
          <cell r="DN508">
            <v>0</v>
          </cell>
          <cell r="DO508">
            <v>23479</v>
          </cell>
          <cell r="DP508">
            <v>0</v>
          </cell>
          <cell r="DQ508">
            <v>0</v>
          </cell>
          <cell r="DR508">
            <v>0</v>
          </cell>
          <cell r="DS508">
            <v>0</v>
          </cell>
          <cell r="DT508">
            <v>46958</v>
          </cell>
          <cell r="DU508">
            <v>0</v>
          </cell>
          <cell r="DW508">
            <v>0</v>
          </cell>
          <cell r="DX508">
            <v>0</v>
          </cell>
          <cell r="DY508">
            <v>33520</v>
          </cell>
          <cell r="DZ508">
            <v>38000</v>
          </cell>
          <cell r="EA508">
            <v>42616</v>
          </cell>
          <cell r="EB508">
            <v>47232</v>
          </cell>
          <cell r="EC508">
            <v>51848</v>
          </cell>
          <cell r="ED508">
            <v>56678</v>
          </cell>
          <cell r="EE508">
            <v>61508</v>
          </cell>
          <cell r="EF508">
            <v>66338</v>
          </cell>
          <cell r="EG508">
            <v>71168</v>
          </cell>
          <cell r="EH508">
            <v>75998</v>
          </cell>
          <cell r="EI508">
            <v>544906</v>
          </cell>
          <cell r="EK508">
            <v>0</v>
          </cell>
          <cell r="EL508">
            <v>0</v>
          </cell>
          <cell r="EM508">
            <v>223.46666666666667</v>
          </cell>
          <cell r="EN508">
            <v>253.33333333333334</v>
          </cell>
          <cell r="EO508">
            <v>284.10666666666668</v>
          </cell>
          <cell r="EP508">
            <v>314.88</v>
          </cell>
          <cell r="EQ508">
            <v>345.65333333333336</v>
          </cell>
          <cell r="ER508">
            <v>377.8533333333333</v>
          </cell>
          <cell r="ES508">
            <v>440.80733333333325</v>
          </cell>
          <cell r="ET508">
            <v>475.42233333333326</v>
          </cell>
          <cell r="EU508">
            <v>510.03733333333327</v>
          </cell>
          <cell r="EV508">
            <v>544.65233333333333</v>
          </cell>
          <cell r="EW508">
            <v>3770.2126666666668</v>
          </cell>
          <cell r="EY508">
            <v>269894</v>
          </cell>
          <cell r="EZ508">
            <v>8</v>
          </cell>
          <cell r="FA508">
            <v>1799.2933333333333</v>
          </cell>
          <cell r="FB508">
            <v>275012</v>
          </cell>
          <cell r="FC508">
            <v>8.6</v>
          </cell>
          <cell r="FD508">
            <v>1970.919333333333</v>
          </cell>
          <cell r="FE508">
            <v>3770.2126666666663</v>
          </cell>
          <cell r="FF508">
            <v>79768</v>
          </cell>
          <cell r="FH508">
            <v>79768</v>
          </cell>
        </row>
        <row r="509">
          <cell r="B509">
            <v>9325</v>
          </cell>
          <cell r="C509" t="str">
            <v>30.04.2009</v>
          </cell>
          <cell r="D509" t="str">
            <v>Bunage Dattatray Rambhau</v>
          </cell>
          <cell r="F509">
            <v>38252</v>
          </cell>
          <cell r="G509">
            <v>46501</v>
          </cell>
          <cell r="H509">
            <v>14520</v>
          </cell>
          <cell r="I509">
            <v>14520</v>
          </cell>
          <cell r="J509">
            <v>29040</v>
          </cell>
          <cell r="K509">
            <v>-9212</v>
          </cell>
          <cell r="M509">
            <v>2240</v>
          </cell>
          <cell r="N509">
            <v>0</v>
          </cell>
          <cell r="O509">
            <v>2240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W509">
            <v>2240</v>
          </cell>
          <cell r="X509">
            <v>0</v>
          </cell>
          <cell r="Y509">
            <v>2240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G509">
            <v>2308</v>
          </cell>
          <cell r="AH509">
            <v>0</v>
          </cell>
          <cell r="AI509">
            <v>2308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Q509">
            <v>2308</v>
          </cell>
          <cell r="AR509">
            <v>0</v>
          </cell>
          <cell r="AS509">
            <v>2308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BA509">
            <v>2308</v>
          </cell>
          <cell r="BB509">
            <v>0</v>
          </cell>
          <cell r="BC509">
            <v>2308</v>
          </cell>
          <cell r="BD509">
            <v>0</v>
          </cell>
          <cell r="BE509">
            <v>0</v>
          </cell>
          <cell r="BF509">
            <v>0</v>
          </cell>
          <cell r="BG509">
            <v>0</v>
          </cell>
          <cell r="BH509">
            <v>0</v>
          </cell>
          <cell r="BI509">
            <v>0</v>
          </cell>
          <cell r="BK509">
            <v>2415</v>
          </cell>
          <cell r="BL509">
            <v>0</v>
          </cell>
          <cell r="BM509">
            <v>2415</v>
          </cell>
          <cell r="BN509">
            <v>0</v>
          </cell>
          <cell r="BO509">
            <v>0</v>
          </cell>
          <cell r="BP509">
            <v>0</v>
          </cell>
          <cell r="BQ509">
            <v>0</v>
          </cell>
          <cell r="BR509">
            <v>0</v>
          </cell>
          <cell r="BS509">
            <v>0</v>
          </cell>
          <cell r="BU509">
            <v>2415</v>
          </cell>
          <cell r="BV509">
            <v>0</v>
          </cell>
          <cell r="BW509">
            <v>2415</v>
          </cell>
          <cell r="BX509">
            <v>0</v>
          </cell>
          <cell r="BY509">
            <v>0</v>
          </cell>
          <cell r="BZ509">
            <v>0</v>
          </cell>
          <cell r="CA509">
            <v>0</v>
          </cell>
          <cell r="CB509">
            <v>0</v>
          </cell>
          <cell r="CC509">
            <v>0</v>
          </cell>
          <cell r="CE509">
            <v>2415</v>
          </cell>
          <cell r="CF509">
            <v>0</v>
          </cell>
          <cell r="CG509">
            <v>2415</v>
          </cell>
          <cell r="CH509">
            <v>0</v>
          </cell>
          <cell r="CI509">
            <v>0</v>
          </cell>
          <cell r="CJ509">
            <v>0</v>
          </cell>
          <cell r="CK509">
            <v>0</v>
          </cell>
          <cell r="CL509">
            <v>0</v>
          </cell>
          <cell r="CM509">
            <v>0</v>
          </cell>
          <cell r="CO509">
            <v>2415</v>
          </cell>
          <cell r="CP509">
            <v>0</v>
          </cell>
          <cell r="CQ509">
            <v>2415</v>
          </cell>
          <cell r="CR509">
            <v>0</v>
          </cell>
          <cell r="CS509">
            <v>0</v>
          </cell>
          <cell r="CT509">
            <v>0</v>
          </cell>
          <cell r="CU509">
            <v>0</v>
          </cell>
          <cell r="CV509">
            <v>0</v>
          </cell>
          <cell r="CW509">
            <v>0</v>
          </cell>
          <cell r="CY509">
            <v>2415</v>
          </cell>
          <cell r="CZ509">
            <v>0</v>
          </cell>
          <cell r="DA509">
            <v>2415</v>
          </cell>
          <cell r="DB509">
            <v>0</v>
          </cell>
          <cell r="DC509">
            <v>0</v>
          </cell>
          <cell r="DD509">
            <v>0</v>
          </cell>
          <cell r="DE509">
            <v>0</v>
          </cell>
          <cell r="DF509">
            <v>0</v>
          </cell>
          <cell r="DG509">
            <v>0</v>
          </cell>
          <cell r="DI509">
            <v>29040</v>
          </cell>
          <cell r="DJ509">
            <v>23479</v>
          </cell>
          <cell r="DK509">
            <v>0</v>
          </cell>
          <cell r="DL509">
            <v>23479</v>
          </cell>
          <cell r="DM509">
            <v>23479</v>
          </cell>
          <cell r="DN509">
            <v>0</v>
          </cell>
          <cell r="DO509">
            <v>23479</v>
          </cell>
          <cell r="DP509">
            <v>0</v>
          </cell>
          <cell r="DQ509">
            <v>0</v>
          </cell>
          <cell r="DR509">
            <v>0</v>
          </cell>
          <cell r="DS509">
            <v>0</v>
          </cell>
          <cell r="DT509">
            <v>46958</v>
          </cell>
          <cell r="DU509">
            <v>0</v>
          </cell>
          <cell r="DW509">
            <v>0</v>
          </cell>
          <cell r="DX509">
            <v>0</v>
          </cell>
          <cell r="DY509">
            <v>33520</v>
          </cell>
          <cell r="DZ509">
            <v>38000</v>
          </cell>
          <cell r="EA509">
            <v>42616</v>
          </cell>
          <cell r="EB509">
            <v>47232</v>
          </cell>
          <cell r="EC509">
            <v>51848</v>
          </cell>
          <cell r="ED509">
            <v>56678</v>
          </cell>
          <cell r="EE509">
            <v>61508</v>
          </cell>
          <cell r="EF509">
            <v>66338</v>
          </cell>
          <cell r="EG509">
            <v>71168</v>
          </cell>
          <cell r="EH509">
            <v>75998</v>
          </cell>
          <cell r="EI509">
            <v>544906</v>
          </cell>
          <cell r="EK509">
            <v>0</v>
          </cell>
          <cell r="EL509">
            <v>0</v>
          </cell>
          <cell r="EM509">
            <v>223.46666666666667</v>
          </cell>
          <cell r="EN509">
            <v>253.33333333333334</v>
          </cell>
          <cell r="EO509">
            <v>284.10666666666668</v>
          </cell>
          <cell r="EP509">
            <v>314.88</v>
          </cell>
          <cell r="EQ509">
            <v>345.65333333333336</v>
          </cell>
          <cell r="ER509">
            <v>377.8533333333333</v>
          </cell>
          <cell r="ES509">
            <v>440.80733333333325</v>
          </cell>
          <cell r="ET509">
            <v>475.42233333333326</v>
          </cell>
          <cell r="EU509">
            <v>510.03733333333327</v>
          </cell>
          <cell r="EV509">
            <v>544.65233333333333</v>
          </cell>
          <cell r="EW509">
            <v>3770.2126666666668</v>
          </cell>
          <cell r="EY509">
            <v>269894</v>
          </cell>
          <cell r="EZ509">
            <v>8</v>
          </cell>
          <cell r="FA509">
            <v>1799.2933333333333</v>
          </cell>
          <cell r="FB509">
            <v>275012</v>
          </cell>
          <cell r="FC509">
            <v>8.6</v>
          </cell>
          <cell r="FD509">
            <v>1970.919333333333</v>
          </cell>
          <cell r="FE509">
            <v>3770.2126666666663</v>
          </cell>
          <cell r="FF509">
            <v>79768</v>
          </cell>
          <cell r="FH509">
            <v>79768</v>
          </cell>
        </row>
        <row r="510">
          <cell r="B510">
            <v>9326</v>
          </cell>
          <cell r="C510" t="str">
            <v>30.04.2009</v>
          </cell>
          <cell r="D510" t="str">
            <v>Sapkale Ishwar Eknath</v>
          </cell>
          <cell r="F510">
            <v>38252</v>
          </cell>
          <cell r="G510">
            <v>46501</v>
          </cell>
          <cell r="H510">
            <v>14520</v>
          </cell>
          <cell r="I510">
            <v>14520</v>
          </cell>
          <cell r="J510">
            <v>29040</v>
          </cell>
          <cell r="K510">
            <v>-9212</v>
          </cell>
          <cell r="M510">
            <v>2240</v>
          </cell>
          <cell r="N510">
            <v>0</v>
          </cell>
          <cell r="O510">
            <v>2240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W510">
            <v>2240</v>
          </cell>
          <cell r="X510">
            <v>0</v>
          </cell>
          <cell r="Y510">
            <v>2240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G510">
            <v>2308</v>
          </cell>
          <cell r="AH510">
            <v>0</v>
          </cell>
          <cell r="AI510">
            <v>2308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Q510">
            <v>2308</v>
          </cell>
          <cell r="AR510">
            <v>0</v>
          </cell>
          <cell r="AS510">
            <v>2308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BA510">
            <v>2308</v>
          </cell>
          <cell r="BB510">
            <v>0</v>
          </cell>
          <cell r="BC510">
            <v>2308</v>
          </cell>
          <cell r="BD510">
            <v>0</v>
          </cell>
          <cell r="BE510">
            <v>0</v>
          </cell>
          <cell r="BF510">
            <v>0</v>
          </cell>
          <cell r="BG510">
            <v>0</v>
          </cell>
          <cell r="BH510">
            <v>0</v>
          </cell>
          <cell r="BI510">
            <v>0</v>
          </cell>
          <cell r="BK510">
            <v>2415</v>
          </cell>
          <cell r="BL510">
            <v>0</v>
          </cell>
          <cell r="BM510">
            <v>2415</v>
          </cell>
          <cell r="BN510">
            <v>0</v>
          </cell>
          <cell r="BO510">
            <v>0</v>
          </cell>
          <cell r="BP510">
            <v>0</v>
          </cell>
          <cell r="BQ510">
            <v>0</v>
          </cell>
          <cell r="BR510">
            <v>0</v>
          </cell>
          <cell r="BS510">
            <v>0</v>
          </cell>
          <cell r="BU510">
            <v>2415</v>
          </cell>
          <cell r="BV510">
            <v>0</v>
          </cell>
          <cell r="BW510">
            <v>2415</v>
          </cell>
          <cell r="BX510">
            <v>0</v>
          </cell>
          <cell r="BY510">
            <v>0</v>
          </cell>
          <cell r="BZ510">
            <v>0</v>
          </cell>
          <cell r="CA510">
            <v>0</v>
          </cell>
          <cell r="CB510">
            <v>0</v>
          </cell>
          <cell r="CC510">
            <v>0</v>
          </cell>
          <cell r="CE510">
            <v>2415</v>
          </cell>
          <cell r="CF510">
            <v>0</v>
          </cell>
          <cell r="CG510">
            <v>2415</v>
          </cell>
          <cell r="CH510">
            <v>0</v>
          </cell>
          <cell r="CI510">
            <v>0</v>
          </cell>
          <cell r="CJ510">
            <v>0</v>
          </cell>
          <cell r="CK510">
            <v>0</v>
          </cell>
          <cell r="CL510">
            <v>0</v>
          </cell>
          <cell r="CM510">
            <v>0</v>
          </cell>
          <cell r="CO510">
            <v>2415</v>
          </cell>
          <cell r="CP510">
            <v>0</v>
          </cell>
          <cell r="CQ510">
            <v>2415</v>
          </cell>
          <cell r="CR510">
            <v>0</v>
          </cell>
          <cell r="CS510">
            <v>0</v>
          </cell>
          <cell r="CT510">
            <v>0</v>
          </cell>
          <cell r="CU510">
            <v>0</v>
          </cell>
          <cell r="CV510">
            <v>0</v>
          </cell>
          <cell r="CW510">
            <v>0</v>
          </cell>
          <cell r="CY510">
            <v>2415</v>
          </cell>
          <cell r="CZ510">
            <v>0</v>
          </cell>
          <cell r="DA510">
            <v>2415</v>
          </cell>
          <cell r="DB510">
            <v>0</v>
          </cell>
          <cell r="DC510">
            <v>0</v>
          </cell>
          <cell r="DD510">
            <v>0</v>
          </cell>
          <cell r="DE510">
            <v>0</v>
          </cell>
          <cell r="DF510">
            <v>0</v>
          </cell>
          <cell r="DG510">
            <v>0</v>
          </cell>
          <cell r="DI510">
            <v>29040</v>
          </cell>
          <cell r="DJ510">
            <v>23479</v>
          </cell>
          <cell r="DK510">
            <v>0</v>
          </cell>
          <cell r="DL510">
            <v>23479</v>
          </cell>
          <cell r="DM510">
            <v>23479</v>
          </cell>
          <cell r="DN510">
            <v>0</v>
          </cell>
          <cell r="DO510">
            <v>23479</v>
          </cell>
          <cell r="DP510">
            <v>0</v>
          </cell>
          <cell r="DQ510">
            <v>0</v>
          </cell>
          <cell r="DR510">
            <v>0</v>
          </cell>
          <cell r="DS510">
            <v>0</v>
          </cell>
          <cell r="DT510">
            <v>46958</v>
          </cell>
          <cell r="DU510">
            <v>0</v>
          </cell>
          <cell r="DW510">
            <v>0</v>
          </cell>
          <cell r="DX510">
            <v>0</v>
          </cell>
          <cell r="DY510">
            <v>33520</v>
          </cell>
          <cell r="DZ510">
            <v>38000</v>
          </cell>
          <cell r="EA510">
            <v>42616</v>
          </cell>
          <cell r="EB510">
            <v>47232</v>
          </cell>
          <cell r="EC510">
            <v>51848</v>
          </cell>
          <cell r="ED510">
            <v>56678</v>
          </cell>
          <cell r="EE510">
            <v>61508</v>
          </cell>
          <cell r="EF510">
            <v>66338</v>
          </cell>
          <cell r="EG510">
            <v>71168</v>
          </cell>
          <cell r="EH510">
            <v>75998</v>
          </cell>
          <cell r="EI510">
            <v>544906</v>
          </cell>
          <cell r="EK510">
            <v>0</v>
          </cell>
          <cell r="EL510">
            <v>0</v>
          </cell>
          <cell r="EM510">
            <v>223.46666666666667</v>
          </cell>
          <cell r="EN510">
            <v>253.33333333333334</v>
          </cell>
          <cell r="EO510">
            <v>284.10666666666668</v>
          </cell>
          <cell r="EP510">
            <v>314.88</v>
          </cell>
          <cell r="EQ510">
            <v>345.65333333333336</v>
          </cell>
          <cell r="ER510">
            <v>377.8533333333333</v>
          </cell>
          <cell r="ES510">
            <v>440.80733333333325</v>
          </cell>
          <cell r="ET510">
            <v>475.42233333333326</v>
          </cell>
          <cell r="EU510">
            <v>510.03733333333327</v>
          </cell>
          <cell r="EV510">
            <v>544.65233333333333</v>
          </cell>
          <cell r="EW510">
            <v>3770.2126666666668</v>
          </cell>
          <cell r="EY510">
            <v>269894</v>
          </cell>
          <cell r="EZ510">
            <v>8</v>
          </cell>
          <cell r="FA510">
            <v>1799.2933333333333</v>
          </cell>
          <cell r="FB510">
            <v>275012</v>
          </cell>
          <cell r="FC510">
            <v>8.6</v>
          </cell>
          <cell r="FD510">
            <v>1970.919333333333</v>
          </cell>
          <cell r="FE510">
            <v>3770.2126666666663</v>
          </cell>
          <cell r="FF510">
            <v>79768</v>
          </cell>
          <cell r="FH510">
            <v>79768</v>
          </cell>
        </row>
        <row r="511">
          <cell r="B511">
            <v>9327</v>
          </cell>
          <cell r="C511" t="str">
            <v>30.04.2009</v>
          </cell>
          <cell r="D511" t="str">
            <v>Borse Jagdishchandra Vitthal</v>
          </cell>
          <cell r="F511">
            <v>38252</v>
          </cell>
          <cell r="G511">
            <v>46501</v>
          </cell>
          <cell r="H511">
            <v>14520</v>
          </cell>
          <cell r="I511">
            <v>14520</v>
          </cell>
          <cell r="J511">
            <v>29040</v>
          </cell>
          <cell r="K511">
            <v>-9212</v>
          </cell>
          <cell r="M511">
            <v>2240</v>
          </cell>
          <cell r="N511">
            <v>0</v>
          </cell>
          <cell r="O511">
            <v>2240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W511">
            <v>2240</v>
          </cell>
          <cell r="X511">
            <v>0</v>
          </cell>
          <cell r="Y511">
            <v>2240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G511">
            <v>2308</v>
          </cell>
          <cell r="AH511">
            <v>0</v>
          </cell>
          <cell r="AI511">
            <v>2308</v>
          </cell>
          <cell r="AJ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Q511">
            <v>2308</v>
          </cell>
          <cell r="AR511">
            <v>0</v>
          </cell>
          <cell r="AS511">
            <v>2308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0</v>
          </cell>
          <cell r="BA511">
            <v>2308</v>
          </cell>
          <cell r="BB511">
            <v>0</v>
          </cell>
          <cell r="BC511">
            <v>2308</v>
          </cell>
          <cell r="BD511">
            <v>0</v>
          </cell>
          <cell r="BE511">
            <v>0</v>
          </cell>
          <cell r="BF511">
            <v>0</v>
          </cell>
          <cell r="BG511">
            <v>0</v>
          </cell>
          <cell r="BH511">
            <v>0</v>
          </cell>
          <cell r="BI511">
            <v>0</v>
          </cell>
          <cell r="BK511">
            <v>2415</v>
          </cell>
          <cell r="BL511">
            <v>0</v>
          </cell>
          <cell r="BM511">
            <v>2415</v>
          </cell>
          <cell r="BN511">
            <v>0</v>
          </cell>
          <cell r="BO511">
            <v>0</v>
          </cell>
          <cell r="BP511">
            <v>0</v>
          </cell>
          <cell r="BQ511">
            <v>0</v>
          </cell>
          <cell r="BR511">
            <v>0</v>
          </cell>
          <cell r="BS511">
            <v>0</v>
          </cell>
          <cell r="BU511">
            <v>2415</v>
          </cell>
          <cell r="BV511">
            <v>0</v>
          </cell>
          <cell r="BW511">
            <v>2415</v>
          </cell>
          <cell r="BX511">
            <v>0</v>
          </cell>
          <cell r="BY511">
            <v>0</v>
          </cell>
          <cell r="BZ511">
            <v>0</v>
          </cell>
          <cell r="CA511">
            <v>0</v>
          </cell>
          <cell r="CB511">
            <v>0</v>
          </cell>
          <cell r="CC511">
            <v>0</v>
          </cell>
          <cell r="CE511">
            <v>2415</v>
          </cell>
          <cell r="CF511">
            <v>0</v>
          </cell>
          <cell r="CG511">
            <v>2415</v>
          </cell>
          <cell r="CH511">
            <v>0</v>
          </cell>
          <cell r="CI511">
            <v>0</v>
          </cell>
          <cell r="CJ511">
            <v>0</v>
          </cell>
          <cell r="CK511">
            <v>0</v>
          </cell>
          <cell r="CL511">
            <v>0</v>
          </cell>
          <cell r="CM511">
            <v>0</v>
          </cell>
          <cell r="CO511">
            <v>2415</v>
          </cell>
          <cell r="CP511">
            <v>0</v>
          </cell>
          <cell r="CQ511">
            <v>2415</v>
          </cell>
          <cell r="CR511">
            <v>0</v>
          </cell>
          <cell r="CS511">
            <v>0</v>
          </cell>
          <cell r="CT511">
            <v>0</v>
          </cell>
          <cell r="CU511">
            <v>0</v>
          </cell>
          <cell r="CV511">
            <v>0</v>
          </cell>
          <cell r="CW511">
            <v>0</v>
          </cell>
          <cell r="CY511">
            <v>2415</v>
          </cell>
          <cell r="CZ511">
            <v>0</v>
          </cell>
          <cell r="DA511">
            <v>2415</v>
          </cell>
          <cell r="DB511">
            <v>0</v>
          </cell>
          <cell r="DC511">
            <v>0</v>
          </cell>
          <cell r="DD511">
            <v>0</v>
          </cell>
          <cell r="DE511">
            <v>0</v>
          </cell>
          <cell r="DF511">
            <v>0</v>
          </cell>
          <cell r="DG511">
            <v>0</v>
          </cell>
          <cell r="DI511">
            <v>29040</v>
          </cell>
          <cell r="DJ511">
            <v>23479</v>
          </cell>
          <cell r="DK511">
            <v>0</v>
          </cell>
          <cell r="DL511">
            <v>23479</v>
          </cell>
          <cell r="DM511">
            <v>23479</v>
          </cell>
          <cell r="DN511">
            <v>0</v>
          </cell>
          <cell r="DO511">
            <v>23479</v>
          </cell>
          <cell r="DP511">
            <v>0</v>
          </cell>
          <cell r="DQ511">
            <v>0</v>
          </cell>
          <cell r="DR511">
            <v>0</v>
          </cell>
          <cell r="DS511">
            <v>0</v>
          </cell>
          <cell r="DT511">
            <v>46958</v>
          </cell>
          <cell r="DU511">
            <v>0</v>
          </cell>
          <cell r="DW511">
            <v>0</v>
          </cell>
          <cell r="DX511">
            <v>0</v>
          </cell>
          <cell r="DY511">
            <v>33520</v>
          </cell>
          <cell r="DZ511">
            <v>38000</v>
          </cell>
          <cell r="EA511">
            <v>42616</v>
          </cell>
          <cell r="EB511">
            <v>47232</v>
          </cell>
          <cell r="EC511">
            <v>51848</v>
          </cell>
          <cell r="ED511">
            <v>56678</v>
          </cell>
          <cell r="EE511">
            <v>61508</v>
          </cell>
          <cell r="EF511">
            <v>66338</v>
          </cell>
          <cell r="EG511">
            <v>71168</v>
          </cell>
          <cell r="EH511">
            <v>75998</v>
          </cell>
          <cell r="EI511">
            <v>544906</v>
          </cell>
          <cell r="EK511">
            <v>0</v>
          </cell>
          <cell r="EL511">
            <v>0</v>
          </cell>
          <cell r="EM511">
            <v>223.46666666666667</v>
          </cell>
          <cell r="EN511">
            <v>253.33333333333334</v>
          </cell>
          <cell r="EO511">
            <v>284.10666666666668</v>
          </cell>
          <cell r="EP511">
            <v>314.88</v>
          </cell>
          <cell r="EQ511">
            <v>345.65333333333336</v>
          </cell>
          <cell r="ER511">
            <v>377.8533333333333</v>
          </cell>
          <cell r="ES511">
            <v>440.80733333333325</v>
          </cell>
          <cell r="ET511">
            <v>475.42233333333326</v>
          </cell>
          <cell r="EU511">
            <v>510.03733333333327</v>
          </cell>
          <cell r="EV511">
            <v>544.65233333333333</v>
          </cell>
          <cell r="EW511">
            <v>3770.2126666666668</v>
          </cell>
          <cell r="EY511">
            <v>269894</v>
          </cell>
          <cell r="EZ511">
            <v>8</v>
          </cell>
          <cell r="FA511">
            <v>1799.2933333333333</v>
          </cell>
          <cell r="FB511">
            <v>275012</v>
          </cell>
          <cell r="FC511">
            <v>8.6</v>
          </cell>
          <cell r="FD511">
            <v>1970.919333333333</v>
          </cell>
          <cell r="FE511">
            <v>3770.2126666666663</v>
          </cell>
          <cell r="FF511">
            <v>79768</v>
          </cell>
          <cell r="FH511">
            <v>79768</v>
          </cell>
        </row>
        <row r="512">
          <cell r="B512">
            <v>9642</v>
          </cell>
          <cell r="C512" t="str">
            <v>20.05.2009</v>
          </cell>
          <cell r="D512" t="str">
            <v>Pawar Satish Raju</v>
          </cell>
          <cell r="F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G512">
            <v>0</v>
          </cell>
          <cell r="AH512">
            <v>0</v>
          </cell>
          <cell r="AI512">
            <v>0</v>
          </cell>
          <cell r="AJ512">
            <v>0</v>
          </cell>
          <cell r="AK512">
            <v>0</v>
          </cell>
          <cell r="AL512">
            <v>0</v>
          </cell>
          <cell r="AM512">
            <v>0</v>
          </cell>
          <cell r="AN512">
            <v>0</v>
          </cell>
          <cell r="AO512">
            <v>0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  <cell r="AW512">
            <v>0</v>
          </cell>
          <cell r="AX512">
            <v>0</v>
          </cell>
          <cell r="AY512">
            <v>0</v>
          </cell>
          <cell r="BA512">
            <v>0</v>
          </cell>
          <cell r="BB512">
            <v>0</v>
          </cell>
          <cell r="BC512">
            <v>0</v>
          </cell>
          <cell r="BD512">
            <v>0</v>
          </cell>
          <cell r="BE512">
            <v>0</v>
          </cell>
          <cell r="BF512">
            <v>0</v>
          </cell>
          <cell r="BG512">
            <v>0</v>
          </cell>
          <cell r="BH512">
            <v>0</v>
          </cell>
          <cell r="BI512">
            <v>0</v>
          </cell>
          <cell r="BK512">
            <v>0</v>
          </cell>
          <cell r="BL512">
            <v>0</v>
          </cell>
          <cell r="BM512">
            <v>0</v>
          </cell>
          <cell r="BN512">
            <v>0</v>
          </cell>
          <cell r="BO512">
            <v>0</v>
          </cell>
          <cell r="BP512">
            <v>0</v>
          </cell>
          <cell r="BQ512">
            <v>0</v>
          </cell>
          <cell r="BR512">
            <v>0</v>
          </cell>
          <cell r="BS512">
            <v>0</v>
          </cell>
          <cell r="BU512">
            <v>0</v>
          </cell>
          <cell r="BV512">
            <v>0</v>
          </cell>
          <cell r="BW512">
            <v>0</v>
          </cell>
          <cell r="BX512">
            <v>0</v>
          </cell>
          <cell r="BY512">
            <v>0</v>
          </cell>
          <cell r="BZ512">
            <v>0</v>
          </cell>
          <cell r="CA512">
            <v>0</v>
          </cell>
          <cell r="CB512">
            <v>0</v>
          </cell>
          <cell r="CC512">
            <v>0</v>
          </cell>
          <cell r="CE512">
            <v>0</v>
          </cell>
          <cell r="CF512">
            <v>0</v>
          </cell>
          <cell r="CG512">
            <v>0</v>
          </cell>
          <cell r="CH512">
            <v>0</v>
          </cell>
          <cell r="CI512">
            <v>0</v>
          </cell>
          <cell r="CJ512">
            <v>0</v>
          </cell>
          <cell r="CK512">
            <v>0</v>
          </cell>
          <cell r="CL512">
            <v>0</v>
          </cell>
          <cell r="CM512">
            <v>0</v>
          </cell>
          <cell r="CO512">
            <v>0</v>
          </cell>
          <cell r="CP512">
            <v>0</v>
          </cell>
          <cell r="CQ512">
            <v>0</v>
          </cell>
          <cell r="CR512">
            <v>0</v>
          </cell>
          <cell r="CS512">
            <v>0</v>
          </cell>
          <cell r="CT512">
            <v>0</v>
          </cell>
          <cell r="CU512">
            <v>0</v>
          </cell>
          <cell r="CV512">
            <v>0</v>
          </cell>
          <cell r="CW512">
            <v>0</v>
          </cell>
          <cell r="CY512">
            <v>0</v>
          </cell>
          <cell r="CZ512">
            <v>0</v>
          </cell>
          <cell r="DA512">
            <v>0</v>
          </cell>
          <cell r="DB512">
            <v>0</v>
          </cell>
          <cell r="DC512">
            <v>0</v>
          </cell>
          <cell r="DD512">
            <v>0</v>
          </cell>
          <cell r="DE512">
            <v>0</v>
          </cell>
          <cell r="DF512">
            <v>0</v>
          </cell>
          <cell r="DG512">
            <v>0</v>
          </cell>
          <cell r="DI512">
            <v>0</v>
          </cell>
          <cell r="DJ512">
            <v>0</v>
          </cell>
          <cell r="DK512">
            <v>0</v>
          </cell>
          <cell r="DL512">
            <v>0</v>
          </cell>
          <cell r="DM512">
            <v>0</v>
          </cell>
          <cell r="DN512">
            <v>0</v>
          </cell>
          <cell r="DO512">
            <v>0</v>
          </cell>
          <cell r="DP512">
            <v>0</v>
          </cell>
          <cell r="DQ512">
            <v>0</v>
          </cell>
          <cell r="DR512">
            <v>0</v>
          </cell>
          <cell r="DS512">
            <v>0</v>
          </cell>
          <cell r="DT512">
            <v>0</v>
          </cell>
          <cell r="DU512">
            <v>0</v>
          </cell>
          <cell r="DW512">
            <v>0</v>
          </cell>
          <cell r="DX512">
            <v>0</v>
          </cell>
          <cell r="DY512">
            <v>0</v>
          </cell>
          <cell r="DZ512">
            <v>0</v>
          </cell>
          <cell r="EA512">
            <v>0</v>
          </cell>
          <cell r="EB512">
            <v>0</v>
          </cell>
          <cell r="EC512">
            <v>0</v>
          </cell>
          <cell r="ED512">
            <v>0</v>
          </cell>
          <cell r="EE512">
            <v>0</v>
          </cell>
          <cell r="EF512">
            <v>0</v>
          </cell>
          <cell r="EG512">
            <v>0</v>
          </cell>
          <cell r="EH512">
            <v>0</v>
          </cell>
          <cell r="EI512">
            <v>0</v>
          </cell>
          <cell r="EK512">
            <v>0</v>
          </cell>
          <cell r="EL512">
            <v>0</v>
          </cell>
          <cell r="EM512">
            <v>0</v>
          </cell>
          <cell r="EN512">
            <v>0</v>
          </cell>
          <cell r="EO512">
            <v>0</v>
          </cell>
          <cell r="EP512">
            <v>0</v>
          </cell>
          <cell r="EQ512">
            <v>0</v>
          </cell>
          <cell r="ER512">
            <v>0</v>
          </cell>
          <cell r="ES512">
            <v>0</v>
          </cell>
          <cell r="ET512">
            <v>0</v>
          </cell>
          <cell r="EU512">
            <v>0</v>
          </cell>
          <cell r="EV512">
            <v>0</v>
          </cell>
          <cell r="EW512">
            <v>0</v>
          </cell>
          <cell r="EY512">
            <v>0</v>
          </cell>
          <cell r="EZ512">
            <v>8</v>
          </cell>
          <cell r="FA512">
            <v>0</v>
          </cell>
          <cell r="FB512">
            <v>0</v>
          </cell>
          <cell r="FC512">
            <v>8.6</v>
          </cell>
          <cell r="FD512">
            <v>0</v>
          </cell>
          <cell r="FE512">
            <v>0</v>
          </cell>
          <cell r="FF512">
            <v>0</v>
          </cell>
          <cell r="FH512">
            <v>0</v>
          </cell>
        </row>
        <row r="513">
          <cell r="B513">
            <v>9650</v>
          </cell>
          <cell r="C513" t="str">
            <v>05.06.2009</v>
          </cell>
          <cell r="D513" t="str">
            <v>Chandramore Pratik Chandrkant</v>
          </cell>
          <cell r="F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AL513">
            <v>0</v>
          </cell>
          <cell r="AM513">
            <v>0</v>
          </cell>
          <cell r="AN513">
            <v>0</v>
          </cell>
          <cell r="AO513">
            <v>0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0</v>
          </cell>
          <cell r="BA513">
            <v>0</v>
          </cell>
          <cell r="BB513">
            <v>0</v>
          </cell>
          <cell r="BC513">
            <v>0</v>
          </cell>
          <cell r="BD513">
            <v>0</v>
          </cell>
          <cell r="BE513">
            <v>0</v>
          </cell>
          <cell r="BF513">
            <v>0</v>
          </cell>
          <cell r="BG513">
            <v>0</v>
          </cell>
          <cell r="BH513">
            <v>0</v>
          </cell>
          <cell r="BI513">
            <v>0</v>
          </cell>
          <cell r="BK513">
            <v>0</v>
          </cell>
          <cell r="BL513">
            <v>0</v>
          </cell>
          <cell r="BM513">
            <v>0</v>
          </cell>
          <cell r="BN513">
            <v>0</v>
          </cell>
          <cell r="BO513">
            <v>0</v>
          </cell>
          <cell r="BP513">
            <v>0</v>
          </cell>
          <cell r="BQ513">
            <v>0</v>
          </cell>
          <cell r="BR513">
            <v>0</v>
          </cell>
          <cell r="BS513">
            <v>0</v>
          </cell>
          <cell r="BU513">
            <v>0</v>
          </cell>
          <cell r="BV513">
            <v>0</v>
          </cell>
          <cell r="BW513">
            <v>0</v>
          </cell>
          <cell r="BX513">
            <v>0</v>
          </cell>
          <cell r="BY513">
            <v>0</v>
          </cell>
          <cell r="BZ513">
            <v>0</v>
          </cell>
          <cell r="CA513">
            <v>0</v>
          </cell>
          <cell r="CB513">
            <v>0</v>
          </cell>
          <cell r="CC513">
            <v>0</v>
          </cell>
          <cell r="CE513">
            <v>0</v>
          </cell>
          <cell r="CF513">
            <v>0</v>
          </cell>
          <cell r="CG513">
            <v>0</v>
          </cell>
          <cell r="CH513">
            <v>0</v>
          </cell>
          <cell r="CI513">
            <v>0</v>
          </cell>
          <cell r="CJ513">
            <v>0</v>
          </cell>
          <cell r="CK513">
            <v>0</v>
          </cell>
          <cell r="CL513">
            <v>0</v>
          </cell>
          <cell r="CM513">
            <v>0</v>
          </cell>
          <cell r="CO513">
            <v>0</v>
          </cell>
          <cell r="CP513">
            <v>0</v>
          </cell>
          <cell r="CQ513">
            <v>0</v>
          </cell>
          <cell r="CR513">
            <v>0</v>
          </cell>
          <cell r="CS513">
            <v>0</v>
          </cell>
          <cell r="CT513">
            <v>0</v>
          </cell>
          <cell r="CU513">
            <v>0</v>
          </cell>
          <cell r="CV513">
            <v>0</v>
          </cell>
          <cell r="CW513">
            <v>0</v>
          </cell>
          <cell r="CY513">
            <v>0</v>
          </cell>
          <cell r="CZ513">
            <v>0</v>
          </cell>
          <cell r="DA513">
            <v>0</v>
          </cell>
          <cell r="DB513">
            <v>0</v>
          </cell>
          <cell r="DC513">
            <v>0</v>
          </cell>
          <cell r="DD513">
            <v>0</v>
          </cell>
          <cell r="DE513">
            <v>0</v>
          </cell>
          <cell r="DF513">
            <v>0</v>
          </cell>
          <cell r="DG513">
            <v>0</v>
          </cell>
          <cell r="DI513">
            <v>0</v>
          </cell>
          <cell r="DJ513">
            <v>0</v>
          </cell>
          <cell r="DK513">
            <v>0</v>
          </cell>
          <cell r="DL513">
            <v>0</v>
          </cell>
          <cell r="DM513">
            <v>0</v>
          </cell>
          <cell r="DN513">
            <v>0</v>
          </cell>
          <cell r="DO513">
            <v>0</v>
          </cell>
          <cell r="DP513">
            <v>0</v>
          </cell>
          <cell r="DQ513">
            <v>0</v>
          </cell>
          <cell r="DR513">
            <v>0</v>
          </cell>
          <cell r="DS513">
            <v>0</v>
          </cell>
          <cell r="DT513">
            <v>0</v>
          </cell>
          <cell r="DU513">
            <v>0</v>
          </cell>
          <cell r="DW513">
            <v>0</v>
          </cell>
          <cell r="DX513">
            <v>0</v>
          </cell>
          <cell r="DY513">
            <v>0</v>
          </cell>
          <cell r="DZ513">
            <v>0</v>
          </cell>
          <cell r="EA513">
            <v>0</v>
          </cell>
          <cell r="EB513">
            <v>0</v>
          </cell>
          <cell r="EC513">
            <v>0</v>
          </cell>
          <cell r="ED513">
            <v>0</v>
          </cell>
          <cell r="EE513">
            <v>0</v>
          </cell>
          <cell r="EF513">
            <v>0</v>
          </cell>
          <cell r="EG513">
            <v>0</v>
          </cell>
          <cell r="EH513">
            <v>0</v>
          </cell>
          <cell r="EI513">
            <v>0</v>
          </cell>
          <cell r="EK513">
            <v>0</v>
          </cell>
          <cell r="EL513">
            <v>0</v>
          </cell>
          <cell r="EM513">
            <v>0</v>
          </cell>
          <cell r="EN513">
            <v>0</v>
          </cell>
          <cell r="EO513">
            <v>0</v>
          </cell>
          <cell r="EP513">
            <v>0</v>
          </cell>
          <cell r="EQ513">
            <v>0</v>
          </cell>
          <cell r="ER513">
            <v>0</v>
          </cell>
          <cell r="ES513">
            <v>0</v>
          </cell>
          <cell r="ET513">
            <v>0</v>
          </cell>
          <cell r="EU513">
            <v>0</v>
          </cell>
          <cell r="EV513">
            <v>0</v>
          </cell>
          <cell r="EW513">
            <v>0</v>
          </cell>
          <cell r="EY513">
            <v>0</v>
          </cell>
          <cell r="EZ513">
            <v>8</v>
          </cell>
          <cell r="FA513">
            <v>0</v>
          </cell>
          <cell r="FB513">
            <v>0</v>
          </cell>
          <cell r="FC513">
            <v>8.6</v>
          </cell>
          <cell r="FD513">
            <v>0</v>
          </cell>
          <cell r="FE513">
            <v>0</v>
          </cell>
          <cell r="FF513">
            <v>0</v>
          </cell>
          <cell r="FH513">
            <v>0</v>
          </cell>
        </row>
        <row r="514">
          <cell r="B514">
            <v>9643</v>
          </cell>
          <cell r="C514" t="str">
            <v>25.06.2009</v>
          </cell>
          <cell r="D514" t="str">
            <v>Shinde Sagar Chandrakant</v>
          </cell>
          <cell r="F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0</v>
          </cell>
          <cell r="BA514">
            <v>0</v>
          </cell>
          <cell r="BB514">
            <v>0</v>
          </cell>
          <cell r="BC514">
            <v>0</v>
          </cell>
          <cell r="BD514">
            <v>0</v>
          </cell>
          <cell r="BE514">
            <v>0</v>
          </cell>
          <cell r="BF514">
            <v>0</v>
          </cell>
          <cell r="BG514">
            <v>0</v>
          </cell>
          <cell r="BH514">
            <v>0</v>
          </cell>
          <cell r="BI514">
            <v>0</v>
          </cell>
          <cell r="BK514">
            <v>0</v>
          </cell>
          <cell r="BL514">
            <v>0</v>
          </cell>
          <cell r="BM514">
            <v>0</v>
          </cell>
          <cell r="BN514">
            <v>0</v>
          </cell>
          <cell r="BO514">
            <v>0</v>
          </cell>
          <cell r="BP514">
            <v>0</v>
          </cell>
          <cell r="BQ514">
            <v>0</v>
          </cell>
          <cell r="BR514">
            <v>0</v>
          </cell>
          <cell r="BS514">
            <v>0</v>
          </cell>
          <cell r="BU514">
            <v>0</v>
          </cell>
          <cell r="BV514">
            <v>0</v>
          </cell>
          <cell r="BW514">
            <v>0</v>
          </cell>
          <cell r="BX514">
            <v>0</v>
          </cell>
          <cell r="BY514">
            <v>0</v>
          </cell>
          <cell r="BZ514">
            <v>0</v>
          </cell>
          <cell r="CA514">
            <v>0</v>
          </cell>
          <cell r="CB514">
            <v>0</v>
          </cell>
          <cell r="CC514">
            <v>0</v>
          </cell>
          <cell r="CE514">
            <v>0</v>
          </cell>
          <cell r="CF514">
            <v>0</v>
          </cell>
          <cell r="CG514">
            <v>0</v>
          </cell>
          <cell r="CH514">
            <v>0</v>
          </cell>
          <cell r="CI514">
            <v>0</v>
          </cell>
          <cell r="CJ514">
            <v>0</v>
          </cell>
          <cell r="CK514">
            <v>0</v>
          </cell>
          <cell r="CL514">
            <v>0</v>
          </cell>
          <cell r="CM514">
            <v>0</v>
          </cell>
          <cell r="CO514">
            <v>0</v>
          </cell>
          <cell r="CP514">
            <v>0</v>
          </cell>
          <cell r="CQ514">
            <v>0</v>
          </cell>
          <cell r="CR514">
            <v>0</v>
          </cell>
          <cell r="CS514">
            <v>0</v>
          </cell>
          <cell r="CT514">
            <v>0</v>
          </cell>
          <cell r="CU514">
            <v>0</v>
          </cell>
          <cell r="CV514">
            <v>0</v>
          </cell>
          <cell r="CW514">
            <v>0</v>
          </cell>
          <cell r="CY514">
            <v>0</v>
          </cell>
          <cell r="CZ514">
            <v>0</v>
          </cell>
          <cell r="DA514">
            <v>0</v>
          </cell>
          <cell r="DB514">
            <v>0</v>
          </cell>
          <cell r="DC514">
            <v>0</v>
          </cell>
          <cell r="DD514">
            <v>0</v>
          </cell>
          <cell r="DE514">
            <v>0</v>
          </cell>
          <cell r="DF514">
            <v>0</v>
          </cell>
          <cell r="DG514">
            <v>0</v>
          </cell>
          <cell r="DI514">
            <v>0</v>
          </cell>
          <cell r="DJ514">
            <v>0</v>
          </cell>
          <cell r="DK514">
            <v>0</v>
          </cell>
          <cell r="DL514">
            <v>0</v>
          </cell>
          <cell r="DM514">
            <v>0</v>
          </cell>
          <cell r="DN514">
            <v>0</v>
          </cell>
          <cell r="DO514">
            <v>0</v>
          </cell>
          <cell r="DP514">
            <v>0</v>
          </cell>
          <cell r="DQ514">
            <v>0</v>
          </cell>
          <cell r="DR514">
            <v>0</v>
          </cell>
          <cell r="DS514">
            <v>0</v>
          </cell>
          <cell r="DT514">
            <v>0</v>
          </cell>
          <cell r="DU514">
            <v>0</v>
          </cell>
          <cell r="DW514">
            <v>0</v>
          </cell>
          <cell r="DX514">
            <v>0</v>
          </cell>
          <cell r="DY514">
            <v>0</v>
          </cell>
          <cell r="DZ514">
            <v>0</v>
          </cell>
          <cell r="EA514">
            <v>0</v>
          </cell>
          <cell r="EB514">
            <v>0</v>
          </cell>
          <cell r="EC514">
            <v>0</v>
          </cell>
          <cell r="ED514">
            <v>0</v>
          </cell>
          <cell r="EE514">
            <v>0</v>
          </cell>
          <cell r="EF514">
            <v>0</v>
          </cell>
          <cell r="EG514">
            <v>0</v>
          </cell>
          <cell r="EH514">
            <v>0</v>
          </cell>
          <cell r="EI514">
            <v>0</v>
          </cell>
          <cell r="EK514">
            <v>0</v>
          </cell>
          <cell r="EL514">
            <v>0</v>
          </cell>
          <cell r="EM514">
            <v>0</v>
          </cell>
          <cell r="EN514">
            <v>0</v>
          </cell>
          <cell r="EO514">
            <v>0</v>
          </cell>
          <cell r="EP514">
            <v>0</v>
          </cell>
          <cell r="EQ514">
            <v>0</v>
          </cell>
          <cell r="ER514">
            <v>0</v>
          </cell>
          <cell r="ES514">
            <v>0</v>
          </cell>
          <cell r="ET514">
            <v>0</v>
          </cell>
          <cell r="EU514">
            <v>0</v>
          </cell>
          <cell r="EV514">
            <v>0</v>
          </cell>
          <cell r="EW514">
            <v>0</v>
          </cell>
          <cell r="EY514">
            <v>0</v>
          </cell>
          <cell r="EZ514">
            <v>8</v>
          </cell>
          <cell r="FA514">
            <v>0</v>
          </cell>
          <cell r="FB514">
            <v>0</v>
          </cell>
          <cell r="FC514">
            <v>8.6</v>
          </cell>
          <cell r="FD514">
            <v>0</v>
          </cell>
          <cell r="FE514">
            <v>0</v>
          </cell>
          <cell r="FF514">
            <v>0</v>
          </cell>
          <cell r="FH514">
            <v>0</v>
          </cell>
        </row>
        <row r="515">
          <cell r="B515">
            <v>9654</v>
          </cell>
          <cell r="C515" t="str">
            <v>27.06.2009</v>
          </cell>
          <cell r="D515" t="str">
            <v>Sahane Yogesh Vasantrao</v>
          </cell>
          <cell r="F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0</v>
          </cell>
          <cell r="AM515">
            <v>0</v>
          </cell>
          <cell r="AN515">
            <v>0</v>
          </cell>
          <cell r="AO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0</v>
          </cell>
          <cell r="AY515">
            <v>0</v>
          </cell>
          <cell r="BA515">
            <v>0</v>
          </cell>
          <cell r="BB515">
            <v>0</v>
          </cell>
          <cell r="BC515">
            <v>0</v>
          </cell>
          <cell r="BD515">
            <v>0</v>
          </cell>
          <cell r="BE515">
            <v>0</v>
          </cell>
          <cell r="BF515">
            <v>0</v>
          </cell>
          <cell r="BG515">
            <v>0</v>
          </cell>
          <cell r="BH515">
            <v>0</v>
          </cell>
          <cell r="BI515">
            <v>0</v>
          </cell>
          <cell r="BK515">
            <v>0</v>
          </cell>
          <cell r="BL515">
            <v>0</v>
          </cell>
          <cell r="BM515">
            <v>0</v>
          </cell>
          <cell r="BN515">
            <v>0</v>
          </cell>
          <cell r="BO515">
            <v>0</v>
          </cell>
          <cell r="BP515">
            <v>0</v>
          </cell>
          <cell r="BQ515">
            <v>0</v>
          </cell>
          <cell r="BR515">
            <v>0</v>
          </cell>
          <cell r="BS515">
            <v>0</v>
          </cell>
          <cell r="BU515">
            <v>0</v>
          </cell>
          <cell r="BV515">
            <v>0</v>
          </cell>
          <cell r="BW515">
            <v>0</v>
          </cell>
          <cell r="BX515">
            <v>0</v>
          </cell>
          <cell r="BY515">
            <v>0</v>
          </cell>
          <cell r="BZ515">
            <v>0</v>
          </cell>
          <cell r="CA515">
            <v>0</v>
          </cell>
          <cell r="CB515">
            <v>0</v>
          </cell>
          <cell r="CC515">
            <v>0</v>
          </cell>
          <cell r="CE515">
            <v>0</v>
          </cell>
          <cell r="CF515">
            <v>0</v>
          </cell>
          <cell r="CG515">
            <v>0</v>
          </cell>
          <cell r="CH515">
            <v>0</v>
          </cell>
          <cell r="CI515">
            <v>0</v>
          </cell>
          <cell r="CJ515">
            <v>0</v>
          </cell>
          <cell r="CK515">
            <v>0</v>
          </cell>
          <cell r="CL515">
            <v>0</v>
          </cell>
          <cell r="CM515">
            <v>0</v>
          </cell>
          <cell r="CO515">
            <v>0</v>
          </cell>
          <cell r="CP515">
            <v>0</v>
          </cell>
          <cell r="CQ515">
            <v>0</v>
          </cell>
          <cell r="CR515">
            <v>0</v>
          </cell>
          <cell r="CS515">
            <v>0</v>
          </cell>
          <cell r="CT515">
            <v>0</v>
          </cell>
          <cell r="CU515">
            <v>0</v>
          </cell>
          <cell r="CV515">
            <v>0</v>
          </cell>
          <cell r="CW515">
            <v>0</v>
          </cell>
          <cell r="CY515">
            <v>0</v>
          </cell>
          <cell r="CZ515">
            <v>0</v>
          </cell>
          <cell r="DA515">
            <v>0</v>
          </cell>
          <cell r="DB515">
            <v>0</v>
          </cell>
          <cell r="DC515">
            <v>0</v>
          </cell>
          <cell r="DD515">
            <v>0</v>
          </cell>
          <cell r="DE515">
            <v>0</v>
          </cell>
          <cell r="DF515">
            <v>0</v>
          </cell>
          <cell r="DG515">
            <v>0</v>
          </cell>
          <cell r="DI515">
            <v>0</v>
          </cell>
          <cell r="DJ515">
            <v>0</v>
          </cell>
          <cell r="DK515">
            <v>0</v>
          </cell>
          <cell r="DL515">
            <v>0</v>
          </cell>
          <cell r="DM515">
            <v>0</v>
          </cell>
          <cell r="DN515">
            <v>0</v>
          </cell>
          <cell r="DO515">
            <v>0</v>
          </cell>
          <cell r="DP515">
            <v>0</v>
          </cell>
          <cell r="DQ515">
            <v>0</v>
          </cell>
          <cell r="DR515">
            <v>0</v>
          </cell>
          <cell r="DS515">
            <v>0</v>
          </cell>
          <cell r="DT515">
            <v>0</v>
          </cell>
          <cell r="DU515">
            <v>0</v>
          </cell>
          <cell r="DW515">
            <v>0</v>
          </cell>
          <cell r="DX515">
            <v>0</v>
          </cell>
          <cell r="DY515">
            <v>0</v>
          </cell>
          <cell r="DZ515">
            <v>0</v>
          </cell>
          <cell r="EA515">
            <v>0</v>
          </cell>
          <cell r="EB515">
            <v>0</v>
          </cell>
          <cell r="EC515">
            <v>0</v>
          </cell>
          <cell r="ED515">
            <v>0</v>
          </cell>
          <cell r="EE515">
            <v>0</v>
          </cell>
          <cell r="EF515">
            <v>0</v>
          </cell>
          <cell r="EG515">
            <v>0</v>
          </cell>
          <cell r="EH515">
            <v>0</v>
          </cell>
          <cell r="EI515">
            <v>0</v>
          </cell>
          <cell r="EK515">
            <v>0</v>
          </cell>
          <cell r="EL515">
            <v>0</v>
          </cell>
          <cell r="EM515">
            <v>0</v>
          </cell>
          <cell r="EN515">
            <v>0</v>
          </cell>
          <cell r="EO515">
            <v>0</v>
          </cell>
          <cell r="EP515">
            <v>0</v>
          </cell>
          <cell r="EQ515">
            <v>0</v>
          </cell>
          <cell r="ER515">
            <v>0</v>
          </cell>
          <cell r="ES515">
            <v>0</v>
          </cell>
          <cell r="ET515">
            <v>0</v>
          </cell>
          <cell r="EU515">
            <v>0</v>
          </cell>
          <cell r="EV515">
            <v>0</v>
          </cell>
          <cell r="EW515">
            <v>0</v>
          </cell>
          <cell r="EY515">
            <v>0</v>
          </cell>
          <cell r="EZ515">
            <v>8</v>
          </cell>
          <cell r="FA515">
            <v>0</v>
          </cell>
          <cell r="FB515">
            <v>0</v>
          </cell>
          <cell r="FC515">
            <v>8.6</v>
          </cell>
          <cell r="FD515">
            <v>0</v>
          </cell>
          <cell r="FE515">
            <v>0</v>
          </cell>
          <cell r="FF515">
            <v>0</v>
          </cell>
          <cell r="FH515">
            <v>0</v>
          </cell>
        </row>
        <row r="516">
          <cell r="B516">
            <v>9297</v>
          </cell>
          <cell r="C516" t="str">
            <v>04.07.2009</v>
          </cell>
          <cell r="D516" t="str">
            <v>Tathe Eknath Namdeo</v>
          </cell>
          <cell r="F516">
            <v>19241</v>
          </cell>
          <cell r="H516">
            <v>14520</v>
          </cell>
          <cell r="I516">
            <v>14520</v>
          </cell>
          <cell r="J516">
            <v>29040</v>
          </cell>
          <cell r="K516">
            <v>9799</v>
          </cell>
          <cell r="M516">
            <v>1088</v>
          </cell>
          <cell r="N516">
            <v>0</v>
          </cell>
          <cell r="O516">
            <v>1088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W516">
            <v>1088</v>
          </cell>
          <cell r="X516">
            <v>0</v>
          </cell>
          <cell r="Y516">
            <v>1088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G516">
            <v>1121</v>
          </cell>
          <cell r="AH516">
            <v>0</v>
          </cell>
          <cell r="AI516">
            <v>1121</v>
          </cell>
          <cell r="AJ516">
            <v>0</v>
          </cell>
          <cell r="AK516">
            <v>0</v>
          </cell>
          <cell r="AL516">
            <v>0</v>
          </cell>
          <cell r="AM516">
            <v>0</v>
          </cell>
          <cell r="AN516">
            <v>0</v>
          </cell>
          <cell r="AO516">
            <v>0</v>
          </cell>
          <cell r="AQ516">
            <v>1121</v>
          </cell>
          <cell r="AR516">
            <v>0</v>
          </cell>
          <cell r="AS516">
            <v>1121</v>
          </cell>
          <cell r="AT516">
            <v>0</v>
          </cell>
          <cell r="AU516">
            <v>0</v>
          </cell>
          <cell r="AV516">
            <v>0</v>
          </cell>
          <cell r="AW516">
            <v>0</v>
          </cell>
          <cell r="AX516">
            <v>0</v>
          </cell>
          <cell r="AY516">
            <v>0</v>
          </cell>
          <cell r="BA516">
            <v>1121</v>
          </cell>
          <cell r="BB516">
            <v>0</v>
          </cell>
          <cell r="BC516">
            <v>1121</v>
          </cell>
          <cell r="BD516">
            <v>0</v>
          </cell>
          <cell r="BE516">
            <v>0</v>
          </cell>
          <cell r="BF516">
            <v>0</v>
          </cell>
          <cell r="BG516">
            <v>0</v>
          </cell>
          <cell r="BH516">
            <v>0</v>
          </cell>
          <cell r="BI516">
            <v>0</v>
          </cell>
          <cell r="BK516">
            <v>1173</v>
          </cell>
          <cell r="BL516">
            <v>0</v>
          </cell>
          <cell r="BM516">
            <v>1173</v>
          </cell>
          <cell r="BN516">
            <v>0</v>
          </cell>
          <cell r="BO516">
            <v>0</v>
          </cell>
          <cell r="BP516">
            <v>0</v>
          </cell>
          <cell r="BQ516">
            <v>0</v>
          </cell>
          <cell r="BR516">
            <v>0</v>
          </cell>
          <cell r="BS516">
            <v>0</v>
          </cell>
          <cell r="BU516">
            <v>1173</v>
          </cell>
          <cell r="BV516">
            <v>0</v>
          </cell>
          <cell r="BW516">
            <v>1173</v>
          </cell>
          <cell r="BX516">
            <v>0</v>
          </cell>
          <cell r="BY516">
            <v>0</v>
          </cell>
          <cell r="BZ516">
            <v>0</v>
          </cell>
          <cell r="CA516">
            <v>0</v>
          </cell>
          <cell r="CB516">
            <v>0</v>
          </cell>
          <cell r="CC516">
            <v>0</v>
          </cell>
          <cell r="CE516">
            <v>1173</v>
          </cell>
          <cell r="CF516">
            <v>0</v>
          </cell>
          <cell r="CG516">
            <v>1173</v>
          </cell>
          <cell r="CH516">
            <v>0</v>
          </cell>
          <cell r="CI516">
            <v>0</v>
          </cell>
          <cell r="CJ516">
            <v>0</v>
          </cell>
          <cell r="CK516">
            <v>0</v>
          </cell>
          <cell r="CL516">
            <v>0</v>
          </cell>
          <cell r="CM516">
            <v>0</v>
          </cell>
          <cell r="CO516">
            <v>1173</v>
          </cell>
          <cell r="CP516">
            <v>0</v>
          </cell>
          <cell r="CQ516">
            <v>1173</v>
          </cell>
          <cell r="CR516">
            <v>0</v>
          </cell>
          <cell r="CS516">
            <v>0</v>
          </cell>
          <cell r="CT516">
            <v>0</v>
          </cell>
          <cell r="CU516">
            <v>0</v>
          </cell>
          <cell r="CV516">
            <v>0</v>
          </cell>
          <cell r="CW516">
            <v>0</v>
          </cell>
          <cell r="CY516">
            <v>1173</v>
          </cell>
          <cell r="CZ516">
            <v>0</v>
          </cell>
          <cell r="DA516">
            <v>1173</v>
          </cell>
          <cell r="DB516">
            <v>0</v>
          </cell>
          <cell r="DC516">
            <v>0</v>
          </cell>
          <cell r="DD516">
            <v>0</v>
          </cell>
          <cell r="DE516">
            <v>0</v>
          </cell>
          <cell r="DF516">
            <v>0</v>
          </cell>
          <cell r="DG516">
            <v>0</v>
          </cell>
          <cell r="DI516">
            <v>29040</v>
          </cell>
          <cell r="DJ516">
            <v>11404</v>
          </cell>
          <cell r="DK516">
            <v>0</v>
          </cell>
          <cell r="DL516">
            <v>11404</v>
          </cell>
          <cell r="DM516">
            <v>11404</v>
          </cell>
          <cell r="DN516">
            <v>0</v>
          </cell>
          <cell r="DO516">
            <v>11404</v>
          </cell>
          <cell r="DP516">
            <v>0</v>
          </cell>
          <cell r="DQ516">
            <v>0</v>
          </cell>
          <cell r="DR516">
            <v>0</v>
          </cell>
          <cell r="DS516">
            <v>0</v>
          </cell>
          <cell r="DT516">
            <v>22808</v>
          </cell>
          <cell r="DU516">
            <v>0</v>
          </cell>
          <cell r="DW516">
            <v>0</v>
          </cell>
          <cell r="DX516">
            <v>0</v>
          </cell>
          <cell r="DY516">
            <v>31216</v>
          </cell>
          <cell r="DZ516">
            <v>33392</v>
          </cell>
          <cell r="EA516">
            <v>35634</v>
          </cell>
          <cell r="EB516">
            <v>37876</v>
          </cell>
          <cell r="EC516">
            <v>40118</v>
          </cell>
          <cell r="ED516">
            <v>42464</v>
          </cell>
          <cell r="EE516">
            <v>44810</v>
          </cell>
          <cell r="EF516">
            <v>47156</v>
          </cell>
          <cell r="EG516">
            <v>49502</v>
          </cell>
          <cell r="EH516">
            <v>51848</v>
          </cell>
          <cell r="EI516">
            <v>414016</v>
          </cell>
          <cell r="EK516">
            <v>0</v>
          </cell>
          <cell r="EL516">
            <v>0</v>
          </cell>
          <cell r="EM516">
            <v>208.10666666666668</v>
          </cell>
          <cell r="EN516">
            <v>222.61333333333334</v>
          </cell>
          <cell r="EO516">
            <v>237.55999999999997</v>
          </cell>
          <cell r="EP516">
            <v>252.50666666666666</v>
          </cell>
          <cell r="EQ516">
            <v>267.45333333333332</v>
          </cell>
          <cell r="ER516">
            <v>283.09333333333331</v>
          </cell>
          <cell r="ES516">
            <v>321.13833333333332</v>
          </cell>
          <cell r="ET516">
            <v>337.95133333333331</v>
          </cell>
          <cell r="EU516">
            <v>354.7643333333333</v>
          </cell>
          <cell r="EV516">
            <v>371.57733333333334</v>
          </cell>
          <cell r="EW516">
            <v>2856.7646666666665</v>
          </cell>
          <cell r="EY516">
            <v>220700</v>
          </cell>
          <cell r="EZ516">
            <v>8</v>
          </cell>
          <cell r="FA516">
            <v>1471.3333333333333</v>
          </cell>
          <cell r="FB516">
            <v>193316</v>
          </cell>
          <cell r="FC516">
            <v>8.6</v>
          </cell>
          <cell r="FD516">
            <v>1385.4313333333332</v>
          </cell>
          <cell r="FE516">
            <v>2856.7646666666665</v>
          </cell>
          <cell r="FF516">
            <v>54705</v>
          </cell>
          <cell r="FH516">
            <v>54705</v>
          </cell>
        </row>
        <row r="517">
          <cell r="B517">
            <v>9660</v>
          </cell>
          <cell r="C517" t="str">
            <v>08.07.2009</v>
          </cell>
          <cell r="D517" t="str">
            <v>Tambe Somnath Shivaji</v>
          </cell>
          <cell r="F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G517">
            <v>0</v>
          </cell>
          <cell r="AH517">
            <v>0</v>
          </cell>
          <cell r="AI517">
            <v>0</v>
          </cell>
          <cell r="AJ517">
            <v>0</v>
          </cell>
          <cell r="AK517">
            <v>0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  <cell r="AU517">
            <v>0</v>
          </cell>
          <cell r="AV517">
            <v>0</v>
          </cell>
          <cell r="AW517">
            <v>0</v>
          </cell>
          <cell r="AX517">
            <v>0</v>
          </cell>
          <cell r="AY517">
            <v>0</v>
          </cell>
          <cell r="BA517">
            <v>0</v>
          </cell>
          <cell r="BB517">
            <v>0</v>
          </cell>
          <cell r="BC517">
            <v>0</v>
          </cell>
          <cell r="BD517">
            <v>0</v>
          </cell>
          <cell r="BE517">
            <v>0</v>
          </cell>
          <cell r="BF517">
            <v>0</v>
          </cell>
          <cell r="BG517">
            <v>0</v>
          </cell>
          <cell r="BH517">
            <v>0</v>
          </cell>
          <cell r="BI517">
            <v>0</v>
          </cell>
          <cell r="BK517">
            <v>0</v>
          </cell>
          <cell r="BL517">
            <v>0</v>
          </cell>
          <cell r="BM517">
            <v>0</v>
          </cell>
          <cell r="BN517">
            <v>0</v>
          </cell>
          <cell r="BO517">
            <v>0</v>
          </cell>
          <cell r="BP517">
            <v>0</v>
          </cell>
          <cell r="BQ517">
            <v>0</v>
          </cell>
          <cell r="BR517">
            <v>0</v>
          </cell>
          <cell r="BS517">
            <v>0</v>
          </cell>
          <cell r="BU517">
            <v>0</v>
          </cell>
          <cell r="BV517">
            <v>0</v>
          </cell>
          <cell r="BW517">
            <v>0</v>
          </cell>
          <cell r="BX517">
            <v>0</v>
          </cell>
          <cell r="BY517">
            <v>0</v>
          </cell>
          <cell r="BZ517">
            <v>0</v>
          </cell>
          <cell r="CA517">
            <v>0</v>
          </cell>
          <cell r="CB517">
            <v>0</v>
          </cell>
          <cell r="CC517">
            <v>0</v>
          </cell>
          <cell r="CE517">
            <v>0</v>
          </cell>
          <cell r="CF517">
            <v>0</v>
          </cell>
          <cell r="CG517">
            <v>0</v>
          </cell>
          <cell r="CH517">
            <v>0</v>
          </cell>
          <cell r="CI517">
            <v>0</v>
          </cell>
          <cell r="CJ517">
            <v>0</v>
          </cell>
          <cell r="CK517">
            <v>0</v>
          </cell>
          <cell r="CL517">
            <v>0</v>
          </cell>
          <cell r="CM517">
            <v>0</v>
          </cell>
          <cell r="CO517">
            <v>0</v>
          </cell>
          <cell r="CP517">
            <v>0</v>
          </cell>
          <cell r="CQ517">
            <v>0</v>
          </cell>
          <cell r="CR517">
            <v>0</v>
          </cell>
          <cell r="CS517">
            <v>0</v>
          </cell>
          <cell r="CT517">
            <v>0</v>
          </cell>
          <cell r="CU517">
            <v>0</v>
          </cell>
          <cell r="CV517">
            <v>0</v>
          </cell>
          <cell r="CW517">
            <v>0</v>
          </cell>
          <cell r="CY517">
            <v>0</v>
          </cell>
          <cell r="CZ517">
            <v>0</v>
          </cell>
          <cell r="DA517">
            <v>0</v>
          </cell>
          <cell r="DB517">
            <v>0</v>
          </cell>
          <cell r="DC517">
            <v>0</v>
          </cell>
          <cell r="DD517">
            <v>0</v>
          </cell>
          <cell r="DE517">
            <v>0</v>
          </cell>
          <cell r="DF517">
            <v>0</v>
          </cell>
          <cell r="DG517">
            <v>0</v>
          </cell>
          <cell r="DI517">
            <v>0</v>
          </cell>
          <cell r="DJ517">
            <v>0</v>
          </cell>
          <cell r="DK517">
            <v>0</v>
          </cell>
          <cell r="DL517">
            <v>0</v>
          </cell>
          <cell r="DM517">
            <v>0</v>
          </cell>
          <cell r="DN517">
            <v>0</v>
          </cell>
          <cell r="DO517">
            <v>0</v>
          </cell>
          <cell r="DP517">
            <v>0</v>
          </cell>
          <cell r="DQ517">
            <v>0</v>
          </cell>
          <cell r="DR517">
            <v>0</v>
          </cell>
          <cell r="DS517">
            <v>0</v>
          </cell>
          <cell r="DT517">
            <v>0</v>
          </cell>
          <cell r="DU517">
            <v>0</v>
          </cell>
          <cell r="DW517">
            <v>0</v>
          </cell>
          <cell r="DX517">
            <v>0</v>
          </cell>
          <cell r="DY517">
            <v>0</v>
          </cell>
          <cell r="DZ517">
            <v>0</v>
          </cell>
          <cell r="EA517">
            <v>0</v>
          </cell>
          <cell r="EB517">
            <v>0</v>
          </cell>
          <cell r="EC517">
            <v>0</v>
          </cell>
          <cell r="ED517">
            <v>0</v>
          </cell>
          <cell r="EE517">
            <v>0</v>
          </cell>
          <cell r="EF517">
            <v>0</v>
          </cell>
          <cell r="EG517">
            <v>0</v>
          </cell>
          <cell r="EH517">
            <v>0</v>
          </cell>
          <cell r="EI517">
            <v>0</v>
          </cell>
          <cell r="EK517">
            <v>0</v>
          </cell>
          <cell r="EL517">
            <v>0</v>
          </cell>
          <cell r="EM517">
            <v>0</v>
          </cell>
          <cell r="EN517">
            <v>0</v>
          </cell>
          <cell r="EO517">
            <v>0</v>
          </cell>
          <cell r="EP517">
            <v>0</v>
          </cell>
          <cell r="EQ517">
            <v>0</v>
          </cell>
          <cell r="ER517">
            <v>0</v>
          </cell>
          <cell r="ES517">
            <v>0</v>
          </cell>
          <cell r="ET517">
            <v>0</v>
          </cell>
          <cell r="EU517">
            <v>0</v>
          </cell>
          <cell r="EV517">
            <v>0</v>
          </cell>
          <cell r="EW517">
            <v>0</v>
          </cell>
          <cell r="EY517">
            <v>0</v>
          </cell>
          <cell r="EZ517">
            <v>8</v>
          </cell>
          <cell r="FA517">
            <v>0</v>
          </cell>
          <cell r="FB517">
            <v>0</v>
          </cell>
          <cell r="FC517">
            <v>8.6</v>
          </cell>
          <cell r="FD517">
            <v>0</v>
          </cell>
          <cell r="FE517">
            <v>0</v>
          </cell>
          <cell r="FF517">
            <v>0</v>
          </cell>
          <cell r="FH517">
            <v>0</v>
          </cell>
        </row>
        <row r="518">
          <cell r="B518">
            <v>9644</v>
          </cell>
          <cell r="C518" t="str">
            <v>09.07.2009</v>
          </cell>
          <cell r="D518" t="str">
            <v>Valmiki Rushikumar Jaipal</v>
          </cell>
          <cell r="F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BA518">
            <v>0</v>
          </cell>
          <cell r="BB518">
            <v>0</v>
          </cell>
          <cell r="BC518">
            <v>0</v>
          </cell>
          <cell r="BD518">
            <v>0</v>
          </cell>
          <cell r="BE518">
            <v>0</v>
          </cell>
          <cell r="BF518">
            <v>0</v>
          </cell>
          <cell r="BG518">
            <v>0</v>
          </cell>
          <cell r="BH518">
            <v>0</v>
          </cell>
          <cell r="BI518">
            <v>0</v>
          </cell>
          <cell r="BK518">
            <v>0</v>
          </cell>
          <cell r="BL518">
            <v>0</v>
          </cell>
          <cell r="BM518">
            <v>0</v>
          </cell>
          <cell r="BN518">
            <v>0</v>
          </cell>
          <cell r="BO518">
            <v>0</v>
          </cell>
          <cell r="BP518">
            <v>0</v>
          </cell>
          <cell r="BQ518">
            <v>0</v>
          </cell>
          <cell r="BR518">
            <v>0</v>
          </cell>
          <cell r="BS518">
            <v>0</v>
          </cell>
          <cell r="BU518">
            <v>0</v>
          </cell>
          <cell r="BV518">
            <v>0</v>
          </cell>
          <cell r="BW518">
            <v>0</v>
          </cell>
          <cell r="BX518">
            <v>0</v>
          </cell>
          <cell r="BY518">
            <v>0</v>
          </cell>
          <cell r="BZ518">
            <v>0</v>
          </cell>
          <cell r="CA518">
            <v>0</v>
          </cell>
          <cell r="CB518">
            <v>0</v>
          </cell>
          <cell r="CC518">
            <v>0</v>
          </cell>
          <cell r="CE518">
            <v>0</v>
          </cell>
          <cell r="CF518">
            <v>0</v>
          </cell>
          <cell r="CG518">
            <v>0</v>
          </cell>
          <cell r="CH518">
            <v>0</v>
          </cell>
          <cell r="CI518">
            <v>0</v>
          </cell>
          <cell r="CJ518">
            <v>0</v>
          </cell>
          <cell r="CK518">
            <v>0</v>
          </cell>
          <cell r="CL518">
            <v>0</v>
          </cell>
          <cell r="CM518">
            <v>0</v>
          </cell>
          <cell r="CO518">
            <v>0</v>
          </cell>
          <cell r="CP518">
            <v>0</v>
          </cell>
          <cell r="CQ518">
            <v>0</v>
          </cell>
          <cell r="CR518">
            <v>0</v>
          </cell>
          <cell r="CS518">
            <v>0</v>
          </cell>
          <cell r="CT518">
            <v>0</v>
          </cell>
          <cell r="CU518">
            <v>0</v>
          </cell>
          <cell r="CV518">
            <v>0</v>
          </cell>
          <cell r="CW518">
            <v>0</v>
          </cell>
          <cell r="CY518">
            <v>0</v>
          </cell>
          <cell r="CZ518">
            <v>0</v>
          </cell>
          <cell r="DA518">
            <v>0</v>
          </cell>
          <cell r="DB518">
            <v>0</v>
          </cell>
          <cell r="DC518">
            <v>0</v>
          </cell>
          <cell r="DD518">
            <v>0</v>
          </cell>
          <cell r="DE518">
            <v>0</v>
          </cell>
          <cell r="DF518">
            <v>0</v>
          </cell>
          <cell r="DG518">
            <v>0</v>
          </cell>
          <cell r="DI518">
            <v>0</v>
          </cell>
          <cell r="DJ518">
            <v>0</v>
          </cell>
          <cell r="DK518">
            <v>0</v>
          </cell>
          <cell r="DL518">
            <v>0</v>
          </cell>
          <cell r="DM518">
            <v>0</v>
          </cell>
          <cell r="DN518">
            <v>0</v>
          </cell>
          <cell r="DO518">
            <v>0</v>
          </cell>
          <cell r="DP518">
            <v>0</v>
          </cell>
          <cell r="DQ518">
            <v>0</v>
          </cell>
          <cell r="DR518">
            <v>0</v>
          </cell>
          <cell r="DS518">
            <v>0</v>
          </cell>
          <cell r="DT518">
            <v>0</v>
          </cell>
          <cell r="DU518">
            <v>0</v>
          </cell>
          <cell r="DW518">
            <v>0</v>
          </cell>
          <cell r="DX518">
            <v>0</v>
          </cell>
          <cell r="DY518">
            <v>0</v>
          </cell>
          <cell r="DZ518">
            <v>0</v>
          </cell>
          <cell r="EA518">
            <v>0</v>
          </cell>
          <cell r="EB518">
            <v>0</v>
          </cell>
          <cell r="EC518">
            <v>0</v>
          </cell>
          <cell r="ED518">
            <v>0</v>
          </cell>
          <cell r="EE518">
            <v>0</v>
          </cell>
          <cell r="EF518">
            <v>0</v>
          </cell>
          <cell r="EG518">
            <v>0</v>
          </cell>
          <cell r="EH518">
            <v>0</v>
          </cell>
          <cell r="EI518">
            <v>0</v>
          </cell>
          <cell r="EK518">
            <v>0</v>
          </cell>
          <cell r="EL518">
            <v>0</v>
          </cell>
          <cell r="EM518">
            <v>0</v>
          </cell>
          <cell r="EN518">
            <v>0</v>
          </cell>
          <cell r="EO518">
            <v>0</v>
          </cell>
          <cell r="EP518">
            <v>0</v>
          </cell>
          <cell r="EQ518">
            <v>0</v>
          </cell>
          <cell r="ER518">
            <v>0</v>
          </cell>
          <cell r="ES518">
            <v>0</v>
          </cell>
          <cell r="ET518">
            <v>0</v>
          </cell>
          <cell r="EU518">
            <v>0</v>
          </cell>
          <cell r="EV518">
            <v>0</v>
          </cell>
          <cell r="EW518">
            <v>0</v>
          </cell>
          <cell r="EY518">
            <v>0</v>
          </cell>
          <cell r="EZ518">
            <v>8</v>
          </cell>
          <cell r="FA518">
            <v>0</v>
          </cell>
          <cell r="FB518">
            <v>0</v>
          </cell>
          <cell r="FC518">
            <v>8.6</v>
          </cell>
          <cell r="FD518">
            <v>0</v>
          </cell>
          <cell r="FE518">
            <v>0</v>
          </cell>
          <cell r="FF518">
            <v>0</v>
          </cell>
          <cell r="FH518">
            <v>0</v>
          </cell>
        </row>
        <row r="519">
          <cell r="B519">
            <v>9656</v>
          </cell>
          <cell r="C519" t="str">
            <v>10.07.2009</v>
          </cell>
          <cell r="D519" t="str">
            <v>Gaikwad Manoj Mahadu</v>
          </cell>
          <cell r="F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0</v>
          </cell>
          <cell r="BA519">
            <v>0</v>
          </cell>
          <cell r="BB519">
            <v>0</v>
          </cell>
          <cell r="BC519">
            <v>0</v>
          </cell>
          <cell r="BD519">
            <v>0</v>
          </cell>
          <cell r="BE519">
            <v>0</v>
          </cell>
          <cell r="BF519">
            <v>0</v>
          </cell>
          <cell r="BG519">
            <v>0</v>
          </cell>
          <cell r="BH519">
            <v>0</v>
          </cell>
          <cell r="BI519">
            <v>0</v>
          </cell>
          <cell r="BK519">
            <v>0</v>
          </cell>
          <cell r="BL519">
            <v>0</v>
          </cell>
          <cell r="BM519">
            <v>0</v>
          </cell>
          <cell r="BN519">
            <v>0</v>
          </cell>
          <cell r="BO519">
            <v>0</v>
          </cell>
          <cell r="BP519">
            <v>0</v>
          </cell>
          <cell r="BQ519">
            <v>0</v>
          </cell>
          <cell r="BR519">
            <v>0</v>
          </cell>
          <cell r="BS519">
            <v>0</v>
          </cell>
          <cell r="BU519">
            <v>0</v>
          </cell>
          <cell r="BV519">
            <v>0</v>
          </cell>
          <cell r="BW519">
            <v>0</v>
          </cell>
          <cell r="BX519">
            <v>0</v>
          </cell>
          <cell r="BY519">
            <v>0</v>
          </cell>
          <cell r="BZ519">
            <v>0</v>
          </cell>
          <cell r="CA519">
            <v>0</v>
          </cell>
          <cell r="CB519">
            <v>0</v>
          </cell>
          <cell r="CC519">
            <v>0</v>
          </cell>
          <cell r="CE519">
            <v>0</v>
          </cell>
          <cell r="CF519">
            <v>0</v>
          </cell>
          <cell r="CG519">
            <v>0</v>
          </cell>
          <cell r="CH519">
            <v>0</v>
          </cell>
          <cell r="CI519">
            <v>0</v>
          </cell>
          <cell r="CJ519">
            <v>0</v>
          </cell>
          <cell r="CK519">
            <v>0</v>
          </cell>
          <cell r="CL519">
            <v>0</v>
          </cell>
          <cell r="CM519">
            <v>0</v>
          </cell>
          <cell r="CO519">
            <v>0</v>
          </cell>
          <cell r="CP519">
            <v>0</v>
          </cell>
          <cell r="CQ519">
            <v>0</v>
          </cell>
          <cell r="CR519">
            <v>0</v>
          </cell>
          <cell r="CS519">
            <v>0</v>
          </cell>
          <cell r="CT519">
            <v>0</v>
          </cell>
          <cell r="CU519">
            <v>0</v>
          </cell>
          <cell r="CV519">
            <v>0</v>
          </cell>
          <cell r="CW519">
            <v>0</v>
          </cell>
          <cell r="CY519">
            <v>0</v>
          </cell>
          <cell r="CZ519">
            <v>0</v>
          </cell>
          <cell r="DA519">
            <v>0</v>
          </cell>
          <cell r="DB519">
            <v>0</v>
          </cell>
          <cell r="DC519">
            <v>0</v>
          </cell>
          <cell r="DD519">
            <v>0</v>
          </cell>
          <cell r="DE519">
            <v>0</v>
          </cell>
          <cell r="DF519">
            <v>0</v>
          </cell>
          <cell r="DG519">
            <v>0</v>
          </cell>
          <cell r="DI519">
            <v>0</v>
          </cell>
          <cell r="DJ519">
            <v>0</v>
          </cell>
          <cell r="DK519">
            <v>0</v>
          </cell>
          <cell r="DL519">
            <v>0</v>
          </cell>
          <cell r="DM519">
            <v>0</v>
          </cell>
          <cell r="DN519">
            <v>0</v>
          </cell>
          <cell r="DO519">
            <v>0</v>
          </cell>
          <cell r="DP519">
            <v>0</v>
          </cell>
          <cell r="DQ519">
            <v>0</v>
          </cell>
          <cell r="DR519">
            <v>0</v>
          </cell>
          <cell r="DS519">
            <v>0</v>
          </cell>
          <cell r="DT519">
            <v>0</v>
          </cell>
          <cell r="DU519">
            <v>0</v>
          </cell>
          <cell r="DW519">
            <v>0</v>
          </cell>
          <cell r="DX519">
            <v>0</v>
          </cell>
          <cell r="DY519">
            <v>0</v>
          </cell>
          <cell r="DZ519">
            <v>0</v>
          </cell>
          <cell r="EA519">
            <v>0</v>
          </cell>
          <cell r="EB519">
            <v>0</v>
          </cell>
          <cell r="EC519">
            <v>0</v>
          </cell>
          <cell r="ED519">
            <v>0</v>
          </cell>
          <cell r="EE519">
            <v>0</v>
          </cell>
          <cell r="EF519">
            <v>0</v>
          </cell>
          <cell r="EG519">
            <v>0</v>
          </cell>
          <cell r="EH519">
            <v>0</v>
          </cell>
          <cell r="EI519">
            <v>0</v>
          </cell>
          <cell r="EK519">
            <v>0</v>
          </cell>
          <cell r="EL519">
            <v>0</v>
          </cell>
          <cell r="EM519">
            <v>0</v>
          </cell>
          <cell r="EN519">
            <v>0</v>
          </cell>
          <cell r="EO519">
            <v>0</v>
          </cell>
          <cell r="EP519">
            <v>0</v>
          </cell>
          <cell r="EQ519">
            <v>0</v>
          </cell>
          <cell r="ER519">
            <v>0</v>
          </cell>
          <cell r="ES519">
            <v>0</v>
          </cell>
          <cell r="ET519">
            <v>0</v>
          </cell>
          <cell r="EU519">
            <v>0</v>
          </cell>
          <cell r="EV519">
            <v>0</v>
          </cell>
          <cell r="EW519">
            <v>0</v>
          </cell>
          <cell r="EY519">
            <v>0</v>
          </cell>
          <cell r="EZ519">
            <v>8</v>
          </cell>
          <cell r="FA519">
            <v>0</v>
          </cell>
          <cell r="FB519">
            <v>0</v>
          </cell>
          <cell r="FC519">
            <v>8.6</v>
          </cell>
          <cell r="FD519">
            <v>0</v>
          </cell>
          <cell r="FE519">
            <v>0</v>
          </cell>
          <cell r="FF519">
            <v>0</v>
          </cell>
          <cell r="FH519">
            <v>0</v>
          </cell>
        </row>
        <row r="520">
          <cell r="B520">
            <v>9649</v>
          </cell>
          <cell r="C520" t="str">
            <v>15.07.2009</v>
          </cell>
          <cell r="D520" t="str">
            <v>Chavan Pavan Subhash</v>
          </cell>
          <cell r="F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G520">
            <v>0</v>
          </cell>
          <cell r="AH520">
            <v>0</v>
          </cell>
          <cell r="AI520">
            <v>0</v>
          </cell>
          <cell r="AJ520">
            <v>0</v>
          </cell>
          <cell r="AK520">
            <v>0</v>
          </cell>
          <cell r="AL520">
            <v>0</v>
          </cell>
          <cell r="AM520">
            <v>0</v>
          </cell>
          <cell r="AN520">
            <v>0</v>
          </cell>
          <cell r="AO520">
            <v>0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  <cell r="AY520">
            <v>0</v>
          </cell>
          <cell r="BA520">
            <v>0</v>
          </cell>
          <cell r="BB520">
            <v>0</v>
          </cell>
          <cell r="BC520">
            <v>0</v>
          </cell>
          <cell r="BD520">
            <v>0</v>
          </cell>
          <cell r="BE520">
            <v>0</v>
          </cell>
          <cell r="BF520">
            <v>0</v>
          </cell>
          <cell r="BG520">
            <v>0</v>
          </cell>
          <cell r="BH520">
            <v>0</v>
          </cell>
          <cell r="BI520">
            <v>0</v>
          </cell>
          <cell r="BK520">
            <v>0</v>
          </cell>
          <cell r="BL520">
            <v>0</v>
          </cell>
          <cell r="BM520">
            <v>0</v>
          </cell>
          <cell r="BN520">
            <v>0</v>
          </cell>
          <cell r="BO520">
            <v>0</v>
          </cell>
          <cell r="BP520">
            <v>0</v>
          </cell>
          <cell r="BQ520">
            <v>0</v>
          </cell>
          <cell r="BR520">
            <v>0</v>
          </cell>
          <cell r="BS520">
            <v>0</v>
          </cell>
          <cell r="BU520">
            <v>0</v>
          </cell>
          <cell r="BV520">
            <v>0</v>
          </cell>
          <cell r="BW520">
            <v>0</v>
          </cell>
          <cell r="BX520">
            <v>0</v>
          </cell>
          <cell r="BY520">
            <v>0</v>
          </cell>
          <cell r="BZ520">
            <v>0</v>
          </cell>
          <cell r="CA520">
            <v>0</v>
          </cell>
          <cell r="CB520">
            <v>0</v>
          </cell>
          <cell r="CC520">
            <v>0</v>
          </cell>
          <cell r="CE520">
            <v>0</v>
          </cell>
          <cell r="CF520">
            <v>0</v>
          </cell>
          <cell r="CG520">
            <v>0</v>
          </cell>
          <cell r="CH520">
            <v>0</v>
          </cell>
          <cell r="CI520">
            <v>0</v>
          </cell>
          <cell r="CJ520">
            <v>0</v>
          </cell>
          <cell r="CK520">
            <v>0</v>
          </cell>
          <cell r="CL520">
            <v>0</v>
          </cell>
          <cell r="CM520">
            <v>0</v>
          </cell>
          <cell r="CO520">
            <v>0</v>
          </cell>
          <cell r="CP520">
            <v>0</v>
          </cell>
          <cell r="CQ520">
            <v>0</v>
          </cell>
          <cell r="CR520">
            <v>0</v>
          </cell>
          <cell r="CS520">
            <v>0</v>
          </cell>
          <cell r="CT520">
            <v>0</v>
          </cell>
          <cell r="CU520">
            <v>0</v>
          </cell>
          <cell r="CV520">
            <v>0</v>
          </cell>
          <cell r="CW520">
            <v>0</v>
          </cell>
          <cell r="CY520">
            <v>0</v>
          </cell>
          <cell r="CZ520">
            <v>0</v>
          </cell>
          <cell r="DA520">
            <v>0</v>
          </cell>
          <cell r="DB520">
            <v>0</v>
          </cell>
          <cell r="DC520">
            <v>0</v>
          </cell>
          <cell r="DD520">
            <v>0</v>
          </cell>
          <cell r="DE520">
            <v>0</v>
          </cell>
          <cell r="DF520">
            <v>0</v>
          </cell>
          <cell r="DG520">
            <v>0</v>
          </cell>
          <cell r="DI520">
            <v>0</v>
          </cell>
          <cell r="DJ520">
            <v>0</v>
          </cell>
          <cell r="DK520">
            <v>0</v>
          </cell>
          <cell r="DL520">
            <v>0</v>
          </cell>
          <cell r="DM520">
            <v>0</v>
          </cell>
          <cell r="DN520">
            <v>0</v>
          </cell>
          <cell r="DO520">
            <v>0</v>
          </cell>
          <cell r="DP520">
            <v>0</v>
          </cell>
          <cell r="DQ520">
            <v>0</v>
          </cell>
          <cell r="DR520">
            <v>0</v>
          </cell>
          <cell r="DS520">
            <v>0</v>
          </cell>
          <cell r="DT520">
            <v>0</v>
          </cell>
          <cell r="DU520">
            <v>0</v>
          </cell>
          <cell r="DW520">
            <v>0</v>
          </cell>
          <cell r="DX520">
            <v>0</v>
          </cell>
          <cell r="DY520">
            <v>0</v>
          </cell>
          <cell r="DZ520">
            <v>0</v>
          </cell>
          <cell r="EA520">
            <v>0</v>
          </cell>
          <cell r="EB520">
            <v>0</v>
          </cell>
          <cell r="EC520">
            <v>0</v>
          </cell>
          <cell r="ED520">
            <v>0</v>
          </cell>
          <cell r="EE520">
            <v>0</v>
          </cell>
          <cell r="EF520">
            <v>0</v>
          </cell>
          <cell r="EG520">
            <v>0</v>
          </cell>
          <cell r="EH520">
            <v>0</v>
          </cell>
          <cell r="EI520">
            <v>0</v>
          </cell>
          <cell r="EK520">
            <v>0</v>
          </cell>
          <cell r="EL520">
            <v>0</v>
          </cell>
          <cell r="EM520">
            <v>0</v>
          </cell>
          <cell r="EN520">
            <v>0</v>
          </cell>
          <cell r="EO520">
            <v>0</v>
          </cell>
          <cell r="EP520">
            <v>0</v>
          </cell>
          <cell r="EQ520">
            <v>0</v>
          </cell>
          <cell r="ER520">
            <v>0</v>
          </cell>
          <cell r="ES520">
            <v>0</v>
          </cell>
          <cell r="ET520">
            <v>0</v>
          </cell>
          <cell r="EU520">
            <v>0</v>
          </cell>
          <cell r="EV520">
            <v>0</v>
          </cell>
          <cell r="EW520">
            <v>0</v>
          </cell>
          <cell r="EY520">
            <v>0</v>
          </cell>
          <cell r="EZ520">
            <v>8</v>
          </cell>
          <cell r="FA520">
            <v>0</v>
          </cell>
          <cell r="FB520">
            <v>0</v>
          </cell>
          <cell r="FC520">
            <v>8.6</v>
          </cell>
          <cell r="FD520">
            <v>0</v>
          </cell>
          <cell r="FE520">
            <v>0</v>
          </cell>
          <cell r="FF520">
            <v>0</v>
          </cell>
          <cell r="FH520">
            <v>0</v>
          </cell>
        </row>
        <row r="521">
          <cell r="B521">
            <v>9646</v>
          </cell>
          <cell r="C521" t="str">
            <v>16.07.2009</v>
          </cell>
          <cell r="D521" t="str">
            <v>Bidlan Vijay Omcharan</v>
          </cell>
          <cell r="F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  <cell r="BE521">
            <v>0</v>
          </cell>
          <cell r="BF521">
            <v>0</v>
          </cell>
          <cell r="BG521">
            <v>0</v>
          </cell>
          <cell r="BH521">
            <v>0</v>
          </cell>
          <cell r="BI521">
            <v>0</v>
          </cell>
          <cell r="BK521">
            <v>0</v>
          </cell>
          <cell r="BL521">
            <v>0</v>
          </cell>
          <cell r="BM521">
            <v>0</v>
          </cell>
          <cell r="BN521">
            <v>0</v>
          </cell>
          <cell r="BO521">
            <v>0</v>
          </cell>
          <cell r="BP521">
            <v>0</v>
          </cell>
          <cell r="BQ521">
            <v>0</v>
          </cell>
          <cell r="BR521">
            <v>0</v>
          </cell>
          <cell r="BS521">
            <v>0</v>
          </cell>
          <cell r="BU521">
            <v>0</v>
          </cell>
          <cell r="BV521">
            <v>0</v>
          </cell>
          <cell r="BW521">
            <v>0</v>
          </cell>
          <cell r="BX521">
            <v>0</v>
          </cell>
          <cell r="BY521">
            <v>0</v>
          </cell>
          <cell r="BZ521">
            <v>0</v>
          </cell>
          <cell r="CA521">
            <v>0</v>
          </cell>
          <cell r="CB521">
            <v>0</v>
          </cell>
          <cell r="CC521">
            <v>0</v>
          </cell>
          <cell r="CE521">
            <v>0</v>
          </cell>
          <cell r="CF521">
            <v>0</v>
          </cell>
          <cell r="CG521">
            <v>0</v>
          </cell>
          <cell r="CH521">
            <v>0</v>
          </cell>
          <cell r="CI521">
            <v>0</v>
          </cell>
          <cell r="CJ521">
            <v>0</v>
          </cell>
          <cell r="CK521">
            <v>0</v>
          </cell>
          <cell r="CL521">
            <v>0</v>
          </cell>
          <cell r="CM521">
            <v>0</v>
          </cell>
          <cell r="CO521">
            <v>0</v>
          </cell>
          <cell r="CP521">
            <v>0</v>
          </cell>
          <cell r="CQ521">
            <v>0</v>
          </cell>
          <cell r="CR521">
            <v>0</v>
          </cell>
          <cell r="CS521">
            <v>0</v>
          </cell>
          <cell r="CT521">
            <v>0</v>
          </cell>
          <cell r="CU521">
            <v>0</v>
          </cell>
          <cell r="CV521">
            <v>0</v>
          </cell>
          <cell r="CW521">
            <v>0</v>
          </cell>
          <cell r="CY521">
            <v>0</v>
          </cell>
          <cell r="CZ521">
            <v>0</v>
          </cell>
          <cell r="DA521">
            <v>0</v>
          </cell>
          <cell r="DB521">
            <v>0</v>
          </cell>
          <cell r="DC521">
            <v>0</v>
          </cell>
          <cell r="DD521">
            <v>0</v>
          </cell>
          <cell r="DE521">
            <v>0</v>
          </cell>
          <cell r="DF521">
            <v>0</v>
          </cell>
          <cell r="DG521">
            <v>0</v>
          </cell>
          <cell r="DI521">
            <v>0</v>
          </cell>
          <cell r="DJ521">
            <v>0</v>
          </cell>
          <cell r="DK521">
            <v>0</v>
          </cell>
          <cell r="DL521">
            <v>0</v>
          </cell>
          <cell r="DM521">
            <v>0</v>
          </cell>
          <cell r="DN521">
            <v>0</v>
          </cell>
          <cell r="DO521">
            <v>0</v>
          </cell>
          <cell r="DP521">
            <v>0</v>
          </cell>
          <cell r="DQ521">
            <v>0</v>
          </cell>
          <cell r="DR521">
            <v>0</v>
          </cell>
          <cell r="DS521">
            <v>0</v>
          </cell>
          <cell r="DT521">
            <v>0</v>
          </cell>
          <cell r="DU521">
            <v>0</v>
          </cell>
          <cell r="DW521">
            <v>0</v>
          </cell>
          <cell r="DX521">
            <v>0</v>
          </cell>
          <cell r="DY521">
            <v>0</v>
          </cell>
          <cell r="DZ521">
            <v>0</v>
          </cell>
          <cell r="EA521">
            <v>0</v>
          </cell>
          <cell r="EB521">
            <v>0</v>
          </cell>
          <cell r="EC521">
            <v>0</v>
          </cell>
          <cell r="ED521">
            <v>0</v>
          </cell>
          <cell r="EE521">
            <v>0</v>
          </cell>
          <cell r="EF521">
            <v>0</v>
          </cell>
          <cell r="EG521">
            <v>0</v>
          </cell>
          <cell r="EH521">
            <v>0</v>
          </cell>
          <cell r="EI521">
            <v>0</v>
          </cell>
          <cell r="EK521">
            <v>0</v>
          </cell>
          <cell r="EL521">
            <v>0</v>
          </cell>
          <cell r="EM521">
            <v>0</v>
          </cell>
          <cell r="EN521">
            <v>0</v>
          </cell>
          <cell r="EO521">
            <v>0</v>
          </cell>
          <cell r="EP521">
            <v>0</v>
          </cell>
          <cell r="EQ521">
            <v>0</v>
          </cell>
          <cell r="ER521">
            <v>0</v>
          </cell>
          <cell r="ES521">
            <v>0</v>
          </cell>
          <cell r="ET521">
            <v>0</v>
          </cell>
          <cell r="EU521">
            <v>0</v>
          </cell>
          <cell r="EV521">
            <v>0</v>
          </cell>
          <cell r="EW521">
            <v>0</v>
          </cell>
          <cell r="EY521">
            <v>0</v>
          </cell>
          <cell r="EZ521">
            <v>8</v>
          </cell>
          <cell r="FA521">
            <v>0</v>
          </cell>
          <cell r="FB521">
            <v>0</v>
          </cell>
          <cell r="FC521">
            <v>8.6</v>
          </cell>
          <cell r="FD521">
            <v>0</v>
          </cell>
          <cell r="FE521">
            <v>0</v>
          </cell>
          <cell r="FF521">
            <v>0</v>
          </cell>
          <cell r="FH521">
            <v>0</v>
          </cell>
        </row>
        <row r="522">
          <cell r="B522">
            <v>9648</v>
          </cell>
          <cell r="C522" t="str">
            <v>16.07.2009</v>
          </cell>
          <cell r="D522" t="str">
            <v>Chandaliya Vicky Rajendra</v>
          </cell>
          <cell r="F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Q522">
            <v>0</v>
          </cell>
          <cell r="AR522">
            <v>0</v>
          </cell>
          <cell r="AS522">
            <v>0</v>
          </cell>
          <cell r="AT522">
            <v>0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0</v>
          </cell>
          <cell r="BA522">
            <v>0</v>
          </cell>
          <cell r="BB522">
            <v>0</v>
          </cell>
          <cell r="BC522">
            <v>0</v>
          </cell>
          <cell r="BD522">
            <v>0</v>
          </cell>
          <cell r="BE522">
            <v>0</v>
          </cell>
          <cell r="BF522">
            <v>0</v>
          </cell>
          <cell r="BG522">
            <v>0</v>
          </cell>
          <cell r="BH522">
            <v>0</v>
          </cell>
          <cell r="BI522">
            <v>0</v>
          </cell>
          <cell r="BK522">
            <v>0</v>
          </cell>
          <cell r="BL522">
            <v>0</v>
          </cell>
          <cell r="BM522">
            <v>0</v>
          </cell>
          <cell r="BN522">
            <v>0</v>
          </cell>
          <cell r="BO522">
            <v>0</v>
          </cell>
          <cell r="BP522">
            <v>0</v>
          </cell>
          <cell r="BQ522">
            <v>0</v>
          </cell>
          <cell r="BR522">
            <v>0</v>
          </cell>
          <cell r="BS522">
            <v>0</v>
          </cell>
          <cell r="BU522">
            <v>0</v>
          </cell>
          <cell r="BV522">
            <v>0</v>
          </cell>
          <cell r="BW522">
            <v>0</v>
          </cell>
          <cell r="BX522">
            <v>0</v>
          </cell>
          <cell r="BY522">
            <v>0</v>
          </cell>
          <cell r="BZ522">
            <v>0</v>
          </cell>
          <cell r="CA522">
            <v>0</v>
          </cell>
          <cell r="CB522">
            <v>0</v>
          </cell>
          <cell r="CC522">
            <v>0</v>
          </cell>
          <cell r="CE522">
            <v>0</v>
          </cell>
          <cell r="CF522">
            <v>0</v>
          </cell>
          <cell r="CG522">
            <v>0</v>
          </cell>
          <cell r="CH522">
            <v>0</v>
          </cell>
          <cell r="CI522">
            <v>0</v>
          </cell>
          <cell r="CJ522">
            <v>0</v>
          </cell>
          <cell r="CK522">
            <v>0</v>
          </cell>
          <cell r="CL522">
            <v>0</v>
          </cell>
          <cell r="CM522">
            <v>0</v>
          </cell>
          <cell r="CO522">
            <v>0</v>
          </cell>
          <cell r="CP522">
            <v>0</v>
          </cell>
          <cell r="CQ522">
            <v>0</v>
          </cell>
          <cell r="CR522">
            <v>0</v>
          </cell>
          <cell r="CS522">
            <v>0</v>
          </cell>
          <cell r="CT522">
            <v>0</v>
          </cell>
          <cell r="CU522">
            <v>0</v>
          </cell>
          <cell r="CV522">
            <v>0</v>
          </cell>
          <cell r="CW522">
            <v>0</v>
          </cell>
          <cell r="CY522">
            <v>0</v>
          </cell>
          <cell r="CZ522">
            <v>0</v>
          </cell>
          <cell r="DA522">
            <v>0</v>
          </cell>
          <cell r="DB522">
            <v>0</v>
          </cell>
          <cell r="DC522">
            <v>0</v>
          </cell>
          <cell r="DD522">
            <v>0</v>
          </cell>
          <cell r="DE522">
            <v>0</v>
          </cell>
          <cell r="DF522">
            <v>0</v>
          </cell>
          <cell r="DG522">
            <v>0</v>
          </cell>
          <cell r="DI522">
            <v>0</v>
          </cell>
          <cell r="DJ522">
            <v>0</v>
          </cell>
          <cell r="DK522">
            <v>0</v>
          </cell>
          <cell r="DL522">
            <v>0</v>
          </cell>
          <cell r="DM522">
            <v>0</v>
          </cell>
          <cell r="DN522">
            <v>0</v>
          </cell>
          <cell r="DO522">
            <v>0</v>
          </cell>
          <cell r="DP522">
            <v>0</v>
          </cell>
          <cell r="DQ522">
            <v>0</v>
          </cell>
          <cell r="DR522">
            <v>0</v>
          </cell>
          <cell r="DS522">
            <v>0</v>
          </cell>
          <cell r="DT522">
            <v>0</v>
          </cell>
          <cell r="DU522">
            <v>0</v>
          </cell>
          <cell r="DW522">
            <v>0</v>
          </cell>
          <cell r="DX522">
            <v>0</v>
          </cell>
          <cell r="DY522">
            <v>0</v>
          </cell>
          <cell r="DZ522">
            <v>0</v>
          </cell>
          <cell r="EA522">
            <v>0</v>
          </cell>
          <cell r="EB522">
            <v>0</v>
          </cell>
          <cell r="EC522">
            <v>0</v>
          </cell>
          <cell r="ED522">
            <v>0</v>
          </cell>
          <cell r="EE522">
            <v>0</v>
          </cell>
          <cell r="EF522">
            <v>0</v>
          </cell>
          <cell r="EG522">
            <v>0</v>
          </cell>
          <cell r="EH522">
            <v>0</v>
          </cell>
          <cell r="EI522">
            <v>0</v>
          </cell>
          <cell r="EK522">
            <v>0</v>
          </cell>
          <cell r="EL522">
            <v>0</v>
          </cell>
          <cell r="EM522">
            <v>0</v>
          </cell>
          <cell r="EN522">
            <v>0</v>
          </cell>
          <cell r="EO522">
            <v>0</v>
          </cell>
          <cell r="EP522">
            <v>0</v>
          </cell>
          <cell r="EQ522">
            <v>0</v>
          </cell>
          <cell r="ER522">
            <v>0</v>
          </cell>
          <cell r="ES522">
            <v>0</v>
          </cell>
          <cell r="ET522">
            <v>0</v>
          </cell>
          <cell r="EU522">
            <v>0</v>
          </cell>
          <cell r="EV522">
            <v>0</v>
          </cell>
          <cell r="EW522">
            <v>0</v>
          </cell>
          <cell r="EY522">
            <v>0</v>
          </cell>
          <cell r="EZ522">
            <v>8</v>
          </cell>
          <cell r="FA522">
            <v>0</v>
          </cell>
          <cell r="FB522">
            <v>0</v>
          </cell>
          <cell r="FC522">
            <v>8.6</v>
          </cell>
          <cell r="FD522">
            <v>0</v>
          </cell>
          <cell r="FE522">
            <v>0</v>
          </cell>
          <cell r="FF522">
            <v>0</v>
          </cell>
          <cell r="FH522">
            <v>0</v>
          </cell>
        </row>
        <row r="523">
          <cell r="B523">
            <v>9647</v>
          </cell>
          <cell r="C523" t="str">
            <v>21.07.2009</v>
          </cell>
          <cell r="D523" t="str">
            <v>Dani Manda Anil</v>
          </cell>
          <cell r="F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G523">
            <v>0</v>
          </cell>
          <cell r="AH523">
            <v>0</v>
          </cell>
          <cell r="AI523">
            <v>0</v>
          </cell>
          <cell r="AJ523">
            <v>0</v>
          </cell>
          <cell r="AK523">
            <v>0</v>
          </cell>
          <cell r="AL523">
            <v>0</v>
          </cell>
          <cell r="AM523">
            <v>0</v>
          </cell>
          <cell r="AN523">
            <v>0</v>
          </cell>
          <cell r="AO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0</v>
          </cell>
          <cell r="AV523">
            <v>0</v>
          </cell>
          <cell r="AW523">
            <v>0</v>
          </cell>
          <cell r="AX523">
            <v>0</v>
          </cell>
          <cell r="AY523">
            <v>0</v>
          </cell>
          <cell r="BA523">
            <v>0</v>
          </cell>
          <cell r="BB523">
            <v>0</v>
          </cell>
          <cell r="BC523">
            <v>0</v>
          </cell>
          <cell r="BD523">
            <v>0</v>
          </cell>
          <cell r="BE523">
            <v>0</v>
          </cell>
          <cell r="BF523">
            <v>0</v>
          </cell>
          <cell r="BG523">
            <v>0</v>
          </cell>
          <cell r="BH523">
            <v>0</v>
          </cell>
          <cell r="BI523">
            <v>0</v>
          </cell>
          <cell r="BK523">
            <v>0</v>
          </cell>
          <cell r="BL523">
            <v>0</v>
          </cell>
          <cell r="BM523">
            <v>0</v>
          </cell>
          <cell r="BN523">
            <v>0</v>
          </cell>
          <cell r="BO523">
            <v>0</v>
          </cell>
          <cell r="BP523">
            <v>0</v>
          </cell>
          <cell r="BQ523">
            <v>0</v>
          </cell>
          <cell r="BR523">
            <v>0</v>
          </cell>
          <cell r="BS523">
            <v>0</v>
          </cell>
          <cell r="BU523">
            <v>0</v>
          </cell>
          <cell r="BV523">
            <v>0</v>
          </cell>
          <cell r="BW523">
            <v>0</v>
          </cell>
          <cell r="BX523">
            <v>0</v>
          </cell>
          <cell r="BY523">
            <v>0</v>
          </cell>
          <cell r="BZ523">
            <v>0</v>
          </cell>
          <cell r="CA523">
            <v>0</v>
          </cell>
          <cell r="CB523">
            <v>0</v>
          </cell>
          <cell r="CC523">
            <v>0</v>
          </cell>
          <cell r="CE523">
            <v>0</v>
          </cell>
          <cell r="CF523">
            <v>0</v>
          </cell>
          <cell r="CG523">
            <v>0</v>
          </cell>
          <cell r="CH523">
            <v>0</v>
          </cell>
          <cell r="CI523">
            <v>0</v>
          </cell>
          <cell r="CJ523">
            <v>0</v>
          </cell>
          <cell r="CK523">
            <v>0</v>
          </cell>
          <cell r="CL523">
            <v>0</v>
          </cell>
          <cell r="CM523">
            <v>0</v>
          </cell>
          <cell r="CO523">
            <v>0</v>
          </cell>
          <cell r="CP523">
            <v>0</v>
          </cell>
          <cell r="CQ523">
            <v>0</v>
          </cell>
          <cell r="CR523">
            <v>0</v>
          </cell>
          <cell r="CS523">
            <v>0</v>
          </cell>
          <cell r="CT523">
            <v>0</v>
          </cell>
          <cell r="CU523">
            <v>0</v>
          </cell>
          <cell r="CV523">
            <v>0</v>
          </cell>
          <cell r="CW523">
            <v>0</v>
          </cell>
          <cell r="CY523">
            <v>0</v>
          </cell>
          <cell r="CZ523">
            <v>0</v>
          </cell>
          <cell r="DA523">
            <v>0</v>
          </cell>
          <cell r="DB523">
            <v>0</v>
          </cell>
          <cell r="DC523">
            <v>0</v>
          </cell>
          <cell r="DD523">
            <v>0</v>
          </cell>
          <cell r="DE523">
            <v>0</v>
          </cell>
          <cell r="DF523">
            <v>0</v>
          </cell>
          <cell r="DG523">
            <v>0</v>
          </cell>
          <cell r="DI523">
            <v>0</v>
          </cell>
          <cell r="DJ523">
            <v>0</v>
          </cell>
          <cell r="DK523">
            <v>0</v>
          </cell>
          <cell r="DL523">
            <v>0</v>
          </cell>
          <cell r="DM523">
            <v>0</v>
          </cell>
          <cell r="DN523">
            <v>0</v>
          </cell>
          <cell r="DO523">
            <v>0</v>
          </cell>
          <cell r="DP523">
            <v>0</v>
          </cell>
          <cell r="DQ523">
            <v>0</v>
          </cell>
          <cell r="DR523">
            <v>0</v>
          </cell>
          <cell r="DS523">
            <v>0</v>
          </cell>
          <cell r="DT523">
            <v>0</v>
          </cell>
          <cell r="DU523">
            <v>0</v>
          </cell>
          <cell r="DW523">
            <v>0</v>
          </cell>
          <cell r="DX523">
            <v>0</v>
          </cell>
          <cell r="DY523">
            <v>0</v>
          </cell>
          <cell r="DZ523">
            <v>0</v>
          </cell>
          <cell r="EA523">
            <v>0</v>
          </cell>
          <cell r="EB523">
            <v>0</v>
          </cell>
          <cell r="EC523">
            <v>0</v>
          </cell>
          <cell r="ED523">
            <v>0</v>
          </cell>
          <cell r="EE523">
            <v>0</v>
          </cell>
          <cell r="EF523">
            <v>0</v>
          </cell>
          <cell r="EG523">
            <v>0</v>
          </cell>
          <cell r="EH523">
            <v>0</v>
          </cell>
          <cell r="EI523">
            <v>0</v>
          </cell>
          <cell r="EK523">
            <v>0</v>
          </cell>
          <cell r="EL523">
            <v>0</v>
          </cell>
          <cell r="EM523">
            <v>0</v>
          </cell>
          <cell r="EN523">
            <v>0</v>
          </cell>
          <cell r="EO523">
            <v>0</v>
          </cell>
          <cell r="EP523">
            <v>0</v>
          </cell>
          <cell r="EQ523">
            <v>0</v>
          </cell>
          <cell r="ER523">
            <v>0</v>
          </cell>
          <cell r="ES523">
            <v>0</v>
          </cell>
          <cell r="ET523">
            <v>0</v>
          </cell>
          <cell r="EU523">
            <v>0</v>
          </cell>
          <cell r="EV523">
            <v>0</v>
          </cell>
          <cell r="EW523">
            <v>0</v>
          </cell>
          <cell r="EY523">
            <v>0</v>
          </cell>
          <cell r="EZ523">
            <v>8</v>
          </cell>
          <cell r="FA523">
            <v>0</v>
          </cell>
          <cell r="FB523">
            <v>0</v>
          </cell>
          <cell r="FC523">
            <v>8.6</v>
          </cell>
          <cell r="FD523">
            <v>0</v>
          </cell>
          <cell r="FE523">
            <v>0</v>
          </cell>
          <cell r="FF523">
            <v>0</v>
          </cell>
          <cell r="FH523">
            <v>0</v>
          </cell>
        </row>
        <row r="524">
          <cell r="B524">
            <v>9653</v>
          </cell>
          <cell r="C524" t="str">
            <v>23.07.2009</v>
          </cell>
          <cell r="D524" t="str">
            <v>Jadhav Sadhana Kishor</v>
          </cell>
          <cell r="F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G524">
            <v>0</v>
          </cell>
          <cell r="AH524">
            <v>0</v>
          </cell>
          <cell r="AI524">
            <v>0</v>
          </cell>
          <cell r="AJ524">
            <v>0</v>
          </cell>
          <cell r="AK524">
            <v>0</v>
          </cell>
          <cell r="AL524">
            <v>0</v>
          </cell>
          <cell r="AM524">
            <v>0</v>
          </cell>
          <cell r="AN524">
            <v>0</v>
          </cell>
          <cell r="AO524">
            <v>0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  <cell r="AU524">
            <v>0</v>
          </cell>
          <cell r="AV524">
            <v>0</v>
          </cell>
          <cell r="AW524">
            <v>0</v>
          </cell>
          <cell r="AX524">
            <v>0</v>
          </cell>
          <cell r="AY524">
            <v>0</v>
          </cell>
          <cell r="BA524">
            <v>0</v>
          </cell>
          <cell r="BB524">
            <v>0</v>
          </cell>
          <cell r="BC524">
            <v>0</v>
          </cell>
          <cell r="BD524">
            <v>0</v>
          </cell>
          <cell r="BE524">
            <v>0</v>
          </cell>
          <cell r="BF524">
            <v>0</v>
          </cell>
          <cell r="BG524">
            <v>0</v>
          </cell>
          <cell r="BH524">
            <v>0</v>
          </cell>
          <cell r="BI524">
            <v>0</v>
          </cell>
          <cell r="BK524">
            <v>0</v>
          </cell>
          <cell r="BL524">
            <v>0</v>
          </cell>
          <cell r="BM524">
            <v>0</v>
          </cell>
          <cell r="BN524">
            <v>0</v>
          </cell>
          <cell r="BO524">
            <v>0</v>
          </cell>
          <cell r="BP524">
            <v>0</v>
          </cell>
          <cell r="BQ524">
            <v>0</v>
          </cell>
          <cell r="BR524">
            <v>0</v>
          </cell>
          <cell r="BS524">
            <v>0</v>
          </cell>
          <cell r="BU524">
            <v>0</v>
          </cell>
          <cell r="BV524">
            <v>0</v>
          </cell>
          <cell r="BW524">
            <v>0</v>
          </cell>
          <cell r="BX524">
            <v>0</v>
          </cell>
          <cell r="BY524">
            <v>0</v>
          </cell>
          <cell r="BZ524">
            <v>0</v>
          </cell>
          <cell r="CA524">
            <v>0</v>
          </cell>
          <cell r="CB524">
            <v>0</v>
          </cell>
          <cell r="CC524">
            <v>0</v>
          </cell>
          <cell r="CE524">
            <v>0</v>
          </cell>
          <cell r="CF524">
            <v>0</v>
          </cell>
          <cell r="CG524">
            <v>0</v>
          </cell>
          <cell r="CH524">
            <v>0</v>
          </cell>
          <cell r="CI524">
            <v>0</v>
          </cell>
          <cell r="CJ524">
            <v>0</v>
          </cell>
          <cell r="CK524">
            <v>0</v>
          </cell>
          <cell r="CL524">
            <v>0</v>
          </cell>
          <cell r="CM524">
            <v>0</v>
          </cell>
          <cell r="CO524">
            <v>0</v>
          </cell>
          <cell r="CP524">
            <v>0</v>
          </cell>
          <cell r="CQ524">
            <v>0</v>
          </cell>
          <cell r="CR524">
            <v>0</v>
          </cell>
          <cell r="CS524">
            <v>0</v>
          </cell>
          <cell r="CT524">
            <v>0</v>
          </cell>
          <cell r="CU524">
            <v>0</v>
          </cell>
          <cell r="CV524">
            <v>0</v>
          </cell>
          <cell r="CW524">
            <v>0</v>
          </cell>
          <cell r="CY524">
            <v>0</v>
          </cell>
          <cell r="CZ524">
            <v>0</v>
          </cell>
          <cell r="DA524">
            <v>0</v>
          </cell>
          <cell r="DB524">
            <v>0</v>
          </cell>
          <cell r="DC524">
            <v>0</v>
          </cell>
          <cell r="DD524">
            <v>0</v>
          </cell>
          <cell r="DE524">
            <v>0</v>
          </cell>
          <cell r="DF524">
            <v>0</v>
          </cell>
          <cell r="DG524">
            <v>0</v>
          </cell>
          <cell r="DI524">
            <v>0</v>
          </cell>
          <cell r="DJ524">
            <v>0</v>
          </cell>
          <cell r="DK524">
            <v>0</v>
          </cell>
          <cell r="DL524">
            <v>0</v>
          </cell>
          <cell r="DM524">
            <v>0</v>
          </cell>
          <cell r="DN524">
            <v>0</v>
          </cell>
          <cell r="DO524">
            <v>0</v>
          </cell>
          <cell r="DP524">
            <v>0</v>
          </cell>
          <cell r="DQ524">
            <v>0</v>
          </cell>
          <cell r="DR524">
            <v>0</v>
          </cell>
          <cell r="DS524">
            <v>0</v>
          </cell>
          <cell r="DT524">
            <v>0</v>
          </cell>
          <cell r="DU524">
            <v>0</v>
          </cell>
          <cell r="DW524">
            <v>0</v>
          </cell>
          <cell r="DX524">
            <v>0</v>
          </cell>
          <cell r="DY524">
            <v>0</v>
          </cell>
          <cell r="DZ524">
            <v>0</v>
          </cell>
          <cell r="EA524">
            <v>0</v>
          </cell>
          <cell r="EB524">
            <v>0</v>
          </cell>
          <cell r="EC524">
            <v>0</v>
          </cell>
          <cell r="ED524">
            <v>0</v>
          </cell>
          <cell r="EE524">
            <v>0</v>
          </cell>
          <cell r="EF524">
            <v>0</v>
          </cell>
          <cell r="EG524">
            <v>0</v>
          </cell>
          <cell r="EH524">
            <v>0</v>
          </cell>
          <cell r="EI524">
            <v>0</v>
          </cell>
          <cell r="EK524">
            <v>0</v>
          </cell>
          <cell r="EL524">
            <v>0</v>
          </cell>
          <cell r="EM524">
            <v>0</v>
          </cell>
          <cell r="EN524">
            <v>0</v>
          </cell>
          <cell r="EO524">
            <v>0</v>
          </cell>
          <cell r="EP524">
            <v>0</v>
          </cell>
          <cell r="EQ524">
            <v>0</v>
          </cell>
          <cell r="ER524">
            <v>0</v>
          </cell>
          <cell r="ES524">
            <v>0</v>
          </cell>
          <cell r="ET524">
            <v>0</v>
          </cell>
          <cell r="EU524">
            <v>0</v>
          </cell>
          <cell r="EV524">
            <v>0</v>
          </cell>
          <cell r="EW524">
            <v>0</v>
          </cell>
          <cell r="EY524">
            <v>0</v>
          </cell>
          <cell r="EZ524">
            <v>8</v>
          </cell>
          <cell r="FA524">
            <v>0</v>
          </cell>
          <cell r="FB524">
            <v>0</v>
          </cell>
          <cell r="FC524">
            <v>8.6</v>
          </cell>
          <cell r="FD524">
            <v>0</v>
          </cell>
          <cell r="FE524">
            <v>0</v>
          </cell>
          <cell r="FF524">
            <v>0</v>
          </cell>
          <cell r="FH524">
            <v>0</v>
          </cell>
        </row>
        <row r="525">
          <cell r="B525">
            <v>9666</v>
          </cell>
          <cell r="C525" t="str">
            <v>10.07.2009</v>
          </cell>
          <cell r="D525" t="str">
            <v>Chandramore Vinod Sadashiv</v>
          </cell>
          <cell r="F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0</v>
          </cell>
          <cell r="AK525">
            <v>0</v>
          </cell>
          <cell r="AL525">
            <v>0</v>
          </cell>
          <cell r="AM525">
            <v>0</v>
          </cell>
          <cell r="AN525">
            <v>0</v>
          </cell>
          <cell r="AO525">
            <v>0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>
            <v>0</v>
          </cell>
          <cell r="AX525">
            <v>0</v>
          </cell>
          <cell r="AY525">
            <v>0</v>
          </cell>
          <cell r="BA525">
            <v>0</v>
          </cell>
          <cell r="BB525">
            <v>0</v>
          </cell>
          <cell r="BC525">
            <v>0</v>
          </cell>
          <cell r="BD525">
            <v>0</v>
          </cell>
          <cell r="BE525">
            <v>0</v>
          </cell>
          <cell r="BF525">
            <v>0</v>
          </cell>
          <cell r="BG525">
            <v>0</v>
          </cell>
          <cell r="BH525">
            <v>0</v>
          </cell>
          <cell r="BI525">
            <v>0</v>
          </cell>
          <cell r="BK525">
            <v>0</v>
          </cell>
          <cell r="BL525">
            <v>0</v>
          </cell>
          <cell r="BM525">
            <v>0</v>
          </cell>
          <cell r="BN525">
            <v>0</v>
          </cell>
          <cell r="BO525">
            <v>0</v>
          </cell>
          <cell r="BP525">
            <v>0</v>
          </cell>
          <cell r="BQ525">
            <v>0</v>
          </cell>
          <cell r="BR525">
            <v>0</v>
          </cell>
          <cell r="BS525">
            <v>0</v>
          </cell>
          <cell r="BU525">
            <v>0</v>
          </cell>
          <cell r="BV525">
            <v>0</v>
          </cell>
          <cell r="BW525">
            <v>0</v>
          </cell>
          <cell r="BX525">
            <v>0</v>
          </cell>
          <cell r="BY525">
            <v>0</v>
          </cell>
          <cell r="BZ525">
            <v>0</v>
          </cell>
          <cell r="CA525">
            <v>0</v>
          </cell>
          <cell r="CB525">
            <v>0</v>
          </cell>
          <cell r="CC525">
            <v>0</v>
          </cell>
          <cell r="CE525">
            <v>0</v>
          </cell>
          <cell r="CF525">
            <v>0</v>
          </cell>
          <cell r="CG525">
            <v>0</v>
          </cell>
          <cell r="CH525">
            <v>0</v>
          </cell>
          <cell r="CI525">
            <v>0</v>
          </cell>
          <cell r="CJ525">
            <v>0</v>
          </cell>
          <cell r="CK525">
            <v>0</v>
          </cell>
          <cell r="CL525">
            <v>0</v>
          </cell>
          <cell r="CM525">
            <v>0</v>
          </cell>
          <cell r="CO525">
            <v>0</v>
          </cell>
          <cell r="CP525">
            <v>0</v>
          </cell>
          <cell r="CQ525">
            <v>0</v>
          </cell>
          <cell r="CR525">
            <v>0</v>
          </cell>
          <cell r="CS525">
            <v>0</v>
          </cell>
          <cell r="CT525">
            <v>0</v>
          </cell>
          <cell r="CU525">
            <v>0</v>
          </cell>
          <cell r="CV525">
            <v>0</v>
          </cell>
          <cell r="CW525">
            <v>0</v>
          </cell>
          <cell r="CY525">
            <v>0</v>
          </cell>
          <cell r="CZ525">
            <v>0</v>
          </cell>
          <cell r="DA525">
            <v>0</v>
          </cell>
          <cell r="DB525">
            <v>0</v>
          </cell>
          <cell r="DC525">
            <v>0</v>
          </cell>
          <cell r="DD525">
            <v>0</v>
          </cell>
          <cell r="DE525">
            <v>0</v>
          </cell>
          <cell r="DF525">
            <v>0</v>
          </cell>
          <cell r="DG525">
            <v>0</v>
          </cell>
          <cell r="DI525">
            <v>0</v>
          </cell>
          <cell r="DJ525">
            <v>0</v>
          </cell>
          <cell r="DK525">
            <v>0</v>
          </cell>
          <cell r="DL525">
            <v>0</v>
          </cell>
          <cell r="DM525">
            <v>0</v>
          </cell>
          <cell r="DN525">
            <v>0</v>
          </cell>
          <cell r="DO525">
            <v>0</v>
          </cell>
          <cell r="DP525">
            <v>0</v>
          </cell>
          <cell r="DQ525">
            <v>0</v>
          </cell>
          <cell r="DR525">
            <v>0</v>
          </cell>
          <cell r="DS525">
            <v>0</v>
          </cell>
          <cell r="DT525">
            <v>0</v>
          </cell>
          <cell r="DU525">
            <v>0</v>
          </cell>
          <cell r="DW525">
            <v>0</v>
          </cell>
          <cell r="DX525">
            <v>0</v>
          </cell>
          <cell r="DY525">
            <v>0</v>
          </cell>
          <cell r="DZ525">
            <v>0</v>
          </cell>
          <cell r="EA525">
            <v>0</v>
          </cell>
          <cell r="EB525">
            <v>0</v>
          </cell>
          <cell r="EC525">
            <v>0</v>
          </cell>
          <cell r="ED525">
            <v>0</v>
          </cell>
          <cell r="EE525">
            <v>0</v>
          </cell>
          <cell r="EF525">
            <v>0</v>
          </cell>
          <cell r="EG525">
            <v>0</v>
          </cell>
          <cell r="EH525">
            <v>0</v>
          </cell>
          <cell r="EI525">
            <v>0</v>
          </cell>
          <cell r="EK525">
            <v>0</v>
          </cell>
          <cell r="EL525">
            <v>0</v>
          </cell>
          <cell r="EM525">
            <v>0</v>
          </cell>
          <cell r="EN525">
            <v>0</v>
          </cell>
          <cell r="EO525">
            <v>0</v>
          </cell>
          <cell r="EP525">
            <v>0</v>
          </cell>
          <cell r="EQ525">
            <v>0</v>
          </cell>
          <cell r="ER525">
            <v>0</v>
          </cell>
          <cell r="ES525">
            <v>0</v>
          </cell>
          <cell r="ET525">
            <v>0</v>
          </cell>
          <cell r="EU525">
            <v>0</v>
          </cell>
          <cell r="EV525">
            <v>0</v>
          </cell>
          <cell r="EW525">
            <v>0</v>
          </cell>
          <cell r="EY525">
            <v>0</v>
          </cell>
          <cell r="EZ525">
            <v>8</v>
          </cell>
          <cell r="FA525">
            <v>0</v>
          </cell>
          <cell r="FB525">
            <v>0</v>
          </cell>
          <cell r="FC525">
            <v>8.6</v>
          </cell>
          <cell r="FD525">
            <v>0</v>
          </cell>
          <cell r="FE525">
            <v>0</v>
          </cell>
          <cell r="FF525">
            <v>0</v>
          </cell>
          <cell r="FH525">
            <v>0</v>
          </cell>
        </row>
        <row r="526">
          <cell r="B526">
            <v>9669</v>
          </cell>
          <cell r="C526" t="str">
            <v>10.07.2009</v>
          </cell>
          <cell r="D526" t="str">
            <v>Tiwade Kailas Muralidhar</v>
          </cell>
          <cell r="F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G526">
            <v>0</v>
          </cell>
          <cell r="AH526">
            <v>0</v>
          </cell>
          <cell r="AI526">
            <v>0</v>
          </cell>
          <cell r="AJ526">
            <v>0</v>
          </cell>
          <cell r="AK526">
            <v>0</v>
          </cell>
          <cell r="AL526">
            <v>0</v>
          </cell>
          <cell r="AM526">
            <v>0</v>
          </cell>
          <cell r="AN526">
            <v>0</v>
          </cell>
          <cell r="AO526">
            <v>0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  <cell r="AU526">
            <v>0</v>
          </cell>
          <cell r="AV526">
            <v>0</v>
          </cell>
          <cell r="AW526">
            <v>0</v>
          </cell>
          <cell r="AX526">
            <v>0</v>
          </cell>
          <cell r="AY526">
            <v>0</v>
          </cell>
          <cell r="BA526">
            <v>0</v>
          </cell>
          <cell r="BB526">
            <v>0</v>
          </cell>
          <cell r="BC526">
            <v>0</v>
          </cell>
          <cell r="BD526">
            <v>0</v>
          </cell>
          <cell r="BE526">
            <v>0</v>
          </cell>
          <cell r="BF526">
            <v>0</v>
          </cell>
          <cell r="BG526">
            <v>0</v>
          </cell>
          <cell r="BH526">
            <v>0</v>
          </cell>
          <cell r="BI526">
            <v>0</v>
          </cell>
          <cell r="BK526">
            <v>0</v>
          </cell>
          <cell r="BL526">
            <v>0</v>
          </cell>
          <cell r="BM526">
            <v>0</v>
          </cell>
          <cell r="BN526">
            <v>0</v>
          </cell>
          <cell r="BO526">
            <v>0</v>
          </cell>
          <cell r="BP526">
            <v>0</v>
          </cell>
          <cell r="BQ526">
            <v>0</v>
          </cell>
          <cell r="BR526">
            <v>0</v>
          </cell>
          <cell r="BS526">
            <v>0</v>
          </cell>
          <cell r="BU526">
            <v>0</v>
          </cell>
          <cell r="BV526">
            <v>0</v>
          </cell>
          <cell r="BW526">
            <v>0</v>
          </cell>
          <cell r="BX526">
            <v>0</v>
          </cell>
          <cell r="BY526">
            <v>0</v>
          </cell>
          <cell r="BZ526">
            <v>0</v>
          </cell>
          <cell r="CA526">
            <v>0</v>
          </cell>
          <cell r="CB526">
            <v>0</v>
          </cell>
          <cell r="CC526">
            <v>0</v>
          </cell>
          <cell r="CE526">
            <v>0</v>
          </cell>
          <cell r="CF526">
            <v>0</v>
          </cell>
          <cell r="CG526">
            <v>0</v>
          </cell>
          <cell r="CH526">
            <v>0</v>
          </cell>
          <cell r="CI526">
            <v>0</v>
          </cell>
          <cell r="CJ526">
            <v>0</v>
          </cell>
          <cell r="CK526">
            <v>0</v>
          </cell>
          <cell r="CL526">
            <v>0</v>
          </cell>
          <cell r="CM526">
            <v>0</v>
          </cell>
          <cell r="CO526">
            <v>0</v>
          </cell>
          <cell r="CP526">
            <v>0</v>
          </cell>
          <cell r="CQ526">
            <v>0</v>
          </cell>
          <cell r="CR526">
            <v>0</v>
          </cell>
          <cell r="CS526">
            <v>0</v>
          </cell>
          <cell r="CT526">
            <v>0</v>
          </cell>
          <cell r="CU526">
            <v>0</v>
          </cell>
          <cell r="CV526">
            <v>0</v>
          </cell>
          <cell r="CW526">
            <v>0</v>
          </cell>
          <cell r="CY526">
            <v>0</v>
          </cell>
          <cell r="CZ526">
            <v>0</v>
          </cell>
          <cell r="DA526">
            <v>0</v>
          </cell>
          <cell r="DB526">
            <v>0</v>
          </cell>
          <cell r="DC526">
            <v>0</v>
          </cell>
          <cell r="DD526">
            <v>0</v>
          </cell>
          <cell r="DE526">
            <v>0</v>
          </cell>
          <cell r="DF526">
            <v>0</v>
          </cell>
          <cell r="DG526">
            <v>0</v>
          </cell>
          <cell r="DI526">
            <v>0</v>
          </cell>
          <cell r="DJ526">
            <v>0</v>
          </cell>
          <cell r="DK526">
            <v>0</v>
          </cell>
          <cell r="DL526">
            <v>0</v>
          </cell>
          <cell r="DM526">
            <v>0</v>
          </cell>
          <cell r="DN526">
            <v>0</v>
          </cell>
          <cell r="DO526">
            <v>0</v>
          </cell>
          <cell r="DP526">
            <v>0</v>
          </cell>
          <cell r="DQ526">
            <v>0</v>
          </cell>
          <cell r="DR526">
            <v>0</v>
          </cell>
          <cell r="DS526">
            <v>0</v>
          </cell>
          <cell r="DT526">
            <v>0</v>
          </cell>
          <cell r="DU526">
            <v>0</v>
          </cell>
          <cell r="DW526">
            <v>0</v>
          </cell>
          <cell r="DX526">
            <v>0</v>
          </cell>
          <cell r="DY526">
            <v>0</v>
          </cell>
          <cell r="DZ526">
            <v>0</v>
          </cell>
          <cell r="EA526">
            <v>0</v>
          </cell>
          <cell r="EB526">
            <v>0</v>
          </cell>
          <cell r="EC526">
            <v>0</v>
          </cell>
          <cell r="ED526">
            <v>0</v>
          </cell>
          <cell r="EE526">
            <v>0</v>
          </cell>
          <cell r="EF526">
            <v>0</v>
          </cell>
          <cell r="EG526">
            <v>0</v>
          </cell>
          <cell r="EH526">
            <v>0</v>
          </cell>
          <cell r="EI526">
            <v>0</v>
          </cell>
          <cell r="EK526">
            <v>0</v>
          </cell>
          <cell r="EL526">
            <v>0</v>
          </cell>
          <cell r="EM526">
            <v>0</v>
          </cell>
          <cell r="EN526">
            <v>0</v>
          </cell>
          <cell r="EO526">
            <v>0</v>
          </cell>
          <cell r="EP526">
            <v>0</v>
          </cell>
          <cell r="EQ526">
            <v>0</v>
          </cell>
          <cell r="ER526">
            <v>0</v>
          </cell>
          <cell r="ES526">
            <v>0</v>
          </cell>
          <cell r="ET526">
            <v>0</v>
          </cell>
          <cell r="EU526">
            <v>0</v>
          </cell>
          <cell r="EV526">
            <v>0</v>
          </cell>
          <cell r="EW526">
            <v>0</v>
          </cell>
          <cell r="EY526">
            <v>0</v>
          </cell>
          <cell r="EZ526">
            <v>8</v>
          </cell>
          <cell r="FA526">
            <v>0</v>
          </cell>
          <cell r="FB526">
            <v>0</v>
          </cell>
          <cell r="FC526">
            <v>8.6</v>
          </cell>
          <cell r="FD526">
            <v>0</v>
          </cell>
          <cell r="FE526">
            <v>0</v>
          </cell>
          <cell r="FF526">
            <v>0</v>
          </cell>
          <cell r="FH526">
            <v>0</v>
          </cell>
        </row>
        <row r="527">
          <cell r="B527">
            <v>9661</v>
          </cell>
          <cell r="C527" t="str">
            <v>14.07.2009</v>
          </cell>
          <cell r="D527" t="str">
            <v>Shinde Siddharth Ramesh</v>
          </cell>
          <cell r="F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G527">
            <v>0</v>
          </cell>
          <cell r="AH527">
            <v>0</v>
          </cell>
          <cell r="AI527">
            <v>0</v>
          </cell>
          <cell r="AJ527">
            <v>0</v>
          </cell>
          <cell r="AK527">
            <v>0</v>
          </cell>
          <cell r="AL527">
            <v>0</v>
          </cell>
          <cell r="AM527">
            <v>0</v>
          </cell>
          <cell r="AN527">
            <v>0</v>
          </cell>
          <cell r="AO527">
            <v>0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>
            <v>0</v>
          </cell>
          <cell r="AX527">
            <v>0</v>
          </cell>
          <cell r="AY527">
            <v>0</v>
          </cell>
          <cell r="BA527">
            <v>0</v>
          </cell>
          <cell r="BB527">
            <v>0</v>
          </cell>
          <cell r="BC527">
            <v>0</v>
          </cell>
          <cell r="BD527">
            <v>0</v>
          </cell>
          <cell r="BE527">
            <v>0</v>
          </cell>
          <cell r="BF527">
            <v>0</v>
          </cell>
          <cell r="BG527">
            <v>0</v>
          </cell>
          <cell r="BH527">
            <v>0</v>
          </cell>
          <cell r="BI527">
            <v>0</v>
          </cell>
          <cell r="BK527">
            <v>0</v>
          </cell>
          <cell r="BL527">
            <v>0</v>
          </cell>
          <cell r="BM527">
            <v>0</v>
          </cell>
          <cell r="BN527">
            <v>0</v>
          </cell>
          <cell r="BO527">
            <v>0</v>
          </cell>
          <cell r="BP527">
            <v>0</v>
          </cell>
          <cell r="BQ527">
            <v>0</v>
          </cell>
          <cell r="BR527">
            <v>0</v>
          </cell>
          <cell r="BS527">
            <v>0</v>
          </cell>
          <cell r="BU527">
            <v>0</v>
          </cell>
          <cell r="BV527">
            <v>0</v>
          </cell>
          <cell r="BW527">
            <v>0</v>
          </cell>
          <cell r="BX527">
            <v>0</v>
          </cell>
          <cell r="BY527">
            <v>0</v>
          </cell>
          <cell r="BZ527">
            <v>0</v>
          </cell>
          <cell r="CA527">
            <v>0</v>
          </cell>
          <cell r="CB527">
            <v>0</v>
          </cell>
          <cell r="CC527">
            <v>0</v>
          </cell>
          <cell r="CE527">
            <v>0</v>
          </cell>
          <cell r="CF527">
            <v>0</v>
          </cell>
          <cell r="CG527">
            <v>0</v>
          </cell>
          <cell r="CH527">
            <v>0</v>
          </cell>
          <cell r="CI527">
            <v>0</v>
          </cell>
          <cell r="CJ527">
            <v>0</v>
          </cell>
          <cell r="CK527">
            <v>0</v>
          </cell>
          <cell r="CL527">
            <v>0</v>
          </cell>
          <cell r="CM527">
            <v>0</v>
          </cell>
          <cell r="CO527">
            <v>0</v>
          </cell>
          <cell r="CP527">
            <v>0</v>
          </cell>
          <cell r="CQ527">
            <v>0</v>
          </cell>
          <cell r="CR527">
            <v>0</v>
          </cell>
          <cell r="CS527">
            <v>0</v>
          </cell>
          <cell r="CT527">
            <v>0</v>
          </cell>
          <cell r="CU527">
            <v>0</v>
          </cell>
          <cell r="CV527">
            <v>0</v>
          </cell>
          <cell r="CW527">
            <v>0</v>
          </cell>
          <cell r="CY527">
            <v>0</v>
          </cell>
          <cell r="CZ527">
            <v>0</v>
          </cell>
          <cell r="DA527">
            <v>0</v>
          </cell>
          <cell r="DB527">
            <v>0</v>
          </cell>
          <cell r="DC527">
            <v>0</v>
          </cell>
          <cell r="DD527">
            <v>0</v>
          </cell>
          <cell r="DE527">
            <v>0</v>
          </cell>
          <cell r="DF527">
            <v>0</v>
          </cell>
          <cell r="DG527">
            <v>0</v>
          </cell>
          <cell r="DI527">
            <v>0</v>
          </cell>
          <cell r="DJ527">
            <v>0</v>
          </cell>
          <cell r="DK527">
            <v>0</v>
          </cell>
          <cell r="DL527">
            <v>0</v>
          </cell>
          <cell r="DM527">
            <v>0</v>
          </cell>
          <cell r="DN527">
            <v>0</v>
          </cell>
          <cell r="DO527">
            <v>0</v>
          </cell>
          <cell r="DP527">
            <v>0</v>
          </cell>
          <cell r="DQ527">
            <v>0</v>
          </cell>
          <cell r="DR527">
            <v>0</v>
          </cell>
          <cell r="DS527">
            <v>0</v>
          </cell>
          <cell r="DT527">
            <v>0</v>
          </cell>
          <cell r="DU527">
            <v>0</v>
          </cell>
          <cell r="DW527">
            <v>0</v>
          </cell>
          <cell r="DX527">
            <v>0</v>
          </cell>
          <cell r="DY527">
            <v>0</v>
          </cell>
          <cell r="DZ527">
            <v>0</v>
          </cell>
          <cell r="EA527">
            <v>0</v>
          </cell>
          <cell r="EB527">
            <v>0</v>
          </cell>
          <cell r="EC527">
            <v>0</v>
          </cell>
          <cell r="ED527">
            <v>0</v>
          </cell>
          <cell r="EE527">
            <v>0</v>
          </cell>
          <cell r="EF527">
            <v>0</v>
          </cell>
          <cell r="EG527">
            <v>0</v>
          </cell>
          <cell r="EH527">
            <v>0</v>
          </cell>
          <cell r="EI527">
            <v>0</v>
          </cell>
          <cell r="EK527">
            <v>0</v>
          </cell>
          <cell r="EL527">
            <v>0</v>
          </cell>
          <cell r="EM527">
            <v>0</v>
          </cell>
          <cell r="EN527">
            <v>0</v>
          </cell>
          <cell r="EO527">
            <v>0</v>
          </cell>
          <cell r="EP527">
            <v>0</v>
          </cell>
          <cell r="EQ527">
            <v>0</v>
          </cell>
          <cell r="ER527">
            <v>0</v>
          </cell>
          <cell r="ES527">
            <v>0</v>
          </cell>
          <cell r="ET527">
            <v>0</v>
          </cell>
          <cell r="EU527">
            <v>0</v>
          </cell>
          <cell r="EV527">
            <v>0</v>
          </cell>
          <cell r="EW527">
            <v>0</v>
          </cell>
          <cell r="EY527">
            <v>0</v>
          </cell>
          <cell r="EZ527">
            <v>8</v>
          </cell>
          <cell r="FA527">
            <v>0</v>
          </cell>
          <cell r="FB527">
            <v>0</v>
          </cell>
          <cell r="FC527">
            <v>8.6</v>
          </cell>
          <cell r="FD527">
            <v>0</v>
          </cell>
          <cell r="FE527">
            <v>0</v>
          </cell>
          <cell r="FF527">
            <v>0</v>
          </cell>
          <cell r="FH527">
            <v>0</v>
          </cell>
        </row>
        <row r="528">
          <cell r="B528">
            <v>9658</v>
          </cell>
          <cell r="C528" t="str">
            <v>14.08.2009</v>
          </cell>
          <cell r="D528" t="str">
            <v>Pawar Mukesh Shantaram</v>
          </cell>
          <cell r="F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0</v>
          </cell>
          <cell r="AK528">
            <v>0</v>
          </cell>
          <cell r="AL528">
            <v>0</v>
          </cell>
          <cell r="AM528">
            <v>0</v>
          </cell>
          <cell r="AN528">
            <v>0</v>
          </cell>
          <cell r="AO528">
            <v>0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0</v>
          </cell>
          <cell r="AW528">
            <v>0</v>
          </cell>
          <cell r="AX528">
            <v>0</v>
          </cell>
          <cell r="AY528">
            <v>0</v>
          </cell>
          <cell r="BA528">
            <v>0</v>
          </cell>
          <cell r="BB528">
            <v>0</v>
          </cell>
          <cell r="BC528">
            <v>0</v>
          </cell>
          <cell r="BD528">
            <v>0</v>
          </cell>
          <cell r="BE528">
            <v>0</v>
          </cell>
          <cell r="BF528">
            <v>0</v>
          </cell>
          <cell r="BG528">
            <v>0</v>
          </cell>
          <cell r="BH528">
            <v>0</v>
          </cell>
          <cell r="BI528">
            <v>0</v>
          </cell>
          <cell r="BK528">
            <v>0</v>
          </cell>
          <cell r="BL528">
            <v>0</v>
          </cell>
          <cell r="BM528">
            <v>0</v>
          </cell>
          <cell r="BN528">
            <v>0</v>
          </cell>
          <cell r="BO528">
            <v>0</v>
          </cell>
          <cell r="BP528">
            <v>0</v>
          </cell>
          <cell r="BQ528">
            <v>0</v>
          </cell>
          <cell r="BR528">
            <v>0</v>
          </cell>
          <cell r="BS528">
            <v>0</v>
          </cell>
          <cell r="BU528">
            <v>0</v>
          </cell>
          <cell r="BV528">
            <v>0</v>
          </cell>
          <cell r="BW528">
            <v>0</v>
          </cell>
          <cell r="BX528">
            <v>0</v>
          </cell>
          <cell r="BY528">
            <v>0</v>
          </cell>
          <cell r="BZ528">
            <v>0</v>
          </cell>
          <cell r="CA528">
            <v>0</v>
          </cell>
          <cell r="CB528">
            <v>0</v>
          </cell>
          <cell r="CC528">
            <v>0</v>
          </cell>
          <cell r="CE528">
            <v>0</v>
          </cell>
          <cell r="CF528">
            <v>0</v>
          </cell>
          <cell r="CG528">
            <v>0</v>
          </cell>
          <cell r="CH528">
            <v>0</v>
          </cell>
          <cell r="CI528">
            <v>0</v>
          </cell>
          <cell r="CJ528">
            <v>0</v>
          </cell>
          <cell r="CK528">
            <v>0</v>
          </cell>
          <cell r="CL528">
            <v>0</v>
          </cell>
          <cell r="CM528">
            <v>0</v>
          </cell>
          <cell r="CO528">
            <v>0</v>
          </cell>
          <cell r="CP528">
            <v>0</v>
          </cell>
          <cell r="CQ528">
            <v>0</v>
          </cell>
          <cell r="CR528">
            <v>0</v>
          </cell>
          <cell r="CS528">
            <v>0</v>
          </cell>
          <cell r="CT528">
            <v>0</v>
          </cell>
          <cell r="CU528">
            <v>0</v>
          </cell>
          <cell r="CV528">
            <v>0</v>
          </cell>
          <cell r="CW528">
            <v>0</v>
          </cell>
          <cell r="CY528">
            <v>0</v>
          </cell>
          <cell r="CZ528">
            <v>0</v>
          </cell>
          <cell r="DA528">
            <v>0</v>
          </cell>
          <cell r="DB528">
            <v>0</v>
          </cell>
          <cell r="DC528">
            <v>0</v>
          </cell>
          <cell r="DD528">
            <v>0</v>
          </cell>
          <cell r="DE528">
            <v>0</v>
          </cell>
          <cell r="DF528">
            <v>0</v>
          </cell>
          <cell r="DG528">
            <v>0</v>
          </cell>
          <cell r="DI528">
            <v>0</v>
          </cell>
          <cell r="DJ528">
            <v>0</v>
          </cell>
          <cell r="DK528">
            <v>0</v>
          </cell>
          <cell r="DL528">
            <v>0</v>
          </cell>
          <cell r="DM528">
            <v>0</v>
          </cell>
          <cell r="DN528">
            <v>0</v>
          </cell>
          <cell r="DO528">
            <v>0</v>
          </cell>
          <cell r="DP528">
            <v>0</v>
          </cell>
          <cell r="DQ528">
            <v>0</v>
          </cell>
          <cell r="DR528">
            <v>0</v>
          </cell>
          <cell r="DS528">
            <v>0</v>
          </cell>
          <cell r="DT528">
            <v>0</v>
          </cell>
          <cell r="DU528">
            <v>0</v>
          </cell>
          <cell r="DW528">
            <v>0</v>
          </cell>
          <cell r="DX528">
            <v>0</v>
          </cell>
          <cell r="DY528">
            <v>0</v>
          </cell>
          <cell r="DZ528">
            <v>0</v>
          </cell>
          <cell r="EA528">
            <v>0</v>
          </cell>
          <cell r="EB528">
            <v>0</v>
          </cell>
          <cell r="EC528">
            <v>0</v>
          </cell>
          <cell r="ED528">
            <v>0</v>
          </cell>
          <cell r="EE528">
            <v>0</v>
          </cell>
          <cell r="EF528">
            <v>0</v>
          </cell>
          <cell r="EG528">
            <v>0</v>
          </cell>
          <cell r="EH528">
            <v>0</v>
          </cell>
          <cell r="EI528">
            <v>0</v>
          </cell>
          <cell r="EK528">
            <v>0</v>
          </cell>
          <cell r="EL528">
            <v>0</v>
          </cell>
          <cell r="EM528">
            <v>0</v>
          </cell>
          <cell r="EN528">
            <v>0</v>
          </cell>
          <cell r="EO528">
            <v>0</v>
          </cell>
          <cell r="EP528">
            <v>0</v>
          </cell>
          <cell r="EQ528">
            <v>0</v>
          </cell>
          <cell r="ER528">
            <v>0</v>
          </cell>
          <cell r="ES528">
            <v>0</v>
          </cell>
          <cell r="ET528">
            <v>0</v>
          </cell>
          <cell r="EU528">
            <v>0</v>
          </cell>
          <cell r="EV528">
            <v>0</v>
          </cell>
          <cell r="EW528">
            <v>0</v>
          </cell>
          <cell r="EY528">
            <v>0</v>
          </cell>
          <cell r="EZ528">
            <v>8</v>
          </cell>
          <cell r="FA528">
            <v>0</v>
          </cell>
          <cell r="FB528">
            <v>0</v>
          </cell>
          <cell r="FC528">
            <v>8.6</v>
          </cell>
          <cell r="FD528">
            <v>0</v>
          </cell>
          <cell r="FE528">
            <v>0</v>
          </cell>
          <cell r="FF528">
            <v>0</v>
          </cell>
          <cell r="FH528">
            <v>0</v>
          </cell>
        </row>
        <row r="529">
          <cell r="B529">
            <v>9659</v>
          </cell>
          <cell r="C529" t="str">
            <v>14.08.2008</v>
          </cell>
          <cell r="D529" t="str">
            <v>Parmar Anand Purushottam</v>
          </cell>
          <cell r="F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G529">
            <v>0</v>
          </cell>
          <cell r="AH529">
            <v>0</v>
          </cell>
          <cell r="AI529">
            <v>0</v>
          </cell>
          <cell r="AJ529">
            <v>0</v>
          </cell>
          <cell r="AK529">
            <v>0</v>
          </cell>
          <cell r="AL529">
            <v>0</v>
          </cell>
          <cell r="AM529">
            <v>0</v>
          </cell>
          <cell r="AN529">
            <v>0</v>
          </cell>
          <cell r="AO529">
            <v>0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>
            <v>0</v>
          </cell>
          <cell r="AX529">
            <v>0</v>
          </cell>
          <cell r="AY529">
            <v>0</v>
          </cell>
          <cell r="BA529">
            <v>0</v>
          </cell>
          <cell r="BB529">
            <v>0</v>
          </cell>
          <cell r="BC529">
            <v>0</v>
          </cell>
          <cell r="BD529">
            <v>0</v>
          </cell>
          <cell r="BE529">
            <v>0</v>
          </cell>
          <cell r="BF529">
            <v>0</v>
          </cell>
          <cell r="BG529">
            <v>0</v>
          </cell>
          <cell r="BH529">
            <v>0</v>
          </cell>
          <cell r="BI529">
            <v>0</v>
          </cell>
          <cell r="BK529">
            <v>0</v>
          </cell>
          <cell r="BL529">
            <v>0</v>
          </cell>
          <cell r="BM529">
            <v>0</v>
          </cell>
          <cell r="BN529">
            <v>0</v>
          </cell>
          <cell r="BO529">
            <v>0</v>
          </cell>
          <cell r="BP529">
            <v>0</v>
          </cell>
          <cell r="BQ529">
            <v>0</v>
          </cell>
          <cell r="BR529">
            <v>0</v>
          </cell>
          <cell r="BS529">
            <v>0</v>
          </cell>
          <cell r="BU529">
            <v>0</v>
          </cell>
          <cell r="BV529">
            <v>0</v>
          </cell>
          <cell r="BW529">
            <v>0</v>
          </cell>
          <cell r="BX529">
            <v>0</v>
          </cell>
          <cell r="BY529">
            <v>0</v>
          </cell>
          <cell r="BZ529">
            <v>0</v>
          </cell>
          <cell r="CA529">
            <v>0</v>
          </cell>
          <cell r="CB529">
            <v>0</v>
          </cell>
          <cell r="CC529">
            <v>0</v>
          </cell>
          <cell r="CE529">
            <v>0</v>
          </cell>
          <cell r="CF529">
            <v>0</v>
          </cell>
          <cell r="CG529">
            <v>0</v>
          </cell>
          <cell r="CH529">
            <v>0</v>
          </cell>
          <cell r="CI529">
            <v>0</v>
          </cell>
          <cell r="CJ529">
            <v>0</v>
          </cell>
          <cell r="CK529">
            <v>0</v>
          </cell>
          <cell r="CL529">
            <v>0</v>
          </cell>
          <cell r="CM529">
            <v>0</v>
          </cell>
          <cell r="CO529">
            <v>0</v>
          </cell>
          <cell r="CP529">
            <v>0</v>
          </cell>
          <cell r="CQ529">
            <v>0</v>
          </cell>
          <cell r="CR529">
            <v>0</v>
          </cell>
          <cell r="CS529">
            <v>0</v>
          </cell>
          <cell r="CT529">
            <v>0</v>
          </cell>
          <cell r="CU529">
            <v>0</v>
          </cell>
          <cell r="CV529">
            <v>0</v>
          </cell>
          <cell r="CW529">
            <v>0</v>
          </cell>
          <cell r="CY529">
            <v>0</v>
          </cell>
          <cell r="CZ529">
            <v>0</v>
          </cell>
          <cell r="DA529">
            <v>0</v>
          </cell>
          <cell r="DB529">
            <v>0</v>
          </cell>
          <cell r="DC529">
            <v>0</v>
          </cell>
          <cell r="DD529">
            <v>0</v>
          </cell>
          <cell r="DE529">
            <v>0</v>
          </cell>
          <cell r="DF529">
            <v>0</v>
          </cell>
          <cell r="DG529">
            <v>0</v>
          </cell>
          <cell r="DI529">
            <v>0</v>
          </cell>
          <cell r="DJ529">
            <v>0</v>
          </cell>
          <cell r="DK529">
            <v>0</v>
          </cell>
          <cell r="DL529">
            <v>0</v>
          </cell>
          <cell r="DM529">
            <v>0</v>
          </cell>
          <cell r="DN529">
            <v>0</v>
          </cell>
          <cell r="DO529">
            <v>0</v>
          </cell>
          <cell r="DP529">
            <v>0</v>
          </cell>
          <cell r="DQ529">
            <v>0</v>
          </cell>
          <cell r="DR529">
            <v>0</v>
          </cell>
          <cell r="DS529">
            <v>0</v>
          </cell>
          <cell r="DT529">
            <v>0</v>
          </cell>
          <cell r="DU529">
            <v>0</v>
          </cell>
          <cell r="DW529">
            <v>0</v>
          </cell>
          <cell r="DX529">
            <v>0</v>
          </cell>
          <cell r="DY529">
            <v>0</v>
          </cell>
          <cell r="DZ529">
            <v>0</v>
          </cell>
          <cell r="EA529">
            <v>0</v>
          </cell>
          <cell r="EB529">
            <v>0</v>
          </cell>
          <cell r="EC529">
            <v>0</v>
          </cell>
          <cell r="ED529">
            <v>0</v>
          </cell>
          <cell r="EE529">
            <v>0</v>
          </cell>
          <cell r="EF529">
            <v>0</v>
          </cell>
          <cell r="EG529">
            <v>0</v>
          </cell>
          <cell r="EH529">
            <v>0</v>
          </cell>
          <cell r="EI529">
            <v>0</v>
          </cell>
          <cell r="EK529">
            <v>0</v>
          </cell>
          <cell r="EL529">
            <v>0</v>
          </cell>
          <cell r="EM529">
            <v>0</v>
          </cell>
          <cell r="EN529">
            <v>0</v>
          </cell>
          <cell r="EO529">
            <v>0</v>
          </cell>
          <cell r="EP529">
            <v>0</v>
          </cell>
          <cell r="EQ529">
            <v>0</v>
          </cell>
          <cell r="ER529">
            <v>0</v>
          </cell>
          <cell r="ES529">
            <v>0</v>
          </cell>
          <cell r="ET529">
            <v>0</v>
          </cell>
          <cell r="EU529">
            <v>0</v>
          </cell>
          <cell r="EV529">
            <v>0</v>
          </cell>
          <cell r="EW529">
            <v>0</v>
          </cell>
          <cell r="EY529">
            <v>0</v>
          </cell>
          <cell r="EZ529">
            <v>8</v>
          </cell>
          <cell r="FA529">
            <v>0</v>
          </cell>
          <cell r="FB529">
            <v>0</v>
          </cell>
          <cell r="FC529">
            <v>8.6</v>
          </cell>
          <cell r="FD529">
            <v>0</v>
          </cell>
          <cell r="FE529">
            <v>0</v>
          </cell>
          <cell r="FF529">
            <v>0</v>
          </cell>
          <cell r="FH529">
            <v>0</v>
          </cell>
        </row>
        <row r="530">
          <cell r="B530">
            <v>9671</v>
          </cell>
          <cell r="C530" t="str">
            <v>14.08.2009</v>
          </cell>
          <cell r="D530" t="str">
            <v>Dalod Deepak Satpal</v>
          </cell>
          <cell r="F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0</v>
          </cell>
          <cell r="AK530">
            <v>0</v>
          </cell>
          <cell r="AL530">
            <v>0</v>
          </cell>
          <cell r="AM530">
            <v>0</v>
          </cell>
          <cell r="AN530">
            <v>0</v>
          </cell>
          <cell r="AO530">
            <v>0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Y530">
            <v>0</v>
          </cell>
          <cell r="BA530">
            <v>0</v>
          </cell>
          <cell r="BB530">
            <v>0</v>
          </cell>
          <cell r="BC530">
            <v>0</v>
          </cell>
          <cell r="BD530">
            <v>0</v>
          </cell>
          <cell r="BE530">
            <v>0</v>
          </cell>
          <cell r="BF530">
            <v>0</v>
          </cell>
          <cell r="BG530">
            <v>0</v>
          </cell>
          <cell r="BH530">
            <v>0</v>
          </cell>
          <cell r="BI530">
            <v>0</v>
          </cell>
          <cell r="BK530">
            <v>0</v>
          </cell>
          <cell r="BL530">
            <v>0</v>
          </cell>
          <cell r="BM530">
            <v>0</v>
          </cell>
          <cell r="BN530">
            <v>0</v>
          </cell>
          <cell r="BO530">
            <v>0</v>
          </cell>
          <cell r="BP530">
            <v>0</v>
          </cell>
          <cell r="BQ530">
            <v>0</v>
          </cell>
          <cell r="BR530">
            <v>0</v>
          </cell>
          <cell r="BS530">
            <v>0</v>
          </cell>
          <cell r="BU530">
            <v>0</v>
          </cell>
          <cell r="BV530">
            <v>0</v>
          </cell>
          <cell r="BW530">
            <v>0</v>
          </cell>
          <cell r="BX530">
            <v>0</v>
          </cell>
          <cell r="BY530">
            <v>0</v>
          </cell>
          <cell r="BZ530">
            <v>0</v>
          </cell>
          <cell r="CA530">
            <v>0</v>
          </cell>
          <cell r="CB530">
            <v>0</v>
          </cell>
          <cell r="CC530">
            <v>0</v>
          </cell>
          <cell r="CE530">
            <v>0</v>
          </cell>
          <cell r="CF530">
            <v>0</v>
          </cell>
          <cell r="CG530">
            <v>0</v>
          </cell>
          <cell r="CH530">
            <v>0</v>
          </cell>
          <cell r="CI530">
            <v>0</v>
          </cell>
          <cell r="CJ530">
            <v>0</v>
          </cell>
          <cell r="CK530">
            <v>0</v>
          </cell>
          <cell r="CL530">
            <v>0</v>
          </cell>
          <cell r="CM530">
            <v>0</v>
          </cell>
          <cell r="CO530">
            <v>0</v>
          </cell>
          <cell r="CP530">
            <v>0</v>
          </cell>
          <cell r="CQ530">
            <v>0</v>
          </cell>
          <cell r="CR530">
            <v>0</v>
          </cell>
          <cell r="CS530">
            <v>0</v>
          </cell>
          <cell r="CT530">
            <v>0</v>
          </cell>
          <cell r="CU530">
            <v>0</v>
          </cell>
          <cell r="CV530">
            <v>0</v>
          </cell>
          <cell r="CW530">
            <v>0</v>
          </cell>
          <cell r="CY530">
            <v>0</v>
          </cell>
          <cell r="CZ530">
            <v>0</v>
          </cell>
          <cell r="DA530">
            <v>0</v>
          </cell>
          <cell r="DB530">
            <v>0</v>
          </cell>
          <cell r="DC530">
            <v>0</v>
          </cell>
          <cell r="DD530">
            <v>0</v>
          </cell>
          <cell r="DE530">
            <v>0</v>
          </cell>
          <cell r="DF530">
            <v>0</v>
          </cell>
          <cell r="DG530">
            <v>0</v>
          </cell>
          <cell r="DI530">
            <v>0</v>
          </cell>
          <cell r="DJ530">
            <v>0</v>
          </cell>
          <cell r="DK530">
            <v>0</v>
          </cell>
          <cell r="DL530">
            <v>0</v>
          </cell>
          <cell r="DM530">
            <v>0</v>
          </cell>
          <cell r="DN530">
            <v>0</v>
          </cell>
          <cell r="DO530">
            <v>0</v>
          </cell>
          <cell r="DP530">
            <v>0</v>
          </cell>
          <cell r="DQ530">
            <v>0</v>
          </cell>
          <cell r="DR530">
            <v>0</v>
          </cell>
          <cell r="DS530">
            <v>0</v>
          </cell>
          <cell r="DT530">
            <v>0</v>
          </cell>
          <cell r="DU530">
            <v>0</v>
          </cell>
          <cell r="DW530">
            <v>0</v>
          </cell>
          <cell r="DX530">
            <v>0</v>
          </cell>
          <cell r="DY530">
            <v>0</v>
          </cell>
          <cell r="DZ530">
            <v>0</v>
          </cell>
          <cell r="EA530">
            <v>0</v>
          </cell>
          <cell r="EB530">
            <v>0</v>
          </cell>
          <cell r="EC530">
            <v>0</v>
          </cell>
          <cell r="ED530">
            <v>0</v>
          </cell>
          <cell r="EE530">
            <v>0</v>
          </cell>
          <cell r="EF530">
            <v>0</v>
          </cell>
          <cell r="EG530">
            <v>0</v>
          </cell>
          <cell r="EH530">
            <v>0</v>
          </cell>
          <cell r="EI530">
            <v>0</v>
          </cell>
          <cell r="EK530">
            <v>0</v>
          </cell>
          <cell r="EL530">
            <v>0</v>
          </cell>
          <cell r="EM530">
            <v>0</v>
          </cell>
          <cell r="EN530">
            <v>0</v>
          </cell>
          <cell r="EO530">
            <v>0</v>
          </cell>
          <cell r="EP530">
            <v>0</v>
          </cell>
          <cell r="EQ530">
            <v>0</v>
          </cell>
          <cell r="ER530">
            <v>0</v>
          </cell>
          <cell r="ES530">
            <v>0</v>
          </cell>
          <cell r="ET530">
            <v>0</v>
          </cell>
          <cell r="EU530">
            <v>0</v>
          </cell>
          <cell r="EV530">
            <v>0</v>
          </cell>
          <cell r="EW530">
            <v>0</v>
          </cell>
          <cell r="EY530">
            <v>0</v>
          </cell>
          <cell r="EZ530">
            <v>8</v>
          </cell>
          <cell r="FA530">
            <v>0</v>
          </cell>
          <cell r="FB530">
            <v>0</v>
          </cell>
          <cell r="FC530">
            <v>8.6</v>
          </cell>
          <cell r="FD530">
            <v>0</v>
          </cell>
          <cell r="FE530">
            <v>0</v>
          </cell>
          <cell r="FF530">
            <v>0</v>
          </cell>
          <cell r="FH530">
            <v>0</v>
          </cell>
        </row>
        <row r="531">
          <cell r="B531">
            <v>9676</v>
          </cell>
          <cell r="C531" t="str">
            <v>14.08.2009</v>
          </cell>
          <cell r="D531" t="str">
            <v>Jadhav Prashant Eknath</v>
          </cell>
          <cell r="F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BA531">
            <v>0</v>
          </cell>
          <cell r="BB531">
            <v>0</v>
          </cell>
          <cell r="BC531">
            <v>0</v>
          </cell>
          <cell r="BD531">
            <v>0</v>
          </cell>
          <cell r="BE531">
            <v>0</v>
          </cell>
          <cell r="BF531">
            <v>0</v>
          </cell>
          <cell r="BG531">
            <v>0</v>
          </cell>
          <cell r="BH531">
            <v>0</v>
          </cell>
          <cell r="BI531">
            <v>0</v>
          </cell>
          <cell r="BK531">
            <v>0</v>
          </cell>
          <cell r="BL531">
            <v>0</v>
          </cell>
          <cell r="BM531">
            <v>0</v>
          </cell>
          <cell r="BN531">
            <v>0</v>
          </cell>
          <cell r="BO531">
            <v>0</v>
          </cell>
          <cell r="BP531">
            <v>0</v>
          </cell>
          <cell r="BQ531">
            <v>0</v>
          </cell>
          <cell r="BR531">
            <v>0</v>
          </cell>
          <cell r="BS531">
            <v>0</v>
          </cell>
          <cell r="BU531">
            <v>0</v>
          </cell>
          <cell r="BV531">
            <v>0</v>
          </cell>
          <cell r="BW531">
            <v>0</v>
          </cell>
          <cell r="BX531">
            <v>0</v>
          </cell>
          <cell r="BY531">
            <v>0</v>
          </cell>
          <cell r="BZ531">
            <v>0</v>
          </cell>
          <cell r="CA531">
            <v>0</v>
          </cell>
          <cell r="CB531">
            <v>0</v>
          </cell>
          <cell r="CC531">
            <v>0</v>
          </cell>
          <cell r="CE531">
            <v>0</v>
          </cell>
          <cell r="CF531">
            <v>0</v>
          </cell>
          <cell r="CG531">
            <v>0</v>
          </cell>
          <cell r="CH531">
            <v>0</v>
          </cell>
          <cell r="CI531">
            <v>0</v>
          </cell>
          <cell r="CJ531">
            <v>0</v>
          </cell>
          <cell r="CK531">
            <v>0</v>
          </cell>
          <cell r="CL531">
            <v>0</v>
          </cell>
          <cell r="CM531">
            <v>0</v>
          </cell>
          <cell r="CO531">
            <v>0</v>
          </cell>
          <cell r="CP531">
            <v>0</v>
          </cell>
          <cell r="CQ531">
            <v>0</v>
          </cell>
          <cell r="CR531">
            <v>0</v>
          </cell>
          <cell r="CS531">
            <v>0</v>
          </cell>
          <cell r="CT531">
            <v>0</v>
          </cell>
          <cell r="CU531">
            <v>0</v>
          </cell>
          <cell r="CV531">
            <v>0</v>
          </cell>
          <cell r="CW531">
            <v>0</v>
          </cell>
          <cell r="CY531">
            <v>0</v>
          </cell>
          <cell r="CZ531">
            <v>0</v>
          </cell>
          <cell r="DA531">
            <v>0</v>
          </cell>
          <cell r="DB531">
            <v>0</v>
          </cell>
          <cell r="DC531">
            <v>0</v>
          </cell>
          <cell r="DD531">
            <v>0</v>
          </cell>
          <cell r="DE531">
            <v>0</v>
          </cell>
          <cell r="DF531">
            <v>0</v>
          </cell>
          <cell r="DG531">
            <v>0</v>
          </cell>
          <cell r="DI531">
            <v>0</v>
          </cell>
          <cell r="DJ531">
            <v>0</v>
          </cell>
          <cell r="DK531">
            <v>0</v>
          </cell>
          <cell r="DL531">
            <v>0</v>
          </cell>
          <cell r="DM531">
            <v>0</v>
          </cell>
          <cell r="DN531">
            <v>0</v>
          </cell>
          <cell r="DO531">
            <v>0</v>
          </cell>
          <cell r="DP531">
            <v>0</v>
          </cell>
          <cell r="DQ531">
            <v>0</v>
          </cell>
          <cell r="DR531">
            <v>0</v>
          </cell>
          <cell r="DS531">
            <v>0</v>
          </cell>
          <cell r="DT531">
            <v>0</v>
          </cell>
          <cell r="DU531">
            <v>0</v>
          </cell>
          <cell r="DW531">
            <v>0</v>
          </cell>
          <cell r="DX531">
            <v>0</v>
          </cell>
          <cell r="DY531">
            <v>0</v>
          </cell>
          <cell r="DZ531">
            <v>0</v>
          </cell>
          <cell r="EA531">
            <v>0</v>
          </cell>
          <cell r="EB531">
            <v>0</v>
          </cell>
          <cell r="EC531">
            <v>0</v>
          </cell>
          <cell r="ED531">
            <v>0</v>
          </cell>
          <cell r="EE531">
            <v>0</v>
          </cell>
          <cell r="EF531">
            <v>0</v>
          </cell>
          <cell r="EG531">
            <v>0</v>
          </cell>
          <cell r="EH531">
            <v>0</v>
          </cell>
          <cell r="EI531">
            <v>0</v>
          </cell>
          <cell r="EK531">
            <v>0</v>
          </cell>
          <cell r="EL531">
            <v>0</v>
          </cell>
          <cell r="EM531">
            <v>0</v>
          </cell>
          <cell r="EN531">
            <v>0</v>
          </cell>
          <cell r="EO531">
            <v>0</v>
          </cell>
          <cell r="EP531">
            <v>0</v>
          </cell>
          <cell r="EQ531">
            <v>0</v>
          </cell>
          <cell r="ER531">
            <v>0</v>
          </cell>
          <cell r="ES531">
            <v>0</v>
          </cell>
          <cell r="ET531">
            <v>0</v>
          </cell>
          <cell r="EU531">
            <v>0</v>
          </cell>
          <cell r="EV531">
            <v>0</v>
          </cell>
          <cell r="EW531">
            <v>0</v>
          </cell>
          <cell r="EY531">
            <v>0</v>
          </cell>
          <cell r="EZ531">
            <v>8</v>
          </cell>
          <cell r="FA531">
            <v>0</v>
          </cell>
          <cell r="FB531">
            <v>0</v>
          </cell>
          <cell r="FC531">
            <v>8.6</v>
          </cell>
          <cell r="FD531">
            <v>0</v>
          </cell>
          <cell r="FE531">
            <v>0</v>
          </cell>
          <cell r="FF531">
            <v>0</v>
          </cell>
          <cell r="FH531">
            <v>0</v>
          </cell>
        </row>
        <row r="532">
          <cell r="B532">
            <v>9657</v>
          </cell>
          <cell r="C532" t="str">
            <v>17.08.2009</v>
          </cell>
          <cell r="D532" t="str">
            <v>Parmar Vijay Madhav</v>
          </cell>
          <cell r="F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BA532">
            <v>0</v>
          </cell>
          <cell r="BB532">
            <v>0</v>
          </cell>
          <cell r="BC532">
            <v>0</v>
          </cell>
          <cell r="BD532">
            <v>0</v>
          </cell>
          <cell r="BE532">
            <v>0</v>
          </cell>
          <cell r="BF532">
            <v>0</v>
          </cell>
          <cell r="BG532">
            <v>0</v>
          </cell>
          <cell r="BH532">
            <v>0</v>
          </cell>
          <cell r="BI532">
            <v>0</v>
          </cell>
          <cell r="BK532">
            <v>0</v>
          </cell>
          <cell r="BL532">
            <v>0</v>
          </cell>
          <cell r="BM532">
            <v>0</v>
          </cell>
          <cell r="BN532">
            <v>0</v>
          </cell>
          <cell r="BO532">
            <v>0</v>
          </cell>
          <cell r="BP532">
            <v>0</v>
          </cell>
          <cell r="BQ532">
            <v>0</v>
          </cell>
          <cell r="BR532">
            <v>0</v>
          </cell>
          <cell r="BS532">
            <v>0</v>
          </cell>
          <cell r="BU532">
            <v>0</v>
          </cell>
          <cell r="BV532">
            <v>0</v>
          </cell>
          <cell r="BW532">
            <v>0</v>
          </cell>
          <cell r="BX532">
            <v>0</v>
          </cell>
          <cell r="BY532">
            <v>0</v>
          </cell>
          <cell r="BZ532">
            <v>0</v>
          </cell>
          <cell r="CA532">
            <v>0</v>
          </cell>
          <cell r="CB532">
            <v>0</v>
          </cell>
          <cell r="CC532">
            <v>0</v>
          </cell>
          <cell r="CE532">
            <v>0</v>
          </cell>
          <cell r="CF532">
            <v>0</v>
          </cell>
          <cell r="CG532">
            <v>0</v>
          </cell>
          <cell r="CH532">
            <v>0</v>
          </cell>
          <cell r="CI532">
            <v>0</v>
          </cell>
          <cell r="CJ532">
            <v>0</v>
          </cell>
          <cell r="CK532">
            <v>0</v>
          </cell>
          <cell r="CL532">
            <v>0</v>
          </cell>
          <cell r="CM532">
            <v>0</v>
          </cell>
          <cell r="CO532">
            <v>0</v>
          </cell>
          <cell r="CP532">
            <v>0</v>
          </cell>
          <cell r="CQ532">
            <v>0</v>
          </cell>
          <cell r="CR532">
            <v>0</v>
          </cell>
          <cell r="CS532">
            <v>0</v>
          </cell>
          <cell r="CT532">
            <v>0</v>
          </cell>
          <cell r="CU532">
            <v>0</v>
          </cell>
          <cell r="CV532">
            <v>0</v>
          </cell>
          <cell r="CW532">
            <v>0</v>
          </cell>
          <cell r="CY532">
            <v>0</v>
          </cell>
          <cell r="CZ532">
            <v>0</v>
          </cell>
          <cell r="DA532">
            <v>0</v>
          </cell>
          <cell r="DB532">
            <v>0</v>
          </cell>
          <cell r="DC532">
            <v>0</v>
          </cell>
          <cell r="DD532">
            <v>0</v>
          </cell>
          <cell r="DE532">
            <v>0</v>
          </cell>
          <cell r="DF532">
            <v>0</v>
          </cell>
          <cell r="DG532">
            <v>0</v>
          </cell>
          <cell r="DI532">
            <v>0</v>
          </cell>
          <cell r="DJ532">
            <v>0</v>
          </cell>
          <cell r="DK532">
            <v>0</v>
          </cell>
          <cell r="DL532">
            <v>0</v>
          </cell>
          <cell r="DM532">
            <v>0</v>
          </cell>
          <cell r="DN532">
            <v>0</v>
          </cell>
          <cell r="DO532">
            <v>0</v>
          </cell>
          <cell r="DP532">
            <v>0</v>
          </cell>
          <cell r="DQ532">
            <v>0</v>
          </cell>
          <cell r="DR532">
            <v>0</v>
          </cell>
          <cell r="DS532">
            <v>0</v>
          </cell>
          <cell r="DT532">
            <v>0</v>
          </cell>
          <cell r="DU532">
            <v>0</v>
          </cell>
          <cell r="DW532">
            <v>0</v>
          </cell>
          <cell r="DX532">
            <v>0</v>
          </cell>
          <cell r="DY532">
            <v>0</v>
          </cell>
          <cell r="DZ532">
            <v>0</v>
          </cell>
          <cell r="EA532">
            <v>0</v>
          </cell>
          <cell r="EB532">
            <v>0</v>
          </cell>
          <cell r="EC532">
            <v>0</v>
          </cell>
          <cell r="ED532">
            <v>0</v>
          </cell>
          <cell r="EE532">
            <v>0</v>
          </cell>
          <cell r="EF532">
            <v>0</v>
          </cell>
          <cell r="EG532">
            <v>0</v>
          </cell>
          <cell r="EH532">
            <v>0</v>
          </cell>
          <cell r="EI532">
            <v>0</v>
          </cell>
          <cell r="EK532">
            <v>0</v>
          </cell>
          <cell r="EL532">
            <v>0</v>
          </cell>
          <cell r="EM532">
            <v>0</v>
          </cell>
          <cell r="EN532">
            <v>0</v>
          </cell>
          <cell r="EO532">
            <v>0</v>
          </cell>
          <cell r="EP532">
            <v>0</v>
          </cell>
          <cell r="EQ532">
            <v>0</v>
          </cell>
          <cell r="ER532">
            <v>0</v>
          </cell>
          <cell r="ES532">
            <v>0</v>
          </cell>
          <cell r="ET532">
            <v>0</v>
          </cell>
          <cell r="EU532">
            <v>0</v>
          </cell>
          <cell r="EV532">
            <v>0</v>
          </cell>
          <cell r="EW532">
            <v>0</v>
          </cell>
          <cell r="EY532">
            <v>0</v>
          </cell>
          <cell r="EZ532">
            <v>8</v>
          </cell>
          <cell r="FA532">
            <v>0</v>
          </cell>
          <cell r="FB532">
            <v>0</v>
          </cell>
          <cell r="FC532">
            <v>8.6</v>
          </cell>
          <cell r="FD532">
            <v>0</v>
          </cell>
          <cell r="FE532">
            <v>0</v>
          </cell>
          <cell r="FF532">
            <v>0</v>
          </cell>
          <cell r="FH532">
            <v>0</v>
          </cell>
        </row>
        <row r="533">
          <cell r="B533">
            <v>9683</v>
          </cell>
          <cell r="C533" t="str">
            <v>17.08.2009</v>
          </cell>
          <cell r="D533" t="str">
            <v>Salve Jitendra Bhimrao</v>
          </cell>
          <cell r="F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BA533">
            <v>0</v>
          </cell>
          <cell r="BB533">
            <v>0</v>
          </cell>
          <cell r="BC533">
            <v>0</v>
          </cell>
          <cell r="BD533">
            <v>0</v>
          </cell>
          <cell r="BE533">
            <v>0</v>
          </cell>
          <cell r="BF533">
            <v>0</v>
          </cell>
          <cell r="BG533">
            <v>0</v>
          </cell>
          <cell r="BH533">
            <v>0</v>
          </cell>
          <cell r="BI533">
            <v>0</v>
          </cell>
          <cell r="BK533">
            <v>0</v>
          </cell>
          <cell r="BL533">
            <v>0</v>
          </cell>
          <cell r="BM533">
            <v>0</v>
          </cell>
          <cell r="BN533">
            <v>0</v>
          </cell>
          <cell r="BO533">
            <v>0</v>
          </cell>
          <cell r="BP533">
            <v>0</v>
          </cell>
          <cell r="BQ533">
            <v>0</v>
          </cell>
          <cell r="BR533">
            <v>0</v>
          </cell>
          <cell r="BS533">
            <v>0</v>
          </cell>
          <cell r="BU533">
            <v>0</v>
          </cell>
          <cell r="BV533">
            <v>0</v>
          </cell>
          <cell r="BW533">
            <v>0</v>
          </cell>
          <cell r="BX533">
            <v>0</v>
          </cell>
          <cell r="BY533">
            <v>0</v>
          </cell>
          <cell r="BZ533">
            <v>0</v>
          </cell>
          <cell r="CA533">
            <v>0</v>
          </cell>
          <cell r="CB533">
            <v>0</v>
          </cell>
          <cell r="CC533">
            <v>0</v>
          </cell>
          <cell r="CE533">
            <v>0</v>
          </cell>
          <cell r="CF533">
            <v>0</v>
          </cell>
          <cell r="CG533">
            <v>0</v>
          </cell>
          <cell r="CH533">
            <v>0</v>
          </cell>
          <cell r="CI533">
            <v>0</v>
          </cell>
          <cell r="CJ533">
            <v>0</v>
          </cell>
          <cell r="CK533">
            <v>0</v>
          </cell>
          <cell r="CL533">
            <v>0</v>
          </cell>
          <cell r="CM533">
            <v>0</v>
          </cell>
          <cell r="CO533">
            <v>0</v>
          </cell>
          <cell r="CP533">
            <v>0</v>
          </cell>
          <cell r="CQ533">
            <v>0</v>
          </cell>
          <cell r="CR533">
            <v>0</v>
          </cell>
          <cell r="CS533">
            <v>0</v>
          </cell>
          <cell r="CT533">
            <v>0</v>
          </cell>
          <cell r="CU533">
            <v>0</v>
          </cell>
          <cell r="CV533">
            <v>0</v>
          </cell>
          <cell r="CW533">
            <v>0</v>
          </cell>
          <cell r="CY533">
            <v>0</v>
          </cell>
          <cell r="CZ533">
            <v>0</v>
          </cell>
          <cell r="DA533">
            <v>0</v>
          </cell>
          <cell r="DB533">
            <v>0</v>
          </cell>
          <cell r="DC533">
            <v>0</v>
          </cell>
          <cell r="DD533">
            <v>0</v>
          </cell>
          <cell r="DE533">
            <v>0</v>
          </cell>
          <cell r="DF533">
            <v>0</v>
          </cell>
          <cell r="DG533">
            <v>0</v>
          </cell>
          <cell r="DI533">
            <v>0</v>
          </cell>
          <cell r="DJ533">
            <v>0</v>
          </cell>
          <cell r="DK533">
            <v>0</v>
          </cell>
          <cell r="DL533">
            <v>0</v>
          </cell>
          <cell r="DM533">
            <v>0</v>
          </cell>
          <cell r="DN533">
            <v>0</v>
          </cell>
          <cell r="DO533">
            <v>0</v>
          </cell>
          <cell r="DP533">
            <v>0</v>
          </cell>
          <cell r="DQ533">
            <v>0</v>
          </cell>
          <cell r="DR533">
            <v>0</v>
          </cell>
          <cell r="DS533">
            <v>0</v>
          </cell>
          <cell r="DT533">
            <v>0</v>
          </cell>
          <cell r="DU533">
            <v>0</v>
          </cell>
          <cell r="DW533">
            <v>0</v>
          </cell>
          <cell r="DX533">
            <v>0</v>
          </cell>
          <cell r="DY533">
            <v>0</v>
          </cell>
          <cell r="DZ533">
            <v>0</v>
          </cell>
          <cell r="EA533">
            <v>0</v>
          </cell>
          <cell r="EB533">
            <v>0</v>
          </cell>
          <cell r="EC533">
            <v>0</v>
          </cell>
          <cell r="ED533">
            <v>0</v>
          </cell>
          <cell r="EE533">
            <v>0</v>
          </cell>
          <cell r="EF533">
            <v>0</v>
          </cell>
          <cell r="EG533">
            <v>0</v>
          </cell>
          <cell r="EH533">
            <v>0</v>
          </cell>
          <cell r="EI533">
            <v>0</v>
          </cell>
          <cell r="EK533">
            <v>0</v>
          </cell>
          <cell r="EL533">
            <v>0</v>
          </cell>
          <cell r="EM533">
            <v>0</v>
          </cell>
          <cell r="EN533">
            <v>0</v>
          </cell>
          <cell r="EO533">
            <v>0</v>
          </cell>
          <cell r="EP533">
            <v>0</v>
          </cell>
          <cell r="EQ533">
            <v>0</v>
          </cell>
          <cell r="ER533">
            <v>0</v>
          </cell>
          <cell r="ES533">
            <v>0</v>
          </cell>
          <cell r="ET533">
            <v>0</v>
          </cell>
          <cell r="EU533">
            <v>0</v>
          </cell>
          <cell r="EV533">
            <v>0</v>
          </cell>
          <cell r="EW533">
            <v>0</v>
          </cell>
          <cell r="EY533">
            <v>0</v>
          </cell>
          <cell r="EZ533">
            <v>8</v>
          </cell>
          <cell r="FA533">
            <v>0</v>
          </cell>
          <cell r="FB533">
            <v>0</v>
          </cell>
          <cell r="FC533">
            <v>8.6</v>
          </cell>
          <cell r="FD533">
            <v>0</v>
          </cell>
          <cell r="FE533">
            <v>0</v>
          </cell>
          <cell r="FF533">
            <v>0</v>
          </cell>
          <cell r="FH533">
            <v>0</v>
          </cell>
        </row>
        <row r="534">
          <cell r="B534">
            <v>9614</v>
          </cell>
          <cell r="C534" t="str">
            <v>18.08.2009</v>
          </cell>
          <cell r="D534" t="str">
            <v>Salve Santosh Minanath</v>
          </cell>
          <cell r="F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0</v>
          </cell>
          <cell r="BA534">
            <v>0</v>
          </cell>
          <cell r="BB534">
            <v>0</v>
          </cell>
          <cell r="BC534">
            <v>0</v>
          </cell>
          <cell r="BD534">
            <v>0</v>
          </cell>
          <cell r="BE534">
            <v>0</v>
          </cell>
          <cell r="BF534">
            <v>0</v>
          </cell>
          <cell r="BG534">
            <v>0</v>
          </cell>
          <cell r="BH534">
            <v>0</v>
          </cell>
          <cell r="BI534">
            <v>0</v>
          </cell>
          <cell r="BK534">
            <v>0</v>
          </cell>
          <cell r="BL534">
            <v>0</v>
          </cell>
          <cell r="BM534">
            <v>0</v>
          </cell>
          <cell r="BN534">
            <v>0</v>
          </cell>
          <cell r="BO534">
            <v>0</v>
          </cell>
          <cell r="BP534">
            <v>0</v>
          </cell>
          <cell r="BQ534">
            <v>0</v>
          </cell>
          <cell r="BR534">
            <v>0</v>
          </cell>
          <cell r="BS534">
            <v>0</v>
          </cell>
          <cell r="BU534">
            <v>1106</v>
          </cell>
          <cell r="BV534">
            <v>0</v>
          </cell>
          <cell r="BW534">
            <v>1106</v>
          </cell>
          <cell r="BX534">
            <v>0</v>
          </cell>
          <cell r="BY534">
            <v>0</v>
          </cell>
          <cell r="BZ534">
            <v>0</v>
          </cell>
          <cell r="CA534">
            <v>0</v>
          </cell>
          <cell r="CB534">
            <v>0</v>
          </cell>
          <cell r="CC534">
            <v>0</v>
          </cell>
          <cell r="CE534">
            <v>1106</v>
          </cell>
          <cell r="CF534">
            <v>0</v>
          </cell>
          <cell r="CG534">
            <v>1106</v>
          </cell>
          <cell r="CH534">
            <v>0</v>
          </cell>
          <cell r="CI534">
            <v>0</v>
          </cell>
          <cell r="CJ534">
            <v>0</v>
          </cell>
          <cell r="CK534">
            <v>0</v>
          </cell>
          <cell r="CL534">
            <v>0</v>
          </cell>
          <cell r="CM534">
            <v>0</v>
          </cell>
          <cell r="CO534">
            <v>1106</v>
          </cell>
          <cell r="CP534">
            <v>0</v>
          </cell>
          <cell r="CQ534">
            <v>1106</v>
          </cell>
          <cell r="CR534">
            <v>0</v>
          </cell>
          <cell r="CS534">
            <v>0</v>
          </cell>
          <cell r="CT534">
            <v>0</v>
          </cell>
          <cell r="CU534">
            <v>0</v>
          </cell>
          <cell r="CV534">
            <v>0</v>
          </cell>
          <cell r="CW534">
            <v>0</v>
          </cell>
          <cell r="CY534">
            <v>1106</v>
          </cell>
          <cell r="CZ534">
            <v>0</v>
          </cell>
          <cell r="DA534">
            <v>1106</v>
          </cell>
          <cell r="DB534">
            <v>0</v>
          </cell>
          <cell r="DC534">
            <v>0</v>
          </cell>
          <cell r="DD534">
            <v>0</v>
          </cell>
          <cell r="DE534">
            <v>0</v>
          </cell>
          <cell r="DF534">
            <v>0</v>
          </cell>
          <cell r="DG534">
            <v>0</v>
          </cell>
          <cell r="DI534">
            <v>0</v>
          </cell>
          <cell r="DJ534">
            <v>4424</v>
          </cell>
          <cell r="DK534">
            <v>0</v>
          </cell>
          <cell r="DL534">
            <v>4424</v>
          </cell>
          <cell r="DM534">
            <v>4424</v>
          </cell>
          <cell r="DN534">
            <v>0</v>
          </cell>
          <cell r="DO534">
            <v>4424</v>
          </cell>
          <cell r="DP534">
            <v>0</v>
          </cell>
          <cell r="DQ534">
            <v>0</v>
          </cell>
          <cell r="DR534">
            <v>0</v>
          </cell>
          <cell r="DS534">
            <v>0</v>
          </cell>
          <cell r="DT534">
            <v>8848</v>
          </cell>
          <cell r="DU534">
            <v>0</v>
          </cell>
          <cell r="DW534">
            <v>0</v>
          </cell>
          <cell r="DX534">
            <v>0</v>
          </cell>
          <cell r="DY534">
            <v>0</v>
          </cell>
          <cell r="DZ534">
            <v>0</v>
          </cell>
          <cell r="EA534">
            <v>0</v>
          </cell>
          <cell r="EB534">
            <v>0</v>
          </cell>
          <cell r="EC534">
            <v>0</v>
          </cell>
          <cell r="ED534">
            <v>0</v>
          </cell>
          <cell r="EE534">
            <v>2212</v>
          </cell>
          <cell r="EF534">
            <v>4424</v>
          </cell>
          <cell r="EG534">
            <v>6636</v>
          </cell>
          <cell r="EH534">
            <v>8848</v>
          </cell>
          <cell r="EI534">
            <v>22120</v>
          </cell>
          <cell r="EK534">
            <v>0</v>
          </cell>
          <cell r="EL534">
            <v>0</v>
          </cell>
          <cell r="EM534">
            <v>0</v>
          </cell>
          <cell r="EN534">
            <v>0</v>
          </cell>
          <cell r="EO534">
            <v>0</v>
          </cell>
          <cell r="EP534">
            <v>0</v>
          </cell>
          <cell r="EQ534">
            <v>0</v>
          </cell>
          <cell r="ER534">
            <v>0</v>
          </cell>
          <cell r="ES534">
            <v>15.852666666666666</v>
          </cell>
          <cell r="ET534">
            <v>31.705333333333332</v>
          </cell>
          <cell r="EU534">
            <v>47.558</v>
          </cell>
          <cell r="EV534">
            <v>63.410666666666664</v>
          </cell>
          <cell r="EW534">
            <v>158.52666666666667</v>
          </cell>
          <cell r="EY534">
            <v>0</v>
          </cell>
          <cell r="EZ534">
            <v>8</v>
          </cell>
          <cell r="FA534">
            <v>0</v>
          </cell>
          <cell r="FB534">
            <v>22120</v>
          </cell>
          <cell r="FC534">
            <v>8.6</v>
          </cell>
          <cell r="FD534">
            <v>158.52666666666667</v>
          </cell>
          <cell r="FE534">
            <v>158.52666666666667</v>
          </cell>
          <cell r="FF534">
            <v>9007</v>
          </cell>
          <cell r="FH534">
            <v>9007</v>
          </cell>
        </row>
        <row r="535">
          <cell r="B535">
            <v>9662</v>
          </cell>
          <cell r="C535" t="str">
            <v>18.08.2009</v>
          </cell>
          <cell r="D535" t="str">
            <v>Barve Harish Pruthviraj</v>
          </cell>
          <cell r="F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BA535">
            <v>0</v>
          </cell>
          <cell r="BB535">
            <v>0</v>
          </cell>
          <cell r="BC535">
            <v>0</v>
          </cell>
          <cell r="BD535">
            <v>0</v>
          </cell>
          <cell r="BE535">
            <v>0</v>
          </cell>
          <cell r="BF535">
            <v>0</v>
          </cell>
          <cell r="BG535">
            <v>0</v>
          </cell>
          <cell r="BH535">
            <v>0</v>
          </cell>
          <cell r="BI535">
            <v>0</v>
          </cell>
          <cell r="BK535">
            <v>0</v>
          </cell>
          <cell r="BL535">
            <v>0</v>
          </cell>
          <cell r="BM535">
            <v>0</v>
          </cell>
          <cell r="BN535">
            <v>0</v>
          </cell>
          <cell r="BO535">
            <v>0</v>
          </cell>
          <cell r="BP535">
            <v>0</v>
          </cell>
          <cell r="BQ535">
            <v>0</v>
          </cell>
          <cell r="BR535">
            <v>0</v>
          </cell>
          <cell r="BS535">
            <v>0</v>
          </cell>
          <cell r="BU535">
            <v>0</v>
          </cell>
          <cell r="BV535">
            <v>0</v>
          </cell>
          <cell r="BW535">
            <v>0</v>
          </cell>
          <cell r="BX535">
            <v>0</v>
          </cell>
          <cell r="BY535">
            <v>0</v>
          </cell>
          <cell r="BZ535">
            <v>0</v>
          </cell>
          <cell r="CA535">
            <v>0</v>
          </cell>
          <cell r="CB535">
            <v>0</v>
          </cell>
          <cell r="CC535">
            <v>0</v>
          </cell>
          <cell r="CE535">
            <v>0</v>
          </cell>
          <cell r="CF535">
            <v>0</v>
          </cell>
          <cell r="CG535">
            <v>0</v>
          </cell>
          <cell r="CH535">
            <v>0</v>
          </cell>
          <cell r="CI535">
            <v>0</v>
          </cell>
          <cell r="CJ535">
            <v>0</v>
          </cell>
          <cell r="CK535">
            <v>0</v>
          </cell>
          <cell r="CL535">
            <v>0</v>
          </cell>
          <cell r="CM535">
            <v>0</v>
          </cell>
          <cell r="CO535">
            <v>0</v>
          </cell>
          <cell r="CP535">
            <v>0</v>
          </cell>
          <cell r="CQ535">
            <v>0</v>
          </cell>
          <cell r="CR535">
            <v>0</v>
          </cell>
          <cell r="CS535">
            <v>0</v>
          </cell>
          <cell r="CT535">
            <v>0</v>
          </cell>
          <cell r="CU535">
            <v>0</v>
          </cell>
          <cell r="CV535">
            <v>0</v>
          </cell>
          <cell r="CW535">
            <v>0</v>
          </cell>
          <cell r="CY535">
            <v>0</v>
          </cell>
          <cell r="CZ535">
            <v>0</v>
          </cell>
          <cell r="DA535">
            <v>0</v>
          </cell>
          <cell r="DB535">
            <v>0</v>
          </cell>
          <cell r="DC535">
            <v>0</v>
          </cell>
          <cell r="DD535">
            <v>0</v>
          </cell>
          <cell r="DE535">
            <v>0</v>
          </cell>
          <cell r="DF535">
            <v>0</v>
          </cell>
          <cell r="DG535">
            <v>0</v>
          </cell>
          <cell r="DI535">
            <v>0</v>
          </cell>
          <cell r="DJ535">
            <v>0</v>
          </cell>
          <cell r="DK535">
            <v>0</v>
          </cell>
          <cell r="DL535">
            <v>0</v>
          </cell>
          <cell r="DM535">
            <v>0</v>
          </cell>
          <cell r="DN535">
            <v>0</v>
          </cell>
          <cell r="DO535">
            <v>0</v>
          </cell>
          <cell r="DP535">
            <v>0</v>
          </cell>
          <cell r="DQ535">
            <v>0</v>
          </cell>
          <cell r="DR535">
            <v>0</v>
          </cell>
          <cell r="DS535">
            <v>0</v>
          </cell>
          <cell r="DT535">
            <v>0</v>
          </cell>
          <cell r="DU535">
            <v>0</v>
          </cell>
          <cell r="DW535">
            <v>0</v>
          </cell>
          <cell r="DX535">
            <v>0</v>
          </cell>
          <cell r="DY535">
            <v>0</v>
          </cell>
          <cell r="DZ535">
            <v>0</v>
          </cell>
          <cell r="EA535">
            <v>0</v>
          </cell>
          <cell r="EB535">
            <v>0</v>
          </cell>
          <cell r="EC535">
            <v>0</v>
          </cell>
          <cell r="ED535">
            <v>0</v>
          </cell>
          <cell r="EE535">
            <v>0</v>
          </cell>
          <cell r="EF535">
            <v>0</v>
          </cell>
          <cell r="EG535">
            <v>0</v>
          </cell>
          <cell r="EH535">
            <v>0</v>
          </cell>
          <cell r="EI535">
            <v>0</v>
          </cell>
          <cell r="EK535">
            <v>0</v>
          </cell>
          <cell r="EL535">
            <v>0</v>
          </cell>
          <cell r="EM535">
            <v>0</v>
          </cell>
          <cell r="EN535">
            <v>0</v>
          </cell>
          <cell r="EO535">
            <v>0</v>
          </cell>
          <cell r="EP535">
            <v>0</v>
          </cell>
          <cell r="EQ535">
            <v>0</v>
          </cell>
          <cell r="ER535">
            <v>0</v>
          </cell>
          <cell r="ES535">
            <v>0</v>
          </cell>
          <cell r="ET535">
            <v>0</v>
          </cell>
          <cell r="EU535">
            <v>0</v>
          </cell>
          <cell r="EV535">
            <v>0</v>
          </cell>
          <cell r="EW535">
            <v>0</v>
          </cell>
          <cell r="EY535">
            <v>0</v>
          </cell>
          <cell r="EZ535">
            <v>8</v>
          </cell>
          <cell r="FA535">
            <v>0</v>
          </cell>
          <cell r="FB535">
            <v>0</v>
          </cell>
          <cell r="FC535">
            <v>8.6</v>
          </cell>
          <cell r="FD535">
            <v>0</v>
          </cell>
          <cell r="FE535">
            <v>0</v>
          </cell>
          <cell r="FF535">
            <v>0</v>
          </cell>
          <cell r="FH535">
            <v>0</v>
          </cell>
        </row>
        <row r="536">
          <cell r="B536">
            <v>9663</v>
          </cell>
          <cell r="C536" t="str">
            <v>18.08.2009</v>
          </cell>
          <cell r="D536" t="str">
            <v>Kale Nilesh Uttam</v>
          </cell>
          <cell r="F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O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BA536">
            <v>0</v>
          </cell>
          <cell r="BB536">
            <v>0</v>
          </cell>
          <cell r="BC536">
            <v>0</v>
          </cell>
          <cell r="BD536">
            <v>0</v>
          </cell>
          <cell r="BE536">
            <v>0</v>
          </cell>
          <cell r="BF536">
            <v>0</v>
          </cell>
          <cell r="BG536">
            <v>0</v>
          </cell>
          <cell r="BH536">
            <v>0</v>
          </cell>
          <cell r="BI536">
            <v>0</v>
          </cell>
          <cell r="BK536">
            <v>0</v>
          </cell>
          <cell r="BL536">
            <v>0</v>
          </cell>
          <cell r="BM536">
            <v>0</v>
          </cell>
          <cell r="BN536">
            <v>0</v>
          </cell>
          <cell r="BO536">
            <v>0</v>
          </cell>
          <cell r="BP536">
            <v>0</v>
          </cell>
          <cell r="BQ536">
            <v>0</v>
          </cell>
          <cell r="BR536">
            <v>0</v>
          </cell>
          <cell r="BS536">
            <v>0</v>
          </cell>
          <cell r="BU536">
            <v>0</v>
          </cell>
          <cell r="BV536">
            <v>0</v>
          </cell>
          <cell r="BW536">
            <v>0</v>
          </cell>
          <cell r="BX536">
            <v>0</v>
          </cell>
          <cell r="BY536">
            <v>0</v>
          </cell>
          <cell r="BZ536">
            <v>0</v>
          </cell>
          <cell r="CA536">
            <v>0</v>
          </cell>
          <cell r="CB536">
            <v>0</v>
          </cell>
          <cell r="CC536">
            <v>0</v>
          </cell>
          <cell r="CE536">
            <v>0</v>
          </cell>
          <cell r="CF536">
            <v>0</v>
          </cell>
          <cell r="CG536">
            <v>0</v>
          </cell>
          <cell r="CH536">
            <v>0</v>
          </cell>
          <cell r="CI536">
            <v>0</v>
          </cell>
          <cell r="CJ536">
            <v>0</v>
          </cell>
          <cell r="CK536">
            <v>0</v>
          </cell>
          <cell r="CL536">
            <v>0</v>
          </cell>
          <cell r="CM536">
            <v>0</v>
          </cell>
          <cell r="CO536">
            <v>0</v>
          </cell>
          <cell r="CP536">
            <v>0</v>
          </cell>
          <cell r="CQ536">
            <v>0</v>
          </cell>
          <cell r="CR536">
            <v>0</v>
          </cell>
          <cell r="CS536">
            <v>0</v>
          </cell>
          <cell r="CT536">
            <v>0</v>
          </cell>
          <cell r="CU536">
            <v>0</v>
          </cell>
          <cell r="CV536">
            <v>0</v>
          </cell>
          <cell r="CW536">
            <v>0</v>
          </cell>
          <cell r="CY536">
            <v>0</v>
          </cell>
          <cell r="CZ536">
            <v>0</v>
          </cell>
          <cell r="DA536">
            <v>0</v>
          </cell>
          <cell r="DB536">
            <v>0</v>
          </cell>
          <cell r="DC536">
            <v>0</v>
          </cell>
          <cell r="DD536">
            <v>0</v>
          </cell>
          <cell r="DE536">
            <v>0</v>
          </cell>
          <cell r="DF536">
            <v>0</v>
          </cell>
          <cell r="DG536">
            <v>0</v>
          </cell>
          <cell r="DI536">
            <v>0</v>
          </cell>
          <cell r="DJ536">
            <v>0</v>
          </cell>
          <cell r="DK536">
            <v>0</v>
          </cell>
          <cell r="DL536">
            <v>0</v>
          </cell>
          <cell r="DM536">
            <v>0</v>
          </cell>
          <cell r="DN536">
            <v>0</v>
          </cell>
          <cell r="DO536">
            <v>0</v>
          </cell>
          <cell r="DP536">
            <v>0</v>
          </cell>
          <cell r="DQ536">
            <v>0</v>
          </cell>
          <cell r="DR536">
            <v>0</v>
          </cell>
          <cell r="DS536">
            <v>0</v>
          </cell>
          <cell r="DT536">
            <v>0</v>
          </cell>
          <cell r="DU536">
            <v>0</v>
          </cell>
          <cell r="DW536">
            <v>0</v>
          </cell>
          <cell r="DX536">
            <v>0</v>
          </cell>
          <cell r="DY536">
            <v>0</v>
          </cell>
          <cell r="DZ536">
            <v>0</v>
          </cell>
          <cell r="EA536">
            <v>0</v>
          </cell>
          <cell r="EB536">
            <v>0</v>
          </cell>
          <cell r="EC536">
            <v>0</v>
          </cell>
          <cell r="ED536">
            <v>0</v>
          </cell>
          <cell r="EE536">
            <v>0</v>
          </cell>
          <cell r="EF536">
            <v>0</v>
          </cell>
          <cell r="EG536">
            <v>0</v>
          </cell>
          <cell r="EH536">
            <v>0</v>
          </cell>
          <cell r="EI536">
            <v>0</v>
          </cell>
          <cell r="EK536">
            <v>0</v>
          </cell>
          <cell r="EL536">
            <v>0</v>
          </cell>
          <cell r="EM536">
            <v>0</v>
          </cell>
          <cell r="EN536">
            <v>0</v>
          </cell>
          <cell r="EO536">
            <v>0</v>
          </cell>
          <cell r="EP536">
            <v>0</v>
          </cell>
          <cell r="EQ536">
            <v>0</v>
          </cell>
          <cell r="ER536">
            <v>0</v>
          </cell>
          <cell r="ES536">
            <v>0</v>
          </cell>
          <cell r="ET536">
            <v>0</v>
          </cell>
          <cell r="EU536">
            <v>0</v>
          </cell>
          <cell r="EV536">
            <v>0</v>
          </cell>
          <cell r="EW536">
            <v>0</v>
          </cell>
          <cell r="EY536">
            <v>0</v>
          </cell>
          <cell r="EZ536">
            <v>8</v>
          </cell>
          <cell r="FA536">
            <v>0</v>
          </cell>
          <cell r="FB536">
            <v>0</v>
          </cell>
          <cell r="FC536">
            <v>8.6</v>
          </cell>
          <cell r="FD536">
            <v>0</v>
          </cell>
          <cell r="FE536">
            <v>0</v>
          </cell>
          <cell r="FF536">
            <v>0</v>
          </cell>
          <cell r="FH536">
            <v>0</v>
          </cell>
        </row>
        <row r="537">
          <cell r="B537">
            <v>9664</v>
          </cell>
          <cell r="C537" t="str">
            <v>18.08.2009</v>
          </cell>
          <cell r="D537" t="str">
            <v>Salve Pravin Ashok</v>
          </cell>
          <cell r="F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AO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BA537">
            <v>0</v>
          </cell>
          <cell r="BB537">
            <v>0</v>
          </cell>
          <cell r="BC537">
            <v>0</v>
          </cell>
          <cell r="BD537">
            <v>0</v>
          </cell>
          <cell r="BE537">
            <v>0</v>
          </cell>
          <cell r="BF537">
            <v>0</v>
          </cell>
          <cell r="BG537">
            <v>0</v>
          </cell>
          <cell r="BH537">
            <v>0</v>
          </cell>
          <cell r="BI537">
            <v>0</v>
          </cell>
          <cell r="BK537">
            <v>0</v>
          </cell>
          <cell r="BL537">
            <v>0</v>
          </cell>
          <cell r="BM537">
            <v>0</v>
          </cell>
          <cell r="BN537">
            <v>0</v>
          </cell>
          <cell r="BO537">
            <v>0</v>
          </cell>
          <cell r="BP537">
            <v>0</v>
          </cell>
          <cell r="BQ537">
            <v>0</v>
          </cell>
          <cell r="BR537">
            <v>0</v>
          </cell>
          <cell r="BS537">
            <v>0</v>
          </cell>
          <cell r="BU537">
            <v>0</v>
          </cell>
          <cell r="BV537">
            <v>0</v>
          </cell>
          <cell r="BW537">
            <v>0</v>
          </cell>
          <cell r="BX537">
            <v>0</v>
          </cell>
          <cell r="BY537">
            <v>0</v>
          </cell>
          <cell r="BZ537">
            <v>0</v>
          </cell>
          <cell r="CA537">
            <v>0</v>
          </cell>
          <cell r="CB537">
            <v>0</v>
          </cell>
          <cell r="CC537">
            <v>0</v>
          </cell>
          <cell r="CE537">
            <v>0</v>
          </cell>
          <cell r="CF537">
            <v>0</v>
          </cell>
          <cell r="CG537">
            <v>0</v>
          </cell>
          <cell r="CH537">
            <v>0</v>
          </cell>
          <cell r="CI537">
            <v>0</v>
          </cell>
          <cell r="CJ537">
            <v>0</v>
          </cell>
          <cell r="CK537">
            <v>0</v>
          </cell>
          <cell r="CL537">
            <v>0</v>
          </cell>
          <cell r="CM537">
            <v>0</v>
          </cell>
          <cell r="CO537">
            <v>0</v>
          </cell>
          <cell r="CP537">
            <v>0</v>
          </cell>
          <cell r="CQ537">
            <v>0</v>
          </cell>
          <cell r="CR537">
            <v>0</v>
          </cell>
          <cell r="CS537">
            <v>0</v>
          </cell>
          <cell r="CT537">
            <v>0</v>
          </cell>
          <cell r="CU537">
            <v>0</v>
          </cell>
          <cell r="CV537">
            <v>0</v>
          </cell>
          <cell r="CW537">
            <v>0</v>
          </cell>
          <cell r="CY537">
            <v>0</v>
          </cell>
          <cell r="CZ537">
            <v>0</v>
          </cell>
          <cell r="DA537">
            <v>0</v>
          </cell>
          <cell r="DB537">
            <v>0</v>
          </cell>
          <cell r="DC537">
            <v>0</v>
          </cell>
          <cell r="DD537">
            <v>0</v>
          </cell>
          <cell r="DE537">
            <v>0</v>
          </cell>
          <cell r="DF537">
            <v>0</v>
          </cell>
          <cell r="DG537">
            <v>0</v>
          </cell>
          <cell r="DI537">
            <v>0</v>
          </cell>
          <cell r="DJ537">
            <v>0</v>
          </cell>
          <cell r="DK537">
            <v>0</v>
          </cell>
          <cell r="DL537">
            <v>0</v>
          </cell>
          <cell r="DM537">
            <v>0</v>
          </cell>
          <cell r="DN537">
            <v>0</v>
          </cell>
          <cell r="DO537">
            <v>0</v>
          </cell>
          <cell r="DP537">
            <v>0</v>
          </cell>
          <cell r="DQ537">
            <v>0</v>
          </cell>
          <cell r="DR537">
            <v>0</v>
          </cell>
          <cell r="DS537">
            <v>0</v>
          </cell>
          <cell r="DT537">
            <v>0</v>
          </cell>
          <cell r="DU537">
            <v>0</v>
          </cell>
          <cell r="DW537">
            <v>0</v>
          </cell>
          <cell r="DX537">
            <v>0</v>
          </cell>
          <cell r="DY537">
            <v>0</v>
          </cell>
          <cell r="DZ537">
            <v>0</v>
          </cell>
          <cell r="EA537">
            <v>0</v>
          </cell>
          <cell r="EB537">
            <v>0</v>
          </cell>
          <cell r="EC537">
            <v>0</v>
          </cell>
          <cell r="ED537">
            <v>0</v>
          </cell>
          <cell r="EE537">
            <v>0</v>
          </cell>
          <cell r="EF537">
            <v>0</v>
          </cell>
          <cell r="EG537">
            <v>0</v>
          </cell>
          <cell r="EH537">
            <v>0</v>
          </cell>
          <cell r="EI537">
            <v>0</v>
          </cell>
          <cell r="EK537">
            <v>0</v>
          </cell>
          <cell r="EL537">
            <v>0</v>
          </cell>
          <cell r="EM537">
            <v>0</v>
          </cell>
          <cell r="EN537">
            <v>0</v>
          </cell>
          <cell r="EO537">
            <v>0</v>
          </cell>
          <cell r="EP537">
            <v>0</v>
          </cell>
          <cell r="EQ537">
            <v>0</v>
          </cell>
          <cell r="ER537">
            <v>0</v>
          </cell>
          <cell r="ES537">
            <v>0</v>
          </cell>
          <cell r="ET537">
            <v>0</v>
          </cell>
          <cell r="EU537">
            <v>0</v>
          </cell>
          <cell r="EV537">
            <v>0</v>
          </cell>
          <cell r="EW537">
            <v>0</v>
          </cell>
          <cell r="EY537">
            <v>0</v>
          </cell>
          <cell r="EZ537">
            <v>8</v>
          </cell>
          <cell r="FA537">
            <v>0</v>
          </cell>
          <cell r="FB537">
            <v>0</v>
          </cell>
          <cell r="FC537">
            <v>8.6</v>
          </cell>
          <cell r="FD537">
            <v>0</v>
          </cell>
          <cell r="FE537">
            <v>0</v>
          </cell>
          <cell r="FF537">
            <v>0</v>
          </cell>
          <cell r="FH537">
            <v>0</v>
          </cell>
        </row>
        <row r="538">
          <cell r="B538">
            <v>9665</v>
          </cell>
          <cell r="C538" t="str">
            <v>18.08.2009</v>
          </cell>
          <cell r="D538" t="str">
            <v>Dhengale Pratip Ashok</v>
          </cell>
          <cell r="F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BA538">
            <v>0</v>
          </cell>
          <cell r="BB538">
            <v>0</v>
          </cell>
          <cell r="BC538">
            <v>0</v>
          </cell>
          <cell r="BD538">
            <v>0</v>
          </cell>
          <cell r="BE538">
            <v>0</v>
          </cell>
          <cell r="BF538">
            <v>0</v>
          </cell>
          <cell r="BG538">
            <v>0</v>
          </cell>
          <cell r="BH538">
            <v>0</v>
          </cell>
          <cell r="BI538">
            <v>0</v>
          </cell>
          <cell r="BK538">
            <v>0</v>
          </cell>
          <cell r="BL538">
            <v>0</v>
          </cell>
          <cell r="BM538">
            <v>0</v>
          </cell>
          <cell r="BN538">
            <v>0</v>
          </cell>
          <cell r="BO538">
            <v>0</v>
          </cell>
          <cell r="BP538">
            <v>0</v>
          </cell>
          <cell r="BQ538">
            <v>0</v>
          </cell>
          <cell r="BR538">
            <v>0</v>
          </cell>
          <cell r="BS538">
            <v>0</v>
          </cell>
          <cell r="BU538">
            <v>0</v>
          </cell>
          <cell r="BV538">
            <v>0</v>
          </cell>
          <cell r="BW538">
            <v>0</v>
          </cell>
          <cell r="BX538">
            <v>0</v>
          </cell>
          <cell r="BY538">
            <v>0</v>
          </cell>
          <cell r="BZ538">
            <v>0</v>
          </cell>
          <cell r="CA538">
            <v>0</v>
          </cell>
          <cell r="CB538">
            <v>0</v>
          </cell>
          <cell r="CC538">
            <v>0</v>
          </cell>
          <cell r="CE538">
            <v>0</v>
          </cell>
          <cell r="CF538">
            <v>0</v>
          </cell>
          <cell r="CG538">
            <v>0</v>
          </cell>
          <cell r="CH538">
            <v>0</v>
          </cell>
          <cell r="CI538">
            <v>0</v>
          </cell>
          <cell r="CJ538">
            <v>0</v>
          </cell>
          <cell r="CK538">
            <v>0</v>
          </cell>
          <cell r="CL538">
            <v>0</v>
          </cell>
          <cell r="CM538">
            <v>0</v>
          </cell>
          <cell r="CO538">
            <v>0</v>
          </cell>
          <cell r="CP538">
            <v>0</v>
          </cell>
          <cell r="CQ538">
            <v>0</v>
          </cell>
          <cell r="CR538">
            <v>0</v>
          </cell>
          <cell r="CS538">
            <v>0</v>
          </cell>
          <cell r="CT538">
            <v>0</v>
          </cell>
          <cell r="CU538">
            <v>0</v>
          </cell>
          <cell r="CV538">
            <v>0</v>
          </cell>
          <cell r="CW538">
            <v>0</v>
          </cell>
          <cell r="CY538">
            <v>0</v>
          </cell>
          <cell r="CZ538">
            <v>0</v>
          </cell>
          <cell r="DA538">
            <v>0</v>
          </cell>
          <cell r="DB538">
            <v>0</v>
          </cell>
          <cell r="DC538">
            <v>0</v>
          </cell>
          <cell r="DD538">
            <v>0</v>
          </cell>
          <cell r="DE538">
            <v>0</v>
          </cell>
          <cell r="DF538">
            <v>0</v>
          </cell>
          <cell r="DG538">
            <v>0</v>
          </cell>
          <cell r="DI538">
            <v>0</v>
          </cell>
          <cell r="DJ538">
            <v>0</v>
          </cell>
          <cell r="DK538">
            <v>0</v>
          </cell>
          <cell r="DL538">
            <v>0</v>
          </cell>
          <cell r="DM538">
            <v>0</v>
          </cell>
          <cell r="DN538">
            <v>0</v>
          </cell>
          <cell r="DO538">
            <v>0</v>
          </cell>
          <cell r="DP538">
            <v>0</v>
          </cell>
          <cell r="DQ538">
            <v>0</v>
          </cell>
          <cell r="DR538">
            <v>0</v>
          </cell>
          <cell r="DS538">
            <v>0</v>
          </cell>
          <cell r="DT538">
            <v>0</v>
          </cell>
          <cell r="DU538">
            <v>0</v>
          </cell>
          <cell r="DW538">
            <v>0</v>
          </cell>
          <cell r="DX538">
            <v>0</v>
          </cell>
          <cell r="DY538">
            <v>0</v>
          </cell>
          <cell r="DZ538">
            <v>0</v>
          </cell>
          <cell r="EA538">
            <v>0</v>
          </cell>
          <cell r="EB538">
            <v>0</v>
          </cell>
          <cell r="EC538">
            <v>0</v>
          </cell>
          <cell r="ED538">
            <v>0</v>
          </cell>
          <cell r="EE538">
            <v>0</v>
          </cell>
          <cell r="EF538">
            <v>0</v>
          </cell>
          <cell r="EG538">
            <v>0</v>
          </cell>
          <cell r="EH538">
            <v>0</v>
          </cell>
          <cell r="EI538">
            <v>0</v>
          </cell>
          <cell r="EK538">
            <v>0</v>
          </cell>
          <cell r="EL538">
            <v>0</v>
          </cell>
          <cell r="EM538">
            <v>0</v>
          </cell>
          <cell r="EN538">
            <v>0</v>
          </cell>
          <cell r="EO538">
            <v>0</v>
          </cell>
          <cell r="EP538">
            <v>0</v>
          </cell>
          <cell r="EQ538">
            <v>0</v>
          </cell>
          <cell r="ER538">
            <v>0</v>
          </cell>
          <cell r="ES538">
            <v>0</v>
          </cell>
          <cell r="ET538">
            <v>0</v>
          </cell>
          <cell r="EU538">
            <v>0</v>
          </cell>
          <cell r="EV538">
            <v>0</v>
          </cell>
          <cell r="EW538">
            <v>0</v>
          </cell>
          <cell r="EY538">
            <v>0</v>
          </cell>
          <cell r="EZ538">
            <v>8</v>
          </cell>
          <cell r="FA538">
            <v>0</v>
          </cell>
          <cell r="FB538">
            <v>0</v>
          </cell>
          <cell r="FC538">
            <v>8.6</v>
          </cell>
          <cell r="FD538">
            <v>0</v>
          </cell>
          <cell r="FE538">
            <v>0</v>
          </cell>
          <cell r="FF538">
            <v>0</v>
          </cell>
          <cell r="FH538">
            <v>0</v>
          </cell>
        </row>
        <row r="539">
          <cell r="B539">
            <v>9670</v>
          </cell>
          <cell r="C539" t="str">
            <v>18.08.2009</v>
          </cell>
          <cell r="D539" t="str">
            <v>Lot Seeta Sunil</v>
          </cell>
          <cell r="F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G539">
            <v>0</v>
          </cell>
          <cell r="AH539">
            <v>0</v>
          </cell>
          <cell r="AI539">
            <v>0</v>
          </cell>
          <cell r="AJ539">
            <v>0</v>
          </cell>
          <cell r="AK539">
            <v>0</v>
          </cell>
          <cell r="AL539">
            <v>0</v>
          </cell>
          <cell r="AM539">
            <v>0</v>
          </cell>
          <cell r="AN539">
            <v>0</v>
          </cell>
          <cell r="AO539">
            <v>0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>
            <v>0</v>
          </cell>
          <cell r="AX539">
            <v>0</v>
          </cell>
          <cell r="AY539">
            <v>0</v>
          </cell>
          <cell r="BA539">
            <v>0</v>
          </cell>
          <cell r="BB539">
            <v>0</v>
          </cell>
          <cell r="BC539">
            <v>0</v>
          </cell>
          <cell r="BD539">
            <v>0</v>
          </cell>
          <cell r="BE539">
            <v>0</v>
          </cell>
          <cell r="BF539">
            <v>0</v>
          </cell>
          <cell r="BG539">
            <v>0</v>
          </cell>
          <cell r="BH539">
            <v>0</v>
          </cell>
          <cell r="BI539">
            <v>0</v>
          </cell>
          <cell r="BK539">
            <v>0</v>
          </cell>
          <cell r="BL539">
            <v>0</v>
          </cell>
          <cell r="BM539">
            <v>0</v>
          </cell>
          <cell r="BN539">
            <v>0</v>
          </cell>
          <cell r="BO539">
            <v>0</v>
          </cell>
          <cell r="BP539">
            <v>0</v>
          </cell>
          <cell r="BQ539">
            <v>0</v>
          </cell>
          <cell r="BR539">
            <v>0</v>
          </cell>
          <cell r="BS539">
            <v>0</v>
          </cell>
          <cell r="BU539">
            <v>0</v>
          </cell>
          <cell r="BV539">
            <v>0</v>
          </cell>
          <cell r="BW539">
            <v>0</v>
          </cell>
          <cell r="BX539">
            <v>0</v>
          </cell>
          <cell r="BY539">
            <v>0</v>
          </cell>
          <cell r="BZ539">
            <v>0</v>
          </cell>
          <cell r="CA539">
            <v>0</v>
          </cell>
          <cell r="CB539">
            <v>0</v>
          </cell>
          <cell r="CC539">
            <v>0</v>
          </cell>
          <cell r="CE539">
            <v>0</v>
          </cell>
          <cell r="CF539">
            <v>0</v>
          </cell>
          <cell r="CG539">
            <v>0</v>
          </cell>
          <cell r="CH539">
            <v>0</v>
          </cell>
          <cell r="CI539">
            <v>0</v>
          </cell>
          <cell r="CJ539">
            <v>0</v>
          </cell>
          <cell r="CK539">
            <v>0</v>
          </cell>
          <cell r="CL539">
            <v>0</v>
          </cell>
          <cell r="CM539">
            <v>0</v>
          </cell>
          <cell r="CO539">
            <v>0</v>
          </cell>
          <cell r="CP539">
            <v>0</v>
          </cell>
          <cell r="CQ539">
            <v>0</v>
          </cell>
          <cell r="CR539">
            <v>0</v>
          </cell>
          <cell r="CS539">
            <v>0</v>
          </cell>
          <cell r="CT539">
            <v>0</v>
          </cell>
          <cell r="CU539">
            <v>0</v>
          </cell>
          <cell r="CV539">
            <v>0</v>
          </cell>
          <cell r="CW539">
            <v>0</v>
          </cell>
          <cell r="CY539">
            <v>0</v>
          </cell>
          <cell r="CZ539">
            <v>0</v>
          </cell>
          <cell r="DA539">
            <v>0</v>
          </cell>
          <cell r="DB539">
            <v>0</v>
          </cell>
          <cell r="DC539">
            <v>0</v>
          </cell>
          <cell r="DD539">
            <v>0</v>
          </cell>
          <cell r="DE539">
            <v>0</v>
          </cell>
          <cell r="DF539">
            <v>0</v>
          </cell>
          <cell r="DG539">
            <v>0</v>
          </cell>
          <cell r="DI539">
            <v>0</v>
          </cell>
          <cell r="DJ539">
            <v>0</v>
          </cell>
          <cell r="DK539">
            <v>0</v>
          </cell>
          <cell r="DL539">
            <v>0</v>
          </cell>
          <cell r="DM539">
            <v>0</v>
          </cell>
          <cell r="DN539">
            <v>0</v>
          </cell>
          <cell r="DO539">
            <v>0</v>
          </cell>
          <cell r="DP539">
            <v>0</v>
          </cell>
          <cell r="DQ539">
            <v>0</v>
          </cell>
          <cell r="DR539">
            <v>0</v>
          </cell>
          <cell r="DS539">
            <v>0</v>
          </cell>
          <cell r="DT539">
            <v>0</v>
          </cell>
          <cell r="DU539">
            <v>0</v>
          </cell>
          <cell r="DW539">
            <v>0</v>
          </cell>
          <cell r="DX539">
            <v>0</v>
          </cell>
          <cell r="DY539">
            <v>0</v>
          </cell>
          <cell r="DZ539">
            <v>0</v>
          </cell>
          <cell r="EA539">
            <v>0</v>
          </cell>
          <cell r="EB539">
            <v>0</v>
          </cell>
          <cell r="EC539">
            <v>0</v>
          </cell>
          <cell r="ED539">
            <v>0</v>
          </cell>
          <cell r="EE539">
            <v>0</v>
          </cell>
          <cell r="EF539">
            <v>0</v>
          </cell>
          <cell r="EG539">
            <v>0</v>
          </cell>
          <cell r="EH539">
            <v>0</v>
          </cell>
          <cell r="EI539">
            <v>0</v>
          </cell>
          <cell r="EK539">
            <v>0</v>
          </cell>
          <cell r="EL539">
            <v>0</v>
          </cell>
          <cell r="EM539">
            <v>0</v>
          </cell>
          <cell r="EN539">
            <v>0</v>
          </cell>
          <cell r="EO539">
            <v>0</v>
          </cell>
          <cell r="EP539">
            <v>0</v>
          </cell>
          <cell r="EQ539">
            <v>0</v>
          </cell>
          <cell r="ER539">
            <v>0</v>
          </cell>
          <cell r="ES539">
            <v>0</v>
          </cell>
          <cell r="ET539">
            <v>0</v>
          </cell>
          <cell r="EU539">
            <v>0</v>
          </cell>
          <cell r="EV539">
            <v>0</v>
          </cell>
          <cell r="EW539">
            <v>0</v>
          </cell>
          <cell r="EY539">
            <v>0</v>
          </cell>
          <cell r="EZ539">
            <v>8</v>
          </cell>
          <cell r="FA539">
            <v>0</v>
          </cell>
          <cell r="FB539">
            <v>0</v>
          </cell>
          <cell r="FC539">
            <v>8.6</v>
          </cell>
          <cell r="FD539">
            <v>0</v>
          </cell>
          <cell r="FE539">
            <v>0</v>
          </cell>
          <cell r="FF539">
            <v>0</v>
          </cell>
          <cell r="FH539">
            <v>0</v>
          </cell>
        </row>
        <row r="540">
          <cell r="B540">
            <v>9672</v>
          </cell>
          <cell r="C540" t="str">
            <v>18.08.2009</v>
          </cell>
          <cell r="D540" t="str">
            <v>Parmar Rohan Ravindra</v>
          </cell>
          <cell r="F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BA540">
            <v>0</v>
          </cell>
          <cell r="BB540">
            <v>0</v>
          </cell>
          <cell r="BC540">
            <v>0</v>
          </cell>
          <cell r="BD540">
            <v>0</v>
          </cell>
          <cell r="BE540">
            <v>0</v>
          </cell>
          <cell r="BF540">
            <v>0</v>
          </cell>
          <cell r="BG540">
            <v>0</v>
          </cell>
          <cell r="BH540">
            <v>0</v>
          </cell>
          <cell r="BI540">
            <v>0</v>
          </cell>
          <cell r="BK540">
            <v>0</v>
          </cell>
          <cell r="BL540">
            <v>0</v>
          </cell>
          <cell r="BM540">
            <v>0</v>
          </cell>
          <cell r="BN540">
            <v>0</v>
          </cell>
          <cell r="BO540">
            <v>0</v>
          </cell>
          <cell r="BP540">
            <v>0</v>
          </cell>
          <cell r="BQ540">
            <v>0</v>
          </cell>
          <cell r="BR540">
            <v>0</v>
          </cell>
          <cell r="BS540">
            <v>0</v>
          </cell>
          <cell r="BU540">
            <v>0</v>
          </cell>
          <cell r="BV540">
            <v>0</v>
          </cell>
          <cell r="BW540">
            <v>0</v>
          </cell>
          <cell r="BX540">
            <v>0</v>
          </cell>
          <cell r="BY540">
            <v>0</v>
          </cell>
          <cell r="BZ540">
            <v>0</v>
          </cell>
          <cell r="CA540">
            <v>0</v>
          </cell>
          <cell r="CB540">
            <v>0</v>
          </cell>
          <cell r="CC540">
            <v>0</v>
          </cell>
          <cell r="CE540">
            <v>0</v>
          </cell>
          <cell r="CF540">
            <v>0</v>
          </cell>
          <cell r="CG540">
            <v>0</v>
          </cell>
          <cell r="CH540">
            <v>0</v>
          </cell>
          <cell r="CI540">
            <v>0</v>
          </cell>
          <cell r="CJ540">
            <v>0</v>
          </cell>
          <cell r="CK540">
            <v>0</v>
          </cell>
          <cell r="CL540">
            <v>0</v>
          </cell>
          <cell r="CM540">
            <v>0</v>
          </cell>
          <cell r="CO540">
            <v>0</v>
          </cell>
          <cell r="CP540">
            <v>0</v>
          </cell>
          <cell r="CQ540">
            <v>0</v>
          </cell>
          <cell r="CR540">
            <v>0</v>
          </cell>
          <cell r="CS540">
            <v>0</v>
          </cell>
          <cell r="CT540">
            <v>0</v>
          </cell>
          <cell r="CU540">
            <v>0</v>
          </cell>
          <cell r="CV540">
            <v>0</v>
          </cell>
          <cell r="CW540">
            <v>0</v>
          </cell>
          <cell r="CY540">
            <v>0</v>
          </cell>
          <cell r="CZ540">
            <v>0</v>
          </cell>
          <cell r="DA540">
            <v>0</v>
          </cell>
          <cell r="DB540">
            <v>0</v>
          </cell>
          <cell r="DC540">
            <v>0</v>
          </cell>
          <cell r="DD540">
            <v>0</v>
          </cell>
          <cell r="DE540">
            <v>0</v>
          </cell>
          <cell r="DF540">
            <v>0</v>
          </cell>
          <cell r="DG540">
            <v>0</v>
          </cell>
          <cell r="DI540">
            <v>0</v>
          </cell>
          <cell r="DJ540">
            <v>0</v>
          </cell>
          <cell r="DK540">
            <v>0</v>
          </cell>
          <cell r="DL540">
            <v>0</v>
          </cell>
          <cell r="DM540">
            <v>0</v>
          </cell>
          <cell r="DN540">
            <v>0</v>
          </cell>
          <cell r="DO540">
            <v>0</v>
          </cell>
          <cell r="DP540">
            <v>0</v>
          </cell>
          <cell r="DQ540">
            <v>0</v>
          </cell>
          <cell r="DR540">
            <v>0</v>
          </cell>
          <cell r="DS540">
            <v>0</v>
          </cell>
          <cell r="DT540">
            <v>0</v>
          </cell>
          <cell r="DU540">
            <v>0</v>
          </cell>
          <cell r="DW540">
            <v>0</v>
          </cell>
          <cell r="DX540">
            <v>0</v>
          </cell>
          <cell r="DY540">
            <v>0</v>
          </cell>
          <cell r="DZ540">
            <v>0</v>
          </cell>
          <cell r="EA540">
            <v>0</v>
          </cell>
          <cell r="EB540">
            <v>0</v>
          </cell>
          <cell r="EC540">
            <v>0</v>
          </cell>
          <cell r="ED540">
            <v>0</v>
          </cell>
          <cell r="EE540">
            <v>0</v>
          </cell>
          <cell r="EF540">
            <v>0</v>
          </cell>
          <cell r="EG540">
            <v>0</v>
          </cell>
          <cell r="EH540">
            <v>0</v>
          </cell>
          <cell r="EI540">
            <v>0</v>
          </cell>
          <cell r="EK540">
            <v>0</v>
          </cell>
          <cell r="EL540">
            <v>0</v>
          </cell>
          <cell r="EM540">
            <v>0</v>
          </cell>
          <cell r="EN540">
            <v>0</v>
          </cell>
          <cell r="EO540">
            <v>0</v>
          </cell>
          <cell r="EP540">
            <v>0</v>
          </cell>
          <cell r="EQ540">
            <v>0</v>
          </cell>
          <cell r="ER540">
            <v>0</v>
          </cell>
          <cell r="ES540">
            <v>0</v>
          </cell>
          <cell r="ET540">
            <v>0</v>
          </cell>
          <cell r="EU540">
            <v>0</v>
          </cell>
          <cell r="EV540">
            <v>0</v>
          </cell>
          <cell r="EW540">
            <v>0</v>
          </cell>
          <cell r="EY540">
            <v>0</v>
          </cell>
          <cell r="EZ540">
            <v>8</v>
          </cell>
          <cell r="FA540">
            <v>0</v>
          </cell>
          <cell r="FB540">
            <v>0</v>
          </cell>
          <cell r="FC540">
            <v>8.6</v>
          </cell>
          <cell r="FD540">
            <v>0</v>
          </cell>
          <cell r="FE540">
            <v>0</v>
          </cell>
          <cell r="FF540">
            <v>0</v>
          </cell>
          <cell r="FH540">
            <v>0</v>
          </cell>
        </row>
        <row r="541">
          <cell r="B541">
            <v>9673</v>
          </cell>
          <cell r="C541" t="str">
            <v>18.08.2009</v>
          </cell>
          <cell r="D541" t="str">
            <v>Waghile Sandip Ramdas</v>
          </cell>
          <cell r="F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G541">
            <v>0</v>
          </cell>
          <cell r="AH541">
            <v>0</v>
          </cell>
          <cell r="AI541">
            <v>0</v>
          </cell>
          <cell r="AJ541">
            <v>0</v>
          </cell>
          <cell r="AK541">
            <v>0</v>
          </cell>
          <cell r="AL541">
            <v>0</v>
          </cell>
          <cell r="AM541">
            <v>0</v>
          </cell>
          <cell r="AN541">
            <v>0</v>
          </cell>
          <cell r="AO541">
            <v>0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0</v>
          </cell>
          <cell r="AY541">
            <v>0</v>
          </cell>
          <cell r="BA541">
            <v>0</v>
          </cell>
          <cell r="BB541">
            <v>0</v>
          </cell>
          <cell r="BC541">
            <v>0</v>
          </cell>
          <cell r="BD541">
            <v>0</v>
          </cell>
          <cell r="BE541">
            <v>0</v>
          </cell>
          <cell r="BF541">
            <v>0</v>
          </cell>
          <cell r="BG541">
            <v>0</v>
          </cell>
          <cell r="BH541">
            <v>0</v>
          </cell>
          <cell r="BI541">
            <v>0</v>
          </cell>
          <cell r="BK541">
            <v>0</v>
          </cell>
          <cell r="BL541">
            <v>0</v>
          </cell>
          <cell r="BM541">
            <v>0</v>
          </cell>
          <cell r="BN541">
            <v>0</v>
          </cell>
          <cell r="BO541">
            <v>0</v>
          </cell>
          <cell r="BP541">
            <v>0</v>
          </cell>
          <cell r="BQ541">
            <v>0</v>
          </cell>
          <cell r="BR541">
            <v>0</v>
          </cell>
          <cell r="BS541">
            <v>0</v>
          </cell>
          <cell r="BU541">
            <v>0</v>
          </cell>
          <cell r="BV541">
            <v>0</v>
          </cell>
          <cell r="BW541">
            <v>0</v>
          </cell>
          <cell r="BX541">
            <v>0</v>
          </cell>
          <cell r="BY541">
            <v>0</v>
          </cell>
          <cell r="BZ541">
            <v>0</v>
          </cell>
          <cell r="CA541">
            <v>0</v>
          </cell>
          <cell r="CB541">
            <v>0</v>
          </cell>
          <cell r="CC541">
            <v>0</v>
          </cell>
          <cell r="CE541">
            <v>0</v>
          </cell>
          <cell r="CF541">
            <v>0</v>
          </cell>
          <cell r="CG541">
            <v>0</v>
          </cell>
          <cell r="CH541">
            <v>0</v>
          </cell>
          <cell r="CI541">
            <v>0</v>
          </cell>
          <cell r="CJ541">
            <v>0</v>
          </cell>
          <cell r="CK541">
            <v>0</v>
          </cell>
          <cell r="CL541">
            <v>0</v>
          </cell>
          <cell r="CM541">
            <v>0</v>
          </cell>
          <cell r="CO541">
            <v>0</v>
          </cell>
          <cell r="CP541">
            <v>0</v>
          </cell>
          <cell r="CQ541">
            <v>0</v>
          </cell>
          <cell r="CR541">
            <v>0</v>
          </cell>
          <cell r="CS541">
            <v>0</v>
          </cell>
          <cell r="CT541">
            <v>0</v>
          </cell>
          <cell r="CU541">
            <v>0</v>
          </cell>
          <cell r="CV541">
            <v>0</v>
          </cell>
          <cell r="CW541">
            <v>0</v>
          </cell>
          <cell r="CY541">
            <v>0</v>
          </cell>
          <cell r="CZ541">
            <v>0</v>
          </cell>
          <cell r="DA541">
            <v>0</v>
          </cell>
          <cell r="DB541">
            <v>0</v>
          </cell>
          <cell r="DC541">
            <v>0</v>
          </cell>
          <cell r="DD541">
            <v>0</v>
          </cell>
          <cell r="DE541">
            <v>0</v>
          </cell>
          <cell r="DF541">
            <v>0</v>
          </cell>
          <cell r="DG541">
            <v>0</v>
          </cell>
          <cell r="DI541">
            <v>0</v>
          </cell>
          <cell r="DJ541">
            <v>0</v>
          </cell>
          <cell r="DK541">
            <v>0</v>
          </cell>
          <cell r="DL541">
            <v>0</v>
          </cell>
          <cell r="DM541">
            <v>0</v>
          </cell>
          <cell r="DN541">
            <v>0</v>
          </cell>
          <cell r="DO541">
            <v>0</v>
          </cell>
          <cell r="DP541">
            <v>0</v>
          </cell>
          <cell r="DQ541">
            <v>0</v>
          </cell>
          <cell r="DR541">
            <v>0</v>
          </cell>
          <cell r="DS541">
            <v>0</v>
          </cell>
          <cell r="DT541">
            <v>0</v>
          </cell>
          <cell r="DU541">
            <v>0</v>
          </cell>
          <cell r="DW541">
            <v>0</v>
          </cell>
          <cell r="DX541">
            <v>0</v>
          </cell>
          <cell r="DY541">
            <v>0</v>
          </cell>
          <cell r="DZ541">
            <v>0</v>
          </cell>
          <cell r="EA541">
            <v>0</v>
          </cell>
          <cell r="EB541">
            <v>0</v>
          </cell>
          <cell r="EC541">
            <v>0</v>
          </cell>
          <cell r="ED541">
            <v>0</v>
          </cell>
          <cell r="EE541">
            <v>0</v>
          </cell>
          <cell r="EF541">
            <v>0</v>
          </cell>
          <cell r="EG541">
            <v>0</v>
          </cell>
          <cell r="EH541">
            <v>0</v>
          </cell>
          <cell r="EI541">
            <v>0</v>
          </cell>
          <cell r="EK541">
            <v>0</v>
          </cell>
          <cell r="EL541">
            <v>0</v>
          </cell>
          <cell r="EM541">
            <v>0</v>
          </cell>
          <cell r="EN541">
            <v>0</v>
          </cell>
          <cell r="EO541">
            <v>0</v>
          </cell>
          <cell r="EP541">
            <v>0</v>
          </cell>
          <cell r="EQ541">
            <v>0</v>
          </cell>
          <cell r="ER541">
            <v>0</v>
          </cell>
          <cell r="ES541">
            <v>0</v>
          </cell>
          <cell r="ET541">
            <v>0</v>
          </cell>
          <cell r="EU541">
            <v>0</v>
          </cell>
          <cell r="EV541">
            <v>0</v>
          </cell>
          <cell r="EW541">
            <v>0</v>
          </cell>
          <cell r="EY541">
            <v>0</v>
          </cell>
          <cell r="EZ541">
            <v>8</v>
          </cell>
          <cell r="FA541">
            <v>0</v>
          </cell>
          <cell r="FB541">
            <v>0</v>
          </cell>
          <cell r="FC541">
            <v>8.6</v>
          </cell>
          <cell r="FD541">
            <v>0</v>
          </cell>
          <cell r="FE541">
            <v>0</v>
          </cell>
          <cell r="FF541">
            <v>0</v>
          </cell>
          <cell r="FH541">
            <v>0</v>
          </cell>
        </row>
        <row r="542">
          <cell r="B542">
            <v>9674</v>
          </cell>
          <cell r="C542" t="str">
            <v>18.08.2009</v>
          </cell>
          <cell r="D542" t="str">
            <v>Kalyani Naresh Kitabsingh</v>
          </cell>
          <cell r="F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G542">
            <v>0</v>
          </cell>
          <cell r="AH542">
            <v>0</v>
          </cell>
          <cell r="AI542">
            <v>0</v>
          </cell>
          <cell r="AJ542">
            <v>0</v>
          </cell>
          <cell r="AK542">
            <v>0</v>
          </cell>
          <cell r="AL542">
            <v>0</v>
          </cell>
          <cell r="AM542">
            <v>0</v>
          </cell>
          <cell r="AN542">
            <v>0</v>
          </cell>
          <cell r="AO542">
            <v>0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0</v>
          </cell>
          <cell r="AY542">
            <v>0</v>
          </cell>
          <cell r="BA542">
            <v>0</v>
          </cell>
          <cell r="BB542">
            <v>0</v>
          </cell>
          <cell r="BC542">
            <v>0</v>
          </cell>
          <cell r="BD542">
            <v>0</v>
          </cell>
          <cell r="BE542">
            <v>0</v>
          </cell>
          <cell r="BF542">
            <v>0</v>
          </cell>
          <cell r="BG542">
            <v>0</v>
          </cell>
          <cell r="BH542">
            <v>0</v>
          </cell>
          <cell r="BI542">
            <v>0</v>
          </cell>
          <cell r="BK542">
            <v>0</v>
          </cell>
          <cell r="BL542">
            <v>0</v>
          </cell>
          <cell r="BM542">
            <v>0</v>
          </cell>
          <cell r="BN542">
            <v>0</v>
          </cell>
          <cell r="BO542">
            <v>0</v>
          </cell>
          <cell r="BP542">
            <v>0</v>
          </cell>
          <cell r="BQ542">
            <v>0</v>
          </cell>
          <cell r="BR542">
            <v>0</v>
          </cell>
          <cell r="BS542">
            <v>0</v>
          </cell>
          <cell r="BU542">
            <v>0</v>
          </cell>
          <cell r="BV542">
            <v>0</v>
          </cell>
          <cell r="BW542">
            <v>0</v>
          </cell>
          <cell r="BX542">
            <v>0</v>
          </cell>
          <cell r="BY542">
            <v>0</v>
          </cell>
          <cell r="BZ542">
            <v>0</v>
          </cell>
          <cell r="CA542">
            <v>0</v>
          </cell>
          <cell r="CB542">
            <v>0</v>
          </cell>
          <cell r="CC542">
            <v>0</v>
          </cell>
          <cell r="CE542">
            <v>0</v>
          </cell>
          <cell r="CF542">
            <v>0</v>
          </cell>
          <cell r="CG542">
            <v>0</v>
          </cell>
          <cell r="CH542">
            <v>0</v>
          </cell>
          <cell r="CI542">
            <v>0</v>
          </cell>
          <cell r="CJ542">
            <v>0</v>
          </cell>
          <cell r="CK542">
            <v>0</v>
          </cell>
          <cell r="CL542">
            <v>0</v>
          </cell>
          <cell r="CM542">
            <v>0</v>
          </cell>
          <cell r="CO542">
            <v>0</v>
          </cell>
          <cell r="CP542">
            <v>0</v>
          </cell>
          <cell r="CQ542">
            <v>0</v>
          </cell>
          <cell r="CR542">
            <v>0</v>
          </cell>
          <cell r="CS542">
            <v>0</v>
          </cell>
          <cell r="CT542">
            <v>0</v>
          </cell>
          <cell r="CU542">
            <v>0</v>
          </cell>
          <cell r="CV542">
            <v>0</v>
          </cell>
          <cell r="CW542">
            <v>0</v>
          </cell>
          <cell r="CY542">
            <v>0</v>
          </cell>
          <cell r="CZ542">
            <v>0</v>
          </cell>
          <cell r="DA542">
            <v>0</v>
          </cell>
          <cell r="DB542">
            <v>0</v>
          </cell>
          <cell r="DC542">
            <v>0</v>
          </cell>
          <cell r="DD542">
            <v>0</v>
          </cell>
          <cell r="DE542">
            <v>0</v>
          </cell>
          <cell r="DF542">
            <v>0</v>
          </cell>
          <cell r="DG542">
            <v>0</v>
          </cell>
          <cell r="DI542">
            <v>0</v>
          </cell>
          <cell r="DJ542">
            <v>0</v>
          </cell>
          <cell r="DK542">
            <v>0</v>
          </cell>
          <cell r="DL542">
            <v>0</v>
          </cell>
          <cell r="DM542">
            <v>0</v>
          </cell>
          <cell r="DN542">
            <v>0</v>
          </cell>
          <cell r="DO542">
            <v>0</v>
          </cell>
          <cell r="DP542">
            <v>0</v>
          </cell>
          <cell r="DQ542">
            <v>0</v>
          </cell>
          <cell r="DR542">
            <v>0</v>
          </cell>
          <cell r="DS542">
            <v>0</v>
          </cell>
          <cell r="DT542">
            <v>0</v>
          </cell>
          <cell r="DU542">
            <v>0</v>
          </cell>
          <cell r="DW542">
            <v>0</v>
          </cell>
          <cell r="DX542">
            <v>0</v>
          </cell>
          <cell r="DY542">
            <v>0</v>
          </cell>
          <cell r="DZ542">
            <v>0</v>
          </cell>
          <cell r="EA542">
            <v>0</v>
          </cell>
          <cell r="EB542">
            <v>0</v>
          </cell>
          <cell r="EC542">
            <v>0</v>
          </cell>
          <cell r="ED542">
            <v>0</v>
          </cell>
          <cell r="EE542">
            <v>0</v>
          </cell>
          <cell r="EF542">
            <v>0</v>
          </cell>
          <cell r="EG542">
            <v>0</v>
          </cell>
          <cell r="EH542">
            <v>0</v>
          </cell>
          <cell r="EI542">
            <v>0</v>
          </cell>
          <cell r="EK542">
            <v>0</v>
          </cell>
          <cell r="EL542">
            <v>0</v>
          </cell>
          <cell r="EM542">
            <v>0</v>
          </cell>
          <cell r="EN542">
            <v>0</v>
          </cell>
          <cell r="EO542">
            <v>0</v>
          </cell>
          <cell r="EP542">
            <v>0</v>
          </cell>
          <cell r="EQ542">
            <v>0</v>
          </cell>
          <cell r="ER542">
            <v>0</v>
          </cell>
          <cell r="ES542">
            <v>0</v>
          </cell>
          <cell r="ET542">
            <v>0</v>
          </cell>
          <cell r="EU542">
            <v>0</v>
          </cell>
          <cell r="EV542">
            <v>0</v>
          </cell>
          <cell r="EW542">
            <v>0</v>
          </cell>
          <cell r="EY542">
            <v>0</v>
          </cell>
          <cell r="EZ542">
            <v>8</v>
          </cell>
          <cell r="FA542">
            <v>0</v>
          </cell>
          <cell r="FB542">
            <v>0</v>
          </cell>
          <cell r="FC542">
            <v>8.6</v>
          </cell>
          <cell r="FD542">
            <v>0</v>
          </cell>
          <cell r="FE542">
            <v>0</v>
          </cell>
          <cell r="FF542">
            <v>0</v>
          </cell>
          <cell r="FH542">
            <v>0</v>
          </cell>
        </row>
        <row r="543">
          <cell r="B543">
            <v>9675</v>
          </cell>
          <cell r="C543" t="str">
            <v>18.08.2009</v>
          </cell>
          <cell r="D543" t="str">
            <v>Sosa Manish Harji</v>
          </cell>
          <cell r="F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0</v>
          </cell>
          <cell r="AM543">
            <v>0</v>
          </cell>
          <cell r="AN543">
            <v>0</v>
          </cell>
          <cell r="AO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0</v>
          </cell>
          <cell r="BA543">
            <v>0</v>
          </cell>
          <cell r="BB543">
            <v>0</v>
          </cell>
          <cell r="BC543">
            <v>0</v>
          </cell>
          <cell r="BD543">
            <v>0</v>
          </cell>
          <cell r="BE543">
            <v>0</v>
          </cell>
          <cell r="BF543">
            <v>0</v>
          </cell>
          <cell r="BG543">
            <v>0</v>
          </cell>
          <cell r="BH543">
            <v>0</v>
          </cell>
          <cell r="BI543">
            <v>0</v>
          </cell>
          <cell r="BK543">
            <v>0</v>
          </cell>
          <cell r="BL543">
            <v>0</v>
          </cell>
          <cell r="BM543">
            <v>0</v>
          </cell>
          <cell r="BN543">
            <v>0</v>
          </cell>
          <cell r="BO543">
            <v>0</v>
          </cell>
          <cell r="BP543">
            <v>0</v>
          </cell>
          <cell r="BQ543">
            <v>0</v>
          </cell>
          <cell r="BR543">
            <v>0</v>
          </cell>
          <cell r="BS543">
            <v>0</v>
          </cell>
          <cell r="BU543">
            <v>0</v>
          </cell>
          <cell r="BV543">
            <v>0</v>
          </cell>
          <cell r="BW543">
            <v>0</v>
          </cell>
          <cell r="BX543">
            <v>0</v>
          </cell>
          <cell r="BY543">
            <v>0</v>
          </cell>
          <cell r="BZ543">
            <v>0</v>
          </cell>
          <cell r="CA543">
            <v>0</v>
          </cell>
          <cell r="CB543">
            <v>0</v>
          </cell>
          <cell r="CC543">
            <v>0</v>
          </cell>
          <cell r="CE543">
            <v>0</v>
          </cell>
          <cell r="CF543">
            <v>0</v>
          </cell>
          <cell r="CG543">
            <v>0</v>
          </cell>
          <cell r="CH543">
            <v>0</v>
          </cell>
          <cell r="CI543">
            <v>0</v>
          </cell>
          <cell r="CJ543">
            <v>0</v>
          </cell>
          <cell r="CK543">
            <v>0</v>
          </cell>
          <cell r="CL543">
            <v>0</v>
          </cell>
          <cell r="CM543">
            <v>0</v>
          </cell>
          <cell r="CO543">
            <v>0</v>
          </cell>
          <cell r="CP543">
            <v>0</v>
          </cell>
          <cell r="CQ543">
            <v>0</v>
          </cell>
          <cell r="CR543">
            <v>0</v>
          </cell>
          <cell r="CS543">
            <v>0</v>
          </cell>
          <cell r="CT543">
            <v>0</v>
          </cell>
          <cell r="CU543">
            <v>0</v>
          </cell>
          <cell r="CV543">
            <v>0</v>
          </cell>
          <cell r="CW543">
            <v>0</v>
          </cell>
          <cell r="CY543">
            <v>0</v>
          </cell>
          <cell r="CZ543">
            <v>0</v>
          </cell>
          <cell r="DA543">
            <v>0</v>
          </cell>
          <cell r="DB543">
            <v>0</v>
          </cell>
          <cell r="DC543">
            <v>0</v>
          </cell>
          <cell r="DD543">
            <v>0</v>
          </cell>
          <cell r="DE543">
            <v>0</v>
          </cell>
          <cell r="DF543">
            <v>0</v>
          </cell>
          <cell r="DG543">
            <v>0</v>
          </cell>
          <cell r="DI543">
            <v>0</v>
          </cell>
          <cell r="DJ543">
            <v>0</v>
          </cell>
          <cell r="DK543">
            <v>0</v>
          </cell>
          <cell r="DL543">
            <v>0</v>
          </cell>
          <cell r="DM543">
            <v>0</v>
          </cell>
          <cell r="DN543">
            <v>0</v>
          </cell>
          <cell r="DO543">
            <v>0</v>
          </cell>
          <cell r="DP543">
            <v>0</v>
          </cell>
          <cell r="DQ543">
            <v>0</v>
          </cell>
          <cell r="DR543">
            <v>0</v>
          </cell>
          <cell r="DS543">
            <v>0</v>
          </cell>
          <cell r="DT543">
            <v>0</v>
          </cell>
          <cell r="DU543">
            <v>0</v>
          </cell>
          <cell r="DW543">
            <v>0</v>
          </cell>
          <cell r="DX543">
            <v>0</v>
          </cell>
          <cell r="DY543">
            <v>0</v>
          </cell>
          <cell r="DZ543">
            <v>0</v>
          </cell>
          <cell r="EA543">
            <v>0</v>
          </cell>
          <cell r="EB543">
            <v>0</v>
          </cell>
          <cell r="EC543">
            <v>0</v>
          </cell>
          <cell r="ED543">
            <v>0</v>
          </cell>
          <cell r="EE543">
            <v>0</v>
          </cell>
          <cell r="EF543">
            <v>0</v>
          </cell>
          <cell r="EG543">
            <v>0</v>
          </cell>
          <cell r="EH543">
            <v>0</v>
          </cell>
          <cell r="EI543">
            <v>0</v>
          </cell>
          <cell r="EK543">
            <v>0</v>
          </cell>
          <cell r="EL543">
            <v>0</v>
          </cell>
          <cell r="EM543">
            <v>0</v>
          </cell>
          <cell r="EN543">
            <v>0</v>
          </cell>
          <cell r="EO543">
            <v>0</v>
          </cell>
          <cell r="EP543">
            <v>0</v>
          </cell>
          <cell r="EQ543">
            <v>0</v>
          </cell>
          <cell r="ER543">
            <v>0</v>
          </cell>
          <cell r="ES543">
            <v>0</v>
          </cell>
          <cell r="ET543">
            <v>0</v>
          </cell>
          <cell r="EU543">
            <v>0</v>
          </cell>
          <cell r="EV543">
            <v>0</v>
          </cell>
          <cell r="EW543">
            <v>0</v>
          </cell>
          <cell r="EY543">
            <v>0</v>
          </cell>
          <cell r="EZ543">
            <v>8</v>
          </cell>
          <cell r="FA543">
            <v>0</v>
          </cell>
          <cell r="FB543">
            <v>0</v>
          </cell>
          <cell r="FC543">
            <v>8.6</v>
          </cell>
          <cell r="FD543">
            <v>0</v>
          </cell>
          <cell r="FE543">
            <v>0</v>
          </cell>
          <cell r="FF543">
            <v>0</v>
          </cell>
          <cell r="FH543">
            <v>0</v>
          </cell>
        </row>
        <row r="544">
          <cell r="B544">
            <v>9684</v>
          </cell>
          <cell r="C544" t="str">
            <v>18.08.2009</v>
          </cell>
          <cell r="D544" t="str">
            <v>Ramraje Ashish Fakira</v>
          </cell>
          <cell r="F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0</v>
          </cell>
          <cell r="AM544">
            <v>0</v>
          </cell>
          <cell r="AN544">
            <v>0</v>
          </cell>
          <cell r="AO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BA544">
            <v>0</v>
          </cell>
          <cell r="BB544">
            <v>0</v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0</v>
          </cell>
          <cell r="BP544">
            <v>0</v>
          </cell>
          <cell r="BQ544">
            <v>0</v>
          </cell>
          <cell r="BR544">
            <v>0</v>
          </cell>
          <cell r="BS544">
            <v>0</v>
          </cell>
          <cell r="BU544">
            <v>0</v>
          </cell>
          <cell r="BV544">
            <v>0</v>
          </cell>
          <cell r="BW544">
            <v>0</v>
          </cell>
          <cell r="BX544">
            <v>0</v>
          </cell>
          <cell r="BY544">
            <v>0</v>
          </cell>
          <cell r="BZ544">
            <v>0</v>
          </cell>
          <cell r="CA544">
            <v>0</v>
          </cell>
          <cell r="CB544">
            <v>0</v>
          </cell>
          <cell r="CC544">
            <v>0</v>
          </cell>
          <cell r="CE544">
            <v>0</v>
          </cell>
          <cell r="CF544">
            <v>0</v>
          </cell>
          <cell r="CG544">
            <v>0</v>
          </cell>
          <cell r="CH544">
            <v>0</v>
          </cell>
          <cell r="CI544">
            <v>0</v>
          </cell>
          <cell r="CJ544">
            <v>0</v>
          </cell>
          <cell r="CK544">
            <v>0</v>
          </cell>
          <cell r="CL544">
            <v>0</v>
          </cell>
          <cell r="CM544">
            <v>0</v>
          </cell>
          <cell r="CO544">
            <v>0</v>
          </cell>
          <cell r="CP544">
            <v>0</v>
          </cell>
          <cell r="CQ544">
            <v>0</v>
          </cell>
          <cell r="CR544">
            <v>0</v>
          </cell>
          <cell r="CS544">
            <v>0</v>
          </cell>
          <cell r="CT544">
            <v>0</v>
          </cell>
          <cell r="CU544">
            <v>0</v>
          </cell>
          <cell r="CV544">
            <v>0</v>
          </cell>
          <cell r="CW544">
            <v>0</v>
          </cell>
          <cell r="CY544">
            <v>0</v>
          </cell>
          <cell r="CZ544">
            <v>0</v>
          </cell>
          <cell r="DA544">
            <v>0</v>
          </cell>
          <cell r="DB544">
            <v>0</v>
          </cell>
          <cell r="DC544">
            <v>0</v>
          </cell>
          <cell r="DD544">
            <v>0</v>
          </cell>
          <cell r="DE544">
            <v>0</v>
          </cell>
          <cell r="DF544">
            <v>0</v>
          </cell>
          <cell r="DG544">
            <v>0</v>
          </cell>
          <cell r="DI544">
            <v>0</v>
          </cell>
          <cell r="DJ544">
            <v>0</v>
          </cell>
          <cell r="DK544">
            <v>0</v>
          </cell>
          <cell r="DL544">
            <v>0</v>
          </cell>
          <cell r="DM544">
            <v>0</v>
          </cell>
          <cell r="DN544">
            <v>0</v>
          </cell>
          <cell r="DO544">
            <v>0</v>
          </cell>
          <cell r="DP544">
            <v>0</v>
          </cell>
          <cell r="DQ544">
            <v>0</v>
          </cell>
          <cell r="DR544">
            <v>0</v>
          </cell>
          <cell r="DS544">
            <v>0</v>
          </cell>
          <cell r="DT544">
            <v>0</v>
          </cell>
          <cell r="DU544">
            <v>0</v>
          </cell>
          <cell r="DW544">
            <v>0</v>
          </cell>
          <cell r="DX544">
            <v>0</v>
          </cell>
          <cell r="DY544">
            <v>0</v>
          </cell>
          <cell r="DZ544">
            <v>0</v>
          </cell>
          <cell r="EA544">
            <v>0</v>
          </cell>
          <cell r="EB544">
            <v>0</v>
          </cell>
          <cell r="EC544">
            <v>0</v>
          </cell>
          <cell r="ED544">
            <v>0</v>
          </cell>
          <cell r="EE544">
            <v>0</v>
          </cell>
          <cell r="EF544">
            <v>0</v>
          </cell>
          <cell r="EG544">
            <v>0</v>
          </cell>
          <cell r="EH544">
            <v>0</v>
          </cell>
          <cell r="EI544">
            <v>0</v>
          </cell>
          <cell r="EK544">
            <v>0</v>
          </cell>
          <cell r="EL544">
            <v>0</v>
          </cell>
          <cell r="EM544">
            <v>0</v>
          </cell>
          <cell r="EN544">
            <v>0</v>
          </cell>
          <cell r="EO544">
            <v>0</v>
          </cell>
          <cell r="EP544">
            <v>0</v>
          </cell>
          <cell r="EQ544">
            <v>0</v>
          </cell>
          <cell r="ER544">
            <v>0</v>
          </cell>
          <cell r="ES544">
            <v>0</v>
          </cell>
          <cell r="ET544">
            <v>0</v>
          </cell>
          <cell r="EU544">
            <v>0</v>
          </cell>
          <cell r="EV544">
            <v>0</v>
          </cell>
          <cell r="EW544">
            <v>0</v>
          </cell>
          <cell r="EY544">
            <v>0</v>
          </cell>
          <cell r="EZ544">
            <v>8</v>
          </cell>
          <cell r="FA544">
            <v>0</v>
          </cell>
          <cell r="FB544">
            <v>0</v>
          </cell>
          <cell r="FC544">
            <v>8.6</v>
          </cell>
          <cell r="FD544">
            <v>0</v>
          </cell>
          <cell r="FE544">
            <v>0</v>
          </cell>
          <cell r="FF544">
            <v>0</v>
          </cell>
          <cell r="FH544">
            <v>0</v>
          </cell>
        </row>
        <row r="545">
          <cell r="B545">
            <v>9695</v>
          </cell>
          <cell r="C545" t="str">
            <v>18.08.2009</v>
          </cell>
          <cell r="D545" t="str">
            <v>Jadhav Nitin Prakash</v>
          </cell>
          <cell r="F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  <cell r="BP545">
            <v>0</v>
          </cell>
          <cell r="BQ545">
            <v>0</v>
          </cell>
          <cell r="BR545">
            <v>0</v>
          </cell>
          <cell r="BS545">
            <v>0</v>
          </cell>
          <cell r="BU545">
            <v>0</v>
          </cell>
          <cell r="BV545">
            <v>0</v>
          </cell>
          <cell r="BW545">
            <v>0</v>
          </cell>
          <cell r="BX545">
            <v>0</v>
          </cell>
          <cell r="BY545">
            <v>0</v>
          </cell>
          <cell r="BZ545">
            <v>0</v>
          </cell>
          <cell r="CA545">
            <v>0</v>
          </cell>
          <cell r="CB545">
            <v>0</v>
          </cell>
          <cell r="CC545">
            <v>0</v>
          </cell>
          <cell r="CE545">
            <v>0</v>
          </cell>
          <cell r="CF545">
            <v>0</v>
          </cell>
          <cell r="CG545">
            <v>0</v>
          </cell>
          <cell r="CH545">
            <v>0</v>
          </cell>
          <cell r="CI545">
            <v>0</v>
          </cell>
          <cell r="CJ545">
            <v>0</v>
          </cell>
          <cell r="CK545">
            <v>0</v>
          </cell>
          <cell r="CL545">
            <v>0</v>
          </cell>
          <cell r="CM545">
            <v>0</v>
          </cell>
          <cell r="CO545">
            <v>0</v>
          </cell>
          <cell r="CP545">
            <v>0</v>
          </cell>
          <cell r="CQ545">
            <v>0</v>
          </cell>
          <cell r="CR545">
            <v>0</v>
          </cell>
          <cell r="CS545">
            <v>0</v>
          </cell>
          <cell r="CT545">
            <v>0</v>
          </cell>
          <cell r="CU545">
            <v>0</v>
          </cell>
          <cell r="CV545">
            <v>0</v>
          </cell>
          <cell r="CW545">
            <v>0</v>
          </cell>
          <cell r="CY545">
            <v>0</v>
          </cell>
          <cell r="CZ545">
            <v>0</v>
          </cell>
          <cell r="DA545">
            <v>0</v>
          </cell>
          <cell r="DB545">
            <v>0</v>
          </cell>
          <cell r="DC545">
            <v>0</v>
          </cell>
          <cell r="DD545">
            <v>0</v>
          </cell>
          <cell r="DE545">
            <v>0</v>
          </cell>
          <cell r="DF545">
            <v>0</v>
          </cell>
          <cell r="DG545">
            <v>0</v>
          </cell>
          <cell r="DI545">
            <v>0</v>
          </cell>
          <cell r="DJ545">
            <v>0</v>
          </cell>
          <cell r="DK545">
            <v>0</v>
          </cell>
          <cell r="DL545">
            <v>0</v>
          </cell>
          <cell r="DM545">
            <v>0</v>
          </cell>
          <cell r="DN545">
            <v>0</v>
          </cell>
          <cell r="DO545">
            <v>0</v>
          </cell>
          <cell r="DP545">
            <v>0</v>
          </cell>
          <cell r="DQ545">
            <v>0</v>
          </cell>
          <cell r="DR545">
            <v>0</v>
          </cell>
          <cell r="DS545">
            <v>0</v>
          </cell>
          <cell r="DT545">
            <v>0</v>
          </cell>
          <cell r="DU545">
            <v>0</v>
          </cell>
          <cell r="DW545">
            <v>0</v>
          </cell>
          <cell r="DX545">
            <v>0</v>
          </cell>
          <cell r="DY545">
            <v>0</v>
          </cell>
          <cell r="DZ545">
            <v>0</v>
          </cell>
          <cell r="EA545">
            <v>0</v>
          </cell>
          <cell r="EB545">
            <v>0</v>
          </cell>
          <cell r="EC545">
            <v>0</v>
          </cell>
          <cell r="ED545">
            <v>0</v>
          </cell>
          <cell r="EE545">
            <v>0</v>
          </cell>
          <cell r="EF545">
            <v>0</v>
          </cell>
          <cell r="EG545">
            <v>0</v>
          </cell>
          <cell r="EH545">
            <v>0</v>
          </cell>
          <cell r="EI545">
            <v>0</v>
          </cell>
          <cell r="EK545">
            <v>0</v>
          </cell>
          <cell r="EL545">
            <v>0</v>
          </cell>
          <cell r="EM545">
            <v>0</v>
          </cell>
          <cell r="EN545">
            <v>0</v>
          </cell>
          <cell r="EO545">
            <v>0</v>
          </cell>
          <cell r="EP545">
            <v>0</v>
          </cell>
          <cell r="EQ545">
            <v>0</v>
          </cell>
          <cell r="ER545">
            <v>0</v>
          </cell>
          <cell r="ES545">
            <v>0</v>
          </cell>
          <cell r="ET545">
            <v>0</v>
          </cell>
          <cell r="EU545">
            <v>0</v>
          </cell>
          <cell r="EV545">
            <v>0</v>
          </cell>
          <cell r="EW545">
            <v>0</v>
          </cell>
          <cell r="EY545">
            <v>0</v>
          </cell>
          <cell r="EZ545">
            <v>8</v>
          </cell>
          <cell r="FA545">
            <v>0</v>
          </cell>
          <cell r="FB545">
            <v>0</v>
          </cell>
          <cell r="FC545">
            <v>8.6</v>
          </cell>
          <cell r="FD545">
            <v>0</v>
          </cell>
          <cell r="FE545">
            <v>0</v>
          </cell>
          <cell r="FF545">
            <v>0</v>
          </cell>
          <cell r="FH545">
            <v>0</v>
          </cell>
        </row>
        <row r="546">
          <cell r="B546">
            <v>9680</v>
          </cell>
          <cell r="C546" t="str">
            <v>19.08.2009</v>
          </cell>
          <cell r="D546" t="str">
            <v>Aware Manisha Vasant</v>
          </cell>
          <cell r="F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0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0</v>
          </cell>
          <cell r="AY546">
            <v>0</v>
          </cell>
          <cell r="BA546">
            <v>0</v>
          </cell>
          <cell r="BB546">
            <v>0</v>
          </cell>
          <cell r="BC546">
            <v>0</v>
          </cell>
          <cell r="BD546">
            <v>0</v>
          </cell>
          <cell r="BE546">
            <v>0</v>
          </cell>
          <cell r="BF546">
            <v>0</v>
          </cell>
          <cell r="BG546">
            <v>0</v>
          </cell>
          <cell r="BH546">
            <v>0</v>
          </cell>
          <cell r="BI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0</v>
          </cell>
          <cell r="BP546">
            <v>0</v>
          </cell>
          <cell r="BQ546">
            <v>0</v>
          </cell>
          <cell r="BR546">
            <v>0</v>
          </cell>
          <cell r="BS546">
            <v>0</v>
          </cell>
          <cell r="BU546">
            <v>0</v>
          </cell>
          <cell r="BV546">
            <v>0</v>
          </cell>
          <cell r="BW546">
            <v>0</v>
          </cell>
          <cell r="BX546">
            <v>0</v>
          </cell>
          <cell r="BY546">
            <v>0</v>
          </cell>
          <cell r="BZ546">
            <v>0</v>
          </cell>
          <cell r="CA546">
            <v>0</v>
          </cell>
          <cell r="CB546">
            <v>0</v>
          </cell>
          <cell r="CC546">
            <v>0</v>
          </cell>
          <cell r="CE546">
            <v>0</v>
          </cell>
          <cell r="CF546">
            <v>0</v>
          </cell>
          <cell r="CG546">
            <v>0</v>
          </cell>
          <cell r="CH546">
            <v>0</v>
          </cell>
          <cell r="CI546">
            <v>0</v>
          </cell>
          <cell r="CJ546">
            <v>0</v>
          </cell>
          <cell r="CK546">
            <v>0</v>
          </cell>
          <cell r="CL546">
            <v>0</v>
          </cell>
          <cell r="CM546">
            <v>0</v>
          </cell>
          <cell r="CO546">
            <v>0</v>
          </cell>
          <cell r="CP546">
            <v>0</v>
          </cell>
          <cell r="CQ546">
            <v>0</v>
          </cell>
          <cell r="CR546">
            <v>0</v>
          </cell>
          <cell r="CS546">
            <v>0</v>
          </cell>
          <cell r="CT546">
            <v>0</v>
          </cell>
          <cell r="CU546">
            <v>0</v>
          </cell>
          <cell r="CV546">
            <v>0</v>
          </cell>
          <cell r="CW546">
            <v>0</v>
          </cell>
          <cell r="CY546">
            <v>0</v>
          </cell>
          <cell r="CZ546">
            <v>0</v>
          </cell>
          <cell r="DA546">
            <v>0</v>
          </cell>
          <cell r="DB546">
            <v>0</v>
          </cell>
          <cell r="DC546">
            <v>0</v>
          </cell>
          <cell r="DD546">
            <v>0</v>
          </cell>
          <cell r="DE546">
            <v>0</v>
          </cell>
          <cell r="DF546">
            <v>0</v>
          </cell>
          <cell r="DG546">
            <v>0</v>
          </cell>
          <cell r="DI546">
            <v>0</v>
          </cell>
          <cell r="DJ546">
            <v>0</v>
          </cell>
          <cell r="DK546">
            <v>0</v>
          </cell>
          <cell r="DL546">
            <v>0</v>
          </cell>
          <cell r="DM546">
            <v>0</v>
          </cell>
          <cell r="DN546">
            <v>0</v>
          </cell>
          <cell r="DO546">
            <v>0</v>
          </cell>
          <cell r="DP546">
            <v>0</v>
          </cell>
          <cell r="DQ546">
            <v>0</v>
          </cell>
          <cell r="DR546">
            <v>0</v>
          </cell>
          <cell r="DS546">
            <v>0</v>
          </cell>
          <cell r="DT546">
            <v>0</v>
          </cell>
          <cell r="DU546">
            <v>0</v>
          </cell>
          <cell r="DW546">
            <v>0</v>
          </cell>
          <cell r="DX546">
            <v>0</v>
          </cell>
          <cell r="DY546">
            <v>0</v>
          </cell>
          <cell r="DZ546">
            <v>0</v>
          </cell>
          <cell r="EA546">
            <v>0</v>
          </cell>
          <cell r="EB546">
            <v>0</v>
          </cell>
          <cell r="EC546">
            <v>0</v>
          </cell>
          <cell r="ED546">
            <v>0</v>
          </cell>
          <cell r="EE546">
            <v>0</v>
          </cell>
          <cell r="EF546">
            <v>0</v>
          </cell>
          <cell r="EG546">
            <v>0</v>
          </cell>
          <cell r="EH546">
            <v>0</v>
          </cell>
          <cell r="EI546">
            <v>0</v>
          </cell>
          <cell r="EK546">
            <v>0</v>
          </cell>
          <cell r="EL546">
            <v>0</v>
          </cell>
          <cell r="EM546">
            <v>0</v>
          </cell>
          <cell r="EN546">
            <v>0</v>
          </cell>
          <cell r="EO546">
            <v>0</v>
          </cell>
          <cell r="EP546">
            <v>0</v>
          </cell>
          <cell r="EQ546">
            <v>0</v>
          </cell>
          <cell r="ER546">
            <v>0</v>
          </cell>
          <cell r="ES546">
            <v>0</v>
          </cell>
          <cell r="ET546">
            <v>0</v>
          </cell>
          <cell r="EU546">
            <v>0</v>
          </cell>
          <cell r="EV546">
            <v>0</v>
          </cell>
          <cell r="EW546">
            <v>0</v>
          </cell>
          <cell r="EY546">
            <v>0</v>
          </cell>
          <cell r="EZ546">
            <v>8</v>
          </cell>
          <cell r="FA546">
            <v>0</v>
          </cell>
          <cell r="FB546">
            <v>0</v>
          </cell>
          <cell r="FC546">
            <v>8.6</v>
          </cell>
          <cell r="FD546">
            <v>0</v>
          </cell>
          <cell r="FE546">
            <v>0</v>
          </cell>
          <cell r="FF546">
            <v>0</v>
          </cell>
          <cell r="FH546">
            <v>0</v>
          </cell>
        </row>
        <row r="547">
          <cell r="B547">
            <v>9681</v>
          </cell>
          <cell r="C547" t="str">
            <v>19.08.2009</v>
          </cell>
          <cell r="D547" t="str">
            <v>Pawar Sandip Ramphal</v>
          </cell>
          <cell r="F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0</v>
          </cell>
          <cell r="BP547">
            <v>0</v>
          </cell>
          <cell r="BQ547">
            <v>0</v>
          </cell>
          <cell r="BR547">
            <v>0</v>
          </cell>
          <cell r="BS547">
            <v>0</v>
          </cell>
          <cell r="BU547">
            <v>0</v>
          </cell>
          <cell r="BV547">
            <v>0</v>
          </cell>
          <cell r="BW547">
            <v>0</v>
          </cell>
          <cell r="BX547">
            <v>0</v>
          </cell>
          <cell r="BY547">
            <v>0</v>
          </cell>
          <cell r="BZ547">
            <v>0</v>
          </cell>
          <cell r="CA547">
            <v>0</v>
          </cell>
          <cell r="CB547">
            <v>0</v>
          </cell>
          <cell r="CC547">
            <v>0</v>
          </cell>
          <cell r="CE547">
            <v>0</v>
          </cell>
          <cell r="CF547">
            <v>0</v>
          </cell>
          <cell r="CG547">
            <v>0</v>
          </cell>
          <cell r="CH547">
            <v>0</v>
          </cell>
          <cell r="CI547">
            <v>0</v>
          </cell>
          <cell r="CJ547">
            <v>0</v>
          </cell>
          <cell r="CK547">
            <v>0</v>
          </cell>
          <cell r="CL547">
            <v>0</v>
          </cell>
          <cell r="CM547">
            <v>0</v>
          </cell>
          <cell r="CO547">
            <v>0</v>
          </cell>
          <cell r="CP547">
            <v>0</v>
          </cell>
          <cell r="CQ547">
            <v>0</v>
          </cell>
          <cell r="CR547">
            <v>0</v>
          </cell>
          <cell r="CS547">
            <v>0</v>
          </cell>
          <cell r="CT547">
            <v>0</v>
          </cell>
          <cell r="CU547">
            <v>0</v>
          </cell>
          <cell r="CV547">
            <v>0</v>
          </cell>
          <cell r="CW547">
            <v>0</v>
          </cell>
          <cell r="CY547">
            <v>0</v>
          </cell>
          <cell r="CZ547">
            <v>0</v>
          </cell>
          <cell r="DA547">
            <v>0</v>
          </cell>
          <cell r="DB547">
            <v>0</v>
          </cell>
          <cell r="DC547">
            <v>0</v>
          </cell>
          <cell r="DD547">
            <v>0</v>
          </cell>
          <cell r="DE547">
            <v>0</v>
          </cell>
          <cell r="DF547">
            <v>0</v>
          </cell>
          <cell r="DG547">
            <v>0</v>
          </cell>
          <cell r="DI547">
            <v>0</v>
          </cell>
          <cell r="DJ547">
            <v>0</v>
          </cell>
          <cell r="DK547">
            <v>0</v>
          </cell>
          <cell r="DL547">
            <v>0</v>
          </cell>
          <cell r="DM547">
            <v>0</v>
          </cell>
          <cell r="DN547">
            <v>0</v>
          </cell>
          <cell r="DO547">
            <v>0</v>
          </cell>
          <cell r="DP547">
            <v>0</v>
          </cell>
          <cell r="DQ547">
            <v>0</v>
          </cell>
          <cell r="DR547">
            <v>0</v>
          </cell>
          <cell r="DS547">
            <v>0</v>
          </cell>
          <cell r="DT547">
            <v>0</v>
          </cell>
          <cell r="DU547">
            <v>0</v>
          </cell>
          <cell r="DW547">
            <v>0</v>
          </cell>
          <cell r="DX547">
            <v>0</v>
          </cell>
          <cell r="DY547">
            <v>0</v>
          </cell>
          <cell r="DZ547">
            <v>0</v>
          </cell>
          <cell r="EA547">
            <v>0</v>
          </cell>
          <cell r="EB547">
            <v>0</v>
          </cell>
          <cell r="EC547">
            <v>0</v>
          </cell>
          <cell r="ED547">
            <v>0</v>
          </cell>
          <cell r="EE547">
            <v>0</v>
          </cell>
          <cell r="EF547">
            <v>0</v>
          </cell>
          <cell r="EG547">
            <v>0</v>
          </cell>
          <cell r="EH547">
            <v>0</v>
          </cell>
          <cell r="EI547">
            <v>0</v>
          </cell>
          <cell r="EK547">
            <v>0</v>
          </cell>
          <cell r="EL547">
            <v>0</v>
          </cell>
          <cell r="EM547">
            <v>0</v>
          </cell>
          <cell r="EN547">
            <v>0</v>
          </cell>
          <cell r="EO547">
            <v>0</v>
          </cell>
          <cell r="EP547">
            <v>0</v>
          </cell>
          <cell r="EQ547">
            <v>0</v>
          </cell>
          <cell r="ER547">
            <v>0</v>
          </cell>
          <cell r="ES547">
            <v>0</v>
          </cell>
          <cell r="ET547">
            <v>0</v>
          </cell>
          <cell r="EU547">
            <v>0</v>
          </cell>
          <cell r="EV547">
            <v>0</v>
          </cell>
          <cell r="EW547">
            <v>0</v>
          </cell>
          <cell r="EY547">
            <v>0</v>
          </cell>
          <cell r="EZ547">
            <v>8</v>
          </cell>
          <cell r="FA547">
            <v>0</v>
          </cell>
          <cell r="FB547">
            <v>0</v>
          </cell>
          <cell r="FC547">
            <v>8.6</v>
          </cell>
          <cell r="FD547">
            <v>0</v>
          </cell>
          <cell r="FE547">
            <v>0</v>
          </cell>
          <cell r="FF547">
            <v>0</v>
          </cell>
          <cell r="FH547">
            <v>0</v>
          </cell>
        </row>
        <row r="548">
          <cell r="B548">
            <v>9678</v>
          </cell>
          <cell r="C548" t="str">
            <v>21.08.2009</v>
          </cell>
          <cell r="D548" t="str">
            <v>Deshmukh Subhash Shivram</v>
          </cell>
          <cell r="F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0</v>
          </cell>
          <cell r="BP548">
            <v>0</v>
          </cell>
          <cell r="BQ548">
            <v>0</v>
          </cell>
          <cell r="BR548">
            <v>0</v>
          </cell>
          <cell r="BS548">
            <v>0</v>
          </cell>
          <cell r="BU548">
            <v>0</v>
          </cell>
          <cell r="BV548">
            <v>0</v>
          </cell>
          <cell r="BW548">
            <v>0</v>
          </cell>
          <cell r="BX548">
            <v>0</v>
          </cell>
          <cell r="BY548">
            <v>0</v>
          </cell>
          <cell r="BZ548">
            <v>0</v>
          </cell>
          <cell r="CA548">
            <v>0</v>
          </cell>
          <cell r="CB548">
            <v>0</v>
          </cell>
          <cell r="CC548">
            <v>0</v>
          </cell>
          <cell r="CE548">
            <v>0</v>
          </cell>
          <cell r="CF548">
            <v>0</v>
          </cell>
          <cell r="CG548">
            <v>0</v>
          </cell>
          <cell r="CH548">
            <v>0</v>
          </cell>
          <cell r="CI548">
            <v>0</v>
          </cell>
          <cell r="CJ548">
            <v>0</v>
          </cell>
          <cell r="CK548">
            <v>0</v>
          </cell>
          <cell r="CL548">
            <v>0</v>
          </cell>
          <cell r="CM548">
            <v>0</v>
          </cell>
          <cell r="CO548">
            <v>0</v>
          </cell>
          <cell r="CP548">
            <v>0</v>
          </cell>
          <cell r="CQ548">
            <v>0</v>
          </cell>
          <cell r="CR548">
            <v>0</v>
          </cell>
          <cell r="CS548">
            <v>0</v>
          </cell>
          <cell r="CT548">
            <v>0</v>
          </cell>
          <cell r="CU548">
            <v>0</v>
          </cell>
          <cell r="CV548">
            <v>0</v>
          </cell>
          <cell r="CW548">
            <v>0</v>
          </cell>
          <cell r="CY548">
            <v>0</v>
          </cell>
          <cell r="CZ548">
            <v>0</v>
          </cell>
          <cell r="DA548">
            <v>0</v>
          </cell>
          <cell r="DB548">
            <v>0</v>
          </cell>
          <cell r="DC548">
            <v>0</v>
          </cell>
          <cell r="DD548">
            <v>0</v>
          </cell>
          <cell r="DE548">
            <v>0</v>
          </cell>
          <cell r="DF548">
            <v>0</v>
          </cell>
          <cell r="DG548">
            <v>0</v>
          </cell>
          <cell r="DI548">
            <v>0</v>
          </cell>
          <cell r="DJ548">
            <v>0</v>
          </cell>
          <cell r="DK548">
            <v>0</v>
          </cell>
          <cell r="DL548">
            <v>0</v>
          </cell>
          <cell r="DM548">
            <v>0</v>
          </cell>
          <cell r="DN548">
            <v>0</v>
          </cell>
          <cell r="DO548">
            <v>0</v>
          </cell>
          <cell r="DP548">
            <v>0</v>
          </cell>
          <cell r="DQ548">
            <v>0</v>
          </cell>
          <cell r="DR548">
            <v>0</v>
          </cell>
          <cell r="DS548">
            <v>0</v>
          </cell>
          <cell r="DT548">
            <v>0</v>
          </cell>
          <cell r="DU548">
            <v>0</v>
          </cell>
          <cell r="DW548">
            <v>0</v>
          </cell>
          <cell r="DX548">
            <v>0</v>
          </cell>
          <cell r="DY548">
            <v>0</v>
          </cell>
          <cell r="DZ548">
            <v>0</v>
          </cell>
          <cell r="EA548">
            <v>0</v>
          </cell>
          <cell r="EB548">
            <v>0</v>
          </cell>
          <cell r="EC548">
            <v>0</v>
          </cell>
          <cell r="ED548">
            <v>0</v>
          </cell>
          <cell r="EE548">
            <v>0</v>
          </cell>
          <cell r="EF548">
            <v>0</v>
          </cell>
          <cell r="EG548">
            <v>0</v>
          </cell>
          <cell r="EH548">
            <v>0</v>
          </cell>
          <cell r="EI548">
            <v>0</v>
          </cell>
          <cell r="EK548">
            <v>0</v>
          </cell>
          <cell r="EL548">
            <v>0</v>
          </cell>
          <cell r="EM548">
            <v>0</v>
          </cell>
          <cell r="EN548">
            <v>0</v>
          </cell>
          <cell r="EO548">
            <v>0</v>
          </cell>
          <cell r="EP548">
            <v>0</v>
          </cell>
          <cell r="EQ548">
            <v>0</v>
          </cell>
          <cell r="ER548">
            <v>0</v>
          </cell>
          <cell r="ES548">
            <v>0</v>
          </cell>
          <cell r="ET548">
            <v>0</v>
          </cell>
          <cell r="EU548">
            <v>0</v>
          </cell>
          <cell r="EV548">
            <v>0</v>
          </cell>
          <cell r="EW548">
            <v>0</v>
          </cell>
          <cell r="EY548">
            <v>0</v>
          </cell>
          <cell r="EZ548">
            <v>8</v>
          </cell>
          <cell r="FA548">
            <v>0</v>
          </cell>
          <cell r="FB548">
            <v>0</v>
          </cell>
          <cell r="FC548">
            <v>8.6</v>
          </cell>
          <cell r="FD548">
            <v>0</v>
          </cell>
          <cell r="FE548">
            <v>0</v>
          </cell>
          <cell r="FF548">
            <v>0</v>
          </cell>
          <cell r="FH548">
            <v>0</v>
          </cell>
        </row>
        <row r="549">
          <cell r="B549">
            <v>9668</v>
          </cell>
          <cell r="C549" t="str">
            <v>22.08.2009</v>
          </cell>
          <cell r="D549" t="str">
            <v>Rathod Harshad Kishor</v>
          </cell>
          <cell r="F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0</v>
          </cell>
          <cell r="AO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BA549">
            <v>0</v>
          </cell>
          <cell r="BB549">
            <v>0</v>
          </cell>
          <cell r="BC549">
            <v>0</v>
          </cell>
          <cell r="BD549">
            <v>0</v>
          </cell>
          <cell r="BE549">
            <v>0</v>
          </cell>
          <cell r="BF549">
            <v>0</v>
          </cell>
          <cell r="BG549">
            <v>0</v>
          </cell>
          <cell r="BH549">
            <v>0</v>
          </cell>
          <cell r="BI549">
            <v>0</v>
          </cell>
          <cell r="BK549">
            <v>0</v>
          </cell>
          <cell r="BL549">
            <v>0</v>
          </cell>
          <cell r="BM549">
            <v>0</v>
          </cell>
          <cell r="BN549">
            <v>0</v>
          </cell>
          <cell r="BO549">
            <v>0</v>
          </cell>
          <cell r="BP549">
            <v>0</v>
          </cell>
          <cell r="BQ549">
            <v>0</v>
          </cell>
          <cell r="BR549">
            <v>0</v>
          </cell>
          <cell r="BS549">
            <v>0</v>
          </cell>
          <cell r="BU549">
            <v>0</v>
          </cell>
          <cell r="BV549">
            <v>0</v>
          </cell>
          <cell r="BW549">
            <v>0</v>
          </cell>
          <cell r="BX549">
            <v>0</v>
          </cell>
          <cell r="BY549">
            <v>0</v>
          </cell>
          <cell r="BZ549">
            <v>0</v>
          </cell>
          <cell r="CA549">
            <v>0</v>
          </cell>
          <cell r="CB549">
            <v>0</v>
          </cell>
          <cell r="CC549">
            <v>0</v>
          </cell>
          <cell r="CE549">
            <v>0</v>
          </cell>
          <cell r="CF549">
            <v>0</v>
          </cell>
          <cell r="CG549">
            <v>0</v>
          </cell>
          <cell r="CH549">
            <v>0</v>
          </cell>
          <cell r="CI549">
            <v>0</v>
          </cell>
          <cell r="CJ549">
            <v>0</v>
          </cell>
          <cell r="CK549">
            <v>0</v>
          </cell>
          <cell r="CL549">
            <v>0</v>
          </cell>
          <cell r="CM549">
            <v>0</v>
          </cell>
          <cell r="CO549">
            <v>0</v>
          </cell>
          <cell r="CP549">
            <v>0</v>
          </cell>
          <cell r="CQ549">
            <v>0</v>
          </cell>
          <cell r="CR549">
            <v>0</v>
          </cell>
          <cell r="CS549">
            <v>0</v>
          </cell>
          <cell r="CT549">
            <v>0</v>
          </cell>
          <cell r="CU549">
            <v>0</v>
          </cell>
          <cell r="CV549">
            <v>0</v>
          </cell>
          <cell r="CW549">
            <v>0</v>
          </cell>
          <cell r="CY549">
            <v>0</v>
          </cell>
          <cell r="CZ549">
            <v>0</v>
          </cell>
          <cell r="DA549">
            <v>0</v>
          </cell>
          <cell r="DB549">
            <v>0</v>
          </cell>
          <cell r="DC549">
            <v>0</v>
          </cell>
          <cell r="DD549">
            <v>0</v>
          </cell>
          <cell r="DE549">
            <v>0</v>
          </cell>
          <cell r="DF549">
            <v>0</v>
          </cell>
          <cell r="DG549">
            <v>0</v>
          </cell>
          <cell r="DI549">
            <v>0</v>
          </cell>
          <cell r="DJ549">
            <v>0</v>
          </cell>
          <cell r="DK549">
            <v>0</v>
          </cell>
          <cell r="DL549">
            <v>0</v>
          </cell>
          <cell r="DM549">
            <v>0</v>
          </cell>
          <cell r="DN549">
            <v>0</v>
          </cell>
          <cell r="DO549">
            <v>0</v>
          </cell>
          <cell r="DP549">
            <v>0</v>
          </cell>
          <cell r="DQ549">
            <v>0</v>
          </cell>
          <cell r="DR549">
            <v>0</v>
          </cell>
          <cell r="DS549">
            <v>0</v>
          </cell>
          <cell r="DT549">
            <v>0</v>
          </cell>
          <cell r="DU549">
            <v>0</v>
          </cell>
          <cell r="DW549">
            <v>0</v>
          </cell>
          <cell r="DX549">
            <v>0</v>
          </cell>
          <cell r="DY549">
            <v>0</v>
          </cell>
          <cell r="DZ549">
            <v>0</v>
          </cell>
          <cell r="EA549">
            <v>0</v>
          </cell>
          <cell r="EB549">
            <v>0</v>
          </cell>
          <cell r="EC549">
            <v>0</v>
          </cell>
          <cell r="ED549">
            <v>0</v>
          </cell>
          <cell r="EE549">
            <v>0</v>
          </cell>
          <cell r="EF549">
            <v>0</v>
          </cell>
          <cell r="EG549">
            <v>0</v>
          </cell>
          <cell r="EH549">
            <v>0</v>
          </cell>
          <cell r="EI549">
            <v>0</v>
          </cell>
          <cell r="EK549">
            <v>0</v>
          </cell>
          <cell r="EL549">
            <v>0</v>
          </cell>
          <cell r="EM549">
            <v>0</v>
          </cell>
          <cell r="EN549">
            <v>0</v>
          </cell>
          <cell r="EO549">
            <v>0</v>
          </cell>
          <cell r="EP549">
            <v>0</v>
          </cell>
          <cell r="EQ549">
            <v>0</v>
          </cell>
          <cell r="ER549">
            <v>0</v>
          </cell>
          <cell r="ES549">
            <v>0</v>
          </cell>
          <cell r="ET549">
            <v>0</v>
          </cell>
          <cell r="EU549">
            <v>0</v>
          </cell>
          <cell r="EV549">
            <v>0</v>
          </cell>
          <cell r="EW549">
            <v>0</v>
          </cell>
          <cell r="EY549">
            <v>0</v>
          </cell>
          <cell r="EZ549">
            <v>8</v>
          </cell>
          <cell r="FA549">
            <v>0</v>
          </cell>
          <cell r="FB549">
            <v>0</v>
          </cell>
          <cell r="FC549">
            <v>8.6</v>
          </cell>
          <cell r="FD549">
            <v>0</v>
          </cell>
          <cell r="FE549">
            <v>0</v>
          </cell>
          <cell r="FF549">
            <v>0</v>
          </cell>
          <cell r="FH549">
            <v>0</v>
          </cell>
        </row>
        <row r="550">
          <cell r="B550">
            <v>9682</v>
          </cell>
          <cell r="C550" t="str">
            <v>25.08.2009</v>
          </cell>
          <cell r="D550" t="str">
            <v>Bot Deepak Raja</v>
          </cell>
          <cell r="F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BA550">
            <v>0</v>
          </cell>
          <cell r="BB550">
            <v>0</v>
          </cell>
          <cell r="BC550">
            <v>0</v>
          </cell>
          <cell r="BD550">
            <v>0</v>
          </cell>
          <cell r="BE550">
            <v>0</v>
          </cell>
          <cell r="BF550">
            <v>0</v>
          </cell>
          <cell r="BG550">
            <v>0</v>
          </cell>
          <cell r="BH550">
            <v>0</v>
          </cell>
          <cell r="BI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0</v>
          </cell>
          <cell r="BP550">
            <v>0</v>
          </cell>
          <cell r="BQ550">
            <v>0</v>
          </cell>
          <cell r="BR550">
            <v>0</v>
          </cell>
          <cell r="BS550">
            <v>0</v>
          </cell>
          <cell r="BU550">
            <v>0</v>
          </cell>
          <cell r="BV550">
            <v>0</v>
          </cell>
          <cell r="BW550">
            <v>0</v>
          </cell>
          <cell r="BX550">
            <v>0</v>
          </cell>
          <cell r="BY550">
            <v>0</v>
          </cell>
          <cell r="BZ550">
            <v>0</v>
          </cell>
          <cell r="CA550">
            <v>0</v>
          </cell>
          <cell r="CB550">
            <v>0</v>
          </cell>
          <cell r="CC550">
            <v>0</v>
          </cell>
          <cell r="CE550">
            <v>0</v>
          </cell>
          <cell r="CF550">
            <v>0</v>
          </cell>
          <cell r="CG550">
            <v>0</v>
          </cell>
          <cell r="CH550">
            <v>0</v>
          </cell>
          <cell r="CI550">
            <v>0</v>
          </cell>
          <cell r="CJ550">
            <v>0</v>
          </cell>
          <cell r="CK550">
            <v>0</v>
          </cell>
          <cell r="CL550">
            <v>0</v>
          </cell>
          <cell r="CM550">
            <v>0</v>
          </cell>
          <cell r="CO550">
            <v>0</v>
          </cell>
          <cell r="CP550">
            <v>0</v>
          </cell>
          <cell r="CQ550">
            <v>0</v>
          </cell>
          <cell r="CR550">
            <v>0</v>
          </cell>
          <cell r="CS550">
            <v>0</v>
          </cell>
          <cell r="CT550">
            <v>0</v>
          </cell>
          <cell r="CU550">
            <v>0</v>
          </cell>
          <cell r="CV550">
            <v>0</v>
          </cell>
          <cell r="CW550">
            <v>0</v>
          </cell>
          <cell r="CY550">
            <v>0</v>
          </cell>
          <cell r="CZ550">
            <v>0</v>
          </cell>
          <cell r="DA550">
            <v>0</v>
          </cell>
          <cell r="DB550">
            <v>0</v>
          </cell>
          <cell r="DC550">
            <v>0</v>
          </cell>
          <cell r="DD550">
            <v>0</v>
          </cell>
          <cell r="DE550">
            <v>0</v>
          </cell>
          <cell r="DF550">
            <v>0</v>
          </cell>
          <cell r="DG550">
            <v>0</v>
          </cell>
          <cell r="DI550">
            <v>0</v>
          </cell>
          <cell r="DJ550">
            <v>0</v>
          </cell>
          <cell r="DK550">
            <v>0</v>
          </cell>
          <cell r="DL550">
            <v>0</v>
          </cell>
          <cell r="DM550">
            <v>0</v>
          </cell>
          <cell r="DN550">
            <v>0</v>
          </cell>
          <cell r="DO550">
            <v>0</v>
          </cell>
          <cell r="DP550">
            <v>0</v>
          </cell>
          <cell r="DQ550">
            <v>0</v>
          </cell>
          <cell r="DR550">
            <v>0</v>
          </cell>
          <cell r="DS550">
            <v>0</v>
          </cell>
          <cell r="DT550">
            <v>0</v>
          </cell>
          <cell r="DU550">
            <v>0</v>
          </cell>
          <cell r="DW550">
            <v>0</v>
          </cell>
          <cell r="DX550">
            <v>0</v>
          </cell>
          <cell r="DY550">
            <v>0</v>
          </cell>
          <cell r="DZ550">
            <v>0</v>
          </cell>
          <cell r="EA550">
            <v>0</v>
          </cell>
          <cell r="EB550">
            <v>0</v>
          </cell>
          <cell r="EC550">
            <v>0</v>
          </cell>
          <cell r="ED550">
            <v>0</v>
          </cell>
          <cell r="EE550">
            <v>0</v>
          </cell>
          <cell r="EF550">
            <v>0</v>
          </cell>
          <cell r="EG550">
            <v>0</v>
          </cell>
          <cell r="EH550">
            <v>0</v>
          </cell>
          <cell r="EI550">
            <v>0</v>
          </cell>
          <cell r="EK550">
            <v>0</v>
          </cell>
          <cell r="EL550">
            <v>0</v>
          </cell>
          <cell r="EM550">
            <v>0</v>
          </cell>
          <cell r="EN550">
            <v>0</v>
          </cell>
          <cell r="EO550">
            <v>0</v>
          </cell>
          <cell r="EP550">
            <v>0</v>
          </cell>
          <cell r="EQ550">
            <v>0</v>
          </cell>
          <cell r="ER550">
            <v>0</v>
          </cell>
          <cell r="ES550">
            <v>0</v>
          </cell>
          <cell r="ET550">
            <v>0</v>
          </cell>
          <cell r="EU550">
            <v>0</v>
          </cell>
          <cell r="EV550">
            <v>0</v>
          </cell>
          <cell r="EW550">
            <v>0</v>
          </cell>
          <cell r="EY550">
            <v>0</v>
          </cell>
          <cell r="EZ550">
            <v>8</v>
          </cell>
          <cell r="FA550">
            <v>0</v>
          </cell>
          <cell r="FB550">
            <v>0</v>
          </cell>
          <cell r="FC550">
            <v>8.6</v>
          </cell>
          <cell r="FD550">
            <v>0</v>
          </cell>
          <cell r="FE550">
            <v>0</v>
          </cell>
          <cell r="FF550">
            <v>0</v>
          </cell>
          <cell r="FH550">
            <v>0</v>
          </cell>
        </row>
        <row r="551">
          <cell r="B551">
            <v>9687</v>
          </cell>
          <cell r="C551" t="str">
            <v>25.08.2009</v>
          </cell>
          <cell r="D551" t="str">
            <v>Bodke Sunil Vishnu</v>
          </cell>
          <cell r="F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G551">
            <v>0</v>
          </cell>
          <cell r="AH551">
            <v>0</v>
          </cell>
          <cell r="AI551">
            <v>0</v>
          </cell>
          <cell r="AJ551">
            <v>0</v>
          </cell>
          <cell r="AK551">
            <v>0</v>
          </cell>
          <cell r="AL551">
            <v>0</v>
          </cell>
          <cell r="AM551">
            <v>0</v>
          </cell>
          <cell r="AN551">
            <v>0</v>
          </cell>
          <cell r="AO551">
            <v>0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0</v>
          </cell>
          <cell r="AY551">
            <v>0</v>
          </cell>
          <cell r="BA551">
            <v>0</v>
          </cell>
          <cell r="BB551">
            <v>0</v>
          </cell>
          <cell r="BC551">
            <v>0</v>
          </cell>
          <cell r="BD551">
            <v>0</v>
          </cell>
          <cell r="BE551">
            <v>0</v>
          </cell>
          <cell r="BF551">
            <v>0</v>
          </cell>
          <cell r="BG551">
            <v>0</v>
          </cell>
          <cell r="BH551">
            <v>0</v>
          </cell>
          <cell r="BI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0</v>
          </cell>
          <cell r="BP551">
            <v>0</v>
          </cell>
          <cell r="BQ551">
            <v>0</v>
          </cell>
          <cell r="BR551">
            <v>0</v>
          </cell>
          <cell r="BS551">
            <v>0</v>
          </cell>
          <cell r="BU551">
            <v>0</v>
          </cell>
          <cell r="BV551">
            <v>0</v>
          </cell>
          <cell r="BW551">
            <v>0</v>
          </cell>
          <cell r="BX551">
            <v>0</v>
          </cell>
          <cell r="BY551">
            <v>0</v>
          </cell>
          <cell r="BZ551">
            <v>0</v>
          </cell>
          <cell r="CA551">
            <v>0</v>
          </cell>
          <cell r="CB551">
            <v>0</v>
          </cell>
          <cell r="CC551">
            <v>0</v>
          </cell>
          <cell r="CE551">
            <v>0</v>
          </cell>
          <cell r="CF551">
            <v>0</v>
          </cell>
          <cell r="CG551">
            <v>0</v>
          </cell>
          <cell r="CH551">
            <v>0</v>
          </cell>
          <cell r="CI551">
            <v>0</v>
          </cell>
          <cell r="CJ551">
            <v>0</v>
          </cell>
          <cell r="CK551">
            <v>0</v>
          </cell>
          <cell r="CL551">
            <v>0</v>
          </cell>
          <cell r="CM551">
            <v>0</v>
          </cell>
          <cell r="CO551">
            <v>0</v>
          </cell>
          <cell r="CP551">
            <v>0</v>
          </cell>
          <cell r="CQ551">
            <v>0</v>
          </cell>
          <cell r="CR551">
            <v>0</v>
          </cell>
          <cell r="CS551">
            <v>0</v>
          </cell>
          <cell r="CT551">
            <v>0</v>
          </cell>
          <cell r="CU551">
            <v>0</v>
          </cell>
          <cell r="CV551">
            <v>0</v>
          </cell>
          <cell r="CW551">
            <v>0</v>
          </cell>
          <cell r="CY551">
            <v>0</v>
          </cell>
          <cell r="CZ551">
            <v>0</v>
          </cell>
          <cell r="DA551">
            <v>0</v>
          </cell>
          <cell r="DB551">
            <v>0</v>
          </cell>
          <cell r="DC551">
            <v>0</v>
          </cell>
          <cell r="DD551">
            <v>0</v>
          </cell>
          <cell r="DE551">
            <v>0</v>
          </cell>
          <cell r="DF551">
            <v>0</v>
          </cell>
          <cell r="DG551">
            <v>0</v>
          </cell>
          <cell r="DI551">
            <v>0</v>
          </cell>
          <cell r="DJ551">
            <v>0</v>
          </cell>
          <cell r="DK551">
            <v>0</v>
          </cell>
          <cell r="DL551">
            <v>0</v>
          </cell>
          <cell r="DM551">
            <v>0</v>
          </cell>
          <cell r="DN551">
            <v>0</v>
          </cell>
          <cell r="DO551">
            <v>0</v>
          </cell>
          <cell r="DP551">
            <v>0</v>
          </cell>
          <cell r="DQ551">
            <v>0</v>
          </cell>
          <cell r="DR551">
            <v>0</v>
          </cell>
          <cell r="DS551">
            <v>0</v>
          </cell>
          <cell r="DT551">
            <v>0</v>
          </cell>
          <cell r="DU551">
            <v>0</v>
          </cell>
          <cell r="DW551">
            <v>0</v>
          </cell>
          <cell r="DX551">
            <v>0</v>
          </cell>
          <cell r="DY551">
            <v>0</v>
          </cell>
          <cell r="DZ551">
            <v>0</v>
          </cell>
          <cell r="EA551">
            <v>0</v>
          </cell>
          <cell r="EB551">
            <v>0</v>
          </cell>
          <cell r="EC551">
            <v>0</v>
          </cell>
          <cell r="ED551">
            <v>0</v>
          </cell>
          <cell r="EE551">
            <v>0</v>
          </cell>
          <cell r="EF551">
            <v>0</v>
          </cell>
          <cell r="EG551">
            <v>0</v>
          </cell>
          <cell r="EH551">
            <v>0</v>
          </cell>
          <cell r="EI551">
            <v>0</v>
          </cell>
          <cell r="EK551">
            <v>0</v>
          </cell>
          <cell r="EL551">
            <v>0</v>
          </cell>
          <cell r="EM551">
            <v>0</v>
          </cell>
          <cell r="EN551">
            <v>0</v>
          </cell>
          <cell r="EO551">
            <v>0</v>
          </cell>
          <cell r="EP551">
            <v>0</v>
          </cell>
          <cell r="EQ551">
            <v>0</v>
          </cell>
          <cell r="ER551">
            <v>0</v>
          </cell>
          <cell r="ES551">
            <v>0</v>
          </cell>
          <cell r="ET551">
            <v>0</v>
          </cell>
          <cell r="EU551">
            <v>0</v>
          </cell>
          <cell r="EV551">
            <v>0</v>
          </cell>
          <cell r="EW551">
            <v>0</v>
          </cell>
          <cell r="EY551">
            <v>0</v>
          </cell>
          <cell r="EZ551">
            <v>8</v>
          </cell>
          <cell r="FA551">
            <v>0</v>
          </cell>
          <cell r="FB551">
            <v>0</v>
          </cell>
          <cell r="FC551">
            <v>8.6</v>
          </cell>
          <cell r="FD551">
            <v>0</v>
          </cell>
          <cell r="FE551">
            <v>0</v>
          </cell>
          <cell r="FF551">
            <v>0</v>
          </cell>
          <cell r="FH551">
            <v>0</v>
          </cell>
        </row>
        <row r="552">
          <cell r="B552">
            <v>9696</v>
          </cell>
          <cell r="C552" t="str">
            <v>29.08.2009</v>
          </cell>
          <cell r="D552" t="str">
            <v>Adangle Mangala Madhukar</v>
          </cell>
          <cell r="F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0</v>
          </cell>
          <cell r="BP552">
            <v>0</v>
          </cell>
          <cell r="BQ552">
            <v>0</v>
          </cell>
          <cell r="BR552">
            <v>0</v>
          </cell>
          <cell r="BS552">
            <v>0</v>
          </cell>
          <cell r="BU552">
            <v>0</v>
          </cell>
          <cell r="BV552">
            <v>0</v>
          </cell>
          <cell r="BW552">
            <v>0</v>
          </cell>
          <cell r="BX552">
            <v>0</v>
          </cell>
          <cell r="BY552">
            <v>0</v>
          </cell>
          <cell r="BZ552">
            <v>0</v>
          </cell>
          <cell r="CA552">
            <v>0</v>
          </cell>
          <cell r="CB552">
            <v>0</v>
          </cell>
          <cell r="CC552">
            <v>0</v>
          </cell>
          <cell r="CE552">
            <v>0</v>
          </cell>
          <cell r="CF552">
            <v>0</v>
          </cell>
          <cell r="CG552">
            <v>0</v>
          </cell>
          <cell r="CH552">
            <v>0</v>
          </cell>
          <cell r="CI552">
            <v>0</v>
          </cell>
          <cell r="CJ552">
            <v>0</v>
          </cell>
          <cell r="CK552">
            <v>0</v>
          </cell>
          <cell r="CL552">
            <v>0</v>
          </cell>
          <cell r="CM552">
            <v>0</v>
          </cell>
          <cell r="CO552">
            <v>0</v>
          </cell>
          <cell r="CP552">
            <v>0</v>
          </cell>
          <cell r="CQ552">
            <v>0</v>
          </cell>
          <cell r="CR552">
            <v>0</v>
          </cell>
          <cell r="CS552">
            <v>0</v>
          </cell>
          <cell r="CT552">
            <v>0</v>
          </cell>
          <cell r="CU552">
            <v>0</v>
          </cell>
          <cell r="CV552">
            <v>0</v>
          </cell>
          <cell r="CW552">
            <v>0</v>
          </cell>
          <cell r="CY552">
            <v>0</v>
          </cell>
          <cell r="CZ552">
            <v>0</v>
          </cell>
          <cell r="DA552">
            <v>0</v>
          </cell>
          <cell r="DB552">
            <v>0</v>
          </cell>
          <cell r="DC552">
            <v>0</v>
          </cell>
          <cell r="DD552">
            <v>0</v>
          </cell>
          <cell r="DE552">
            <v>0</v>
          </cell>
          <cell r="DF552">
            <v>0</v>
          </cell>
          <cell r="DG552">
            <v>0</v>
          </cell>
          <cell r="DI552">
            <v>0</v>
          </cell>
          <cell r="DJ552">
            <v>0</v>
          </cell>
          <cell r="DK552">
            <v>0</v>
          </cell>
          <cell r="DL552">
            <v>0</v>
          </cell>
          <cell r="DM552">
            <v>0</v>
          </cell>
          <cell r="DN552">
            <v>0</v>
          </cell>
          <cell r="DO552">
            <v>0</v>
          </cell>
          <cell r="DP552">
            <v>0</v>
          </cell>
          <cell r="DQ552">
            <v>0</v>
          </cell>
          <cell r="DR552">
            <v>0</v>
          </cell>
          <cell r="DS552">
            <v>0</v>
          </cell>
          <cell r="DT552">
            <v>0</v>
          </cell>
          <cell r="DU552">
            <v>0</v>
          </cell>
          <cell r="DW552">
            <v>0</v>
          </cell>
          <cell r="DX552">
            <v>0</v>
          </cell>
          <cell r="DY552">
            <v>0</v>
          </cell>
          <cell r="DZ552">
            <v>0</v>
          </cell>
          <cell r="EA552">
            <v>0</v>
          </cell>
          <cell r="EB552">
            <v>0</v>
          </cell>
          <cell r="EC552">
            <v>0</v>
          </cell>
          <cell r="ED552">
            <v>0</v>
          </cell>
          <cell r="EE552">
            <v>0</v>
          </cell>
          <cell r="EF552">
            <v>0</v>
          </cell>
          <cell r="EG552">
            <v>0</v>
          </cell>
          <cell r="EH552">
            <v>0</v>
          </cell>
          <cell r="EI552">
            <v>0</v>
          </cell>
          <cell r="EK552">
            <v>0</v>
          </cell>
          <cell r="EL552">
            <v>0</v>
          </cell>
          <cell r="EM552">
            <v>0</v>
          </cell>
          <cell r="EN552">
            <v>0</v>
          </cell>
          <cell r="EO552">
            <v>0</v>
          </cell>
          <cell r="EP552">
            <v>0</v>
          </cell>
          <cell r="EQ552">
            <v>0</v>
          </cell>
          <cell r="ER552">
            <v>0</v>
          </cell>
          <cell r="ES552">
            <v>0</v>
          </cell>
          <cell r="ET552">
            <v>0</v>
          </cell>
          <cell r="EU552">
            <v>0</v>
          </cell>
          <cell r="EV552">
            <v>0</v>
          </cell>
          <cell r="EW552">
            <v>0</v>
          </cell>
          <cell r="EY552">
            <v>0</v>
          </cell>
          <cell r="EZ552">
            <v>8</v>
          </cell>
          <cell r="FA552">
            <v>0</v>
          </cell>
          <cell r="FB552">
            <v>0</v>
          </cell>
          <cell r="FC552">
            <v>8.6</v>
          </cell>
          <cell r="FD552">
            <v>0</v>
          </cell>
          <cell r="FE552">
            <v>0</v>
          </cell>
          <cell r="FF552">
            <v>0</v>
          </cell>
          <cell r="FH552">
            <v>0</v>
          </cell>
        </row>
        <row r="553">
          <cell r="B553">
            <v>9691</v>
          </cell>
          <cell r="C553" t="str">
            <v>30.08.2009</v>
          </cell>
          <cell r="D553" t="str">
            <v>Bidlon Suraj Deelip</v>
          </cell>
          <cell r="F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BA553">
            <v>0</v>
          </cell>
          <cell r="BB553">
            <v>0</v>
          </cell>
          <cell r="BC553">
            <v>0</v>
          </cell>
          <cell r="BD553">
            <v>0</v>
          </cell>
          <cell r="BE553">
            <v>0</v>
          </cell>
          <cell r="BF553">
            <v>0</v>
          </cell>
          <cell r="BG553">
            <v>0</v>
          </cell>
          <cell r="BH553">
            <v>0</v>
          </cell>
          <cell r="BI553">
            <v>0</v>
          </cell>
          <cell r="BK553">
            <v>0</v>
          </cell>
          <cell r="BL553">
            <v>0</v>
          </cell>
          <cell r="BM553">
            <v>0</v>
          </cell>
          <cell r="BN553">
            <v>0</v>
          </cell>
          <cell r="BO553">
            <v>0</v>
          </cell>
          <cell r="BP553">
            <v>0</v>
          </cell>
          <cell r="BQ553">
            <v>0</v>
          </cell>
          <cell r="BR553">
            <v>0</v>
          </cell>
          <cell r="BS553">
            <v>0</v>
          </cell>
          <cell r="BU553">
            <v>0</v>
          </cell>
          <cell r="BV553">
            <v>0</v>
          </cell>
          <cell r="BW553">
            <v>0</v>
          </cell>
          <cell r="BX553">
            <v>0</v>
          </cell>
          <cell r="BY553">
            <v>0</v>
          </cell>
          <cell r="BZ553">
            <v>0</v>
          </cell>
          <cell r="CA553">
            <v>0</v>
          </cell>
          <cell r="CB553">
            <v>0</v>
          </cell>
          <cell r="CC553">
            <v>0</v>
          </cell>
          <cell r="CE553">
            <v>0</v>
          </cell>
          <cell r="CF553">
            <v>0</v>
          </cell>
          <cell r="CG553">
            <v>0</v>
          </cell>
          <cell r="CH553">
            <v>0</v>
          </cell>
          <cell r="CI553">
            <v>0</v>
          </cell>
          <cell r="CJ553">
            <v>0</v>
          </cell>
          <cell r="CK553">
            <v>0</v>
          </cell>
          <cell r="CL553">
            <v>0</v>
          </cell>
          <cell r="CM553">
            <v>0</v>
          </cell>
          <cell r="CO553">
            <v>0</v>
          </cell>
          <cell r="CP553">
            <v>0</v>
          </cell>
          <cell r="CQ553">
            <v>0</v>
          </cell>
          <cell r="CR553">
            <v>0</v>
          </cell>
          <cell r="CS553">
            <v>0</v>
          </cell>
          <cell r="CT553">
            <v>0</v>
          </cell>
          <cell r="CU553">
            <v>0</v>
          </cell>
          <cell r="CV553">
            <v>0</v>
          </cell>
          <cell r="CW553">
            <v>0</v>
          </cell>
          <cell r="CY553">
            <v>0</v>
          </cell>
          <cell r="CZ553">
            <v>0</v>
          </cell>
          <cell r="DA553">
            <v>0</v>
          </cell>
          <cell r="DB553">
            <v>0</v>
          </cell>
          <cell r="DC553">
            <v>0</v>
          </cell>
          <cell r="DD553">
            <v>0</v>
          </cell>
          <cell r="DE553">
            <v>0</v>
          </cell>
          <cell r="DF553">
            <v>0</v>
          </cell>
          <cell r="DG553">
            <v>0</v>
          </cell>
          <cell r="DI553">
            <v>0</v>
          </cell>
          <cell r="DJ553">
            <v>0</v>
          </cell>
          <cell r="DK553">
            <v>0</v>
          </cell>
          <cell r="DL553">
            <v>0</v>
          </cell>
          <cell r="DM553">
            <v>0</v>
          </cell>
          <cell r="DN553">
            <v>0</v>
          </cell>
          <cell r="DO553">
            <v>0</v>
          </cell>
          <cell r="DP553">
            <v>0</v>
          </cell>
          <cell r="DQ553">
            <v>0</v>
          </cell>
          <cell r="DR553">
            <v>0</v>
          </cell>
          <cell r="DS553">
            <v>0</v>
          </cell>
          <cell r="DT553">
            <v>0</v>
          </cell>
          <cell r="DU553">
            <v>0</v>
          </cell>
          <cell r="DW553">
            <v>0</v>
          </cell>
          <cell r="DX553">
            <v>0</v>
          </cell>
          <cell r="DY553">
            <v>0</v>
          </cell>
          <cell r="DZ553">
            <v>0</v>
          </cell>
          <cell r="EA553">
            <v>0</v>
          </cell>
          <cell r="EB553">
            <v>0</v>
          </cell>
          <cell r="EC553">
            <v>0</v>
          </cell>
          <cell r="ED553">
            <v>0</v>
          </cell>
          <cell r="EE553">
            <v>0</v>
          </cell>
          <cell r="EF553">
            <v>0</v>
          </cell>
          <cell r="EG553">
            <v>0</v>
          </cell>
          <cell r="EH553">
            <v>0</v>
          </cell>
          <cell r="EI553">
            <v>0</v>
          </cell>
          <cell r="EK553">
            <v>0</v>
          </cell>
          <cell r="EL553">
            <v>0</v>
          </cell>
          <cell r="EM553">
            <v>0</v>
          </cell>
          <cell r="EN553">
            <v>0</v>
          </cell>
          <cell r="EO553">
            <v>0</v>
          </cell>
          <cell r="EP553">
            <v>0</v>
          </cell>
          <cell r="EQ553">
            <v>0</v>
          </cell>
          <cell r="ER553">
            <v>0</v>
          </cell>
          <cell r="ES553">
            <v>0</v>
          </cell>
          <cell r="ET553">
            <v>0</v>
          </cell>
          <cell r="EU553">
            <v>0</v>
          </cell>
          <cell r="EV553">
            <v>0</v>
          </cell>
          <cell r="EW553">
            <v>0</v>
          </cell>
          <cell r="EY553">
            <v>0</v>
          </cell>
          <cell r="EZ553">
            <v>8</v>
          </cell>
          <cell r="FA553">
            <v>0</v>
          </cell>
          <cell r="FB553">
            <v>0</v>
          </cell>
          <cell r="FC553">
            <v>8.6</v>
          </cell>
          <cell r="FD553">
            <v>0</v>
          </cell>
          <cell r="FE553">
            <v>0</v>
          </cell>
          <cell r="FF553">
            <v>0</v>
          </cell>
          <cell r="FH553">
            <v>0</v>
          </cell>
        </row>
        <row r="554">
          <cell r="B554">
            <v>9690</v>
          </cell>
          <cell r="C554" t="str">
            <v>04.09.2009</v>
          </cell>
          <cell r="D554" t="str">
            <v>Kale Rupali Sandip</v>
          </cell>
          <cell r="F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BA554">
            <v>0</v>
          </cell>
          <cell r="BB554">
            <v>0</v>
          </cell>
          <cell r="BC554">
            <v>0</v>
          </cell>
          <cell r="BD554">
            <v>0</v>
          </cell>
          <cell r="BE554">
            <v>0</v>
          </cell>
          <cell r="BF554">
            <v>0</v>
          </cell>
          <cell r="BG554">
            <v>0</v>
          </cell>
          <cell r="BH554">
            <v>0</v>
          </cell>
          <cell r="BI554">
            <v>0</v>
          </cell>
          <cell r="BK554">
            <v>0</v>
          </cell>
          <cell r="BL554">
            <v>0</v>
          </cell>
          <cell r="BM554">
            <v>0</v>
          </cell>
          <cell r="BN554">
            <v>0</v>
          </cell>
          <cell r="BO554">
            <v>0</v>
          </cell>
          <cell r="BP554">
            <v>0</v>
          </cell>
          <cell r="BQ554">
            <v>0</v>
          </cell>
          <cell r="BR554">
            <v>0</v>
          </cell>
          <cell r="BS554">
            <v>0</v>
          </cell>
          <cell r="BU554">
            <v>0</v>
          </cell>
          <cell r="BV554">
            <v>0</v>
          </cell>
          <cell r="BW554">
            <v>0</v>
          </cell>
          <cell r="BX554">
            <v>0</v>
          </cell>
          <cell r="BY554">
            <v>0</v>
          </cell>
          <cell r="BZ554">
            <v>0</v>
          </cell>
          <cell r="CA554">
            <v>0</v>
          </cell>
          <cell r="CB554">
            <v>0</v>
          </cell>
          <cell r="CC554">
            <v>0</v>
          </cell>
          <cell r="CE554">
            <v>0</v>
          </cell>
          <cell r="CF554">
            <v>0</v>
          </cell>
          <cell r="CG554">
            <v>0</v>
          </cell>
          <cell r="CH554">
            <v>0</v>
          </cell>
          <cell r="CI554">
            <v>0</v>
          </cell>
          <cell r="CJ554">
            <v>0</v>
          </cell>
          <cell r="CK554">
            <v>0</v>
          </cell>
          <cell r="CL554">
            <v>0</v>
          </cell>
          <cell r="CM554">
            <v>0</v>
          </cell>
          <cell r="CO554">
            <v>0</v>
          </cell>
          <cell r="CP554">
            <v>0</v>
          </cell>
          <cell r="CQ554">
            <v>0</v>
          </cell>
          <cell r="CR554">
            <v>0</v>
          </cell>
          <cell r="CS554">
            <v>0</v>
          </cell>
          <cell r="CT554">
            <v>0</v>
          </cell>
          <cell r="CU554">
            <v>0</v>
          </cell>
          <cell r="CV554">
            <v>0</v>
          </cell>
          <cell r="CW554">
            <v>0</v>
          </cell>
          <cell r="CY554">
            <v>0</v>
          </cell>
          <cell r="CZ554">
            <v>0</v>
          </cell>
          <cell r="DA554">
            <v>0</v>
          </cell>
          <cell r="DB554">
            <v>0</v>
          </cell>
          <cell r="DC554">
            <v>0</v>
          </cell>
          <cell r="DD554">
            <v>0</v>
          </cell>
          <cell r="DE554">
            <v>0</v>
          </cell>
          <cell r="DF554">
            <v>0</v>
          </cell>
          <cell r="DG554">
            <v>0</v>
          </cell>
          <cell r="DI554">
            <v>0</v>
          </cell>
          <cell r="DJ554">
            <v>0</v>
          </cell>
          <cell r="DK554">
            <v>0</v>
          </cell>
          <cell r="DL554">
            <v>0</v>
          </cell>
          <cell r="DM554">
            <v>0</v>
          </cell>
          <cell r="DN554">
            <v>0</v>
          </cell>
          <cell r="DO554">
            <v>0</v>
          </cell>
          <cell r="DP554">
            <v>0</v>
          </cell>
          <cell r="DQ554">
            <v>0</v>
          </cell>
          <cell r="DR554">
            <v>0</v>
          </cell>
          <cell r="DS554">
            <v>0</v>
          </cell>
          <cell r="DT554">
            <v>0</v>
          </cell>
          <cell r="DU554">
            <v>0</v>
          </cell>
          <cell r="DW554">
            <v>0</v>
          </cell>
          <cell r="DX554">
            <v>0</v>
          </cell>
          <cell r="DY554">
            <v>0</v>
          </cell>
          <cell r="DZ554">
            <v>0</v>
          </cell>
          <cell r="EA554">
            <v>0</v>
          </cell>
          <cell r="EB554">
            <v>0</v>
          </cell>
          <cell r="EC554">
            <v>0</v>
          </cell>
          <cell r="ED554">
            <v>0</v>
          </cell>
          <cell r="EE554">
            <v>0</v>
          </cell>
          <cell r="EF554">
            <v>0</v>
          </cell>
          <cell r="EG554">
            <v>0</v>
          </cell>
          <cell r="EH554">
            <v>0</v>
          </cell>
          <cell r="EI554">
            <v>0</v>
          </cell>
          <cell r="EK554">
            <v>0</v>
          </cell>
          <cell r="EL554">
            <v>0</v>
          </cell>
          <cell r="EM554">
            <v>0</v>
          </cell>
          <cell r="EN554">
            <v>0</v>
          </cell>
          <cell r="EO554">
            <v>0</v>
          </cell>
          <cell r="EP554">
            <v>0</v>
          </cell>
          <cell r="EQ554">
            <v>0</v>
          </cell>
          <cell r="ER554">
            <v>0</v>
          </cell>
          <cell r="ES554">
            <v>0</v>
          </cell>
          <cell r="ET554">
            <v>0</v>
          </cell>
          <cell r="EU554">
            <v>0</v>
          </cell>
          <cell r="EV554">
            <v>0</v>
          </cell>
          <cell r="EW554">
            <v>0</v>
          </cell>
          <cell r="EY554">
            <v>0</v>
          </cell>
          <cell r="EZ554">
            <v>8</v>
          </cell>
          <cell r="FA554">
            <v>0</v>
          </cell>
          <cell r="FB554">
            <v>0</v>
          </cell>
          <cell r="FC554">
            <v>8.6</v>
          </cell>
          <cell r="FD554">
            <v>0</v>
          </cell>
          <cell r="FE554">
            <v>0</v>
          </cell>
          <cell r="FF554">
            <v>0</v>
          </cell>
          <cell r="FH554">
            <v>0</v>
          </cell>
        </row>
        <row r="555">
          <cell r="B555">
            <v>9689</v>
          </cell>
          <cell r="C555" t="str">
            <v>12.09.2008</v>
          </cell>
          <cell r="D555" t="str">
            <v>Pagare Maya Pandit</v>
          </cell>
          <cell r="F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0</v>
          </cell>
          <cell r="AK555">
            <v>0</v>
          </cell>
          <cell r="AL555">
            <v>0</v>
          </cell>
          <cell r="AM555">
            <v>0</v>
          </cell>
          <cell r="AN555">
            <v>0</v>
          </cell>
          <cell r="AO555">
            <v>0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0</v>
          </cell>
          <cell r="BA555">
            <v>0</v>
          </cell>
          <cell r="BB555">
            <v>0</v>
          </cell>
          <cell r="BC555">
            <v>0</v>
          </cell>
          <cell r="BD555">
            <v>0</v>
          </cell>
          <cell r="BE555">
            <v>0</v>
          </cell>
          <cell r="BF555">
            <v>0</v>
          </cell>
          <cell r="BG555">
            <v>0</v>
          </cell>
          <cell r="BH555">
            <v>0</v>
          </cell>
          <cell r="BI555">
            <v>0</v>
          </cell>
          <cell r="BK555">
            <v>0</v>
          </cell>
          <cell r="BL555">
            <v>0</v>
          </cell>
          <cell r="BM555">
            <v>0</v>
          </cell>
          <cell r="BN555">
            <v>0</v>
          </cell>
          <cell r="BO555">
            <v>0</v>
          </cell>
          <cell r="BP555">
            <v>0</v>
          </cell>
          <cell r="BQ555">
            <v>0</v>
          </cell>
          <cell r="BR555">
            <v>0</v>
          </cell>
          <cell r="BS555">
            <v>0</v>
          </cell>
          <cell r="BU555">
            <v>0</v>
          </cell>
          <cell r="BV555">
            <v>0</v>
          </cell>
          <cell r="BW555">
            <v>0</v>
          </cell>
          <cell r="BX555">
            <v>0</v>
          </cell>
          <cell r="BY555">
            <v>0</v>
          </cell>
          <cell r="BZ555">
            <v>0</v>
          </cell>
          <cell r="CA555">
            <v>0</v>
          </cell>
          <cell r="CB555">
            <v>0</v>
          </cell>
          <cell r="CC555">
            <v>0</v>
          </cell>
          <cell r="CE555">
            <v>0</v>
          </cell>
          <cell r="CF555">
            <v>0</v>
          </cell>
          <cell r="CG555">
            <v>0</v>
          </cell>
          <cell r="CH555">
            <v>0</v>
          </cell>
          <cell r="CI555">
            <v>0</v>
          </cell>
          <cell r="CJ555">
            <v>0</v>
          </cell>
          <cell r="CK555">
            <v>0</v>
          </cell>
          <cell r="CL555">
            <v>0</v>
          </cell>
          <cell r="CM555">
            <v>0</v>
          </cell>
          <cell r="CO555">
            <v>0</v>
          </cell>
          <cell r="CP555">
            <v>0</v>
          </cell>
          <cell r="CQ555">
            <v>0</v>
          </cell>
          <cell r="CR555">
            <v>0</v>
          </cell>
          <cell r="CS555">
            <v>0</v>
          </cell>
          <cell r="CT555">
            <v>0</v>
          </cell>
          <cell r="CU555">
            <v>0</v>
          </cell>
          <cell r="CV555">
            <v>0</v>
          </cell>
          <cell r="CW555">
            <v>0</v>
          </cell>
          <cell r="CY555">
            <v>0</v>
          </cell>
          <cell r="CZ555">
            <v>0</v>
          </cell>
          <cell r="DA555">
            <v>0</v>
          </cell>
          <cell r="DB555">
            <v>0</v>
          </cell>
          <cell r="DC555">
            <v>0</v>
          </cell>
          <cell r="DD555">
            <v>0</v>
          </cell>
          <cell r="DE555">
            <v>0</v>
          </cell>
          <cell r="DF555">
            <v>0</v>
          </cell>
          <cell r="DG555">
            <v>0</v>
          </cell>
          <cell r="DI555">
            <v>0</v>
          </cell>
          <cell r="DJ555">
            <v>0</v>
          </cell>
          <cell r="DK555">
            <v>0</v>
          </cell>
          <cell r="DL555">
            <v>0</v>
          </cell>
          <cell r="DM555">
            <v>0</v>
          </cell>
          <cell r="DN555">
            <v>0</v>
          </cell>
          <cell r="DO555">
            <v>0</v>
          </cell>
          <cell r="DP555">
            <v>0</v>
          </cell>
          <cell r="DQ555">
            <v>0</v>
          </cell>
          <cell r="DR555">
            <v>0</v>
          </cell>
          <cell r="DS555">
            <v>0</v>
          </cell>
          <cell r="DT555">
            <v>0</v>
          </cell>
          <cell r="DU555">
            <v>0</v>
          </cell>
          <cell r="DW555">
            <v>0</v>
          </cell>
          <cell r="DX555">
            <v>0</v>
          </cell>
          <cell r="DY555">
            <v>0</v>
          </cell>
          <cell r="DZ555">
            <v>0</v>
          </cell>
          <cell r="EA555">
            <v>0</v>
          </cell>
          <cell r="EB555">
            <v>0</v>
          </cell>
          <cell r="EC555">
            <v>0</v>
          </cell>
          <cell r="ED555">
            <v>0</v>
          </cell>
          <cell r="EE555">
            <v>0</v>
          </cell>
          <cell r="EF555">
            <v>0</v>
          </cell>
          <cell r="EG555">
            <v>0</v>
          </cell>
          <cell r="EH555">
            <v>0</v>
          </cell>
          <cell r="EI555">
            <v>0</v>
          </cell>
          <cell r="EK555">
            <v>0</v>
          </cell>
          <cell r="EL555">
            <v>0</v>
          </cell>
          <cell r="EM555">
            <v>0</v>
          </cell>
          <cell r="EN555">
            <v>0</v>
          </cell>
          <cell r="EO555">
            <v>0</v>
          </cell>
          <cell r="EP555">
            <v>0</v>
          </cell>
          <cell r="EQ555">
            <v>0</v>
          </cell>
          <cell r="ER555">
            <v>0</v>
          </cell>
          <cell r="ES555">
            <v>0</v>
          </cell>
          <cell r="ET555">
            <v>0</v>
          </cell>
          <cell r="EU555">
            <v>0</v>
          </cell>
          <cell r="EV555">
            <v>0</v>
          </cell>
          <cell r="EW555">
            <v>0</v>
          </cell>
          <cell r="EY555">
            <v>0</v>
          </cell>
          <cell r="EZ555">
            <v>8</v>
          </cell>
          <cell r="FA555">
            <v>0</v>
          </cell>
          <cell r="FB555">
            <v>0</v>
          </cell>
          <cell r="FC555">
            <v>8.6</v>
          </cell>
          <cell r="FD555">
            <v>0</v>
          </cell>
          <cell r="FE555">
            <v>0</v>
          </cell>
          <cell r="FF555">
            <v>0</v>
          </cell>
          <cell r="FH555">
            <v>0</v>
          </cell>
        </row>
        <row r="556">
          <cell r="B556">
            <v>9685</v>
          </cell>
          <cell r="C556" t="str">
            <v>27.09.2009</v>
          </cell>
          <cell r="D556" t="str">
            <v>Bhalerao Anil Rangnath</v>
          </cell>
          <cell r="F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  <cell r="AO556">
            <v>0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0</v>
          </cell>
          <cell r="BA556">
            <v>0</v>
          </cell>
          <cell r="BB556">
            <v>0</v>
          </cell>
          <cell r="BC556">
            <v>0</v>
          </cell>
          <cell r="BD556">
            <v>0</v>
          </cell>
          <cell r="BE556">
            <v>0</v>
          </cell>
          <cell r="BF556">
            <v>0</v>
          </cell>
          <cell r="BG556">
            <v>0</v>
          </cell>
          <cell r="BH556">
            <v>0</v>
          </cell>
          <cell r="BI556">
            <v>0</v>
          </cell>
          <cell r="BK556">
            <v>0</v>
          </cell>
          <cell r="BL556">
            <v>0</v>
          </cell>
          <cell r="BM556">
            <v>0</v>
          </cell>
          <cell r="BN556">
            <v>0</v>
          </cell>
          <cell r="BO556">
            <v>0</v>
          </cell>
          <cell r="BP556">
            <v>0</v>
          </cell>
          <cell r="BQ556">
            <v>0</v>
          </cell>
          <cell r="BR556">
            <v>0</v>
          </cell>
          <cell r="BS556">
            <v>0</v>
          </cell>
          <cell r="BU556">
            <v>0</v>
          </cell>
          <cell r="BV556">
            <v>0</v>
          </cell>
          <cell r="BW556">
            <v>0</v>
          </cell>
          <cell r="BX556">
            <v>0</v>
          </cell>
          <cell r="BY556">
            <v>0</v>
          </cell>
          <cell r="BZ556">
            <v>0</v>
          </cell>
          <cell r="CA556">
            <v>0</v>
          </cell>
          <cell r="CB556">
            <v>0</v>
          </cell>
          <cell r="CC556">
            <v>0</v>
          </cell>
          <cell r="CE556">
            <v>0</v>
          </cell>
          <cell r="CF556">
            <v>0</v>
          </cell>
          <cell r="CG556">
            <v>0</v>
          </cell>
          <cell r="CH556">
            <v>0</v>
          </cell>
          <cell r="CI556">
            <v>0</v>
          </cell>
          <cell r="CJ556">
            <v>0</v>
          </cell>
          <cell r="CK556">
            <v>0</v>
          </cell>
          <cell r="CL556">
            <v>0</v>
          </cell>
          <cell r="CM556">
            <v>0</v>
          </cell>
          <cell r="CO556">
            <v>0</v>
          </cell>
          <cell r="CP556">
            <v>0</v>
          </cell>
          <cell r="CQ556">
            <v>0</v>
          </cell>
          <cell r="CR556">
            <v>0</v>
          </cell>
          <cell r="CS556">
            <v>0</v>
          </cell>
          <cell r="CT556">
            <v>0</v>
          </cell>
          <cell r="CU556">
            <v>0</v>
          </cell>
          <cell r="CV556">
            <v>0</v>
          </cell>
          <cell r="CW556">
            <v>0</v>
          </cell>
          <cell r="CY556">
            <v>0</v>
          </cell>
          <cell r="CZ556">
            <v>0</v>
          </cell>
          <cell r="DA556">
            <v>0</v>
          </cell>
          <cell r="DB556">
            <v>0</v>
          </cell>
          <cell r="DC556">
            <v>0</v>
          </cell>
          <cell r="DD556">
            <v>0</v>
          </cell>
          <cell r="DE556">
            <v>0</v>
          </cell>
          <cell r="DF556">
            <v>0</v>
          </cell>
          <cell r="DG556">
            <v>0</v>
          </cell>
          <cell r="DI556">
            <v>0</v>
          </cell>
          <cell r="DJ556">
            <v>0</v>
          </cell>
          <cell r="DK556">
            <v>0</v>
          </cell>
          <cell r="DL556">
            <v>0</v>
          </cell>
          <cell r="DM556">
            <v>0</v>
          </cell>
          <cell r="DN556">
            <v>0</v>
          </cell>
          <cell r="DO556">
            <v>0</v>
          </cell>
          <cell r="DP556">
            <v>0</v>
          </cell>
          <cell r="DQ556">
            <v>0</v>
          </cell>
          <cell r="DR556">
            <v>0</v>
          </cell>
          <cell r="DS556">
            <v>0</v>
          </cell>
          <cell r="DT556">
            <v>0</v>
          </cell>
          <cell r="DU556">
            <v>0</v>
          </cell>
          <cell r="DW556">
            <v>0</v>
          </cell>
          <cell r="DX556">
            <v>0</v>
          </cell>
          <cell r="DY556">
            <v>0</v>
          </cell>
          <cell r="DZ556">
            <v>0</v>
          </cell>
          <cell r="EA556">
            <v>0</v>
          </cell>
          <cell r="EB556">
            <v>0</v>
          </cell>
          <cell r="EC556">
            <v>0</v>
          </cell>
          <cell r="ED556">
            <v>0</v>
          </cell>
          <cell r="EE556">
            <v>0</v>
          </cell>
          <cell r="EF556">
            <v>0</v>
          </cell>
          <cell r="EG556">
            <v>0</v>
          </cell>
          <cell r="EH556">
            <v>0</v>
          </cell>
          <cell r="EI556">
            <v>0</v>
          </cell>
          <cell r="EK556">
            <v>0</v>
          </cell>
          <cell r="EL556">
            <v>0</v>
          </cell>
          <cell r="EM556">
            <v>0</v>
          </cell>
          <cell r="EN556">
            <v>0</v>
          </cell>
          <cell r="EO556">
            <v>0</v>
          </cell>
          <cell r="EP556">
            <v>0</v>
          </cell>
          <cell r="EQ556">
            <v>0</v>
          </cell>
          <cell r="ER556">
            <v>0</v>
          </cell>
          <cell r="ES556">
            <v>0</v>
          </cell>
          <cell r="ET556">
            <v>0</v>
          </cell>
          <cell r="EU556">
            <v>0</v>
          </cell>
          <cell r="EV556">
            <v>0</v>
          </cell>
          <cell r="EW556">
            <v>0</v>
          </cell>
          <cell r="EY556">
            <v>0</v>
          </cell>
          <cell r="EZ556">
            <v>8</v>
          </cell>
          <cell r="FA556">
            <v>0</v>
          </cell>
          <cell r="FB556">
            <v>0</v>
          </cell>
          <cell r="FC556">
            <v>8.6</v>
          </cell>
          <cell r="FD556">
            <v>0</v>
          </cell>
          <cell r="FE556">
            <v>0</v>
          </cell>
          <cell r="FF556">
            <v>0</v>
          </cell>
          <cell r="FH556">
            <v>0</v>
          </cell>
        </row>
        <row r="557">
          <cell r="B557">
            <v>9677</v>
          </cell>
          <cell r="C557" t="str">
            <v>26.10.2009</v>
          </cell>
          <cell r="D557" t="str">
            <v>Rokade Nitin Ramesh</v>
          </cell>
          <cell r="F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0</v>
          </cell>
          <cell r="AK557">
            <v>0</v>
          </cell>
          <cell r="AL557">
            <v>0</v>
          </cell>
          <cell r="AM557">
            <v>0</v>
          </cell>
          <cell r="AN557">
            <v>0</v>
          </cell>
          <cell r="AO557">
            <v>0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0</v>
          </cell>
          <cell r="BA557">
            <v>0</v>
          </cell>
          <cell r="BB557">
            <v>0</v>
          </cell>
          <cell r="BC557">
            <v>0</v>
          </cell>
          <cell r="BD557">
            <v>0</v>
          </cell>
          <cell r="BE557">
            <v>0</v>
          </cell>
          <cell r="BF557">
            <v>0</v>
          </cell>
          <cell r="BG557">
            <v>0</v>
          </cell>
          <cell r="BH557">
            <v>0</v>
          </cell>
          <cell r="BI557">
            <v>0</v>
          </cell>
          <cell r="BK557">
            <v>0</v>
          </cell>
          <cell r="BL557">
            <v>0</v>
          </cell>
          <cell r="BM557">
            <v>0</v>
          </cell>
          <cell r="BN557">
            <v>0</v>
          </cell>
          <cell r="BO557">
            <v>0</v>
          </cell>
          <cell r="BP557">
            <v>0</v>
          </cell>
          <cell r="BQ557">
            <v>0</v>
          </cell>
          <cell r="BR557">
            <v>0</v>
          </cell>
          <cell r="BS557">
            <v>0</v>
          </cell>
          <cell r="BU557">
            <v>0</v>
          </cell>
          <cell r="BV557">
            <v>0</v>
          </cell>
          <cell r="BW557">
            <v>0</v>
          </cell>
          <cell r="BX557">
            <v>0</v>
          </cell>
          <cell r="BY557">
            <v>0</v>
          </cell>
          <cell r="BZ557">
            <v>0</v>
          </cell>
          <cell r="CA557">
            <v>0</v>
          </cell>
          <cell r="CB557">
            <v>0</v>
          </cell>
          <cell r="CC557">
            <v>0</v>
          </cell>
          <cell r="CE557">
            <v>0</v>
          </cell>
          <cell r="CF557">
            <v>0</v>
          </cell>
          <cell r="CG557">
            <v>0</v>
          </cell>
          <cell r="CH557">
            <v>0</v>
          </cell>
          <cell r="CI557">
            <v>0</v>
          </cell>
          <cell r="CJ557">
            <v>0</v>
          </cell>
          <cell r="CK557">
            <v>0</v>
          </cell>
          <cell r="CL557">
            <v>0</v>
          </cell>
          <cell r="CM557">
            <v>0</v>
          </cell>
          <cell r="CO557">
            <v>0</v>
          </cell>
          <cell r="CP557">
            <v>0</v>
          </cell>
          <cell r="CQ557">
            <v>0</v>
          </cell>
          <cell r="CR557">
            <v>0</v>
          </cell>
          <cell r="CS557">
            <v>0</v>
          </cell>
          <cell r="CT557">
            <v>0</v>
          </cell>
          <cell r="CU557">
            <v>0</v>
          </cell>
          <cell r="CV557">
            <v>0</v>
          </cell>
          <cell r="CW557">
            <v>0</v>
          </cell>
          <cell r="CY557">
            <v>0</v>
          </cell>
          <cell r="CZ557">
            <v>0</v>
          </cell>
          <cell r="DA557">
            <v>0</v>
          </cell>
          <cell r="DB557">
            <v>0</v>
          </cell>
          <cell r="DC557">
            <v>0</v>
          </cell>
          <cell r="DD557">
            <v>0</v>
          </cell>
          <cell r="DE557">
            <v>0</v>
          </cell>
          <cell r="DF557">
            <v>0</v>
          </cell>
          <cell r="DG557">
            <v>0</v>
          </cell>
          <cell r="DI557">
            <v>0</v>
          </cell>
          <cell r="DJ557">
            <v>0</v>
          </cell>
          <cell r="DK557">
            <v>0</v>
          </cell>
          <cell r="DL557">
            <v>0</v>
          </cell>
          <cell r="DM557">
            <v>0</v>
          </cell>
          <cell r="DN557">
            <v>0</v>
          </cell>
          <cell r="DO557">
            <v>0</v>
          </cell>
          <cell r="DP557">
            <v>0</v>
          </cell>
          <cell r="DQ557">
            <v>0</v>
          </cell>
          <cell r="DR557">
            <v>0</v>
          </cell>
          <cell r="DS557">
            <v>0</v>
          </cell>
          <cell r="DT557">
            <v>0</v>
          </cell>
          <cell r="DU557">
            <v>0</v>
          </cell>
          <cell r="DW557">
            <v>0</v>
          </cell>
          <cell r="DX557">
            <v>0</v>
          </cell>
          <cell r="DY557">
            <v>0</v>
          </cell>
          <cell r="DZ557">
            <v>0</v>
          </cell>
          <cell r="EA557">
            <v>0</v>
          </cell>
          <cell r="EB557">
            <v>0</v>
          </cell>
          <cell r="EC557">
            <v>0</v>
          </cell>
          <cell r="ED557">
            <v>0</v>
          </cell>
          <cell r="EE557">
            <v>0</v>
          </cell>
          <cell r="EF557">
            <v>0</v>
          </cell>
          <cell r="EG557">
            <v>0</v>
          </cell>
          <cell r="EH557">
            <v>0</v>
          </cell>
          <cell r="EI557">
            <v>0</v>
          </cell>
          <cell r="EK557">
            <v>0</v>
          </cell>
          <cell r="EL557">
            <v>0</v>
          </cell>
          <cell r="EM557">
            <v>0</v>
          </cell>
          <cell r="EN557">
            <v>0</v>
          </cell>
          <cell r="EO557">
            <v>0</v>
          </cell>
          <cell r="EP557">
            <v>0</v>
          </cell>
          <cell r="EQ557">
            <v>0</v>
          </cell>
          <cell r="ER557">
            <v>0</v>
          </cell>
          <cell r="ES557">
            <v>0</v>
          </cell>
          <cell r="ET557">
            <v>0</v>
          </cell>
          <cell r="EU557">
            <v>0</v>
          </cell>
          <cell r="EV557">
            <v>0</v>
          </cell>
          <cell r="EW557">
            <v>0</v>
          </cell>
          <cell r="EY557">
            <v>0</v>
          </cell>
          <cell r="EZ557">
            <v>8</v>
          </cell>
          <cell r="FA557">
            <v>0</v>
          </cell>
          <cell r="FB557">
            <v>0</v>
          </cell>
          <cell r="FC557">
            <v>8.6</v>
          </cell>
          <cell r="FD557">
            <v>0</v>
          </cell>
          <cell r="FE557">
            <v>0</v>
          </cell>
          <cell r="FF557">
            <v>0</v>
          </cell>
          <cell r="FH557">
            <v>0</v>
          </cell>
        </row>
        <row r="558">
          <cell r="B558">
            <v>9692</v>
          </cell>
          <cell r="C558" t="str">
            <v>26.10.2009</v>
          </cell>
          <cell r="D558" t="str">
            <v>Nirbhavne Yogesh Uttam</v>
          </cell>
          <cell r="F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0</v>
          </cell>
          <cell r="AM558">
            <v>0</v>
          </cell>
          <cell r="AN558">
            <v>0</v>
          </cell>
          <cell r="AO558">
            <v>0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0</v>
          </cell>
          <cell r="BA558">
            <v>0</v>
          </cell>
          <cell r="BB558">
            <v>0</v>
          </cell>
          <cell r="BC558">
            <v>0</v>
          </cell>
          <cell r="BD558">
            <v>0</v>
          </cell>
          <cell r="BE558">
            <v>0</v>
          </cell>
          <cell r="BF558">
            <v>0</v>
          </cell>
          <cell r="BG558">
            <v>0</v>
          </cell>
          <cell r="BH558">
            <v>0</v>
          </cell>
          <cell r="BI558">
            <v>0</v>
          </cell>
          <cell r="BK558">
            <v>0</v>
          </cell>
          <cell r="BL558">
            <v>0</v>
          </cell>
          <cell r="BM558">
            <v>0</v>
          </cell>
          <cell r="BN558">
            <v>0</v>
          </cell>
          <cell r="BO558">
            <v>0</v>
          </cell>
          <cell r="BP558">
            <v>0</v>
          </cell>
          <cell r="BQ558">
            <v>0</v>
          </cell>
          <cell r="BR558">
            <v>0</v>
          </cell>
          <cell r="BS558">
            <v>0</v>
          </cell>
          <cell r="BU558">
            <v>0</v>
          </cell>
          <cell r="BV558">
            <v>0</v>
          </cell>
          <cell r="BW558">
            <v>0</v>
          </cell>
          <cell r="BX558">
            <v>0</v>
          </cell>
          <cell r="BY558">
            <v>0</v>
          </cell>
          <cell r="BZ558">
            <v>0</v>
          </cell>
          <cell r="CA558">
            <v>0</v>
          </cell>
          <cell r="CB558">
            <v>0</v>
          </cell>
          <cell r="CC558">
            <v>0</v>
          </cell>
          <cell r="CE558">
            <v>0</v>
          </cell>
          <cell r="CF558">
            <v>0</v>
          </cell>
          <cell r="CG558">
            <v>0</v>
          </cell>
          <cell r="CH558">
            <v>0</v>
          </cell>
          <cell r="CI558">
            <v>0</v>
          </cell>
          <cell r="CJ558">
            <v>0</v>
          </cell>
          <cell r="CK558">
            <v>0</v>
          </cell>
          <cell r="CL558">
            <v>0</v>
          </cell>
          <cell r="CM558">
            <v>0</v>
          </cell>
          <cell r="CO558">
            <v>0</v>
          </cell>
          <cell r="CP558">
            <v>0</v>
          </cell>
          <cell r="CQ558">
            <v>0</v>
          </cell>
          <cell r="CR558">
            <v>0</v>
          </cell>
          <cell r="CS558">
            <v>0</v>
          </cell>
          <cell r="CT558">
            <v>0</v>
          </cell>
          <cell r="CU558">
            <v>0</v>
          </cell>
          <cell r="CV558">
            <v>0</v>
          </cell>
          <cell r="CW558">
            <v>0</v>
          </cell>
          <cell r="CY558">
            <v>0</v>
          </cell>
          <cell r="CZ558">
            <v>0</v>
          </cell>
          <cell r="DA558">
            <v>0</v>
          </cell>
          <cell r="DB558">
            <v>0</v>
          </cell>
          <cell r="DC558">
            <v>0</v>
          </cell>
          <cell r="DD558">
            <v>0</v>
          </cell>
          <cell r="DE558">
            <v>0</v>
          </cell>
          <cell r="DF558">
            <v>0</v>
          </cell>
          <cell r="DG558">
            <v>0</v>
          </cell>
          <cell r="DI558">
            <v>0</v>
          </cell>
          <cell r="DJ558">
            <v>0</v>
          </cell>
          <cell r="DK558">
            <v>0</v>
          </cell>
          <cell r="DL558">
            <v>0</v>
          </cell>
          <cell r="DM558">
            <v>0</v>
          </cell>
          <cell r="DN558">
            <v>0</v>
          </cell>
          <cell r="DO558">
            <v>0</v>
          </cell>
          <cell r="DP558">
            <v>0</v>
          </cell>
          <cell r="DQ558">
            <v>0</v>
          </cell>
          <cell r="DR558">
            <v>0</v>
          </cell>
          <cell r="DS558">
            <v>0</v>
          </cell>
          <cell r="DT558">
            <v>0</v>
          </cell>
          <cell r="DU558">
            <v>0</v>
          </cell>
          <cell r="DW558">
            <v>0</v>
          </cell>
          <cell r="DX558">
            <v>0</v>
          </cell>
          <cell r="DY558">
            <v>0</v>
          </cell>
          <cell r="DZ558">
            <v>0</v>
          </cell>
          <cell r="EA558">
            <v>0</v>
          </cell>
          <cell r="EB558">
            <v>0</v>
          </cell>
          <cell r="EC558">
            <v>0</v>
          </cell>
          <cell r="ED558">
            <v>0</v>
          </cell>
          <cell r="EE558">
            <v>0</v>
          </cell>
          <cell r="EF558">
            <v>0</v>
          </cell>
          <cell r="EG558">
            <v>0</v>
          </cell>
          <cell r="EH558">
            <v>0</v>
          </cell>
          <cell r="EI558">
            <v>0</v>
          </cell>
          <cell r="EK558">
            <v>0</v>
          </cell>
          <cell r="EL558">
            <v>0</v>
          </cell>
          <cell r="EM558">
            <v>0</v>
          </cell>
          <cell r="EN558">
            <v>0</v>
          </cell>
          <cell r="EO558">
            <v>0</v>
          </cell>
          <cell r="EP558">
            <v>0</v>
          </cell>
          <cell r="EQ558">
            <v>0</v>
          </cell>
          <cell r="ER558">
            <v>0</v>
          </cell>
          <cell r="ES558">
            <v>0</v>
          </cell>
          <cell r="ET558">
            <v>0</v>
          </cell>
          <cell r="EU558">
            <v>0</v>
          </cell>
          <cell r="EV558">
            <v>0</v>
          </cell>
          <cell r="EW558">
            <v>0</v>
          </cell>
          <cell r="EY558">
            <v>0</v>
          </cell>
          <cell r="EZ558">
            <v>8</v>
          </cell>
          <cell r="FA558">
            <v>0</v>
          </cell>
          <cell r="FB558">
            <v>0</v>
          </cell>
          <cell r="FC558">
            <v>8.6</v>
          </cell>
          <cell r="FD558">
            <v>0</v>
          </cell>
          <cell r="FE558">
            <v>0</v>
          </cell>
          <cell r="FF558">
            <v>0</v>
          </cell>
          <cell r="FH558">
            <v>0</v>
          </cell>
        </row>
        <row r="559">
          <cell r="B559">
            <v>9693</v>
          </cell>
          <cell r="C559" t="str">
            <v>26.10.2009</v>
          </cell>
          <cell r="D559" t="str">
            <v>Chavan Vikram Rajendra</v>
          </cell>
          <cell r="F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0</v>
          </cell>
          <cell r="AL559">
            <v>0</v>
          </cell>
          <cell r="AM559">
            <v>0</v>
          </cell>
          <cell r="AN559">
            <v>0</v>
          </cell>
          <cell r="AO559">
            <v>0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0</v>
          </cell>
          <cell r="AY559">
            <v>0</v>
          </cell>
          <cell r="BA559">
            <v>0</v>
          </cell>
          <cell r="BB559">
            <v>0</v>
          </cell>
          <cell r="BC559">
            <v>0</v>
          </cell>
          <cell r="BD559">
            <v>0</v>
          </cell>
          <cell r="BE559">
            <v>0</v>
          </cell>
          <cell r="BF559">
            <v>0</v>
          </cell>
          <cell r="BG559">
            <v>0</v>
          </cell>
          <cell r="BH559">
            <v>0</v>
          </cell>
          <cell r="BI559">
            <v>0</v>
          </cell>
          <cell r="BK559">
            <v>0</v>
          </cell>
          <cell r="BL559">
            <v>0</v>
          </cell>
          <cell r="BM559">
            <v>0</v>
          </cell>
          <cell r="BN559">
            <v>0</v>
          </cell>
          <cell r="BO559">
            <v>0</v>
          </cell>
          <cell r="BP559">
            <v>0</v>
          </cell>
          <cell r="BQ559">
            <v>0</v>
          </cell>
          <cell r="BR559">
            <v>0</v>
          </cell>
          <cell r="BS559">
            <v>0</v>
          </cell>
          <cell r="BU559">
            <v>0</v>
          </cell>
          <cell r="BV559">
            <v>0</v>
          </cell>
          <cell r="BW559">
            <v>0</v>
          </cell>
          <cell r="BX559">
            <v>0</v>
          </cell>
          <cell r="BY559">
            <v>0</v>
          </cell>
          <cell r="BZ559">
            <v>0</v>
          </cell>
          <cell r="CA559">
            <v>0</v>
          </cell>
          <cell r="CB559">
            <v>0</v>
          </cell>
          <cell r="CC559">
            <v>0</v>
          </cell>
          <cell r="CE559">
            <v>0</v>
          </cell>
          <cell r="CF559">
            <v>0</v>
          </cell>
          <cell r="CG559">
            <v>0</v>
          </cell>
          <cell r="CH559">
            <v>0</v>
          </cell>
          <cell r="CI559">
            <v>0</v>
          </cell>
          <cell r="CJ559">
            <v>0</v>
          </cell>
          <cell r="CK559">
            <v>0</v>
          </cell>
          <cell r="CL559">
            <v>0</v>
          </cell>
          <cell r="CM559">
            <v>0</v>
          </cell>
          <cell r="CO559">
            <v>0</v>
          </cell>
          <cell r="CP559">
            <v>0</v>
          </cell>
          <cell r="CQ559">
            <v>0</v>
          </cell>
          <cell r="CR559">
            <v>0</v>
          </cell>
          <cell r="CS559">
            <v>0</v>
          </cell>
          <cell r="CT559">
            <v>0</v>
          </cell>
          <cell r="CU559">
            <v>0</v>
          </cell>
          <cell r="CV559">
            <v>0</v>
          </cell>
          <cell r="CW559">
            <v>0</v>
          </cell>
          <cell r="CY559">
            <v>0</v>
          </cell>
          <cell r="CZ559">
            <v>0</v>
          </cell>
          <cell r="DA559">
            <v>0</v>
          </cell>
          <cell r="DB559">
            <v>0</v>
          </cell>
          <cell r="DC559">
            <v>0</v>
          </cell>
          <cell r="DD559">
            <v>0</v>
          </cell>
          <cell r="DE559">
            <v>0</v>
          </cell>
          <cell r="DF559">
            <v>0</v>
          </cell>
          <cell r="DG559">
            <v>0</v>
          </cell>
          <cell r="DI559">
            <v>0</v>
          </cell>
          <cell r="DJ559">
            <v>0</v>
          </cell>
          <cell r="DK559">
            <v>0</v>
          </cell>
          <cell r="DL559">
            <v>0</v>
          </cell>
          <cell r="DM559">
            <v>0</v>
          </cell>
          <cell r="DN559">
            <v>0</v>
          </cell>
          <cell r="DO559">
            <v>0</v>
          </cell>
          <cell r="DP559">
            <v>0</v>
          </cell>
          <cell r="DQ559">
            <v>0</v>
          </cell>
          <cell r="DR559">
            <v>0</v>
          </cell>
          <cell r="DS559">
            <v>0</v>
          </cell>
          <cell r="DT559">
            <v>0</v>
          </cell>
          <cell r="DU559">
            <v>0</v>
          </cell>
          <cell r="DW559">
            <v>0</v>
          </cell>
          <cell r="DX559">
            <v>0</v>
          </cell>
          <cell r="DY559">
            <v>0</v>
          </cell>
          <cell r="DZ559">
            <v>0</v>
          </cell>
          <cell r="EA559">
            <v>0</v>
          </cell>
          <cell r="EB559">
            <v>0</v>
          </cell>
          <cell r="EC559">
            <v>0</v>
          </cell>
          <cell r="ED559">
            <v>0</v>
          </cell>
          <cell r="EE559">
            <v>0</v>
          </cell>
          <cell r="EF559">
            <v>0</v>
          </cell>
          <cell r="EG559">
            <v>0</v>
          </cell>
          <cell r="EH559">
            <v>0</v>
          </cell>
          <cell r="EI559">
            <v>0</v>
          </cell>
          <cell r="EK559">
            <v>0</v>
          </cell>
          <cell r="EL559">
            <v>0</v>
          </cell>
          <cell r="EM559">
            <v>0</v>
          </cell>
          <cell r="EN559">
            <v>0</v>
          </cell>
          <cell r="EO559">
            <v>0</v>
          </cell>
          <cell r="EP559">
            <v>0</v>
          </cell>
          <cell r="EQ559">
            <v>0</v>
          </cell>
          <cell r="ER559">
            <v>0</v>
          </cell>
          <cell r="ES559">
            <v>0</v>
          </cell>
          <cell r="ET559">
            <v>0</v>
          </cell>
          <cell r="EU559">
            <v>0</v>
          </cell>
          <cell r="EV559">
            <v>0</v>
          </cell>
          <cell r="EW559">
            <v>0</v>
          </cell>
          <cell r="EY559">
            <v>0</v>
          </cell>
          <cell r="EZ559">
            <v>8</v>
          </cell>
          <cell r="FA559">
            <v>0</v>
          </cell>
          <cell r="FB559">
            <v>0</v>
          </cell>
          <cell r="FC559">
            <v>8.6</v>
          </cell>
          <cell r="FD559">
            <v>0</v>
          </cell>
          <cell r="FE559">
            <v>0</v>
          </cell>
          <cell r="FF559">
            <v>0</v>
          </cell>
          <cell r="FH559">
            <v>0</v>
          </cell>
        </row>
        <row r="560">
          <cell r="B560">
            <v>9697</v>
          </cell>
          <cell r="C560" t="str">
            <v>26.10.2009</v>
          </cell>
          <cell r="D560" t="str">
            <v>Makwana Mahesh Anil</v>
          </cell>
          <cell r="F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BA560">
            <v>0</v>
          </cell>
          <cell r="BB560">
            <v>0</v>
          </cell>
          <cell r="BC560">
            <v>0</v>
          </cell>
          <cell r="BD560">
            <v>0</v>
          </cell>
          <cell r="BE560">
            <v>0</v>
          </cell>
          <cell r="BF560">
            <v>0</v>
          </cell>
          <cell r="BG560">
            <v>0</v>
          </cell>
          <cell r="BH560">
            <v>0</v>
          </cell>
          <cell r="BI560">
            <v>0</v>
          </cell>
          <cell r="BK560">
            <v>0</v>
          </cell>
          <cell r="BL560">
            <v>0</v>
          </cell>
          <cell r="BM560">
            <v>0</v>
          </cell>
          <cell r="BN560">
            <v>0</v>
          </cell>
          <cell r="BO560">
            <v>0</v>
          </cell>
          <cell r="BP560">
            <v>0</v>
          </cell>
          <cell r="BQ560">
            <v>0</v>
          </cell>
          <cell r="BR560">
            <v>0</v>
          </cell>
          <cell r="BS560">
            <v>0</v>
          </cell>
          <cell r="BU560">
            <v>0</v>
          </cell>
          <cell r="BV560">
            <v>0</v>
          </cell>
          <cell r="BW560">
            <v>0</v>
          </cell>
          <cell r="BX560">
            <v>0</v>
          </cell>
          <cell r="BY560">
            <v>0</v>
          </cell>
          <cell r="BZ560">
            <v>0</v>
          </cell>
          <cell r="CA560">
            <v>0</v>
          </cell>
          <cell r="CB560">
            <v>0</v>
          </cell>
          <cell r="CC560">
            <v>0</v>
          </cell>
          <cell r="CE560">
            <v>0</v>
          </cell>
          <cell r="CF560">
            <v>0</v>
          </cell>
          <cell r="CG560">
            <v>0</v>
          </cell>
          <cell r="CH560">
            <v>0</v>
          </cell>
          <cell r="CI560">
            <v>0</v>
          </cell>
          <cell r="CJ560">
            <v>0</v>
          </cell>
          <cell r="CK560">
            <v>0</v>
          </cell>
          <cell r="CL560">
            <v>0</v>
          </cell>
          <cell r="CM560">
            <v>0</v>
          </cell>
          <cell r="CO560">
            <v>0</v>
          </cell>
          <cell r="CP560">
            <v>0</v>
          </cell>
          <cell r="CQ560">
            <v>0</v>
          </cell>
          <cell r="CR560">
            <v>0</v>
          </cell>
          <cell r="CS560">
            <v>0</v>
          </cell>
          <cell r="CT560">
            <v>0</v>
          </cell>
          <cell r="CU560">
            <v>0</v>
          </cell>
          <cell r="CV560">
            <v>0</v>
          </cell>
          <cell r="CW560">
            <v>0</v>
          </cell>
          <cell r="CY560">
            <v>0</v>
          </cell>
          <cell r="CZ560">
            <v>0</v>
          </cell>
          <cell r="DA560">
            <v>0</v>
          </cell>
          <cell r="DB560">
            <v>0</v>
          </cell>
          <cell r="DC560">
            <v>0</v>
          </cell>
          <cell r="DD560">
            <v>0</v>
          </cell>
          <cell r="DE560">
            <v>0</v>
          </cell>
          <cell r="DF560">
            <v>0</v>
          </cell>
          <cell r="DG560">
            <v>0</v>
          </cell>
          <cell r="DI560">
            <v>0</v>
          </cell>
          <cell r="DJ560">
            <v>0</v>
          </cell>
          <cell r="DK560">
            <v>0</v>
          </cell>
          <cell r="DL560">
            <v>0</v>
          </cell>
          <cell r="DM560">
            <v>0</v>
          </cell>
          <cell r="DN560">
            <v>0</v>
          </cell>
          <cell r="DO560">
            <v>0</v>
          </cell>
          <cell r="DP560">
            <v>0</v>
          </cell>
          <cell r="DQ560">
            <v>0</v>
          </cell>
          <cell r="DR560">
            <v>0</v>
          </cell>
          <cell r="DS560">
            <v>0</v>
          </cell>
          <cell r="DT560">
            <v>0</v>
          </cell>
          <cell r="DU560">
            <v>0</v>
          </cell>
          <cell r="DW560">
            <v>0</v>
          </cell>
          <cell r="DX560">
            <v>0</v>
          </cell>
          <cell r="DY560">
            <v>0</v>
          </cell>
          <cell r="DZ560">
            <v>0</v>
          </cell>
          <cell r="EA560">
            <v>0</v>
          </cell>
          <cell r="EB560">
            <v>0</v>
          </cell>
          <cell r="EC560">
            <v>0</v>
          </cell>
          <cell r="ED560">
            <v>0</v>
          </cell>
          <cell r="EE560">
            <v>0</v>
          </cell>
          <cell r="EF560">
            <v>0</v>
          </cell>
          <cell r="EG560">
            <v>0</v>
          </cell>
          <cell r="EH560">
            <v>0</v>
          </cell>
          <cell r="EI560">
            <v>0</v>
          </cell>
          <cell r="EK560">
            <v>0</v>
          </cell>
          <cell r="EL560">
            <v>0</v>
          </cell>
          <cell r="EM560">
            <v>0</v>
          </cell>
          <cell r="EN560">
            <v>0</v>
          </cell>
          <cell r="EO560">
            <v>0</v>
          </cell>
          <cell r="EP560">
            <v>0</v>
          </cell>
          <cell r="EQ560">
            <v>0</v>
          </cell>
          <cell r="ER560">
            <v>0</v>
          </cell>
          <cell r="ES560">
            <v>0</v>
          </cell>
          <cell r="ET560">
            <v>0</v>
          </cell>
          <cell r="EU560">
            <v>0</v>
          </cell>
          <cell r="EV560">
            <v>0</v>
          </cell>
          <cell r="EW560">
            <v>0</v>
          </cell>
          <cell r="EY560">
            <v>0</v>
          </cell>
          <cell r="EZ560">
            <v>8</v>
          </cell>
          <cell r="FA560">
            <v>0</v>
          </cell>
          <cell r="FB560">
            <v>0</v>
          </cell>
          <cell r="FC560">
            <v>8.6</v>
          </cell>
          <cell r="FD560">
            <v>0</v>
          </cell>
          <cell r="FE560">
            <v>0</v>
          </cell>
          <cell r="FF560">
            <v>0</v>
          </cell>
          <cell r="FH560">
            <v>0</v>
          </cell>
        </row>
        <row r="561">
          <cell r="B561">
            <v>9701</v>
          </cell>
          <cell r="C561" t="str">
            <v>26.10.2009</v>
          </cell>
          <cell r="D561" t="str">
            <v>Gangurde vandana Dinkar</v>
          </cell>
          <cell r="F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0</v>
          </cell>
          <cell r="AM561">
            <v>0</v>
          </cell>
          <cell r="AN561">
            <v>0</v>
          </cell>
          <cell r="AO561">
            <v>0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0</v>
          </cell>
          <cell r="BA561">
            <v>0</v>
          </cell>
          <cell r="BB561">
            <v>0</v>
          </cell>
          <cell r="BC561">
            <v>0</v>
          </cell>
          <cell r="BD561">
            <v>0</v>
          </cell>
          <cell r="BE561">
            <v>0</v>
          </cell>
          <cell r="BF561">
            <v>0</v>
          </cell>
          <cell r="BG561">
            <v>0</v>
          </cell>
          <cell r="BH561">
            <v>0</v>
          </cell>
          <cell r="BI561">
            <v>0</v>
          </cell>
          <cell r="BK561">
            <v>0</v>
          </cell>
          <cell r="BL561">
            <v>0</v>
          </cell>
          <cell r="BM561">
            <v>0</v>
          </cell>
          <cell r="BN561">
            <v>0</v>
          </cell>
          <cell r="BO561">
            <v>0</v>
          </cell>
          <cell r="BP561">
            <v>0</v>
          </cell>
          <cell r="BQ561">
            <v>0</v>
          </cell>
          <cell r="BR561">
            <v>0</v>
          </cell>
          <cell r="BS561">
            <v>0</v>
          </cell>
          <cell r="BU561">
            <v>0</v>
          </cell>
          <cell r="BV561">
            <v>0</v>
          </cell>
          <cell r="BW561">
            <v>0</v>
          </cell>
          <cell r="BX561">
            <v>0</v>
          </cell>
          <cell r="BY561">
            <v>0</v>
          </cell>
          <cell r="BZ561">
            <v>0</v>
          </cell>
          <cell r="CA561">
            <v>0</v>
          </cell>
          <cell r="CB561">
            <v>0</v>
          </cell>
          <cell r="CC561">
            <v>0</v>
          </cell>
          <cell r="CE561">
            <v>0</v>
          </cell>
          <cell r="CF561">
            <v>0</v>
          </cell>
          <cell r="CG561">
            <v>0</v>
          </cell>
          <cell r="CH561">
            <v>0</v>
          </cell>
          <cell r="CI561">
            <v>0</v>
          </cell>
          <cell r="CJ561">
            <v>0</v>
          </cell>
          <cell r="CK561">
            <v>0</v>
          </cell>
          <cell r="CL561">
            <v>0</v>
          </cell>
          <cell r="CM561">
            <v>0</v>
          </cell>
          <cell r="CO561">
            <v>0</v>
          </cell>
          <cell r="CP561">
            <v>0</v>
          </cell>
          <cell r="CQ561">
            <v>0</v>
          </cell>
          <cell r="CR561">
            <v>0</v>
          </cell>
          <cell r="CS561">
            <v>0</v>
          </cell>
          <cell r="CT561">
            <v>0</v>
          </cell>
          <cell r="CU561">
            <v>0</v>
          </cell>
          <cell r="CV561">
            <v>0</v>
          </cell>
          <cell r="CW561">
            <v>0</v>
          </cell>
          <cell r="CY561">
            <v>0</v>
          </cell>
          <cell r="CZ561">
            <v>0</v>
          </cell>
          <cell r="DA561">
            <v>0</v>
          </cell>
          <cell r="DB561">
            <v>0</v>
          </cell>
          <cell r="DC561">
            <v>0</v>
          </cell>
          <cell r="DD561">
            <v>0</v>
          </cell>
          <cell r="DE561">
            <v>0</v>
          </cell>
          <cell r="DF561">
            <v>0</v>
          </cell>
          <cell r="DG561">
            <v>0</v>
          </cell>
          <cell r="DI561">
            <v>0</v>
          </cell>
          <cell r="DJ561">
            <v>0</v>
          </cell>
          <cell r="DK561">
            <v>0</v>
          </cell>
          <cell r="DL561">
            <v>0</v>
          </cell>
          <cell r="DM561">
            <v>0</v>
          </cell>
          <cell r="DN561">
            <v>0</v>
          </cell>
          <cell r="DO561">
            <v>0</v>
          </cell>
          <cell r="DP561">
            <v>0</v>
          </cell>
          <cell r="DQ561">
            <v>0</v>
          </cell>
          <cell r="DR561">
            <v>0</v>
          </cell>
          <cell r="DS561">
            <v>0</v>
          </cell>
          <cell r="DT561">
            <v>0</v>
          </cell>
          <cell r="DU561">
            <v>0</v>
          </cell>
          <cell r="DW561">
            <v>0</v>
          </cell>
          <cell r="DX561">
            <v>0</v>
          </cell>
          <cell r="DY561">
            <v>0</v>
          </cell>
          <cell r="DZ561">
            <v>0</v>
          </cell>
          <cell r="EA561">
            <v>0</v>
          </cell>
          <cell r="EB561">
            <v>0</v>
          </cell>
          <cell r="EC561">
            <v>0</v>
          </cell>
          <cell r="ED561">
            <v>0</v>
          </cell>
          <cell r="EE561">
            <v>0</v>
          </cell>
          <cell r="EF561">
            <v>0</v>
          </cell>
          <cell r="EG561">
            <v>0</v>
          </cell>
          <cell r="EH561">
            <v>0</v>
          </cell>
          <cell r="EI561">
            <v>0</v>
          </cell>
          <cell r="EK561">
            <v>0</v>
          </cell>
          <cell r="EL561">
            <v>0</v>
          </cell>
          <cell r="EM561">
            <v>0</v>
          </cell>
          <cell r="EN561">
            <v>0</v>
          </cell>
          <cell r="EO561">
            <v>0</v>
          </cell>
          <cell r="EP561">
            <v>0</v>
          </cell>
          <cell r="EQ561">
            <v>0</v>
          </cell>
          <cell r="ER561">
            <v>0</v>
          </cell>
          <cell r="ES561">
            <v>0</v>
          </cell>
          <cell r="ET561">
            <v>0</v>
          </cell>
          <cell r="EU561">
            <v>0</v>
          </cell>
          <cell r="EV561">
            <v>0</v>
          </cell>
          <cell r="EW561">
            <v>0</v>
          </cell>
          <cell r="EY561">
            <v>0</v>
          </cell>
          <cell r="EZ561">
            <v>8</v>
          </cell>
          <cell r="FA561">
            <v>0</v>
          </cell>
          <cell r="FB561">
            <v>0</v>
          </cell>
          <cell r="FC561">
            <v>8.6</v>
          </cell>
          <cell r="FD561">
            <v>0</v>
          </cell>
          <cell r="FE561">
            <v>0</v>
          </cell>
          <cell r="FF561">
            <v>0</v>
          </cell>
          <cell r="FH561">
            <v>0</v>
          </cell>
        </row>
        <row r="562">
          <cell r="B562">
            <v>9702</v>
          </cell>
          <cell r="C562" t="str">
            <v>26.10.2009</v>
          </cell>
          <cell r="D562" t="str">
            <v>Rajguru Sunita Vasant</v>
          </cell>
          <cell r="F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BA562">
            <v>0</v>
          </cell>
          <cell r="BB562">
            <v>0</v>
          </cell>
          <cell r="BC562">
            <v>0</v>
          </cell>
          <cell r="BD562">
            <v>0</v>
          </cell>
          <cell r="BE562">
            <v>0</v>
          </cell>
          <cell r="BF562">
            <v>0</v>
          </cell>
          <cell r="BG562">
            <v>0</v>
          </cell>
          <cell r="BH562">
            <v>0</v>
          </cell>
          <cell r="BI562">
            <v>0</v>
          </cell>
          <cell r="BK562">
            <v>0</v>
          </cell>
          <cell r="BL562">
            <v>0</v>
          </cell>
          <cell r="BM562">
            <v>0</v>
          </cell>
          <cell r="BN562">
            <v>0</v>
          </cell>
          <cell r="BO562">
            <v>0</v>
          </cell>
          <cell r="BP562">
            <v>0</v>
          </cell>
          <cell r="BQ562">
            <v>0</v>
          </cell>
          <cell r="BR562">
            <v>0</v>
          </cell>
          <cell r="BS562">
            <v>0</v>
          </cell>
          <cell r="BU562">
            <v>0</v>
          </cell>
          <cell r="BV562">
            <v>0</v>
          </cell>
          <cell r="BW562">
            <v>0</v>
          </cell>
          <cell r="BX562">
            <v>0</v>
          </cell>
          <cell r="BY562">
            <v>0</v>
          </cell>
          <cell r="BZ562">
            <v>0</v>
          </cell>
          <cell r="CA562">
            <v>0</v>
          </cell>
          <cell r="CB562">
            <v>0</v>
          </cell>
          <cell r="CC562">
            <v>0</v>
          </cell>
          <cell r="CE562">
            <v>0</v>
          </cell>
          <cell r="CF562">
            <v>0</v>
          </cell>
          <cell r="CG562">
            <v>0</v>
          </cell>
          <cell r="CH562">
            <v>0</v>
          </cell>
          <cell r="CI562">
            <v>0</v>
          </cell>
          <cell r="CJ562">
            <v>0</v>
          </cell>
          <cell r="CK562">
            <v>0</v>
          </cell>
          <cell r="CL562">
            <v>0</v>
          </cell>
          <cell r="CM562">
            <v>0</v>
          </cell>
          <cell r="CO562">
            <v>0</v>
          </cell>
          <cell r="CP562">
            <v>0</v>
          </cell>
          <cell r="CQ562">
            <v>0</v>
          </cell>
          <cell r="CR562">
            <v>0</v>
          </cell>
          <cell r="CS562">
            <v>0</v>
          </cell>
          <cell r="CT562">
            <v>0</v>
          </cell>
          <cell r="CU562">
            <v>0</v>
          </cell>
          <cell r="CV562">
            <v>0</v>
          </cell>
          <cell r="CW562">
            <v>0</v>
          </cell>
          <cell r="CY562">
            <v>0</v>
          </cell>
          <cell r="CZ562">
            <v>0</v>
          </cell>
          <cell r="DA562">
            <v>0</v>
          </cell>
          <cell r="DB562">
            <v>0</v>
          </cell>
          <cell r="DC562">
            <v>0</v>
          </cell>
          <cell r="DD562">
            <v>0</v>
          </cell>
          <cell r="DE562">
            <v>0</v>
          </cell>
          <cell r="DF562">
            <v>0</v>
          </cell>
          <cell r="DG562">
            <v>0</v>
          </cell>
          <cell r="DI562">
            <v>0</v>
          </cell>
          <cell r="DJ562">
            <v>0</v>
          </cell>
          <cell r="DK562">
            <v>0</v>
          </cell>
          <cell r="DL562">
            <v>0</v>
          </cell>
          <cell r="DM562">
            <v>0</v>
          </cell>
          <cell r="DN562">
            <v>0</v>
          </cell>
          <cell r="DO562">
            <v>0</v>
          </cell>
          <cell r="DP562">
            <v>0</v>
          </cell>
          <cell r="DQ562">
            <v>0</v>
          </cell>
          <cell r="DR562">
            <v>0</v>
          </cell>
          <cell r="DS562">
            <v>0</v>
          </cell>
          <cell r="DT562">
            <v>0</v>
          </cell>
          <cell r="DU562">
            <v>0</v>
          </cell>
          <cell r="DW562">
            <v>0</v>
          </cell>
          <cell r="DX562">
            <v>0</v>
          </cell>
          <cell r="DY562">
            <v>0</v>
          </cell>
          <cell r="DZ562">
            <v>0</v>
          </cell>
          <cell r="EA562">
            <v>0</v>
          </cell>
          <cell r="EB562">
            <v>0</v>
          </cell>
          <cell r="EC562">
            <v>0</v>
          </cell>
          <cell r="ED562">
            <v>0</v>
          </cell>
          <cell r="EE562">
            <v>0</v>
          </cell>
          <cell r="EF562">
            <v>0</v>
          </cell>
          <cell r="EG562">
            <v>0</v>
          </cell>
          <cell r="EH562">
            <v>0</v>
          </cell>
          <cell r="EI562">
            <v>0</v>
          </cell>
          <cell r="EK562">
            <v>0</v>
          </cell>
          <cell r="EL562">
            <v>0</v>
          </cell>
          <cell r="EM562">
            <v>0</v>
          </cell>
          <cell r="EN562">
            <v>0</v>
          </cell>
          <cell r="EO562">
            <v>0</v>
          </cell>
          <cell r="EP562">
            <v>0</v>
          </cell>
          <cell r="EQ562">
            <v>0</v>
          </cell>
          <cell r="ER562">
            <v>0</v>
          </cell>
          <cell r="ES562">
            <v>0</v>
          </cell>
          <cell r="ET562">
            <v>0</v>
          </cell>
          <cell r="EU562">
            <v>0</v>
          </cell>
          <cell r="EV562">
            <v>0</v>
          </cell>
          <cell r="EW562">
            <v>0</v>
          </cell>
          <cell r="EY562">
            <v>0</v>
          </cell>
          <cell r="EZ562">
            <v>8</v>
          </cell>
          <cell r="FA562">
            <v>0</v>
          </cell>
          <cell r="FB562">
            <v>0</v>
          </cell>
          <cell r="FC562">
            <v>8.6</v>
          </cell>
          <cell r="FD562">
            <v>0</v>
          </cell>
          <cell r="FE562">
            <v>0</v>
          </cell>
          <cell r="FF562">
            <v>0</v>
          </cell>
          <cell r="FH562">
            <v>0</v>
          </cell>
        </row>
        <row r="563">
          <cell r="B563">
            <v>9694</v>
          </cell>
          <cell r="C563" t="str">
            <v>27.10.2009</v>
          </cell>
          <cell r="D563" t="str">
            <v>Gangurde Prabhakar Madhukar</v>
          </cell>
          <cell r="F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0</v>
          </cell>
          <cell r="BA563">
            <v>0</v>
          </cell>
          <cell r="BB563">
            <v>0</v>
          </cell>
          <cell r="BC563">
            <v>0</v>
          </cell>
          <cell r="BD563">
            <v>0</v>
          </cell>
          <cell r="BE563">
            <v>0</v>
          </cell>
          <cell r="BF563">
            <v>0</v>
          </cell>
          <cell r="BG563">
            <v>0</v>
          </cell>
          <cell r="BH563">
            <v>0</v>
          </cell>
          <cell r="BI563">
            <v>0</v>
          </cell>
          <cell r="BK563">
            <v>0</v>
          </cell>
          <cell r="BL563">
            <v>0</v>
          </cell>
          <cell r="BM563">
            <v>0</v>
          </cell>
          <cell r="BN563">
            <v>0</v>
          </cell>
          <cell r="BO563">
            <v>0</v>
          </cell>
          <cell r="BP563">
            <v>0</v>
          </cell>
          <cell r="BQ563">
            <v>0</v>
          </cell>
          <cell r="BR563">
            <v>0</v>
          </cell>
          <cell r="BS563">
            <v>0</v>
          </cell>
          <cell r="BU563">
            <v>0</v>
          </cell>
          <cell r="BV563">
            <v>0</v>
          </cell>
          <cell r="BW563">
            <v>0</v>
          </cell>
          <cell r="BX563">
            <v>0</v>
          </cell>
          <cell r="BY563">
            <v>0</v>
          </cell>
          <cell r="BZ563">
            <v>0</v>
          </cell>
          <cell r="CA563">
            <v>0</v>
          </cell>
          <cell r="CB563">
            <v>0</v>
          </cell>
          <cell r="CC563">
            <v>0</v>
          </cell>
          <cell r="CE563">
            <v>0</v>
          </cell>
          <cell r="CF563">
            <v>0</v>
          </cell>
          <cell r="CG563">
            <v>0</v>
          </cell>
          <cell r="CH563">
            <v>0</v>
          </cell>
          <cell r="CI563">
            <v>0</v>
          </cell>
          <cell r="CJ563">
            <v>0</v>
          </cell>
          <cell r="CK563">
            <v>0</v>
          </cell>
          <cell r="CL563">
            <v>0</v>
          </cell>
          <cell r="CM563">
            <v>0</v>
          </cell>
          <cell r="CO563">
            <v>0</v>
          </cell>
          <cell r="CP563">
            <v>0</v>
          </cell>
          <cell r="CQ563">
            <v>0</v>
          </cell>
          <cell r="CR563">
            <v>0</v>
          </cell>
          <cell r="CS563">
            <v>0</v>
          </cell>
          <cell r="CT563">
            <v>0</v>
          </cell>
          <cell r="CU563">
            <v>0</v>
          </cell>
          <cell r="CV563">
            <v>0</v>
          </cell>
          <cell r="CW563">
            <v>0</v>
          </cell>
          <cell r="CY563">
            <v>0</v>
          </cell>
          <cell r="CZ563">
            <v>0</v>
          </cell>
          <cell r="DA563">
            <v>0</v>
          </cell>
          <cell r="DB563">
            <v>0</v>
          </cell>
          <cell r="DC563">
            <v>0</v>
          </cell>
          <cell r="DD563">
            <v>0</v>
          </cell>
          <cell r="DE563">
            <v>0</v>
          </cell>
          <cell r="DF563">
            <v>0</v>
          </cell>
          <cell r="DG563">
            <v>0</v>
          </cell>
          <cell r="DI563">
            <v>0</v>
          </cell>
          <cell r="DJ563">
            <v>0</v>
          </cell>
          <cell r="DK563">
            <v>0</v>
          </cell>
          <cell r="DL563">
            <v>0</v>
          </cell>
          <cell r="DM563">
            <v>0</v>
          </cell>
          <cell r="DN563">
            <v>0</v>
          </cell>
          <cell r="DO563">
            <v>0</v>
          </cell>
          <cell r="DP563">
            <v>0</v>
          </cell>
          <cell r="DQ563">
            <v>0</v>
          </cell>
          <cell r="DR563">
            <v>0</v>
          </cell>
          <cell r="DS563">
            <v>0</v>
          </cell>
          <cell r="DT563">
            <v>0</v>
          </cell>
          <cell r="DU563">
            <v>0</v>
          </cell>
          <cell r="DW563">
            <v>0</v>
          </cell>
          <cell r="DX563">
            <v>0</v>
          </cell>
          <cell r="DY563">
            <v>0</v>
          </cell>
          <cell r="DZ563">
            <v>0</v>
          </cell>
          <cell r="EA563">
            <v>0</v>
          </cell>
          <cell r="EB563">
            <v>0</v>
          </cell>
          <cell r="EC563">
            <v>0</v>
          </cell>
          <cell r="ED563">
            <v>0</v>
          </cell>
          <cell r="EE563">
            <v>0</v>
          </cell>
          <cell r="EF563">
            <v>0</v>
          </cell>
          <cell r="EG563">
            <v>0</v>
          </cell>
          <cell r="EH563">
            <v>0</v>
          </cell>
          <cell r="EI563">
            <v>0</v>
          </cell>
          <cell r="EK563">
            <v>0</v>
          </cell>
          <cell r="EL563">
            <v>0</v>
          </cell>
          <cell r="EM563">
            <v>0</v>
          </cell>
          <cell r="EN563">
            <v>0</v>
          </cell>
          <cell r="EO563">
            <v>0</v>
          </cell>
          <cell r="EP563">
            <v>0</v>
          </cell>
          <cell r="EQ563">
            <v>0</v>
          </cell>
          <cell r="ER563">
            <v>0</v>
          </cell>
          <cell r="ES563">
            <v>0</v>
          </cell>
          <cell r="ET563">
            <v>0</v>
          </cell>
          <cell r="EU563">
            <v>0</v>
          </cell>
          <cell r="EV563">
            <v>0</v>
          </cell>
          <cell r="EW563">
            <v>0</v>
          </cell>
          <cell r="EY563">
            <v>0</v>
          </cell>
          <cell r="EZ563">
            <v>8</v>
          </cell>
          <cell r="FA563">
            <v>0</v>
          </cell>
          <cell r="FB563">
            <v>0</v>
          </cell>
          <cell r="FC563">
            <v>8.6</v>
          </cell>
          <cell r="FD563">
            <v>0</v>
          </cell>
          <cell r="FE563">
            <v>0</v>
          </cell>
          <cell r="FF563">
            <v>0</v>
          </cell>
          <cell r="FH563">
            <v>0</v>
          </cell>
        </row>
        <row r="564">
          <cell r="B564">
            <v>10182</v>
          </cell>
          <cell r="C564" t="str">
            <v>27.10.2009</v>
          </cell>
          <cell r="D564" t="str">
            <v>Gangurde Aakash Dadu</v>
          </cell>
          <cell r="F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0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0</v>
          </cell>
          <cell r="BA564">
            <v>0</v>
          </cell>
          <cell r="BB564">
            <v>0</v>
          </cell>
          <cell r="BC564">
            <v>0</v>
          </cell>
          <cell r="BD564">
            <v>0</v>
          </cell>
          <cell r="BE564">
            <v>0</v>
          </cell>
          <cell r="BF564">
            <v>0</v>
          </cell>
          <cell r="BG564">
            <v>0</v>
          </cell>
          <cell r="BH564">
            <v>0</v>
          </cell>
          <cell r="BI564">
            <v>0</v>
          </cell>
          <cell r="BK564">
            <v>0</v>
          </cell>
          <cell r="BL564">
            <v>0</v>
          </cell>
          <cell r="BM564">
            <v>0</v>
          </cell>
          <cell r="BN564">
            <v>0</v>
          </cell>
          <cell r="BO564">
            <v>0</v>
          </cell>
          <cell r="BP564">
            <v>0</v>
          </cell>
          <cell r="BQ564">
            <v>0</v>
          </cell>
          <cell r="BR564">
            <v>0</v>
          </cell>
          <cell r="BS564">
            <v>0</v>
          </cell>
          <cell r="BU564">
            <v>0</v>
          </cell>
          <cell r="BV564">
            <v>0</v>
          </cell>
          <cell r="BW564">
            <v>0</v>
          </cell>
          <cell r="BX564">
            <v>0</v>
          </cell>
          <cell r="BY564">
            <v>0</v>
          </cell>
          <cell r="BZ564">
            <v>0</v>
          </cell>
          <cell r="CA564">
            <v>0</v>
          </cell>
          <cell r="CB564">
            <v>0</v>
          </cell>
          <cell r="CC564">
            <v>0</v>
          </cell>
          <cell r="CE564">
            <v>0</v>
          </cell>
          <cell r="CF564">
            <v>0</v>
          </cell>
          <cell r="CG564">
            <v>0</v>
          </cell>
          <cell r="CH564">
            <v>0</v>
          </cell>
          <cell r="CI564">
            <v>0</v>
          </cell>
          <cell r="CJ564">
            <v>0</v>
          </cell>
          <cell r="CK564">
            <v>0</v>
          </cell>
          <cell r="CL564">
            <v>0</v>
          </cell>
          <cell r="CM564">
            <v>0</v>
          </cell>
          <cell r="CO564">
            <v>0</v>
          </cell>
          <cell r="CP564">
            <v>0</v>
          </cell>
          <cell r="CQ564">
            <v>0</v>
          </cell>
          <cell r="CR564">
            <v>0</v>
          </cell>
          <cell r="CS564">
            <v>0</v>
          </cell>
          <cell r="CT564">
            <v>0</v>
          </cell>
          <cell r="CU564">
            <v>0</v>
          </cell>
          <cell r="CV564">
            <v>0</v>
          </cell>
          <cell r="CW564">
            <v>0</v>
          </cell>
          <cell r="CY564">
            <v>0</v>
          </cell>
          <cell r="CZ564">
            <v>0</v>
          </cell>
          <cell r="DA564">
            <v>0</v>
          </cell>
          <cell r="DB564">
            <v>0</v>
          </cell>
          <cell r="DC564">
            <v>0</v>
          </cell>
          <cell r="DD564">
            <v>0</v>
          </cell>
          <cell r="DE564">
            <v>0</v>
          </cell>
          <cell r="DF564">
            <v>0</v>
          </cell>
          <cell r="DG564">
            <v>0</v>
          </cell>
          <cell r="DI564">
            <v>0</v>
          </cell>
          <cell r="DJ564">
            <v>0</v>
          </cell>
          <cell r="DK564">
            <v>0</v>
          </cell>
          <cell r="DL564">
            <v>0</v>
          </cell>
          <cell r="DM564">
            <v>0</v>
          </cell>
          <cell r="DN564">
            <v>0</v>
          </cell>
          <cell r="DO564">
            <v>0</v>
          </cell>
          <cell r="DP564">
            <v>0</v>
          </cell>
          <cell r="DQ564">
            <v>0</v>
          </cell>
          <cell r="DR564">
            <v>0</v>
          </cell>
          <cell r="DS564">
            <v>0</v>
          </cell>
          <cell r="DT564">
            <v>0</v>
          </cell>
          <cell r="DU564">
            <v>0</v>
          </cell>
          <cell r="DW564">
            <v>0</v>
          </cell>
          <cell r="DX564">
            <v>0</v>
          </cell>
          <cell r="DY564">
            <v>0</v>
          </cell>
          <cell r="DZ564">
            <v>0</v>
          </cell>
          <cell r="EA564">
            <v>0</v>
          </cell>
          <cell r="EB564">
            <v>0</v>
          </cell>
          <cell r="EC564">
            <v>0</v>
          </cell>
          <cell r="ED564">
            <v>0</v>
          </cell>
          <cell r="EE564">
            <v>0</v>
          </cell>
          <cell r="EF564">
            <v>0</v>
          </cell>
          <cell r="EG564">
            <v>0</v>
          </cell>
          <cell r="EH564">
            <v>0</v>
          </cell>
          <cell r="EI564">
            <v>0</v>
          </cell>
          <cell r="EK564">
            <v>0</v>
          </cell>
          <cell r="EL564">
            <v>0</v>
          </cell>
          <cell r="EM564">
            <v>0</v>
          </cell>
          <cell r="EN564">
            <v>0</v>
          </cell>
          <cell r="EO564">
            <v>0</v>
          </cell>
          <cell r="EP564">
            <v>0</v>
          </cell>
          <cell r="EQ564">
            <v>0</v>
          </cell>
          <cell r="ER564">
            <v>0</v>
          </cell>
          <cell r="ES564">
            <v>0</v>
          </cell>
          <cell r="ET564">
            <v>0</v>
          </cell>
          <cell r="EU564">
            <v>0</v>
          </cell>
          <cell r="EV564">
            <v>0</v>
          </cell>
          <cell r="EW564">
            <v>0</v>
          </cell>
          <cell r="EY564">
            <v>0</v>
          </cell>
          <cell r="EZ564">
            <v>8</v>
          </cell>
          <cell r="FA564">
            <v>0</v>
          </cell>
          <cell r="FB564">
            <v>0</v>
          </cell>
          <cell r="FC564">
            <v>8.6</v>
          </cell>
          <cell r="FD564">
            <v>0</v>
          </cell>
          <cell r="FE564">
            <v>0</v>
          </cell>
          <cell r="FF564">
            <v>0</v>
          </cell>
          <cell r="FH564">
            <v>0</v>
          </cell>
        </row>
        <row r="565">
          <cell r="B565">
            <v>9703</v>
          </cell>
          <cell r="C565" t="str">
            <v>28.10.2009</v>
          </cell>
          <cell r="D565" t="str">
            <v>Wankhade Vanita Vasant</v>
          </cell>
          <cell r="F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BA565">
            <v>0</v>
          </cell>
          <cell r="BB565">
            <v>0</v>
          </cell>
          <cell r="BC565">
            <v>0</v>
          </cell>
          <cell r="BD565">
            <v>0</v>
          </cell>
          <cell r="BE565">
            <v>0</v>
          </cell>
          <cell r="BF565">
            <v>0</v>
          </cell>
          <cell r="BG565">
            <v>0</v>
          </cell>
          <cell r="BH565">
            <v>0</v>
          </cell>
          <cell r="BI565">
            <v>0</v>
          </cell>
          <cell r="BK565">
            <v>0</v>
          </cell>
          <cell r="BL565">
            <v>0</v>
          </cell>
          <cell r="BM565">
            <v>0</v>
          </cell>
          <cell r="BN565">
            <v>0</v>
          </cell>
          <cell r="BO565">
            <v>0</v>
          </cell>
          <cell r="BP565">
            <v>0</v>
          </cell>
          <cell r="BQ565">
            <v>0</v>
          </cell>
          <cell r="BR565">
            <v>0</v>
          </cell>
          <cell r="BS565">
            <v>0</v>
          </cell>
          <cell r="BU565">
            <v>0</v>
          </cell>
          <cell r="BV565">
            <v>0</v>
          </cell>
          <cell r="BW565">
            <v>0</v>
          </cell>
          <cell r="BX565">
            <v>0</v>
          </cell>
          <cell r="BY565">
            <v>0</v>
          </cell>
          <cell r="BZ565">
            <v>0</v>
          </cell>
          <cell r="CA565">
            <v>0</v>
          </cell>
          <cell r="CB565">
            <v>0</v>
          </cell>
          <cell r="CC565">
            <v>0</v>
          </cell>
          <cell r="CE565">
            <v>0</v>
          </cell>
          <cell r="CF565">
            <v>0</v>
          </cell>
          <cell r="CG565">
            <v>0</v>
          </cell>
          <cell r="CH565">
            <v>0</v>
          </cell>
          <cell r="CI565">
            <v>0</v>
          </cell>
          <cell r="CJ565">
            <v>0</v>
          </cell>
          <cell r="CK565">
            <v>0</v>
          </cell>
          <cell r="CL565">
            <v>0</v>
          </cell>
          <cell r="CM565">
            <v>0</v>
          </cell>
          <cell r="CO565">
            <v>0</v>
          </cell>
          <cell r="CP565">
            <v>0</v>
          </cell>
          <cell r="CQ565">
            <v>0</v>
          </cell>
          <cell r="CR565">
            <v>0</v>
          </cell>
          <cell r="CS565">
            <v>0</v>
          </cell>
          <cell r="CT565">
            <v>0</v>
          </cell>
          <cell r="CU565">
            <v>0</v>
          </cell>
          <cell r="CV565">
            <v>0</v>
          </cell>
          <cell r="CW565">
            <v>0</v>
          </cell>
          <cell r="CY565">
            <v>0</v>
          </cell>
          <cell r="CZ565">
            <v>0</v>
          </cell>
          <cell r="DA565">
            <v>0</v>
          </cell>
          <cell r="DB565">
            <v>0</v>
          </cell>
          <cell r="DC565">
            <v>0</v>
          </cell>
          <cell r="DD565">
            <v>0</v>
          </cell>
          <cell r="DE565">
            <v>0</v>
          </cell>
          <cell r="DF565">
            <v>0</v>
          </cell>
          <cell r="DG565">
            <v>0</v>
          </cell>
          <cell r="DI565">
            <v>0</v>
          </cell>
          <cell r="DJ565">
            <v>0</v>
          </cell>
          <cell r="DK565">
            <v>0</v>
          </cell>
          <cell r="DL565">
            <v>0</v>
          </cell>
          <cell r="DM565">
            <v>0</v>
          </cell>
          <cell r="DN565">
            <v>0</v>
          </cell>
          <cell r="DO565">
            <v>0</v>
          </cell>
          <cell r="DP565">
            <v>0</v>
          </cell>
          <cell r="DQ565">
            <v>0</v>
          </cell>
          <cell r="DR565">
            <v>0</v>
          </cell>
          <cell r="DS565">
            <v>0</v>
          </cell>
          <cell r="DT565">
            <v>0</v>
          </cell>
          <cell r="DU565">
            <v>0</v>
          </cell>
          <cell r="DW565">
            <v>0</v>
          </cell>
          <cell r="DX565">
            <v>0</v>
          </cell>
          <cell r="DY565">
            <v>0</v>
          </cell>
          <cell r="DZ565">
            <v>0</v>
          </cell>
          <cell r="EA565">
            <v>0</v>
          </cell>
          <cell r="EB565">
            <v>0</v>
          </cell>
          <cell r="EC565">
            <v>0</v>
          </cell>
          <cell r="ED565">
            <v>0</v>
          </cell>
          <cell r="EE565">
            <v>0</v>
          </cell>
          <cell r="EF565">
            <v>0</v>
          </cell>
          <cell r="EG565">
            <v>0</v>
          </cell>
          <cell r="EH565">
            <v>0</v>
          </cell>
          <cell r="EI565">
            <v>0</v>
          </cell>
          <cell r="EK565">
            <v>0</v>
          </cell>
          <cell r="EL565">
            <v>0</v>
          </cell>
          <cell r="EM565">
            <v>0</v>
          </cell>
          <cell r="EN565">
            <v>0</v>
          </cell>
          <cell r="EO565">
            <v>0</v>
          </cell>
          <cell r="EP565">
            <v>0</v>
          </cell>
          <cell r="EQ565">
            <v>0</v>
          </cell>
          <cell r="ER565">
            <v>0</v>
          </cell>
          <cell r="ES565">
            <v>0</v>
          </cell>
          <cell r="ET565">
            <v>0</v>
          </cell>
          <cell r="EU565">
            <v>0</v>
          </cell>
          <cell r="EV565">
            <v>0</v>
          </cell>
          <cell r="EW565">
            <v>0</v>
          </cell>
          <cell r="EY565">
            <v>0</v>
          </cell>
          <cell r="EZ565">
            <v>8</v>
          </cell>
          <cell r="FA565">
            <v>0</v>
          </cell>
          <cell r="FB565">
            <v>0</v>
          </cell>
          <cell r="FC565">
            <v>8.6</v>
          </cell>
          <cell r="FD565">
            <v>0</v>
          </cell>
          <cell r="FE565">
            <v>0</v>
          </cell>
          <cell r="FF565">
            <v>0</v>
          </cell>
          <cell r="FH565">
            <v>0</v>
          </cell>
        </row>
        <row r="566">
          <cell r="B566">
            <v>9845</v>
          </cell>
          <cell r="C566" t="str">
            <v>28.10.2009</v>
          </cell>
          <cell r="D566" t="str">
            <v>Chandramore Deepak Pundlik</v>
          </cell>
          <cell r="F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0</v>
          </cell>
          <cell r="AK566">
            <v>0</v>
          </cell>
          <cell r="AL566">
            <v>0</v>
          </cell>
          <cell r="AM566">
            <v>0</v>
          </cell>
          <cell r="AN566">
            <v>0</v>
          </cell>
          <cell r="AO566">
            <v>0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0</v>
          </cell>
          <cell r="BA566">
            <v>0</v>
          </cell>
          <cell r="BB566">
            <v>0</v>
          </cell>
          <cell r="BC566">
            <v>0</v>
          </cell>
          <cell r="BD566">
            <v>0</v>
          </cell>
          <cell r="BE566">
            <v>0</v>
          </cell>
          <cell r="BF566">
            <v>0</v>
          </cell>
          <cell r="BG566">
            <v>0</v>
          </cell>
          <cell r="BH566">
            <v>0</v>
          </cell>
          <cell r="BI566">
            <v>0</v>
          </cell>
          <cell r="BK566">
            <v>0</v>
          </cell>
          <cell r="BL566">
            <v>0</v>
          </cell>
          <cell r="BM566">
            <v>0</v>
          </cell>
          <cell r="BN566">
            <v>0</v>
          </cell>
          <cell r="BO566">
            <v>0</v>
          </cell>
          <cell r="BP566">
            <v>0</v>
          </cell>
          <cell r="BQ566">
            <v>0</v>
          </cell>
          <cell r="BR566">
            <v>0</v>
          </cell>
          <cell r="BS566">
            <v>0</v>
          </cell>
          <cell r="BU566">
            <v>0</v>
          </cell>
          <cell r="BV566">
            <v>0</v>
          </cell>
          <cell r="BW566">
            <v>0</v>
          </cell>
          <cell r="BX566">
            <v>0</v>
          </cell>
          <cell r="BY566">
            <v>0</v>
          </cell>
          <cell r="BZ566">
            <v>0</v>
          </cell>
          <cell r="CA566">
            <v>0</v>
          </cell>
          <cell r="CB566">
            <v>0</v>
          </cell>
          <cell r="CC566">
            <v>0</v>
          </cell>
          <cell r="CE566">
            <v>0</v>
          </cell>
          <cell r="CF566">
            <v>0</v>
          </cell>
          <cell r="CG566">
            <v>0</v>
          </cell>
          <cell r="CH566">
            <v>0</v>
          </cell>
          <cell r="CI566">
            <v>0</v>
          </cell>
          <cell r="CJ566">
            <v>0</v>
          </cell>
          <cell r="CK566">
            <v>0</v>
          </cell>
          <cell r="CL566">
            <v>0</v>
          </cell>
          <cell r="CM566">
            <v>0</v>
          </cell>
          <cell r="CO566">
            <v>0</v>
          </cell>
          <cell r="CP566">
            <v>0</v>
          </cell>
          <cell r="CQ566">
            <v>0</v>
          </cell>
          <cell r="CR566">
            <v>0</v>
          </cell>
          <cell r="CS566">
            <v>0</v>
          </cell>
          <cell r="CT566">
            <v>0</v>
          </cell>
          <cell r="CU566">
            <v>0</v>
          </cell>
          <cell r="CV566">
            <v>0</v>
          </cell>
          <cell r="CW566">
            <v>0</v>
          </cell>
          <cell r="CY566">
            <v>0</v>
          </cell>
          <cell r="CZ566">
            <v>0</v>
          </cell>
          <cell r="DA566">
            <v>0</v>
          </cell>
          <cell r="DB566">
            <v>0</v>
          </cell>
          <cell r="DC566">
            <v>0</v>
          </cell>
          <cell r="DD566">
            <v>0</v>
          </cell>
          <cell r="DE566">
            <v>0</v>
          </cell>
          <cell r="DF566">
            <v>0</v>
          </cell>
          <cell r="DG566">
            <v>0</v>
          </cell>
          <cell r="DI566">
            <v>0</v>
          </cell>
          <cell r="DJ566">
            <v>0</v>
          </cell>
          <cell r="DK566">
            <v>0</v>
          </cell>
          <cell r="DL566">
            <v>0</v>
          </cell>
          <cell r="DM566">
            <v>0</v>
          </cell>
          <cell r="DN566">
            <v>0</v>
          </cell>
          <cell r="DO566">
            <v>0</v>
          </cell>
          <cell r="DP566">
            <v>0</v>
          </cell>
          <cell r="DQ566">
            <v>0</v>
          </cell>
          <cell r="DR566">
            <v>0</v>
          </cell>
          <cell r="DS566">
            <v>0</v>
          </cell>
          <cell r="DT566">
            <v>0</v>
          </cell>
          <cell r="DU566">
            <v>0</v>
          </cell>
          <cell r="DW566">
            <v>0</v>
          </cell>
          <cell r="DX566">
            <v>0</v>
          </cell>
          <cell r="DY566">
            <v>0</v>
          </cell>
          <cell r="DZ566">
            <v>0</v>
          </cell>
          <cell r="EA566">
            <v>0</v>
          </cell>
          <cell r="EB566">
            <v>0</v>
          </cell>
          <cell r="EC566">
            <v>0</v>
          </cell>
          <cell r="ED566">
            <v>0</v>
          </cell>
          <cell r="EE566">
            <v>0</v>
          </cell>
          <cell r="EF566">
            <v>0</v>
          </cell>
          <cell r="EG566">
            <v>0</v>
          </cell>
          <cell r="EH566">
            <v>0</v>
          </cell>
          <cell r="EI566">
            <v>0</v>
          </cell>
          <cell r="EK566">
            <v>0</v>
          </cell>
          <cell r="EL566">
            <v>0</v>
          </cell>
          <cell r="EM566">
            <v>0</v>
          </cell>
          <cell r="EN566">
            <v>0</v>
          </cell>
          <cell r="EO566">
            <v>0</v>
          </cell>
          <cell r="EP566">
            <v>0</v>
          </cell>
          <cell r="EQ566">
            <v>0</v>
          </cell>
          <cell r="ER566">
            <v>0</v>
          </cell>
          <cell r="ES566">
            <v>0</v>
          </cell>
          <cell r="ET566">
            <v>0</v>
          </cell>
          <cell r="EU566">
            <v>0</v>
          </cell>
          <cell r="EV566">
            <v>0</v>
          </cell>
          <cell r="EW566">
            <v>0</v>
          </cell>
          <cell r="EY566">
            <v>0</v>
          </cell>
          <cell r="EZ566">
            <v>8</v>
          </cell>
          <cell r="FA566">
            <v>0</v>
          </cell>
          <cell r="FB566">
            <v>0</v>
          </cell>
          <cell r="FC566">
            <v>8.6</v>
          </cell>
          <cell r="FD566">
            <v>0</v>
          </cell>
          <cell r="FE566">
            <v>0</v>
          </cell>
          <cell r="FF566">
            <v>0</v>
          </cell>
          <cell r="FH566">
            <v>0</v>
          </cell>
        </row>
        <row r="567">
          <cell r="B567">
            <v>9442</v>
          </cell>
          <cell r="C567" t="str">
            <v>10.12.2009</v>
          </cell>
          <cell r="D567" t="str">
            <v>Kapse Ramdas Mhasu</v>
          </cell>
          <cell r="F567">
            <v>7035</v>
          </cell>
          <cell r="G567">
            <v>20715</v>
          </cell>
          <cell r="H567">
            <v>5295</v>
          </cell>
          <cell r="I567">
            <v>5295</v>
          </cell>
          <cell r="J567">
            <v>10590</v>
          </cell>
          <cell r="K567">
            <v>3555</v>
          </cell>
          <cell r="M567">
            <v>1057</v>
          </cell>
          <cell r="N567">
            <v>0</v>
          </cell>
          <cell r="O567">
            <v>1057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W567">
            <v>1057</v>
          </cell>
          <cell r="X567">
            <v>0</v>
          </cell>
          <cell r="Y567">
            <v>1057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G567">
            <v>1088</v>
          </cell>
          <cell r="AH567">
            <v>0</v>
          </cell>
          <cell r="AI567">
            <v>1088</v>
          </cell>
          <cell r="AJ567">
            <v>0</v>
          </cell>
          <cell r="AK567">
            <v>0</v>
          </cell>
          <cell r="AL567">
            <v>0</v>
          </cell>
          <cell r="AM567">
            <v>0</v>
          </cell>
          <cell r="AN567">
            <v>0</v>
          </cell>
          <cell r="AO567">
            <v>0</v>
          </cell>
          <cell r="AQ567">
            <v>1088</v>
          </cell>
          <cell r="AR567">
            <v>0</v>
          </cell>
          <cell r="AS567">
            <v>1088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0</v>
          </cell>
          <cell r="BA567">
            <v>1088</v>
          </cell>
          <cell r="BB567">
            <v>0</v>
          </cell>
          <cell r="BC567">
            <v>1088</v>
          </cell>
          <cell r="BD567">
            <v>0</v>
          </cell>
          <cell r="BE567">
            <v>0</v>
          </cell>
          <cell r="BF567">
            <v>0</v>
          </cell>
          <cell r="BG567">
            <v>0</v>
          </cell>
          <cell r="BH567">
            <v>0</v>
          </cell>
          <cell r="BI567">
            <v>0</v>
          </cell>
          <cell r="BK567">
            <v>1139</v>
          </cell>
          <cell r="BL567">
            <v>0</v>
          </cell>
          <cell r="BM567">
            <v>1139</v>
          </cell>
          <cell r="BN567">
            <v>0</v>
          </cell>
          <cell r="BO567">
            <v>0</v>
          </cell>
          <cell r="BP567">
            <v>0</v>
          </cell>
          <cell r="BQ567">
            <v>0</v>
          </cell>
          <cell r="BR567">
            <v>0</v>
          </cell>
          <cell r="BS567">
            <v>0</v>
          </cell>
          <cell r="BU567">
            <v>1139</v>
          </cell>
          <cell r="BV567">
            <v>0</v>
          </cell>
          <cell r="BW567">
            <v>1139</v>
          </cell>
          <cell r="BX567">
            <v>0</v>
          </cell>
          <cell r="BY567">
            <v>0</v>
          </cell>
          <cell r="BZ567">
            <v>0</v>
          </cell>
          <cell r="CA567">
            <v>0</v>
          </cell>
          <cell r="CB567">
            <v>0</v>
          </cell>
          <cell r="CC567">
            <v>0</v>
          </cell>
          <cell r="CE567">
            <v>1139</v>
          </cell>
          <cell r="CF567">
            <v>0</v>
          </cell>
          <cell r="CG567">
            <v>1139</v>
          </cell>
          <cell r="CH567">
            <v>0</v>
          </cell>
          <cell r="CI567">
            <v>0</v>
          </cell>
          <cell r="CJ567">
            <v>0</v>
          </cell>
          <cell r="CK567">
            <v>0</v>
          </cell>
          <cell r="CL567">
            <v>0</v>
          </cell>
          <cell r="CM567">
            <v>0</v>
          </cell>
          <cell r="CO567">
            <v>1139</v>
          </cell>
          <cell r="CP567">
            <v>0</v>
          </cell>
          <cell r="CQ567">
            <v>1139</v>
          </cell>
          <cell r="CR567">
            <v>0</v>
          </cell>
          <cell r="CS567">
            <v>0</v>
          </cell>
          <cell r="CT567">
            <v>0</v>
          </cell>
          <cell r="CU567">
            <v>0</v>
          </cell>
          <cell r="CV567">
            <v>0</v>
          </cell>
          <cell r="CW567">
            <v>0</v>
          </cell>
          <cell r="CY567">
            <v>1139</v>
          </cell>
          <cell r="CZ567">
            <v>0</v>
          </cell>
          <cell r="DA567">
            <v>1139</v>
          </cell>
          <cell r="DB567">
            <v>0</v>
          </cell>
          <cell r="DC567">
            <v>0</v>
          </cell>
          <cell r="DD567">
            <v>0</v>
          </cell>
          <cell r="DE567">
            <v>0</v>
          </cell>
          <cell r="DF567">
            <v>0</v>
          </cell>
          <cell r="DG567">
            <v>0</v>
          </cell>
          <cell r="DI567">
            <v>10590</v>
          </cell>
          <cell r="DJ567">
            <v>11073</v>
          </cell>
          <cell r="DK567">
            <v>0</v>
          </cell>
          <cell r="DL567">
            <v>11073</v>
          </cell>
          <cell r="DM567">
            <v>11073</v>
          </cell>
          <cell r="DN567">
            <v>0</v>
          </cell>
          <cell r="DO567">
            <v>11073</v>
          </cell>
          <cell r="DP567">
            <v>0</v>
          </cell>
          <cell r="DQ567">
            <v>0</v>
          </cell>
          <cell r="DR567">
            <v>0</v>
          </cell>
          <cell r="DS567">
            <v>0</v>
          </cell>
          <cell r="DT567">
            <v>22146</v>
          </cell>
          <cell r="DU567">
            <v>0</v>
          </cell>
          <cell r="DW567">
            <v>0</v>
          </cell>
          <cell r="DX567">
            <v>0</v>
          </cell>
          <cell r="DY567">
            <v>12704</v>
          </cell>
          <cell r="DZ567">
            <v>14818</v>
          </cell>
          <cell r="EA567">
            <v>16994</v>
          </cell>
          <cell r="EB567">
            <v>19170</v>
          </cell>
          <cell r="EC567">
            <v>21346</v>
          </cell>
          <cell r="ED567">
            <v>23624</v>
          </cell>
          <cell r="EE567">
            <v>25902</v>
          </cell>
          <cell r="EF567">
            <v>28180</v>
          </cell>
          <cell r="EG567">
            <v>30458</v>
          </cell>
          <cell r="EH567">
            <v>32736</v>
          </cell>
          <cell r="EI567">
            <v>225932</v>
          </cell>
          <cell r="EK567">
            <v>0</v>
          </cell>
          <cell r="EL567">
            <v>0</v>
          </cell>
          <cell r="EM567">
            <v>84.693333333333342</v>
          </cell>
          <cell r="EN567">
            <v>98.786666666666676</v>
          </cell>
          <cell r="EO567">
            <v>113.29333333333334</v>
          </cell>
          <cell r="EP567">
            <v>127.8</v>
          </cell>
          <cell r="EQ567">
            <v>142.30666666666667</v>
          </cell>
          <cell r="ER567">
            <v>157.49333333333334</v>
          </cell>
          <cell r="ES567">
            <v>185.63099999999997</v>
          </cell>
          <cell r="ET567">
            <v>201.95666666666668</v>
          </cell>
          <cell r="EU567">
            <v>218.28233333333333</v>
          </cell>
          <cell r="EV567">
            <v>234.60799999999998</v>
          </cell>
          <cell r="EW567">
            <v>1564.8513333333333</v>
          </cell>
          <cell r="EY567">
            <v>108656</v>
          </cell>
          <cell r="EZ567">
            <v>8</v>
          </cell>
          <cell r="FA567">
            <v>724.37333333333333</v>
          </cell>
          <cell r="FB567">
            <v>117276</v>
          </cell>
          <cell r="FC567">
            <v>8.6</v>
          </cell>
          <cell r="FD567">
            <v>840.47799999999995</v>
          </cell>
          <cell r="FE567">
            <v>1564.8513333333333</v>
          </cell>
          <cell r="FF567">
            <v>34301</v>
          </cell>
          <cell r="FH567">
            <v>34301</v>
          </cell>
        </row>
        <row r="568">
          <cell r="B568">
            <v>9700</v>
          </cell>
          <cell r="C568" t="str">
            <v>11.12.2009</v>
          </cell>
          <cell r="D568" t="str">
            <v>Gangurde Sandip Gorakshanath</v>
          </cell>
          <cell r="F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0</v>
          </cell>
          <cell r="AL568">
            <v>0</v>
          </cell>
          <cell r="AM568">
            <v>0</v>
          </cell>
          <cell r="AN568">
            <v>0</v>
          </cell>
          <cell r="AO568">
            <v>0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0</v>
          </cell>
          <cell r="BA568">
            <v>0</v>
          </cell>
          <cell r="BB568">
            <v>0</v>
          </cell>
          <cell r="BC568">
            <v>0</v>
          </cell>
          <cell r="BD568">
            <v>0</v>
          </cell>
          <cell r="BE568">
            <v>0</v>
          </cell>
          <cell r="BF568">
            <v>0</v>
          </cell>
          <cell r="BG568">
            <v>0</v>
          </cell>
          <cell r="BH568">
            <v>0</v>
          </cell>
          <cell r="BI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0</v>
          </cell>
          <cell r="BP568">
            <v>0</v>
          </cell>
          <cell r="BQ568">
            <v>0</v>
          </cell>
          <cell r="BR568">
            <v>0</v>
          </cell>
          <cell r="BS568">
            <v>0</v>
          </cell>
          <cell r="BU568">
            <v>0</v>
          </cell>
          <cell r="BV568">
            <v>0</v>
          </cell>
          <cell r="BW568">
            <v>0</v>
          </cell>
          <cell r="BX568">
            <v>0</v>
          </cell>
          <cell r="BY568">
            <v>0</v>
          </cell>
          <cell r="BZ568">
            <v>0</v>
          </cell>
          <cell r="CA568">
            <v>0</v>
          </cell>
          <cell r="CB568">
            <v>0</v>
          </cell>
          <cell r="CC568">
            <v>0</v>
          </cell>
          <cell r="CE568">
            <v>0</v>
          </cell>
          <cell r="CF568">
            <v>0</v>
          </cell>
          <cell r="CG568">
            <v>0</v>
          </cell>
          <cell r="CH568">
            <v>0</v>
          </cell>
          <cell r="CI568">
            <v>0</v>
          </cell>
          <cell r="CJ568">
            <v>0</v>
          </cell>
          <cell r="CK568">
            <v>0</v>
          </cell>
          <cell r="CL568">
            <v>0</v>
          </cell>
          <cell r="CM568">
            <v>0</v>
          </cell>
          <cell r="CO568">
            <v>0</v>
          </cell>
          <cell r="CP568">
            <v>0</v>
          </cell>
          <cell r="CQ568">
            <v>0</v>
          </cell>
          <cell r="CR568">
            <v>0</v>
          </cell>
          <cell r="CS568">
            <v>0</v>
          </cell>
          <cell r="CT568">
            <v>0</v>
          </cell>
          <cell r="CU568">
            <v>0</v>
          </cell>
          <cell r="CV568">
            <v>0</v>
          </cell>
          <cell r="CW568">
            <v>0</v>
          </cell>
          <cell r="CY568">
            <v>0</v>
          </cell>
          <cell r="CZ568">
            <v>0</v>
          </cell>
          <cell r="DA568">
            <v>0</v>
          </cell>
          <cell r="DB568">
            <v>0</v>
          </cell>
          <cell r="DC568">
            <v>0</v>
          </cell>
          <cell r="DD568">
            <v>0</v>
          </cell>
          <cell r="DE568">
            <v>0</v>
          </cell>
          <cell r="DF568">
            <v>0</v>
          </cell>
          <cell r="DG568">
            <v>0</v>
          </cell>
          <cell r="DI568">
            <v>0</v>
          </cell>
          <cell r="DJ568">
            <v>0</v>
          </cell>
          <cell r="DK568">
            <v>0</v>
          </cell>
          <cell r="DL568">
            <v>0</v>
          </cell>
          <cell r="DM568">
            <v>0</v>
          </cell>
          <cell r="DN568">
            <v>0</v>
          </cell>
          <cell r="DO568">
            <v>0</v>
          </cell>
          <cell r="DP568">
            <v>0</v>
          </cell>
          <cell r="DQ568">
            <v>0</v>
          </cell>
          <cell r="DR568">
            <v>0</v>
          </cell>
          <cell r="DS568">
            <v>0</v>
          </cell>
          <cell r="DT568">
            <v>0</v>
          </cell>
          <cell r="DU568">
            <v>0</v>
          </cell>
          <cell r="DW568">
            <v>0</v>
          </cell>
          <cell r="DX568">
            <v>0</v>
          </cell>
          <cell r="DY568">
            <v>0</v>
          </cell>
          <cell r="DZ568">
            <v>0</v>
          </cell>
          <cell r="EA568">
            <v>0</v>
          </cell>
          <cell r="EB568">
            <v>0</v>
          </cell>
          <cell r="EC568">
            <v>0</v>
          </cell>
          <cell r="ED568">
            <v>0</v>
          </cell>
          <cell r="EE568">
            <v>0</v>
          </cell>
          <cell r="EF568">
            <v>0</v>
          </cell>
          <cell r="EG568">
            <v>0</v>
          </cell>
          <cell r="EH568">
            <v>0</v>
          </cell>
          <cell r="EI568">
            <v>0</v>
          </cell>
          <cell r="EK568">
            <v>0</v>
          </cell>
          <cell r="EL568">
            <v>0</v>
          </cell>
          <cell r="EM568">
            <v>0</v>
          </cell>
          <cell r="EN568">
            <v>0</v>
          </cell>
          <cell r="EO568">
            <v>0</v>
          </cell>
          <cell r="EP568">
            <v>0</v>
          </cell>
          <cell r="EQ568">
            <v>0</v>
          </cell>
          <cell r="ER568">
            <v>0</v>
          </cell>
          <cell r="ES568">
            <v>0</v>
          </cell>
          <cell r="ET568">
            <v>0</v>
          </cell>
          <cell r="EU568">
            <v>0</v>
          </cell>
          <cell r="EV568">
            <v>0</v>
          </cell>
          <cell r="EW568">
            <v>0</v>
          </cell>
          <cell r="EY568">
            <v>0</v>
          </cell>
          <cell r="EZ568">
            <v>8</v>
          </cell>
          <cell r="FA568">
            <v>0</v>
          </cell>
          <cell r="FB568">
            <v>0</v>
          </cell>
          <cell r="FC568">
            <v>8.6</v>
          </cell>
          <cell r="FD568">
            <v>0</v>
          </cell>
          <cell r="FE568">
            <v>0</v>
          </cell>
          <cell r="FF568">
            <v>0</v>
          </cell>
          <cell r="FH568">
            <v>0</v>
          </cell>
        </row>
        <row r="569">
          <cell r="B569">
            <v>9704</v>
          </cell>
          <cell r="C569" t="str">
            <v>14.12.2009</v>
          </cell>
          <cell r="D569" t="str">
            <v>Dhakoliya Tushar Mahavir</v>
          </cell>
          <cell r="F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BA569">
            <v>0</v>
          </cell>
          <cell r="BB569">
            <v>0</v>
          </cell>
          <cell r="BC569">
            <v>0</v>
          </cell>
          <cell r="BD569">
            <v>0</v>
          </cell>
          <cell r="BE569">
            <v>0</v>
          </cell>
          <cell r="BF569">
            <v>0</v>
          </cell>
          <cell r="BG569">
            <v>0</v>
          </cell>
          <cell r="BH569">
            <v>0</v>
          </cell>
          <cell r="BI569">
            <v>0</v>
          </cell>
          <cell r="BK569">
            <v>0</v>
          </cell>
          <cell r="BL569">
            <v>0</v>
          </cell>
          <cell r="BM569">
            <v>0</v>
          </cell>
          <cell r="BN569">
            <v>0</v>
          </cell>
          <cell r="BO569">
            <v>0</v>
          </cell>
          <cell r="BP569">
            <v>0</v>
          </cell>
          <cell r="BQ569">
            <v>0</v>
          </cell>
          <cell r="BR569">
            <v>0</v>
          </cell>
          <cell r="BS569">
            <v>0</v>
          </cell>
          <cell r="BU569">
            <v>0</v>
          </cell>
          <cell r="BV569">
            <v>0</v>
          </cell>
          <cell r="BW569">
            <v>0</v>
          </cell>
          <cell r="BX569">
            <v>0</v>
          </cell>
          <cell r="BY569">
            <v>0</v>
          </cell>
          <cell r="BZ569">
            <v>0</v>
          </cell>
          <cell r="CA569">
            <v>0</v>
          </cell>
          <cell r="CB569">
            <v>0</v>
          </cell>
          <cell r="CC569">
            <v>0</v>
          </cell>
          <cell r="CE569">
            <v>0</v>
          </cell>
          <cell r="CF569">
            <v>0</v>
          </cell>
          <cell r="CG569">
            <v>0</v>
          </cell>
          <cell r="CH569">
            <v>0</v>
          </cell>
          <cell r="CI569">
            <v>0</v>
          </cell>
          <cell r="CJ569">
            <v>0</v>
          </cell>
          <cell r="CK569">
            <v>0</v>
          </cell>
          <cell r="CL569">
            <v>0</v>
          </cell>
          <cell r="CM569">
            <v>0</v>
          </cell>
          <cell r="CO569">
            <v>0</v>
          </cell>
          <cell r="CP569">
            <v>0</v>
          </cell>
          <cell r="CQ569">
            <v>0</v>
          </cell>
          <cell r="CR569">
            <v>0</v>
          </cell>
          <cell r="CS569">
            <v>0</v>
          </cell>
          <cell r="CT569">
            <v>0</v>
          </cell>
          <cell r="CU569">
            <v>0</v>
          </cell>
          <cell r="CV569">
            <v>0</v>
          </cell>
          <cell r="CW569">
            <v>0</v>
          </cell>
          <cell r="CY569">
            <v>0</v>
          </cell>
          <cell r="CZ569">
            <v>0</v>
          </cell>
          <cell r="DA569">
            <v>0</v>
          </cell>
          <cell r="DB569">
            <v>0</v>
          </cell>
          <cell r="DC569">
            <v>0</v>
          </cell>
          <cell r="DD569">
            <v>0</v>
          </cell>
          <cell r="DE569">
            <v>0</v>
          </cell>
          <cell r="DF569">
            <v>0</v>
          </cell>
          <cell r="DG569">
            <v>0</v>
          </cell>
          <cell r="DI569">
            <v>0</v>
          </cell>
          <cell r="DJ569">
            <v>0</v>
          </cell>
          <cell r="DK569">
            <v>0</v>
          </cell>
          <cell r="DL569">
            <v>0</v>
          </cell>
          <cell r="DM569">
            <v>0</v>
          </cell>
          <cell r="DN569">
            <v>0</v>
          </cell>
          <cell r="DO569">
            <v>0</v>
          </cell>
          <cell r="DP569">
            <v>0</v>
          </cell>
          <cell r="DQ569">
            <v>0</v>
          </cell>
          <cell r="DR569">
            <v>0</v>
          </cell>
          <cell r="DS569">
            <v>0</v>
          </cell>
          <cell r="DT569">
            <v>0</v>
          </cell>
          <cell r="DU569">
            <v>0</v>
          </cell>
          <cell r="DW569">
            <v>0</v>
          </cell>
          <cell r="DX569">
            <v>0</v>
          </cell>
          <cell r="DY569">
            <v>0</v>
          </cell>
          <cell r="DZ569">
            <v>0</v>
          </cell>
          <cell r="EA569">
            <v>0</v>
          </cell>
          <cell r="EB569">
            <v>0</v>
          </cell>
          <cell r="EC569">
            <v>0</v>
          </cell>
          <cell r="ED569">
            <v>0</v>
          </cell>
          <cell r="EE569">
            <v>0</v>
          </cell>
          <cell r="EF569">
            <v>0</v>
          </cell>
          <cell r="EG569">
            <v>0</v>
          </cell>
          <cell r="EH569">
            <v>0</v>
          </cell>
          <cell r="EI569">
            <v>0</v>
          </cell>
          <cell r="EK569">
            <v>0</v>
          </cell>
          <cell r="EL569">
            <v>0</v>
          </cell>
          <cell r="EM569">
            <v>0</v>
          </cell>
          <cell r="EN569">
            <v>0</v>
          </cell>
          <cell r="EO569">
            <v>0</v>
          </cell>
          <cell r="EP569">
            <v>0</v>
          </cell>
          <cell r="EQ569">
            <v>0</v>
          </cell>
          <cell r="ER569">
            <v>0</v>
          </cell>
          <cell r="ES569">
            <v>0</v>
          </cell>
          <cell r="ET569">
            <v>0</v>
          </cell>
          <cell r="EU569">
            <v>0</v>
          </cell>
          <cell r="EV569">
            <v>0</v>
          </cell>
          <cell r="EW569">
            <v>0</v>
          </cell>
          <cell r="EY569">
            <v>0</v>
          </cell>
          <cell r="EZ569">
            <v>8</v>
          </cell>
          <cell r="FA569">
            <v>0</v>
          </cell>
          <cell r="FB569">
            <v>0</v>
          </cell>
          <cell r="FC569">
            <v>8.6</v>
          </cell>
          <cell r="FD569">
            <v>0</v>
          </cell>
          <cell r="FE569">
            <v>0</v>
          </cell>
          <cell r="FF569">
            <v>0</v>
          </cell>
          <cell r="FH569">
            <v>0</v>
          </cell>
        </row>
        <row r="570">
          <cell r="B570">
            <v>9707</v>
          </cell>
          <cell r="C570" t="str">
            <v>14.12.2009</v>
          </cell>
          <cell r="D570" t="str">
            <v>Shinde Keshav Hiraman</v>
          </cell>
          <cell r="F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  <cell r="AL570">
            <v>0</v>
          </cell>
          <cell r="AM570">
            <v>0</v>
          </cell>
          <cell r="AN570">
            <v>0</v>
          </cell>
          <cell r="AO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0</v>
          </cell>
          <cell r="BA570">
            <v>0</v>
          </cell>
          <cell r="BB570">
            <v>0</v>
          </cell>
          <cell r="BC570">
            <v>0</v>
          </cell>
          <cell r="BD570">
            <v>0</v>
          </cell>
          <cell r="BE570">
            <v>0</v>
          </cell>
          <cell r="BF570">
            <v>0</v>
          </cell>
          <cell r="BG570">
            <v>0</v>
          </cell>
          <cell r="BH570">
            <v>0</v>
          </cell>
          <cell r="BI570">
            <v>0</v>
          </cell>
          <cell r="BK570">
            <v>0</v>
          </cell>
          <cell r="BL570">
            <v>0</v>
          </cell>
          <cell r="BM570">
            <v>0</v>
          </cell>
          <cell r="BN570">
            <v>0</v>
          </cell>
          <cell r="BO570">
            <v>0</v>
          </cell>
          <cell r="BP570">
            <v>0</v>
          </cell>
          <cell r="BQ570">
            <v>0</v>
          </cell>
          <cell r="BR570">
            <v>0</v>
          </cell>
          <cell r="BS570">
            <v>0</v>
          </cell>
          <cell r="BU570">
            <v>0</v>
          </cell>
          <cell r="BV570">
            <v>0</v>
          </cell>
          <cell r="BW570">
            <v>0</v>
          </cell>
          <cell r="BX570">
            <v>0</v>
          </cell>
          <cell r="BY570">
            <v>0</v>
          </cell>
          <cell r="BZ570">
            <v>0</v>
          </cell>
          <cell r="CA570">
            <v>0</v>
          </cell>
          <cell r="CB570">
            <v>0</v>
          </cell>
          <cell r="CC570">
            <v>0</v>
          </cell>
          <cell r="CE570">
            <v>0</v>
          </cell>
          <cell r="CF570">
            <v>0</v>
          </cell>
          <cell r="CG570">
            <v>0</v>
          </cell>
          <cell r="CH570">
            <v>0</v>
          </cell>
          <cell r="CI570">
            <v>0</v>
          </cell>
          <cell r="CJ570">
            <v>0</v>
          </cell>
          <cell r="CK570">
            <v>0</v>
          </cell>
          <cell r="CL570">
            <v>0</v>
          </cell>
          <cell r="CM570">
            <v>0</v>
          </cell>
          <cell r="CO570">
            <v>0</v>
          </cell>
          <cell r="CP570">
            <v>0</v>
          </cell>
          <cell r="CQ570">
            <v>0</v>
          </cell>
          <cell r="CR570">
            <v>0</v>
          </cell>
          <cell r="CS570">
            <v>0</v>
          </cell>
          <cell r="CT570">
            <v>0</v>
          </cell>
          <cell r="CU570">
            <v>0</v>
          </cell>
          <cell r="CV570">
            <v>0</v>
          </cell>
          <cell r="CW570">
            <v>0</v>
          </cell>
          <cell r="CY570">
            <v>0</v>
          </cell>
          <cell r="CZ570">
            <v>0</v>
          </cell>
          <cell r="DA570">
            <v>0</v>
          </cell>
          <cell r="DB570">
            <v>0</v>
          </cell>
          <cell r="DC570">
            <v>0</v>
          </cell>
          <cell r="DD570">
            <v>0</v>
          </cell>
          <cell r="DE570">
            <v>0</v>
          </cell>
          <cell r="DF570">
            <v>0</v>
          </cell>
          <cell r="DG570">
            <v>0</v>
          </cell>
          <cell r="DI570">
            <v>0</v>
          </cell>
          <cell r="DJ570">
            <v>0</v>
          </cell>
          <cell r="DK570">
            <v>0</v>
          </cell>
          <cell r="DL570">
            <v>0</v>
          </cell>
          <cell r="DM570">
            <v>0</v>
          </cell>
          <cell r="DN570">
            <v>0</v>
          </cell>
          <cell r="DO570">
            <v>0</v>
          </cell>
          <cell r="DP570">
            <v>0</v>
          </cell>
          <cell r="DQ570">
            <v>0</v>
          </cell>
          <cell r="DR570">
            <v>0</v>
          </cell>
          <cell r="DS570">
            <v>0</v>
          </cell>
          <cell r="DT570">
            <v>0</v>
          </cell>
          <cell r="DU570">
            <v>0</v>
          </cell>
          <cell r="DW570">
            <v>0</v>
          </cell>
          <cell r="DX570">
            <v>0</v>
          </cell>
          <cell r="DY570">
            <v>0</v>
          </cell>
          <cell r="DZ570">
            <v>0</v>
          </cell>
          <cell r="EA570">
            <v>0</v>
          </cell>
          <cell r="EB570">
            <v>0</v>
          </cell>
          <cell r="EC570">
            <v>0</v>
          </cell>
          <cell r="ED570">
            <v>0</v>
          </cell>
          <cell r="EE570">
            <v>0</v>
          </cell>
          <cell r="EF570">
            <v>0</v>
          </cell>
          <cell r="EG570">
            <v>0</v>
          </cell>
          <cell r="EH570">
            <v>0</v>
          </cell>
          <cell r="EI570">
            <v>0</v>
          </cell>
          <cell r="EK570">
            <v>0</v>
          </cell>
          <cell r="EL570">
            <v>0</v>
          </cell>
          <cell r="EM570">
            <v>0</v>
          </cell>
          <cell r="EN570">
            <v>0</v>
          </cell>
          <cell r="EO570">
            <v>0</v>
          </cell>
          <cell r="EP570">
            <v>0</v>
          </cell>
          <cell r="EQ570">
            <v>0</v>
          </cell>
          <cell r="ER570">
            <v>0</v>
          </cell>
          <cell r="ES570">
            <v>0</v>
          </cell>
          <cell r="ET570">
            <v>0</v>
          </cell>
          <cell r="EU570">
            <v>0</v>
          </cell>
          <cell r="EV570">
            <v>0</v>
          </cell>
          <cell r="EW570">
            <v>0</v>
          </cell>
          <cell r="EY570">
            <v>0</v>
          </cell>
          <cell r="EZ570">
            <v>8</v>
          </cell>
          <cell r="FA570">
            <v>0</v>
          </cell>
          <cell r="FB570">
            <v>0</v>
          </cell>
          <cell r="FC570">
            <v>8.6</v>
          </cell>
          <cell r="FD570">
            <v>0</v>
          </cell>
          <cell r="FE570">
            <v>0</v>
          </cell>
          <cell r="FF570">
            <v>0</v>
          </cell>
          <cell r="FH570">
            <v>0</v>
          </cell>
        </row>
        <row r="571">
          <cell r="B571">
            <v>9699</v>
          </cell>
          <cell r="C571" t="str">
            <v>17.12.2009</v>
          </cell>
          <cell r="D571" t="str">
            <v>Salve Santosh Keval</v>
          </cell>
          <cell r="F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  <cell r="BA571">
            <v>0</v>
          </cell>
          <cell r="BB571">
            <v>0</v>
          </cell>
          <cell r="BC571">
            <v>0</v>
          </cell>
          <cell r="BD571">
            <v>0</v>
          </cell>
          <cell r="BE571">
            <v>0</v>
          </cell>
          <cell r="BF571">
            <v>0</v>
          </cell>
          <cell r="BG571">
            <v>0</v>
          </cell>
          <cell r="BH571">
            <v>0</v>
          </cell>
          <cell r="BI571">
            <v>0</v>
          </cell>
          <cell r="BK571">
            <v>0</v>
          </cell>
          <cell r="BL571">
            <v>0</v>
          </cell>
          <cell r="BM571">
            <v>0</v>
          </cell>
          <cell r="BN571">
            <v>0</v>
          </cell>
          <cell r="BO571">
            <v>0</v>
          </cell>
          <cell r="BP571">
            <v>0</v>
          </cell>
          <cell r="BQ571">
            <v>0</v>
          </cell>
          <cell r="BR571">
            <v>0</v>
          </cell>
          <cell r="BS571">
            <v>0</v>
          </cell>
          <cell r="BU571">
            <v>0</v>
          </cell>
          <cell r="BV571">
            <v>0</v>
          </cell>
          <cell r="BW571">
            <v>0</v>
          </cell>
          <cell r="BX571">
            <v>0</v>
          </cell>
          <cell r="BY571">
            <v>0</v>
          </cell>
          <cell r="BZ571">
            <v>0</v>
          </cell>
          <cell r="CA571">
            <v>0</v>
          </cell>
          <cell r="CB571">
            <v>0</v>
          </cell>
          <cell r="CC571">
            <v>0</v>
          </cell>
          <cell r="CE571">
            <v>0</v>
          </cell>
          <cell r="CF571">
            <v>0</v>
          </cell>
          <cell r="CG571">
            <v>0</v>
          </cell>
          <cell r="CH571">
            <v>0</v>
          </cell>
          <cell r="CI571">
            <v>0</v>
          </cell>
          <cell r="CJ571">
            <v>0</v>
          </cell>
          <cell r="CK571">
            <v>0</v>
          </cell>
          <cell r="CL571">
            <v>0</v>
          </cell>
          <cell r="CM571">
            <v>0</v>
          </cell>
          <cell r="CO571">
            <v>0</v>
          </cell>
          <cell r="CP571">
            <v>0</v>
          </cell>
          <cell r="CQ571">
            <v>0</v>
          </cell>
          <cell r="CR571">
            <v>0</v>
          </cell>
          <cell r="CS571">
            <v>0</v>
          </cell>
          <cell r="CT571">
            <v>0</v>
          </cell>
          <cell r="CU571">
            <v>0</v>
          </cell>
          <cell r="CV571">
            <v>0</v>
          </cell>
          <cell r="CW571">
            <v>0</v>
          </cell>
          <cell r="CY571">
            <v>0</v>
          </cell>
          <cell r="CZ571">
            <v>0</v>
          </cell>
          <cell r="DA571">
            <v>0</v>
          </cell>
          <cell r="DB571">
            <v>0</v>
          </cell>
          <cell r="DC571">
            <v>0</v>
          </cell>
          <cell r="DD571">
            <v>0</v>
          </cell>
          <cell r="DE571">
            <v>0</v>
          </cell>
          <cell r="DF571">
            <v>0</v>
          </cell>
          <cell r="DG571">
            <v>0</v>
          </cell>
          <cell r="DI571">
            <v>0</v>
          </cell>
          <cell r="DJ571">
            <v>0</v>
          </cell>
          <cell r="DK571">
            <v>0</v>
          </cell>
          <cell r="DL571">
            <v>0</v>
          </cell>
          <cell r="DM571">
            <v>0</v>
          </cell>
          <cell r="DN571">
            <v>0</v>
          </cell>
          <cell r="DO571">
            <v>0</v>
          </cell>
          <cell r="DP571">
            <v>0</v>
          </cell>
          <cell r="DQ571">
            <v>0</v>
          </cell>
          <cell r="DR571">
            <v>0</v>
          </cell>
          <cell r="DS571">
            <v>0</v>
          </cell>
          <cell r="DT571">
            <v>0</v>
          </cell>
          <cell r="DU571">
            <v>0</v>
          </cell>
          <cell r="DW571">
            <v>0</v>
          </cell>
          <cell r="DX571">
            <v>0</v>
          </cell>
          <cell r="DY571">
            <v>0</v>
          </cell>
          <cell r="DZ571">
            <v>0</v>
          </cell>
          <cell r="EA571">
            <v>0</v>
          </cell>
          <cell r="EB571">
            <v>0</v>
          </cell>
          <cell r="EC571">
            <v>0</v>
          </cell>
          <cell r="ED571">
            <v>0</v>
          </cell>
          <cell r="EE571">
            <v>0</v>
          </cell>
          <cell r="EF571">
            <v>0</v>
          </cell>
          <cell r="EG571">
            <v>0</v>
          </cell>
          <cell r="EH571">
            <v>0</v>
          </cell>
          <cell r="EI571">
            <v>0</v>
          </cell>
          <cell r="EK571">
            <v>0</v>
          </cell>
          <cell r="EL571">
            <v>0</v>
          </cell>
          <cell r="EM571">
            <v>0</v>
          </cell>
          <cell r="EN571">
            <v>0</v>
          </cell>
          <cell r="EO571">
            <v>0</v>
          </cell>
          <cell r="EP571">
            <v>0</v>
          </cell>
          <cell r="EQ571">
            <v>0</v>
          </cell>
          <cell r="ER571">
            <v>0</v>
          </cell>
          <cell r="ES571">
            <v>0</v>
          </cell>
          <cell r="ET571">
            <v>0</v>
          </cell>
          <cell r="EU571">
            <v>0</v>
          </cell>
          <cell r="EV571">
            <v>0</v>
          </cell>
          <cell r="EW571">
            <v>0</v>
          </cell>
          <cell r="EY571">
            <v>0</v>
          </cell>
          <cell r="EZ571">
            <v>8</v>
          </cell>
          <cell r="FA571">
            <v>0</v>
          </cell>
          <cell r="FB571">
            <v>0</v>
          </cell>
          <cell r="FC571">
            <v>8.6</v>
          </cell>
          <cell r="FD571">
            <v>0</v>
          </cell>
          <cell r="FE571">
            <v>0</v>
          </cell>
          <cell r="FF571">
            <v>0</v>
          </cell>
          <cell r="FH571">
            <v>0</v>
          </cell>
        </row>
        <row r="572">
          <cell r="B572">
            <v>9679</v>
          </cell>
          <cell r="C572" t="str">
            <v>19.12.2009</v>
          </cell>
          <cell r="D572" t="str">
            <v>Shinde Kiran Manohar</v>
          </cell>
          <cell r="F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  <cell r="BA572">
            <v>0</v>
          </cell>
          <cell r="BB572">
            <v>0</v>
          </cell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K572">
            <v>0</v>
          </cell>
          <cell r="BL572">
            <v>0</v>
          </cell>
          <cell r="BM572">
            <v>0</v>
          </cell>
          <cell r="BN572">
            <v>0</v>
          </cell>
          <cell r="BO572">
            <v>0</v>
          </cell>
          <cell r="BP572">
            <v>0</v>
          </cell>
          <cell r="BQ572">
            <v>0</v>
          </cell>
          <cell r="BR572">
            <v>0</v>
          </cell>
          <cell r="BS572">
            <v>0</v>
          </cell>
          <cell r="BU572">
            <v>0</v>
          </cell>
          <cell r="BV572">
            <v>0</v>
          </cell>
          <cell r="BW572">
            <v>0</v>
          </cell>
          <cell r="BX572">
            <v>0</v>
          </cell>
          <cell r="BY572">
            <v>0</v>
          </cell>
          <cell r="BZ572">
            <v>0</v>
          </cell>
          <cell r="CA572">
            <v>0</v>
          </cell>
          <cell r="CB572">
            <v>0</v>
          </cell>
          <cell r="CC572">
            <v>0</v>
          </cell>
          <cell r="CE572">
            <v>0</v>
          </cell>
          <cell r="CF572">
            <v>0</v>
          </cell>
          <cell r="CG572">
            <v>0</v>
          </cell>
          <cell r="CH572">
            <v>0</v>
          </cell>
          <cell r="CI572">
            <v>0</v>
          </cell>
          <cell r="CJ572">
            <v>0</v>
          </cell>
          <cell r="CK572">
            <v>0</v>
          </cell>
          <cell r="CL572">
            <v>0</v>
          </cell>
          <cell r="CM572">
            <v>0</v>
          </cell>
          <cell r="CO572">
            <v>0</v>
          </cell>
          <cell r="CP572">
            <v>0</v>
          </cell>
          <cell r="CQ572">
            <v>0</v>
          </cell>
          <cell r="CR572">
            <v>0</v>
          </cell>
          <cell r="CS572">
            <v>0</v>
          </cell>
          <cell r="CT572">
            <v>0</v>
          </cell>
          <cell r="CU572">
            <v>0</v>
          </cell>
          <cell r="CV572">
            <v>0</v>
          </cell>
          <cell r="CW572">
            <v>0</v>
          </cell>
          <cell r="CY572">
            <v>0</v>
          </cell>
          <cell r="CZ572">
            <v>0</v>
          </cell>
          <cell r="DA572">
            <v>0</v>
          </cell>
          <cell r="DB572">
            <v>0</v>
          </cell>
          <cell r="DC572">
            <v>0</v>
          </cell>
          <cell r="DD572">
            <v>0</v>
          </cell>
          <cell r="DE572">
            <v>0</v>
          </cell>
          <cell r="DF572">
            <v>0</v>
          </cell>
          <cell r="DG572">
            <v>0</v>
          </cell>
          <cell r="DI572">
            <v>0</v>
          </cell>
          <cell r="DJ572">
            <v>0</v>
          </cell>
          <cell r="DK572">
            <v>0</v>
          </cell>
          <cell r="DL572">
            <v>0</v>
          </cell>
          <cell r="DM572">
            <v>0</v>
          </cell>
          <cell r="DN572">
            <v>0</v>
          </cell>
          <cell r="DO572">
            <v>0</v>
          </cell>
          <cell r="DP572">
            <v>0</v>
          </cell>
          <cell r="DQ572">
            <v>0</v>
          </cell>
          <cell r="DR572">
            <v>0</v>
          </cell>
          <cell r="DS572">
            <v>0</v>
          </cell>
          <cell r="DT572">
            <v>0</v>
          </cell>
          <cell r="DU572">
            <v>0</v>
          </cell>
          <cell r="DW572">
            <v>0</v>
          </cell>
          <cell r="DX572">
            <v>0</v>
          </cell>
          <cell r="DY572">
            <v>0</v>
          </cell>
          <cell r="DZ572">
            <v>0</v>
          </cell>
          <cell r="EA572">
            <v>0</v>
          </cell>
          <cell r="EB572">
            <v>0</v>
          </cell>
          <cell r="EC572">
            <v>0</v>
          </cell>
          <cell r="ED572">
            <v>0</v>
          </cell>
          <cell r="EE572">
            <v>0</v>
          </cell>
          <cell r="EF572">
            <v>0</v>
          </cell>
          <cell r="EG572">
            <v>0</v>
          </cell>
          <cell r="EH572">
            <v>0</v>
          </cell>
          <cell r="EI572">
            <v>0</v>
          </cell>
          <cell r="EK572">
            <v>0</v>
          </cell>
          <cell r="EL572">
            <v>0</v>
          </cell>
          <cell r="EM572">
            <v>0</v>
          </cell>
          <cell r="EN572">
            <v>0</v>
          </cell>
          <cell r="EO572">
            <v>0</v>
          </cell>
          <cell r="EP572">
            <v>0</v>
          </cell>
          <cell r="EQ572">
            <v>0</v>
          </cell>
          <cell r="ER572">
            <v>0</v>
          </cell>
          <cell r="ES572">
            <v>0</v>
          </cell>
          <cell r="ET572">
            <v>0</v>
          </cell>
          <cell r="EU572">
            <v>0</v>
          </cell>
          <cell r="EV572">
            <v>0</v>
          </cell>
          <cell r="EW572">
            <v>0</v>
          </cell>
          <cell r="EY572">
            <v>0</v>
          </cell>
          <cell r="EZ572">
            <v>8</v>
          </cell>
          <cell r="FA572">
            <v>0</v>
          </cell>
          <cell r="FB572">
            <v>0</v>
          </cell>
          <cell r="FC572">
            <v>8.6</v>
          </cell>
          <cell r="FD572">
            <v>0</v>
          </cell>
          <cell r="FE572">
            <v>0</v>
          </cell>
          <cell r="FF572">
            <v>0</v>
          </cell>
          <cell r="FH572">
            <v>0</v>
          </cell>
        </row>
        <row r="573">
          <cell r="B573">
            <v>9698</v>
          </cell>
          <cell r="C573" t="str">
            <v>02.01.2010</v>
          </cell>
          <cell r="D573" t="str">
            <v>Bahenwal Vishal Vijaypal</v>
          </cell>
          <cell r="F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0</v>
          </cell>
          <cell r="BA573">
            <v>0</v>
          </cell>
          <cell r="BB573">
            <v>0</v>
          </cell>
          <cell r="BC573">
            <v>0</v>
          </cell>
          <cell r="BD573">
            <v>0</v>
          </cell>
          <cell r="BE573">
            <v>0</v>
          </cell>
          <cell r="BF573">
            <v>0</v>
          </cell>
          <cell r="BG573">
            <v>0</v>
          </cell>
          <cell r="BH573">
            <v>0</v>
          </cell>
          <cell r="BI573">
            <v>0</v>
          </cell>
          <cell r="BK573">
            <v>0</v>
          </cell>
          <cell r="BL573">
            <v>0</v>
          </cell>
          <cell r="BM573">
            <v>0</v>
          </cell>
          <cell r="BN573">
            <v>0</v>
          </cell>
          <cell r="BO573">
            <v>0</v>
          </cell>
          <cell r="BP573">
            <v>0</v>
          </cell>
          <cell r="BQ573">
            <v>0</v>
          </cell>
          <cell r="BR573">
            <v>0</v>
          </cell>
          <cell r="BS573">
            <v>0</v>
          </cell>
          <cell r="BU573">
            <v>0</v>
          </cell>
          <cell r="BV573">
            <v>0</v>
          </cell>
          <cell r="BW573">
            <v>0</v>
          </cell>
          <cell r="BX573">
            <v>0</v>
          </cell>
          <cell r="BY573">
            <v>0</v>
          </cell>
          <cell r="BZ573">
            <v>0</v>
          </cell>
          <cell r="CA573">
            <v>0</v>
          </cell>
          <cell r="CB573">
            <v>0</v>
          </cell>
          <cell r="CC573">
            <v>0</v>
          </cell>
          <cell r="CE573">
            <v>0</v>
          </cell>
          <cell r="CF573">
            <v>0</v>
          </cell>
          <cell r="CG573">
            <v>0</v>
          </cell>
          <cell r="CH573">
            <v>0</v>
          </cell>
          <cell r="CI573">
            <v>0</v>
          </cell>
          <cell r="CJ573">
            <v>0</v>
          </cell>
          <cell r="CK573">
            <v>0</v>
          </cell>
          <cell r="CL573">
            <v>0</v>
          </cell>
          <cell r="CM573">
            <v>0</v>
          </cell>
          <cell r="CO573">
            <v>0</v>
          </cell>
          <cell r="CP573">
            <v>0</v>
          </cell>
          <cell r="CQ573">
            <v>0</v>
          </cell>
          <cell r="CR573">
            <v>0</v>
          </cell>
          <cell r="CS573">
            <v>0</v>
          </cell>
          <cell r="CT573">
            <v>0</v>
          </cell>
          <cell r="CU573">
            <v>0</v>
          </cell>
          <cell r="CV573">
            <v>0</v>
          </cell>
          <cell r="CW573">
            <v>0</v>
          </cell>
          <cell r="CY573">
            <v>0</v>
          </cell>
          <cell r="CZ573">
            <v>0</v>
          </cell>
          <cell r="DA573">
            <v>0</v>
          </cell>
          <cell r="DB573">
            <v>0</v>
          </cell>
          <cell r="DC573">
            <v>0</v>
          </cell>
          <cell r="DD573">
            <v>0</v>
          </cell>
          <cell r="DE573">
            <v>0</v>
          </cell>
          <cell r="DF573">
            <v>0</v>
          </cell>
          <cell r="DG573">
            <v>0</v>
          </cell>
          <cell r="DI573">
            <v>0</v>
          </cell>
          <cell r="DJ573">
            <v>0</v>
          </cell>
          <cell r="DK573">
            <v>0</v>
          </cell>
          <cell r="DL573">
            <v>0</v>
          </cell>
          <cell r="DM573">
            <v>0</v>
          </cell>
          <cell r="DN573">
            <v>0</v>
          </cell>
          <cell r="DO573">
            <v>0</v>
          </cell>
          <cell r="DP573">
            <v>0</v>
          </cell>
          <cell r="DQ573">
            <v>0</v>
          </cell>
          <cell r="DR573">
            <v>0</v>
          </cell>
          <cell r="DS573">
            <v>0</v>
          </cell>
          <cell r="DT573">
            <v>0</v>
          </cell>
          <cell r="DU573">
            <v>0</v>
          </cell>
          <cell r="DW573">
            <v>0</v>
          </cell>
          <cell r="DX573">
            <v>0</v>
          </cell>
          <cell r="DY573">
            <v>0</v>
          </cell>
          <cell r="DZ573">
            <v>0</v>
          </cell>
          <cell r="EA573">
            <v>0</v>
          </cell>
          <cell r="EB573">
            <v>0</v>
          </cell>
          <cell r="EC573">
            <v>0</v>
          </cell>
          <cell r="ED573">
            <v>0</v>
          </cell>
          <cell r="EE573">
            <v>0</v>
          </cell>
          <cell r="EF573">
            <v>0</v>
          </cell>
          <cell r="EG573">
            <v>0</v>
          </cell>
          <cell r="EH573">
            <v>0</v>
          </cell>
          <cell r="EI573">
            <v>0</v>
          </cell>
          <cell r="EK573">
            <v>0</v>
          </cell>
          <cell r="EL573">
            <v>0</v>
          </cell>
          <cell r="EM573">
            <v>0</v>
          </cell>
          <cell r="EN573">
            <v>0</v>
          </cell>
          <cell r="EO573">
            <v>0</v>
          </cell>
          <cell r="EP573">
            <v>0</v>
          </cell>
          <cell r="EQ573">
            <v>0</v>
          </cell>
          <cell r="ER573">
            <v>0</v>
          </cell>
          <cell r="ES573">
            <v>0</v>
          </cell>
          <cell r="ET573">
            <v>0</v>
          </cell>
          <cell r="EU573">
            <v>0</v>
          </cell>
          <cell r="EV573">
            <v>0</v>
          </cell>
          <cell r="EW573">
            <v>0</v>
          </cell>
          <cell r="EY573">
            <v>0</v>
          </cell>
          <cell r="EZ573">
            <v>8</v>
          </cell>
          <cell r="FA573">
            <v>0</v>
          </cell>
          <cell r="FB573">
            <v>0</v>
          </cell>
          <cell r="FC573">
            <v>8.6</v>
          </cell>
          <cell r="FD573">
            <v>0</v>
          </cell>
          <cell r="FE573">
            <v>0</v>
          </cell>
          <cell r="FF573">
            <v>0</v>
          </cell>
          <cell r="FH573">
            <v>0</v>
          </cell>
        </row>
        <row r="574">
          <cell r="B574">
            <v>9708</v>
          </cell>
          <cell r="C574" t="str">
            <v>02.01.2010</v>
          </cell>
          <cell r="D574" t="str">
            <v>Palve Satish Ramdas</v>
          </cell>
          <cell r="F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BA574">
            <v>0</v>
          </cell>
          <cell r="BB574">
            <v>0</v>
          </cell>
          <cell r="BC574">
            <v>0</v>
          </cell>
          <cell r="BD574">
            <v>0</v>
          </cell>
          <cell r="BE574">
            <v>0</v>
          </cell>
          <cell r="BF574">
            <v>0</v>
          </cell>
          <cell r="BG574">
            <v>0</v>
          </cell>
          <cell r="BH574">
            <v>0</v>
          </cell>
          <cell r="BI574">
            <v>0</v>
          </cell>
          <cell r="BK574">
            <v>0</v>
          </cell>
          <cell r="BL574">
            <v>0</v>
          </cell>
          <cell r="BM574">
            <v>0</v>
          </cell>
          <cell r="BN574">
            <v>0</v>
          </cell>
          <cell r="BO574">
            <v>0</v>
          </cell>
          <cell r="BP574">
            <v>0</v>
          </cell>
          <cell r="BQ574">
            <v>0</v>
          </cell>
          <cell r="BR574">
            <v>0</v>
          </cell>
          <cell r="BS574">
            <v>0</v>
          </cell>
          <cell r="BU574">
            <v>0</v>
          </cell>
          <cell r="BV574">
            <v>0</v>
          </cell>
          <cell r="BW574">
            <v>0</v>
          </cell>
          <cell r="BX574">
            <v>0</v>
          </cell>
          <cell r="BY574">
            <v>0</v>
          </cell>
          <cell r="BZ574">
            <v>0</v>
          </cell>
          <cell r="CA574">
            <v>0</v>
          </cell>
          <cell r="CB574">
            <v>0</v>
          </cell>
          <cell r="CC574">
            <v>0</v>
          </cell>
          <cell r="CE574">
            <v>0</v>
          </cell>
          <cell r="CF574">
            <v>0</v>
          </cell>
          <cell r="CG574">
            <v>0</v>
          </cell>
          <cell r="CH574">
            <v>0</v>
          </cell>
          <cell r="CI574">
            <v>0</v>
          </cell>
          <cell r="CJ574">
            <v>0</v>
          </cell>
          <cell r="CK574">
            <v>0</v>
          </cell>
          <cell r="CL574">
            <v>0</v>
          </cell>
          <cell r="CM574">
            <v>0</v>
          </cell>
          <cell r="CO574">
            <v>0</v>
          </cell>
          <cell r="CP574">
            <v>0</v>
          </cell>
          <cell r="CQ574">
            <v>0</v>
          </cell>
          <cell r="CR574">
            <v>0</v>
          </cell>
          <cell r="CS574">
            <v>0</v>
          </cell>
          <cell r="CT574">
            <v>0</v>
          </cell>
          <cell r="CU574">
            <v>0</v>
          </cell>
          <cell r="CV574">
            <v>0</v>
          </cell>
          <cell r="CW574">
            <v>0</v>
          </cell>
          <cell r="CY574">
            <v>0</v>
          </cell>
          <cell r="CZ574">
            <v>0</v>
          </cell>
          <cell r="DA574">
            <v>0</v>
          </cell>
          <cell r="DB574">
            <v>0</v>
          </cell>
          <cell r="DC574">
            <v>0</v>
          </cell>
          <cell r="DD574">
            <v>0</v>
          </cell>
          <cell r="DE574">
            <v>0</v>
          </cell>
          <cell r="DF574">
            <v>0</v>
          </cell>
          <cell r="DG574">
            <v>0</v>
          </cell>
          <cell r="DI574">
            <v>0</v>
          </cell>
          <cell r="DJ574">
            <v>0</v>
          </cell>
          <cell r="DK574">
            <v>0</v>
          </cell>
          <cell r="DL574">
            <v>0</v>
          </cell>
          <cell r="DM574">
            <v>0</v>
          </cell>
          <cell r="DN574">
            <v>0</v>
          </cell>
          <cell r="DO574">
            <v>0</v>
          </cell>
          <cell r="DP574">
            <v>0</v>
          </cell>
          <cell r="DQ574">
            <v>0</v>
          </cell>
          <cell r="DR574">
            <v>0</v>
          </cell>
          <cell r="DS574">
            <v>0</v>
          </cell>
          <cell r="DT574">
            <v>0</v>
          </cell>
          <cell r="DU574">
            <v>0</v>
          </cell>
          <cell r="DW574">
            <v>0</v>
          </cell>
          <cell r="DX574">
            <v>0</v>
          </cell>
          <cell r="DY574">
            <v>0</v>
          </cell>
          <cell r="DZ574">
            <v>0</v>
          </cell>
          <cell r="EA574">
            <v>0</v>
          </cell>
          <cell r="EB574">
            <v>0</v>
          </cell>
          <cell r="EC574">
            <v>0</v>
          </cell>
          <cell r="ED574">
            <v>0</v>
          </cell>
          <cell r="EE574">
            <v>0</v>
          </cell>
          <cell r="EF574">
            <v>0</v>
          </cell>
          <cell r="EG574">
            <v>0</v>
          </cell>
          <cell r="EH574">
            <v>0</v>
          </cell>
          <cell r="EI574">
            <v>0</v>
          </cell>
          <cell r="EK574">
            <v>0</v>
          </cell>
          <cell r="EL574">
            <v>0</v>
          </cell>
          <cell r="EM574">
            <v>0</v>
          </cell>
          <cell r="EN574">
            <v>0</v>
          </cell>
          <cell r="EO574">
            <v>0</v>
          </cell>
          <cell r="EP574">
            <v>0</v>
          </cell>
          <cell r="EQ574">
            <v>0</v>
          </cell>
          <cell r="ER574">
            <v>0</v>
          </cell>
          <cell r="ES574">
            <v>0</v>
          </cell>
          <cell r="ET574">
            <v>0</v>
          </cell>
          <cell r="EU574">
            <v>0</v>
          </cell>
          <cell r="EV574">
            <v>0</v>
          </cell>
          <cell r="EW574">
            <v>0</v>
          </cell>
          <cell r="EY574">
            <v>0</v>
          </cell>
          <cell r="EZ574">
            <v>8</v>
          </cell>
          <cell r="FA574">
            <v>0</v>
          </cell>
          <cell r="FB574">
            <v>0</v>
          </cell>
          <cell r="FC574">
            <v>8.6</v>
          </cell>
          <cell r="FD574">
            <v>0</v>
          </cell>
          <cell r="FE574">
            <v>0</v>
          </cell>
          <cell r="FF574">
            <v>0</v>
          </cell>
          <cell r="FH574">
            <v>0</v>
          </cell>
        </row>
        <row r="575">
          <cell r="B575">
            <v>9788</v>
          </cell>
          <cell r="C575" t="str">
            <v>02.01.2010</v>
          </cell>
          <cell r="D575" t="str">
            <v>Kagada Vijay Kisan</v>
          </cell>
          <cell r="F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BA575">
            <v>0</v>
          </cell>
          <cell r="BB575">
            <v>0</v>
          </cell>
          <cell r="BC575">
            <v>0</v>
          </cell>
          <cell r="BD575">
            <v>0</v>
          </cell>
          <cell r="BE575">
            <v>0</v>
          </cell>
          <cell r="BF575">
            <v>0</v>
          </cell>
          <cell r="BG575">
            <v>0</v>
          </cell>
          <cell r="BH575">
            <v>0</v>
          </cell>
          <cell r="BI575">
            <v>0</v>
          </cell>
          <cell r="BK575">
            <v>0</v>
          </cell>
          <cell r="BL575">
            <v>0</v>
          </cell>
          <cell r="BM575">
            <v>0</v>
          </cell>
          <cell r="BN575">
            <v>0</v>
          </cell>
          <cell r="BO575">
            <v>0</v>
          </cell>
          <cell r="BP575">
            <v>0</v>
          </cell>
          <cell r="BQ575">
            <v>0</v>
          </cell>
          <cell r="BR575">
            <v>0</v>
          </cell>
          <cell r="BS575">
            <v>0</v>
          </cell>
          <cell r="BU575">
            <v>0</v>
          </cell>
          <cell r="BV575">
            <v>0</v>
          </cell>
          <cell r="BW575">
            <v>0</v>
          </cell>
          <cell r="BX575">
            <v>0</v>
          </cell>
          <cell r="BY575">
            <v>0</v>
          </cell>
          <cell r="BZ575">
            <v>0</v>
          </cell>
          <cell r="CA575">
            <v>0</v>
          </cell>
          <cell r="CB575">
            <v>0</v>
          </cell>
          <cell r="CC575">
            <v>0</v>
          </cell>
          <cell r="CE575">
            <v>0</v>
          </cell>
          <cell r="CF575">
            <v>0</v>
          </cell>
          <cell r="CG575">
            <v>0</v>
          </cell>
          <cell r="CH575">
            <v>0</v>
          </cell>
          <cell r="CI575">
            <v>0</v>
          </cell>
          <cell r="CJ575">
            <v>0</v>
          </cell>
          <cell r="CK575">
            <v>0</v>
          </cell>
          <cell r="CL575">
            <v>0</v>
          </cell>
          <cell r="CM575">
            <v>0</v>
          </cell>
          <cell r="CO575">
            <v>0</v>
          </cell>
          <cell r="CP575">
            <v>0</v>
          </cell>
          <cell r="CQ575">
            <v>0</v>
          </cell>
          <cell r="CR575">
            <v>0</v>
          </cell>
          <cell r="CS575">
            <v>0</v>
          </cell>
          <cell r="CT575">
            <v>0</v>
          </cell>
          <cell r="CU575">
            <v>0</v>
          </cell>
          <cell r="CV575">
            <v>0</v>
          </cell>
          <cell r="CW575">
            <v>0</v>
          </cell>
          <cell r="CY575">
            <v>0</v>
          </cell>
          <cell r="CZ575">
            <v>0</v>
          </cell>
          <cell r="DA575">
            <v>0</v>
          </cell>
          <cell r="DB575">
            <v>0</v>
          </cell>
          <cell r="DC575">
            <v>0</v>
          </cell>
          <cell r="DD575">
            <v>0</v>
          </cell>
          <cell r="DE575">
            <v>0</v>
          </cell>
          <cell r="DF575">
            <v>0</v>
          </cell>
          <cell r="DG575">
            <v>0</v>
          </cell>
          <cell r="DI575">
            <v>0</v>
          </cell>
          <cell r="DJ575">
            <v>0</v>
          </cell>
          <cell r="DK575">
            <v>0</v>
          </cell>
          <cell r="DL575">
            <v>0</v>
          </cell>
          <cell r="DM575">
            <v>0</v>
          </cell>
          <cell r="DN575">
            <v>0</v>
          </cell>
          <cell r="DO575">
            <v>0</v>
          </cell>
          <cell r="DP575">
            <v>0</v>
          </cell>
          <cell r="DQ575">
            <v>0</v>
          </cell>
          <cell r="DR575">
            <v>0</v>
          </cell>
          <cell r="DS575">
            <v>0</v>
          </cell>
          <cell r="DT575">
            <v>0</v>
          </cell>
          <cell r="DU575">
            <v>0</v>
          </cell>
          <cell r="DW575">
            <v>0</v>
          </cell>
          <cell r="DX575">
            <v>0</v>
          </cell>
          <cell r="DY575">
            <v>0</v>
          </cell>
          <cell r="DZ575">
            <v>0</v>
          </cell>
          <cell r="EA575">
            <v>0</v>
          </cell>
          <cell r="EB575">
            <v>0</v>
          </cell>
          <cell r="EC575">
            <v>0</v>
          </cell>
          <cell r="ED575">
            <v>0</v>
          </cell>
          <cell r="EE575">
            <v>0</v>
          </cell>
          <cell r="EF575">
            <v>0</v>
          </cell>
          <cell r="EG575">
            <v>0</v>
          </cell>
          <cell r="EH575">
            <v>0</v>
          </cell>
          <cell r="EI575">
            <v>0</v>
          </cell>
          <cell r="EK575">
            <v>0</v>
          </cell>
          <cell r="EL575">
            <v>0</v>
          </cell>
          <cell r="EM575">
            <v>0</v>
          </cell>
          <cell r="EN575">
            <v>0</v>
          </cell>
          <cell r="EO575">
            <v>0</v>
          </cell>
          <cell r="EP575">
            <v>0</v>
          </cell>
          <cell r="EQ575">
            <v>0</v>
          </cell>
          <cell r="ER575">
            <v>0</v>
          </cell>
          <cell r="ES575">
            <v>0</v>
          </cell>
          <cell r="ET575">
            <v>0</v>
          </cell>
          <cell r="EU575">
            <v>0</v>
          </cell>
          <cell r="EV575">
            <v>0</v>
          </cell>
          <cell r="EW575">
            <v>0</v>
          </cell>
          <cell r="EY575">
            <v>0</v>
          </cell>
          <cell r="EZ575">
            <v>8</v>
          </cell>
          <cell r="FA575">
            <v>0</v>
          </cell>
          <cell r="FB575">
            <v>0</v>
          </cell>
          <cell r="FC575">
            <v>8.6</v>
          </cell>
          <cell r="FD575">
            <v>0</v>
          </cell>
          <cell r="FE575">
            <v>0</v>
          </cell>
          <cell r="FF575">
            <v>0</v>
          </cell>
          <cell r="FH575">
            <v>0</v>
          </cell>
        </row>
        <row r="576">
          <cell r="B576">
            <v>9706</v>
          </cell>
          <cell r="C576" t="str">
            <v>05.01.2010</v>
          </cell>
          <cell r="D576" t="str">
            <v>Pagare Rekha Motiram</v>
          </cell>
          <cell r="F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0</v>
          </cell>
          <cell r="BA576">
            <v>0</v>
          </cell>
          <cell r="BB576">
            <v>0</v>
          </cell>
          <cell r="BC576">
            <v>0</v>
          </cell>
          <cell r="BD576">
            <v>0</v>
          </cell>
          <cell r="BE576">
            <v>0</v>
          </cell>
          <cell r="BF576">
            <v>0</v>
          </cell>
          <cell r="BG576">
            <v>0</v>
          </cell>
          <cell r="BH576">
            <v>0</v>
          </cell>
          <cell r="BI576">
            <v>0</v>
          </cell>
          <cell r="BK576">
            <v>0</v>
          </cell>
          <cell r="BL576">
            <v>0</v>
          </cell>
          <cell r="BM576">
            <v>0</v>
          </cell>
          <cell r="BN576">
            <v>0</v>
          </cell>
          <cell r="BO576">
            <v>0</v>
          </cell>
          <cell r="BP576">
            <v>0</v>
          </cell>
          <cell r="BQ576">
            <v>0</v>
          </cell>
          <cell r="BR576">
            <v>0</v>
          </cell>
          <cell r="BS576">
            <v>0</v>
          </cell>
          <cell r="BU576">
            <v>0</v>
          </cell>
          <cell r="BV576">
            <v>0</v>
          </cell>
          <cell r="BW576">
            <v>0</v>
          </cell>
          <cell r="BX576">
            <v>0</v>
          </cell>
          <cell r="BY576">
            <v>0</v>
          </cell>
          <cell r="BZ576">
            <v>0</v>
          </cell>
          <cell r="CA576">
            <v>0</v>
          </cell>
          <cell r="CB576">
            <v>0</v>
          </cell>
          <cell r="CC576">
            <v>0</v>
          </cell>
          <cell r="CE576">
            <v>0</v>
          </cell>
          <cell r="CF576">
            <v>0</v>
          </cell>
          <cell r="CG576">
            <v>0</v>
          </cell>
          <cell r="CH576">
            <v>0</v>
          </cell>
          <cell r="CI576">
            <v>0</v>
          </cell>
          <cell r="CJ576">
            <v>0</v>
          </cell>
          <cell r="CK576">
            <v>0</v>
          </cell>
          <cell r="CL576">
            <v>0</v>
          </cell>
          <cell r="CM576">
            <v>0</v>
          </cell>
          <cell r="CO576">
            <v>0</v>
          </cell>
          <cell r="CP576">
            <v>0</v>
          </cell>
          <cell r="CQ576">
            <v>0</v>
          </cell>
          <cell r="CR576">
            <v>0</v>
          </cell>
          <cell r="CS576">
            <v>0</v>
          </cell>
          <cell r="CT576">
            <v>0</v>
          </cell>
          <cell r="CU576">
            <v>0</v>
          </cell>
          <cell r="CV576">
            <v>0</v>
          </cell>
          <cell r="CW576">
            <v>0</v>
          </cell>
          <cell r="CY576">
            <v>0</v>
          </cell>
          <cell r="CZ576">
            <v>0</v>
          </cell>
          <cell r="DA576">
            <v>0</v>
          </cell>
          <cell r="DB576">
            <v>0</v>
          </cell>
          <cell r="DC576">
            <v>0</v>
          </cell>
          <cell r="DD576">
            <v>0</v>
          </cell>
          <cell r="DE576">
            <v>0</v>
          </cell>
          <cell r="DF576">
            <v>0</v>
          </cell>
          <cell r="DG576">
            <v>0</v>
          </cell>
          <cell r="DI576">
            <v>0</v>
          </cell>
          <cell r="DJ576">
            <v>0</v>
          </cell>
          <cell r="DK576">
            <v>0</v>
          </cell>
          <cell r="DL576">
            <v>0</v>
          </cell>
          <cell r="DM576">
            <v>0</v>
          </cell>
          <cell r="DN576">
            <v>0</v>
          </cell>
          <cell r="DO576">
            <v>0</v>
          </cell>
          <cell r="DP576">
            <v>0</v>
          </cell>
          <cell r="DQ576">
            <v>0</v>
          </cell>
          <cell r="DR576">
            <v>0</v>
          </cell>
          <cell r="DS576">
            <v>0</v>
          </cell>
          <cell r="DT576">
            <v>0</v>
          </cell>
          <cell r="DU576">
            <v>0</v>
          </cell>
          <cell r="DW576">
            <v>0</v>
          </cell>
          <cell r="DX576">
            <v>0</v>
          </cell>
          <cell r="DY576">
            <v>0</v>
          </cell>
          <cell r="DZ576">
            <v>0</v>
          </cell>
          <cell r="EA576">
            <v>0</v>
          </cell>
          <cell r="EB576">
            <v>0</v>
          </cell>
          <cell r="EC576">
            <v>0</v>
          </cell>
          <cell r="ED576">
            <v>0</v>
          </cell>
          <cell r="EE576">
            <v>0</v>
          </cell>
          <cell r="EF576">
            <v>0</v>
          </cell>
          <cell r="EG576">
            <v>0</v>
          </cell>
          <cell r="EH576">
            <v>0</v>
          </cell>
          <cell r="EI576">
            <v>0</v>
          </cell>
          <cell r="EK576">
            <v>0</v>
          </cell>
          <cell r="EL576">
            <v>0</v>
          </cell>
          <cell r="EM576">
            <v>0</v>
          </cell>
          <cell r="EN576">
            <v>0</v>
          </cell>
          <cell r="EO576">
            <v>0</v>
          </cell>
          <cell r="EP576">
            <v>0</v>
          </cell>
          <cell r="EQ576">
            <v>0</v>
          </cell>
          <cell r="ER576">
            <v>0</v>
          </cell>
          <cell r="ES576">
            <v>0</v>
          </cell>
          <cell r="ET576">
            <v>0</v>
          </cell>
          <cell r="EU576">
            <v>0</v>
          </cell>
          <cell r="EV576">
            <v>0</v>
          </cell>
          <cell r="EW576">
            <v>0</v>
          </cell>
          <cell r="EY576">
            <v>0</v>
          </cell>
          <cell r="EZ576">
            <v>8</v>
          </cell>
          <cell r="FA576">
            <v>0</v>
          </cell>
          <cell r="FB576">
            <v>0</v>
          </cell>
          <cell r="FC576">
            <v>8.6</v>
          </cell>
          <cell r="FD576">
            <v>0</v>
          </cell>
          <cell r="FE576">
            <v>0</v>
          </cell>
          <cell r="FF576">
            <v>0</v>
          </cell>
          <cell r="FH576">
            <v>0</v>
          </cell>
        </row>
        <row r="577">
          <cell r="B577">
            <v>9709</v>
          </cell>
          <cell r="C577" t="str">
            <v>05.01.2010</v>
          </cell>
          <cell r="D577" t="str">
            <v>More Manisha Anil</v>
          </cell>
          <cell r="F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0</v>
          </cell>
          <cell r="BA577">
            <v>0</v>
          </cell>
          <cell r="BB577">
            <v>0</v>
          </cell>
          <cell r="BC577">
            <v>0</v>
          </cell>
          <cell r="BD577">
            <v>0</v>
          </cell>
          <cell r="BE577">
            <v>0</v>
          </cell>
          <cell r="BF577">
            <v>0</v>
          </cell>
          <cell r="BG577">
            <v>0</v>
          </cell>
          <cell r="BH577">
            <v>0</v>
          </cell>
          <cell r="BI577">
            <v>0</v>
          </cell>
          <cell r="BK577">
            <v>0</v>
          </cell>
          <cell r="BL577">
            <v>0</v>
          </cell>
          <cell r="BM577">
            <v>0</v>
          </cell>
          <cell r="BN577">
            <v>0</v>
          </cell>
          <cell r="BO577">
            <v>0</v>
          </cell>
          <cell r="BP577">
            <v>0</v>
          </cell>
          <cell r="BQ577">
            <v>0</v>
          </cell>
          <cell r="BR577">
            <v>0</v>
          </cell>
          <cell r="BS577">
            <v>0</v>
          </cell>
          <cell r="BU577">
            <v>0</v>
          </cell>
          <cell r="BV577">
            <v>0</v>
          </cell>
          <cell r="BW577">
            <v>0</v>
          </cell>
          <cell r="BX577">
            <v>0</v>
          </cell>
          <cell r="BY577">
            <v>0</v>
          </cell>
          <cell r="BZ577">
            <v>0</v>
          </cell>
          <cell r="CA577">
            <v>0</v>
          </cell>
          <cell r="CB577">
            <v>0</v>
          </cell>
          <cell r="CC577">
            <v>0</v>
          </cell>
          <cell r="CE577">
            <v>0</v>
          </cell>
          <cell r="CF577">
            <v>0</v>
          </cell>
          <cell r="CG577">
            <v>0</v>
          </cell>
          <cell r="CH577">
            <v>0</v>
          </cell>
          <cell r="CI577">
            <v>0</v>
          </cell>
          <cell r="CJ577">
            <v>0</v>
          </cell>
          <cell r="CK577">
            <v>0</v>
          </cell>
          <cell r="CL577">
            <v>0</v>
          </cell>
          <cell r="CM577">
            <v>0</v>
          </cell>
          <cell r="CO577">
            <v>0</v>
          </cell>
          <cell r="CP577">
            <v>0</v>
          </cell>
          <cell r="CQ577">
            <v>0</v>
          </cell>
          <cell r="CR577">
            <v>0</v>
          </cell>
          <cell r="CS577">
            <v>0</v>
          </cell>
          <cell r="CT577">
            <v>0</v>
          </cell>
          <cell r="CU577">
            <v>0</v>
          </cell>
          <cell r="CV577">
            <v>0</v>
          </cell>
          <cell r="CW577">
            <v>0</v>
          </cell>
          <cell r="CY577">
            <v>0</v>
          </cell>
          <cell r="CZ577">
            <v>0</v>
          </cell>
          <cell r="DA577">
            <v>0</v>
          </cell>
          <cell r="DB577">
            <v>0</v>
          </cell>
          <cell r="DC577">
            <v>0</v>
          </cell>
          <cell r="DD577">
            <v>0</v>
          </cell>
          <cell r="DE577">
            <v>0</v>
          </cell>
          <cell r="DF577">
            <v>0</v>
          </cell>
          <cell r="DG577">
            <v>0</v>
          </cell>
          <cell r="DI577">
            <v>0</v>
          </cell>
          <cell r="DJ577">
            <v>0</v>
          </cell>
          <cell r="DK577">
            <v>0</v>
          </cell>
          <cell r="DL577">
            <v>0</v>
          </cell>
          <cell r="DM577">
            <v>0</v>
          </cell>
          <cell r="DN577">
            <v>0</v>
          </cell>
          <cell r="DO577">
            <v>0</v>
          </cell>
          <cell r="DP577">
            <v>0</v>
          </cell>
          <cell r="DQ577">
            <v>0</v>
          </cell>
          <cell r="DR577">
            <v>0</v>
          </cell>
          <cell r="DS577">
            <v>0</v>
          </cell>
          <cell r="DT577">
            <v>0</v>
          </cell>
          <cell r="DU577">
            <v>0</v>
          </cell>
          <cell r="DW577">
            <v>0</v>
          </cell>
          <cell r="DX577">
            <v>0</v>
          </cell>
          <cell r="DY577">
            <v>0</v>
          </cell>
          <cell r="DZ577">
            <v>0</v>
          </cell>
          <cell r="EA577">
            <v>0</v>
          </cell>
          <cell r="EB577">
            <v>0</v>
          </cell>
          <cell r="EC577">
            <v>0</v>
          </cell>
          <cell r="ED577">
            <v>0</v>
          </cell>
          <cell r="EE577">
            <v>0</v>
          </cell>
          <cell r="EF577">
            <v>0</v>
          </cell>
          <cell r="EG577">
            <v>0</v>
          </cell>
          <cell r="EH577">
            <v>0</v>
          </cell>
          <cell r="EI577">
            <v>0</v>
          </cell>
          <cell r="EK577">
            <v>0</v>
          </cell>
          <cell r="EL577">
            <v>0</v>
          </cell>
          <cell r="EM577">
            <v>0</v>
          </cell>
          <cell r="EN577">
            <v>0</v>
          </cell>
          <cell r="EO577">
            <v>0</v>
          </cell>
          <cell r="EP577">
            <v>0</v>
          </cell>
          <cell r="EQ577">
            <v>0</v>
          </cell>
          <cell r="ER577">
            <v>0</v>
          </cell>
          <cell r="ES577">
            <v>0</v>
          </cell>
          <cell r="ET577">
            <v>0</v>
          </cell>
          <cell r="EU577">
            <v>0</v>
          </cell>
          <cell r="EV577">
            <v>0</v>
          </cell>
          <cell r="EW577">
            <v>0</v>
          </cell>
          <cell r="EY577">
            <v>0</v>
          </cell>
          <cell r="EZ577">
            <v>8</v>
          </cell>
          <cell r="FA577">
            <v>0</v>
          </cell>
          <cell r="FB577">
            <v>0</v>
          </cell>
          <cell r="FC577">
            <v>8.6</v>
          </cell>
          <cell r="FD577">
            <v>0</v>
          </cell>
          <cell r="FE577">
            <v>0</v>
          </cell>
          <cell r="FF577">
            <v>0</v>
          </cell>
          <cell r="FH577">
            <v>0</v>
          </cell>
        </row>
        <row r="578">
          <cell r="B578">
            <v>9710</v>
          </cell>
          <cell r="C578" t="str">
            <v>05.01.2010</v>
          </cell>
          <cell r="D578" t="str">
            <v>Janjorat Rakesh Singram</v>
          </cell>
          <cell r="F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0</v>
          </cell>
          <cell r="BA578">
            <v>0</v>
          </cell>
          <cell r="BB578">
            <v>0</v>
          </cell>
          <cell r="BC578">
            <v>0</v>
          </cell>
          <cell r="BD578">
            <v>0</v>
          </cell>
          <cell r="BE578">
            <v>0</v>
          </cell>
          <cell r="BF578">
            <v>0</v>
          </cell>
          <cell r="BG578">
            <v>0</v>
          </cell>
          <cell r="BH578">
            <v>0</v>
          </cell>
          <cell r="BI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0</v>
          </cell>
          <cell r="BP578">
            <v>0</v>
          </cell>
          <cell r="BQ578">
            <v>0</v>
          </cell>
          <cell r="BR578">
            <v>0</v>
          </cell>
          <cell r="BS578">
            <v>0</v>
          </cell>
          <cell r="BU578">
            <v>0</v>
          </cell>
          <cell r="BV578">
            <v>0</v>
          </cell>
          <cell r="BW578">
            <v>0</v>
          </cell>
          <cell r="BX578">
            <v>0</v>
          </cell>
          <cell r="BY578">
            <v>0</v>
          </cell>
          <cell r="BZ578">
            <v>0</v>
          </cell>
          <cell r="CA578">
            <v>0</v>
          </cell>
          <cell r="CB578">
            <v>0</v>
          </cell>
          <cell r="CC578">
            <v>0</v>
          </cell>
          <cell r="CE578">
            <v>0</v>
          </cell>
          <cell r="CF578">
            <v>0</v>
          </cell>
          <cell r="CG578">
            <v>0</v>
          </cell>
          <cell r="CH578">
            <v>0</v>
          </cell>
          <cell r="CI578">
            <v>0</v>
          </cell>
          <cell r="CJ578">
            <v>0</v>
          </cell>
          <cell r="CK578">
            <v>0</v>
          </cell>
          <cell r="CL578">
            <v>0</v>
          </cell>
          <cell r="CM578">
            <v>0</v>
          </cell>
          <cell r="CO578">
            <v>0</v>
          </cell>
          <cell r="CP578">
            <v>0</v>
          </cell>
          <cell r="CQ578">
            <v>0</v>
          </cell>
          <cell r="CR578">
            <v>0</v>
          </cell>
          <cell r="CS578">
            <v>0</v>
          </cell>
          <cell r="CT578">
            <v>0</v>
          </cell>
          <cell r="CU578">
            <v>0</v>
          </cell>
          <cell r="CV578">
            <v>0</v>
          </cell>
          <cell r="CW578">
            <v>0</v>
          </cell>
          <cell r="CY578">
            <v>0</v>
          </cell>
          <cell r="CZ578">
            <v>0</v>
          </cell>
          <cell r="DA578">
            <v>0</v>
          </cell>
          <cell r="DB578">
            <v>0</v>
          </cell>
          <cell r="DC578">
            <v>0</v>
          </cell>
          <cell r="DD578">
            <v>0</v>
          </cell>
          <cell r="DE578">
            <v>0</v>
          </cell>
          <cell r="DF578">
            <v>0</v>
          </cell>
          <cell r="DG578">
            <v>0</v>
          </cell>
          <cell r="DI578">
            <v>0</v>
          </cell>
          <cell r="DJ578">
            <v>0</v>
          </cell>
          <cell r="DK578">
            <v>0</v>
          </cell>
          <cell r="DL578">
            <v>0</v>
          </cell>
          <cell r="DM578">
            <v>0</v>
          </cell>
          <cell r="DN578">
            <v>0</v>
          </cell>
          <cell r="DO578">
            <v>0</v>
          </cell>
          <cell r="DP578">
            <v>0</v>
          </cell>
          <cell r="DQ578">
            <v>0</v>
          </cell>
          <cell r="DR578">
            <v>0</v>
          </cell>
          <cell r="DS578">
            <v>0</v>
          </cell>
          <cell r="DT578">
            <v>0</v>
          </cell>
          <cell r="DU578">
            <v>0</v>
          </cell>
          <cell r="DW578">
            <v>0</v>
          </cell>
          <cell r="DX578">
            <v>0</v>
          </cell>
          <cell r="DY578">
            <v>0</v>
          </cell>
          <cell r="DZ578">
            <v>0</v>
          </cell>
          <cell r="EA578">
            <v>0</v>
          </cell>
          <cell r="EB578">
            <v>0</v>
          </cell>
          <cell r="EC578">
            <v>0</v>
          </cell>
          <cell r="ED578">
            <v>0</v>
          </cell>
          <cell r="EE578">
            <v>0</v>
          </cell>
          <cell r="EF578">
            <v>0</v>
          </cell>
          <cell r="EG578">
            <v>0</v>
          </cell>
          <cell r="EH578">
            <v>0</v>
          </cell>
          <cell r="EI578">
            <v>0</v>
          </cell>
          <cell r="EK578">
            <v>0</v>
          </cell>
          <cell r="EL578">
            <v>0</v>
          </cell>
          <cell r="EM578">
            <v>0</v>
          </cell>
          <cell r="EN578">
            <v>0</v>
          </cell>
          <cell r="EO578">
            <v>0</v>
          </cell>
          <cell r="EP578">
            <v>0</v>
          </cell>
          <cell r="EQ578">
            <v>0</v>
          </cell>
          <cell r="ER578">
            <v>0</v>
          </cell>
          <cell r="ES578">
            <v>0</v>
          </cell>
          <cell r="ET578">
            <v>0</v>
          </cell>
          <cell r="EU578">
            <v>0</v>
          </cell>
          <cell r="EV578">
            <v>0</v>
          </cell>
          <cell r="EW578">
            <v>0</v>
          </cell>
          <cell r="EY578">
            <v>0</v>
          </cell>
          <cell r="EZ578">
            <v>8</v>
          </cell>
          <cell r="FA578">
            <v>0</v>
          </cell>
          <cell r="FB578">
            <v>0</v>
          </cell>
          <cell r="FC578">
            <v>8.6</v>
          </cell>
          <cell r="FD578">
            <v>0</v>
          </cell>
          <cell r="FE578">
            <v>0</v>
          </cell>
          <cell r="FF578">
            <v>0</v>
          </cell>
          <cell r="FH578">
            <v>0</v>
          </cell>
        </row>
        <row r="579">
          <cell r="B579">
            <v>9718</v>
          </cell>
          <cell r="C579" t="str">
            <v>05.01.2010</v>
          </cell>
          <cell r="D579" t="str">
            <v>Kale Sachin Sanjay</v>
          </cell>
          <cell r="F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0</v>
          </cell>
          <cell r="BA579">
            <v>0</v>
          </cell>
          <cell r="BB579">
            <v>0</v>
          </cell>
          <cell r="BC579">
            <v>0</v>
          </cell>
          <cell r="BD579">
            <v>0</v>
          </cell>
          <cell r="BE579">
            <v>0</v>
          </cell>
          <cell r="BF579">
            <v>0</v>
          </cell>
          <cell r="BG579">
            <v>0</v>
          </cell>
          <cell r="BH579">
            <v>0</v>
          </cell>
          <cell r="BI579">
            <v>0</v>
          </cell>
          <cell r="BK579">
            <v>0</v>
          </cell>
          <cell r="BL579">
            <v>0</v>
          </cell>
          <cell r="BM579">
            <v>0</v>
          </cell>
          <cell r="BN579">
            <v>0</v>
          </cell>
          <cell r="BO579">
            <v>0</v>
          </cell>
          <cell r="BP579">
            <v>0</v>
          </cell>
          <cell r="BQ579">
            <v>0</v>
          </cell>
          <cell r="BR579">
            <v>0</v>
          </cell>
          <cell r="BS579">
            <v>0</v>
          </cell>
          <cell r="BU579">
            <v>0</v>
          </cell>
          <cell r="BV579">
            <v>0</v>
          </cell>
          <cell r="BW579">
            <v>0</v>
          </cell>
          <cell r="BX579">
            <v>0</v>
          </cell>
          <cell r="BY579">
            <v>0</v>
          </cell>
          <cell r="BZ579">
            <v>0</v>
          </cell>
          <cell r="CA579">
            <v>0</v>
          </cell>
          <cell r="CB579">
            <v>0</v>
          </cell>
          <cell r="CC579">
            <v>0</v>
          </cell>
          <cell r="CE579">
            <v>0</v>
          </cell>
          <cell r="CF579">
            <v>0</v>
          </cell>
          <cell r="CG579">
            <v>0</v>
          </cell>
          <cell r="CH579">
            <v>0</v>
          </cell>
          <cell r="CI579">
            <v>0</v>
          </cell>
          <cell r="CJ579">
            <v>0</v>
          </cell>
          <cell r="CK579">
            <v>0</v>
          </cell>
          <cell r="CL579">
            <v>0</v>
          </cell>
          <cell r="CM579">
            <v>0</v>
          </cell>
          <cell r="CO579">
            <v>0</v>
          </cell>
          <cell r="CP579">
            <v>0</v>
          </cell>
          <cell r="CQ579">
            <v>0</v>
          </cell>
          <cell r="CR579">
            <v>0</v>
          </cell>
          <cell r="CS579">
            <v>0</v>
          </cell>
          <cell r="CT579">
            <v>0</v>
          </cell>
          <cell r="CU579">
            <v>0</v>
          </cell>
          <cell r="CV579">
            <v>0</v>
          </cell>
          <cell r="CW579">
            <v>0</v>
          </cell>
          <cell r="CY579">
            <v>0</v>
          </cell>
          <cell r="CZ579">
            <v>0</v>
          </cell>
          <cell r="DA579">
            <v>0</v>
          </cell>
          <cell r="DB579">
            <v>0</v>
          </cell>
          <cell r="DC579">
            <v>0</v>
          </cell>
          <cell r="DD579">
            <v>0</v>
          </cell>
          <cell r="DE579">
            <v>0</v>
          </cell>
          <cell r="DF579">
            <v>0</v>
          </cell>
          <cell r="DG579">
            <v>0</v>
          </cell>
          <cell r="DI579">
            <v>0</v>
          </cell>
          <cell r="DJ579">
            <v>0</v>
          </cell>
          <cell r="DK579">
            <v>0</v>
          </cell>
          <cell r="DL579">
            <v>0</v>
          </cell>
          <cell r="DM579">
            <v>0</v>
          </cell>
          <cell r="DN579">
            <v>0</v>
          </cell>
          <cell r="DO579">
            <v>0</v>
          </cell>
          <cell r="DP579">
            <v>0</v>
          </cell>
          <cell r="DQ579">
            <v>0</v>
          </cell>
          <cell r="DR579">
            <v>0</v>
          </cell>
          <cell r="DS579">
            <v>0</v>
          </cell>
          <cell r="DT579">
            <v>0</v>
          </cell>
          <cell r="DU579">
            <v>0</v>
          </cell>
          <cell r="DW579">
            <v>0</v>
          </cell>
          <cell r="DX579">
            <v>0</v>
          </cell>
          <cell r="DY579">
            <v>0</v>
          </cell>
          <cell r="DZ579">
            <v>0</v>
          </cell>
          <cell r="EA579">
            <v>0</v>
          </cell>
          <cell r="EB579">
            <v>0</v>
          </cell>
          <cell r="EC579">
            <v>0</v>
          </cell>
          <cell r="ED579">
            <v>0</v>
          </cell>
          <cell r="EE579">
            <v>0</v>
          </cell>
          <cell r="EF579">
            <v>0</v>
          </cell>
          <cell r="EG579">
            <v>0</v>
          </cell>
          <cell r="EH579">
            <v>0</v>
          </cell>
          <cell r="EI579">
            <v>0</v>
          </cell>
          <cell r="EK579">
            <v>0</v>
          </cell>
          <cell r="EL579">
            <v>0</v>
          </cell>
          <cell r="EM579">
            <v>0</v>
          </cell>
          <cell r="EN579">
            <v>0</v>
          </cell>
          <cell r="EO579">
            <v>0</v>
          </cell>
          <cell r="EP579">
            <v>0</v>
          </cell>
          <cell r="EQ579">
            <v>0</v>
          </cell>
          <cell r="ER579">
            <v>0</v>
          </cell>
          <cell r="ES579">
            <v>0</v>
          </cell>
          <cell r="ET579">
            <v>0</v>
          </cell>
          <cell r="EU579">
            <v>0</v>
          </cell>
          <cell r="EV579">
            <v>0</v>
          </cell>
          <cell r="EW579">
            <v>0</v>
          </cell>
          <cell r="EY579">
            <v>0</v>
          </cell>
          <cell r="EZ579">
            <v>8</v>
          </cell>
          <cell r="FA579">
            <v>0</v>
          </cell>
          <cell r="FB579">
            <v>0</v>
          </cell>
          <cell r="FC579">
            <v>8.6</v>
          </cell>
          <cell r="FD579">
            <v>0</v>
          </cell>
          <cell r="FE579">
            <v>0</v>
          </cell>
          <cell r="FF579">
            <v>0</v>
          </cell>
          <cell r="FH579">
            <v>0</v>
          </cell>
        </row>
        <row r="580">
          <cell r="B580">
            <v>9705</v>
          </cell>
          <cell r="C580" t="str">
            <v>06.01.2010</v>
          </cell>
          <cell r="D580" t="str">
            <v>Revar Pradeep Gopal</v>
          </cell>
          <cell r="F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0</v>
          </cell>
          <cell r="BA580">
            <v>0</v>
          </cell>
          <cell r="BB580">
            <v>0</v>
          </cell>
          <cell r="BC580">
            <v>0</v>
          </cell>
          <cell r="BD580">
            <v>0</v>
          </cell>
          <cell r="BE580">
            <v>0</v>
          </cell>
          <cell r="BF580">
            <v>0</v>
          </cell>
          <cell r="BG580">
            <v>0</v>
          </cell>
          <cell r="BH580">
            <v>0</v>
          </cell>
          <cell r="BI580">
            <v>0</v>
          </cell>
          <cell r="BK580">
            <v>0</v>
          </cell>
          <cell r="BL580">
            <v>0</v>
          </cell>
          <cell r="BM580">
            <v>0</v>
          </cell>
          <cell r="BN580">
            <v>0</v>
          </cell>
          <cell r="BO580">
            <v>0</v>
          </cell>
          <cell r="BP580">
            <v>0</v>
          </cell>
          <cell r="BQ580">
            <v>0</v>
          </cell>
          <cell r="BR580">
            <v>0</v>
          </cell>
          <cell r="BS580">
            <v>0</v>
          </cell>
          <cell r="BU580">
            <v>0</v>
          </cell>
          <cell r="BV580">
            <v>0</v>
          </cell>
          <cell r="BW580">
            <v>0</v>
          </cell>
          <cell r="BX580">
            <v>0</v>
          </cell>
          <cell r="BY580">
            <v>0</v>
          </cell>
          <cell r="BZ580">
            <v>0</v>
          </cell>
          <cell r="CA580">
            <v>0</v>
          </cell>
          <cell r="CB580">
            <v>0</v>
          </cell>
          <cell r="CC580">
            <v>0</v>
          </cell>
          <cell r="CE580">
            <v>0</v>
          </cell>
          <cell r="CF580">
            <v>0</v>
          </cell>
          <cell r="CG580">
            <v>0</v>
          </cell>
          <cell r="CH580">
            <v>0</v>
          </cell>
          <cell r="CI580">
            <v>0</v>
          </cell>
          <cell r="CJ580">
            <v>0</v>
          </cell>
          <cell r="CK580">
            <v>0</v>
          </cell>
          <cell r="CL580">
            <v>0</v>
          </cell>
          <cell r="CM580">
            <v>0</v>
          </cell>
          <cell r="CO580">
            <v>0</v>
          </cell>
          <cell r="CP580">
            <v>0</v>
          </cell>
          <cell r="CQ580">
            <v>0</v>
          </cell>
          <cell r="CR580">
            <v>0</v>
          </cell>
          <cell r="CS580">
            <v>0</v>
          </cell>
          <cell r="CT580">
            <v>0</v>
          </cell>
          <cell r="CU580">
            <v>0</v>
          </cell>
          <cell r="CV580">
            <v>0</v>
          </cell>
          <cell r="CW580">
            <v>0</v>
          </cell>
          <cell r="CY580">
            <v>0</v>
          </cell>
          <cell r="CZ580">
            <v>0</v>
          </cell>
          <cell r="DA580">
            <v>0</v>
          </cell>
          <cell r="DB580">
            <v>0</v>
          </cell>
          <cell r="DC580">
            <v>0</v>
          </cell>
          <cell r="DD580">
            <v>0</v>
          </cell>
          <cell r="DE580">
            <v>0</v>
          </cell>
          <cell r="DF580">
            <v>0</v>
          </cell>
          <cell r="DG580">
            <v>0</v>
          </cell>
          <cell r="DI580">
            <v>0</v>
          </cell>
          <cell r="DJ580">
            <v>0</v>
          </cell>
          <cell r="DK580">
            <v>0</v>
          </cell>
          <cell r="DL580">
            <v>0</v>
          </cell>
          <cell r="DM580">
            <v>0</v>
          </cell>
          <cell r="DN580">
            <v>0</v>
          </cell>
          <cell r="DO580">
            <v>0</v>
          </cell>
          <cell r="DP580">
            <v>0</v>
          </cell>
          <cell r="DQ580">
            <v>0</v>
          </cell>
          <cell r="DR580">
            <v>0</v>
          </cell>
          <cell r="DS580">
            <v>0</v>
          </cell>
          <cell r="DT580">
            <v>0</v>
          </cell>
          <cell r="DU580">
            <v>0</v>
          </cell>
          <cell r="DW580">
            <v>0</v>
          </cell>
          <cell r="DX580">
            <v>0</v>
          </cell>
          <cell r="DY580">
            <v>0</v>
          </cell>
          <cell r="DZ580">
            <v>0</v>
          </cell>
          <cell r="EA580">
            <v>0</v>
          </cell>
          <cell r="EB580">
            <v>0</v>
          </cell>
          <cell r="EC580">
            <v>0</v>
          </cell>
          <cell r="ED580">
            <v>0</v>
          </cell>
          <cell r="EE580">
            <v>0</v>
          </cell>
          <cell r="EF580">
            <v>0</v>
          </cell>
          <cell r="EG580">
            <v>0</v>
          </cell>
          <cell r="EH580">
            <v>0</v>
          </cell>
          <cell r="EI580">
            <v>0</v>
          </cell>
          <cell r="EK580">
            <v>0</v>
          </cell>
          <cell r="EL580">
            <v>0</v>
          </cell>
          <cell r="EM580">
            <v>0</v>
          </cell>
          <cell r="EN580">
            <v>0</v>
          </cell>
          <cell r="EO580">
            <v>0</v>
          </cell>
          <cell r="EP580">
            <v>0</v>
          </cell>
          <cell r="EQ580">
            <v>0</v>
          </cell>
          <cell r="ER580">
            <v>0</v>
          </cell>
          <cell r="ES580">
            <v>0</v>
          </cell>
          <cell r="ET580">
            <v>0</v>
          </cell>
          <cell r="EU580">
            <v>0</v>
          </cell>
          <cell r="EV580">
            <v>0</v>
          </cell>
          <cell r="EW580">
            <v>0</v>
          </cell>
          <cell r="EY580">
            <v>0</v>
          </cell>
          <cell r="EZ580">
            <v>8</v>
          </cell>
          <cell r="FA580">
            <v>0</v>
          </cell>
          <cell r="FB580">
            <v>0</v>
          </cell>
          <cell r="FC580">
            <v>8.6</v>
          </cell>
          <cell r="FD580">
            <v>0</v>
          </cell>
          <cell r="FE580">
            <v>0</v>
          </cell>
          <cell r="FF580">
            <v>0</v>
          </cell>
          <cell r="FH580">
            <v>0</v>
          </cell>
        </row>
        <row r="581">
          <cell r="B581">
            <v>9714</v>
          </cell>
          <cell r="C581" t="str">
            <v>06.01.2010</v>
          </cell>
          <cell r="D581" t="str">
            <v>Revar Vijay Khimaji</v>
          </cell>
          <cell r="F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BA581">
            <v>0</v>
          </cell>
          <cell r="BB581">
            <v>0</v>
          </cell>
          <cell r="BC581">
            <v>0</v>
          </cell>
          <cell r="BD581">
            <v>0</v>
          </cell>
          <cell r="BE581">
            <v>0</v>
          </cell>
          <cell r="BF581">
            <v>0</v>
          </cell>
          <cell r="BG581">
            <v>0</v>
          </cell>
          <cell r="BH581">
            <v>0</v>
          </cell>
          <cell r="BI581">
            <v>0</v>
          </cell>
          <cell r="BK581">
            <v>0</v>
          </cell>
          <cell r="BL581">
            <v>0</v>
          </cell>
          <cell r="BM581">
            <v>0</v>
          </cell>
          <cell r="BN581">
            <v>0</v>
          </cell>
          <cell r="BO581">
            <v>0</v>
          </cell>
          <cell r="BP581">
            <v>0</v>
          </cell>
          <cell r="BQ581">
            <v>0</v>
          </cell>
          <cell r="BR581">
            <v>0</v>
          </cell>
          <cell r="BS581">
            <v>0</v>
          </cell>
          <cell r="BU581">
            <v>0</v>
          </cell>
          <cell r="BV581">
            <v>0</v>
          </cell>
          <cell r="BW581">
            <v>0</v>
          </cell>
          <cell r="BX581">
            <v>0</v>
          </cell>
          <cell r="BY581">
            <v>0</v>
          </cell>
          <cell r="BZ581">
            <v>0</v>
          </cell>
          <cell r="CA581">
            <v>0</v>
          </cell>
          <cell r="CB581">
            <v>0</v>
          </cell>
          <cell r="CC581">
            <v>0</v>
          </cell>
          <cell r="CE581">
            <v>0</v>
          </cell>
          <cell r="CF581">
            <v>0</v>
          </cell>
          <cell r="CG581">
            <v>0</v>
          </cell>
          <cell r="CH581">
            <v>0</v>
          </cell>
          <cell r="CI581">
            <v>0</v>
          </cell>
          <cell r="CJ581">
            <v>0</v>
          </cell>
          <cell r="CK581">
            <v>0</v>
          </cell>
          <cell r="CL581">
            <v>0</v>
          </cell>
          <cell r="CM581">
            <v>0</v>
          </cell>
          <cell r="CO581">
            <v>0</v>
          </cell>
          <cell r="CP581">
            <v>0</v>
          </cell>
          <cell r="CQ581">
            <v>0</v>
          </cell>
          <cell r="CR581">
            <v>0</v>
          </cell>
          <cell r="CS581">
            <v>0</v>
          </cell>
          <cell r="CT581">
            <v>0</v>
          </cell>
          <cell r="CU581">
            <v>0</v>
          </cell>
          <cell r="CV581">
            <v>0</v>
          </cell>
          <cell r="CW581">
            <v>0</v>
          </cell>
          <cell r="CY581">
            <v>0</v>
          </cell>
          <cell r="CZ581">
            <v>0</v>
          </cell>
          <cell r="DA581">
            <v>0</v>
          </cell>
          <cell r="DB581">
            <v>0</v>
          </cell>
          <cell r="DC581">
            <v>0</v>
          </cell>
          <cell r="DD581">
            <v>0</v>
          </cell>
          <cell r="DE581">
            <v>0</v>
          </cell>
          <cell r="DF581">
            <v>0</v>
          </cell>
          <cell r="DG581">
            <v>0</v>
          </cell>
          <cell r="DI581">
            <v>0</v>
          </cell>
          <cell r="DJ581">
            <v>0</v>
          </cell>
          <cell r="DK581">
            <v>0</v>
          </cell>
          <cell r="DL581">
            <v>0</v>
          </cell>
          <cell r="DM581">
            <v>0</v>
          </cell>
          <cell r="DN581">
            <v>0</v>
          </cell>
          <cell r="DO581">
            <v>0</v>
          </cell>
          <cell r="DP581">
            <v>0</v>
          </cell>
          <cell r="DQ581">
            <v>0</v>
          </cell>
          <cell r="DR581">
            <v>0</v>
          </cell>
          <cell r="DS581">
            <v>0</v>
          </cell>
          <cell r="DT581">
            <v>0</v>
          </cell>
          <cell r="DU581">
            <v>0</v>
          </cell>
          <cell r="DW581">
            <v>0</v>
          </cell>
          <cell r="DX581">
            <v>0</v>
          </cell>
          <cell r="DY581">
            <v>0</v>
          </cell>
          <cell r="DZ581">
            <v>0</v>
          </cell>
          <cell r="EA581">
            <v>0</v>
          </cell>
          <cell r="EB581">
            <v>0</v>
          </cell>
          <cell r="EC581">
            <v>0</v>
          </cell>
          <cell r="ED581">
            <v>0</v>
          </cell>
          <cell r="EE581">
            <v>0</v>
          </cell>
          <cell r="EF581">
            <v>0</v>
          </cell>
          <cell r="EG581">
            <v>0</v>
          </cell>
          <cell r="EH581">
            <v>0</v>
          </cell>
          <cell r="EI581">
            <v>0</v>
          </cell>
          <cell r="EK581">
            <v>0</v>
          </cell>
          <cell r="EL581">
            <v>0</v>
          </cell>
          <cell r="EM581">
            <v>0</v>
          </cell>
          <cell r="EN581">
            <v>0</v>
          </cell>
          <cell r="EO581">
            <v>0</v>
          </cell>
          <cell r="EP581">
            <v>0</v>
          </cell>
          <cell r="EQ581">
            <v>0</v>
          </cell>
          <cell r="ER581">
            <v>0</v>
          </cell>
          <cell r="ES581">
            <v>0</v>
          </cell>
          <cell r="ET581">
            <v>0</v>
          </cell>
          <cell r="EU581">
            <v>0</v>
          </cell>
          <cell r="EV581">
            <v>0</v>
          </cell>
          <cell r="EW581">
            <v>0</v>
          </cell>
          <cell r="EY581">
            <v>0</v>
          </cell>
          <cell r="EZ581">
            <v>8</v>
          </cell>
          <cell r="FA581">
            <v>0</v>
          </cell>
          <cell r="FB581">
            <v>0</v>
          </cell>
          <cell r="FC581">
            <v>8.6</v>
          </cell>
          <cell r="FD581">
            <v>0</v>
          </cell>
          <cell r="FE581">
            <v>0</v>
          </cell>
          <cell r="FF581">
            <v>0</v>
          </cell>
          <cell r="FH581">
            <v>0</v>
          </cell>
        </row>
        <row r="582">
          <cell r="B582">
            <v>10172</v>
          </cell>
          <cell r="C582" t="str">
            <v>13.01.2010</v>
          </cell>
          <cell r="D582" t="str">
            <v>Rokade Abhimanyu Anil</v>
          </cell>
          <cell r="F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0</v>
          </cell>
          <cell r="BA582">
            <v>0</v>
          </cell>
          <cell r="BB582">
            <v>0</v>
          </cell>
          <cell r="BC582">
            <v>0</v>
          </cell>
          <cell r="BD582">
            <v>0</v>
          </cell>
          <cell r="BE582">
            <v>0</v>
          </cell>
          <cell r="BF582">
            <v>0</v>
          </cell>
          <cell r="BG582">
            <v>0</v>
          </cell>
          <cell r="BH582">
            <v>0</v>
          </cell>
          <cell r="BI582">
            <v>0</v>
          </cell>
          <cell r="BK582">
            <v>0</v>
          </cell>
          <cell r="BL582">
            <v>0</v>
          </cell>
          <cell r="BM582">
            <v>0</v>
          </cell>
          <cell r="BN582">
            <v>0</v>
          </cell>
          <cell r="BO582">
            <v>0</v>
          </cell>
          <cell r="BP582">
            <v>0</v>
          </cell>
          <cell r="BQ582">
            <v>0</v>
          </cell>
          <cell r="BR582">
            <v>0</v>
          </cell>
          <cell r="BS582">
            <v>0</v>
          </cell>
          <cell r="BU582">
            <v>0</v>
          </cell>
          <cell r="BV582">
            <v>0</v>
          </cell>
          <cell r="BW582">
            <v>0</v>
          </cell>
          <cell r="BX582">
            <v>0</v>
          </cell>
          <cell r="BY582">
            <v>0</v>
          </cell>
          <cell r="BZ582">
            <v>0</v>
          </cell>
          <cell r="CA582">
            <v>0</v>
          </cell>
          <cell r="CB582">
            <v>0</v>
          </cell>
          <cell r="CC582">
            <v>0</v>
          </cell>
          <cell r="CE582">
            <v>0</v>
          </cell>
          <cell r="CF582">
            <v>0</v>
          </cell>
          <cell r="CG582">
            <v>0</v>
          </cell>
          <cell r="CH582">
            <v>0</v>
          </cell>
          <cell r="CI582">
            <v>0</v>
          </cell>
          <cell r="CJ582">
            <v>0</v>
          </cell>
          <cell r="CK582">
            <v>0</v>
          </cell>
          <cell r="CL582">
            <v>0</v>
          </cell>
          <cell r="CM582">
            <v>0</v>
          </cell>
          <cell r="CO582">
            <v>0</v>
          </cell>
          <cell r="CP582">
            <v>0</v>
          </cell>
          <cell r="CQ582">
            <v>0</v>
          </cell>
          <cell r="CR582">
            <v>0</v>
          </cell>
          <cell r="CS582">
            <v>0</v>
          </cell>
          <cell r="CT582">
            <v>0</v>
          </cell>
          <cell r="CU582">
            <v>0</v>
          </cell>
          <cell r="CV582">
            <v>0</v>
          </cell>
          <cell r="CW582">
            <v>0</v>
          </cell>
          <cell r="CY582">
            <v>0</v>
          </cell>
          <cell r="CZ582">
            <v>0</v>
          </cell>
          <cell r="DA582">
            <v>0</v>
          </cell>
          <cell r="DB582">
            <v>0</v>
          </cell>
          <cell r="DC582">
            <v>0</v>
          </cell>
          <cell r="DD582">
            <v>0</v>
          </cell>
          <cell r="DE582">
            <v>0</v>
          </cell>
          <cell r="DF582">
            <v>0</v>
          </cell>
          <cell r="DG582">
            <v>0</v>
          </cell>
          <cell r="DI582">
            <v>0</v>
          </cell>
          <cell r="DJ582">
            <v>0</v>
          </cell>
          <cell r="DK582">
            <v>0</v>
          </cell>
          <cell r="DL582">
            <v>0</v>
          </cell>
          <cell r="DM582">
            <v>0</v>
          </cell>
          <cell r="DN582">
            <v>0</v>
          </cell>
          <cell r="DO582">
            <v>0</v>
          </cell>
          <cell r="DP582">
            <v>0</v>
          </cell>
          <cell r="DQ582">
            <v>0</v>
          </cell>
          <cell r="DR582">
            <v>0</v>
          </cell>
          <cell r="DS582">
            <v>0</v>
          </cell>
          <cell r="DT582">
            <v>0</v>
          </cell>
          <cell r="DU582">
            <v>0</v>
          </cell>
          <cell r="DW582">
            <v>0</v>
          </cell>
          <cell r="DX582">
            <v>0</v>
          </cell>
          <cell r="DY582">
            <v>0</v>
          </cell>
          <cell r="DZ582">
            <v>0</v>
          </cell>
          <cell r="EA582">
            <v>0</v>
          </cell>
          <cell r="EB582">
            <v>0</v>
          </cell>
          <cell r="EC582">
            <v>0</v>
          </cell>
          <cell r="ED582">
            <v>0</v>
          </cell>
          <cell r="EE582">
            <v>0</v>
          </cell>
          <cell r="EF582">
            <v>0</v>
          </cell>
          <cell r="EG582">
            <v>0</v>
          </cell>
          <cell r="EH582">
            <v>0</v>
          </cell>
          <cell r="EI582">
            <v>0</v>
          </cell>
          <cell r="EK582">
            <v>0</v>
          </cell>
          <cell r="EL582">
            <v>0</v>
          </cell>
          <cell r="EM582">
            <v>0</v>
          </cell>
          <cell r="EN582">
            <v>0</v>
          </cell>
          <cell r="EO582">
            <v>0</v>
          </cell>
          <cell r="EP582">
            <v>0</v>
          </cell>
          <cell r="EQ582">
            <v>0</v>
          </cell>
          <cell r="ER582">
            <v>0</v>
          </cell>
          <cell r="ES582">
            <v>0</v>
          </cell>
          <cell r="ET582">
            <v>0</v>
          </cell>
          <cell r="EU582">
            <v>0</v>
          </cell>
          <cell r="EV582">
            <v>0</v>
          </cell>
          <cell r="EW582">
            <v>0</v>
          </cell>
          <cell r="EY582">
            <v>0</v>
          </cell>
          <cell r="EZ582">
            <v>8</v>
          </cell>
          <cell r="FA582">
            <v>0</v>
          </cell>
          <cell r="FB582">
            <v>0</v>
          </cell>
          <cell r="FC582">
            <v>8.6</v>
          </cell>
          <cell r="FD582">
            <v>0</v>
          </cell>
          <cell r="FE582">
            <v>0</v>
          </cell>
          <cell r="FF582">
            <v>0</v>
          </cell>
          <cell r="FH582">
            <v>0</v>
          </cell>
        </row>
        <row r="583">
          <cell r="B583">
            <v>9638</v>
          </cell>
          <cell r="C583" t="str">
            <v>04.02.2010</v>
          </cell>
          <cell r="D583" t="str">
            <v>Nikalaje Taitas Shashikant</v>
          </cell>
          <cell r="F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BA583">
            <v>0</v>
          </cell>
          <cell r="BB583">
            <v>0</v>
          </cell>
          <cell r="BC583">
            <v>0</v>
          </cell>
          <cell r="BD583">
            <v>0</v>
          </cell>
          <cell r="BE583">
            <v>0</v>
          </cell>
          <cell r="BF583">
            <v>0</v>
          </cell>
          <cell r="BG583">
            <v>0</v>
          </cell>
          <cell r="BH583">
            <v>0</v>
          </cell>
          <cell r="BI583">
            <v>0</v>
          </cell>
          <cell r="BK583">
            <v>0</v>
          </cell>
          <cell r="BL583">
            <v>0</v>
          </cell>
          <cell r="BM583">
            <v>0</v>
          </cell>
          <cell r="BN583">
            <v>0</v>
          </cell>
          <cell r="BO583">
            <v>0</v>
          </cell>
          <cell r="BP583">
            <v>0</v>
          </cell>
          <cell r="BQ583">
            <v>0</v>
          </cell>
          <cell r="BR583">
            <v>0</v>
          </cell>
          <cell r="BS583">
            <v>0</v>
          </cell>
          <cell r="BU583">
            <v>0</v>
          </cell>
          <cell r="BV583">
            <v>0</v>
          </cell>
          <cell r="BW583">
            <v>0</v>
          </cell>
          <cell r="BX583">
            <v>0</v>
          </cell>
          <cell r="BY583">
            <v>0</v>
          </cell>
          <cell r="BZ583">
            <v>0</v>
          </cell>
          <cell r="CA583">
            <v>0</v>
          </cell>
          <cell r="CB583">
            <v>0</v>
          </cell>
          <cell r="CC583">
            <v>0</v>
          </cell>
          <cell r="CE583">
            <v>0</v>
          </cell>
          <cell r="CF583">
            <v>0</v>
          </cell>
          <cell r="CG583">
            <v>0</v>
          </cell>
          <cell r="CH583">
            <v>0</v>
          </cell>
          <cell r="CI583">
            <v>0</v>
          </cell>
          <cell r="CJ583">
            <v>0</v>
          </cell>
          <cell r="CK583">
            <v>0</v>
          </cell>
          <cell r="CL583">
            <v>0</v>
          </cell>
          <cell r="CM583">
            <v>0</v>
          </cell>
          <cell r="CO583">
            <v>0</v>
          </cell>
          <cell r="CP583">
            <v>0</v>
          </cell>
          <cell r="CQ583">
            <v>0</v>
          </cell>
          <cell r="CR583">
            <v>0</v>
          </cell>
          <cell r="CS583">
            <v>0</v>
          </cell>
          <cell r="CT583">
            <v>0</v>
          </cell>
          <cell r="CU583">
            <v>0</v>
          </cell>
          <cell r="CV583">
            <v>0</v>
          </cell>
          <cell r="CW583">
            <v>0</v>
          </cell>
          <cell r="CY583">
            <v>0</v>
          </cell>
          <cell r="CZ583">
            <v>0</v>
          </cell>
          <cell r="DA583">
            <v>0</v>
          </cell>
          <cell r="DB583">
            <v>0</v>
          </cell>
          <cell r="DC583">
            <v>0</v>
          </cell>
          <cell r="DD583">
            <v>0</v>
          </cell>
          <cell r="DE583">
            <v>0</v>
          </cell>
          <cell r="DF583">
            <v>0</v>
          </cell>
          <cell r="DG583">
            <v>0</v>
          </cell>
          <cell r="DI583">
            <v>0</v>
          </cell>
          <cell r="DJ583">
            <v>0</v>
          </cell>
          <cell r="DK583">
            <v>0</v>
          </cell>
          <cell r="DL583">
            <v>0</v>
          </cell>
          <cell r="DM583">
            <v>0</v>
          </cell>
          <cell r="DN583">
            <v>0</v>
          </cell>
          <cell r="DO583">
            <v>0</v>
          </cell>
          <cell r="DP583">
            <v>0</v>
          </cell>
          <cell r="DQ583">
            <v>0</v>
          </cell>
          <cell r="DR583">
            <v>0</v>
          </cell>
          <cell r="DS583">
            <v>0</v>
          </cell>
          <cell r="DT583">
            <v>0</v>
          </cell>
          <cell r="DU583">
            <v>0</v>
          </cell>
          <cell r="DW583">
            <v>0</v>
          </cell>
          <cell r="DX583">
            <v>0</v>
          </cell>
          <cell r="DY583">
            <v>0</v>
          </cell>
          <cell r="DZ583">
            <v>0</v>
          </cell>
          <cell r="EA583">
            <v>0</v>
          </cell>
          <cell r="EB583">
            <v>0</v>
          </cell>
          <cell r="EC583">
            <v>0</v>
          </cell>
          <cell r="ED583">
            <v>0</v>
          </cell>
          <cell r="EE583">
            <v>0</v>
          </cell>
          <cell r="EF583">
            <v>0</v>
          </cell>
          <cell r="EG583">
            <v>0</v>
          </cell>
          <cell r="EH583">
            <v>0</v>
          </cell>
          <cell r="EI583">
            <v>0</v>
          </cell>
          <cell r="EK583">
            <v>0</v>
          </cell>
          <cell r="EL583">
            <v>0</v>
          </cell>
          <cell r="EM583">
            <v>0</v>
          </cell>
          <cell r="EN583">
            <v>0</v>
          </cell>
          <cell r="EO583">
            <v>0</v>
          </cell>
          <cell r="EP583">
            <v>0</v>
          </cell>
          <cell r="EQ583">
            <v>0</v>
          </cell>
          <cell r="ER583">
            <v>0</v>
          </cell>
          <cell r="ES583">
            <v>0</v>
          </cell>
          <cell r="ET583">
            <v>0</v>
          </cell>
          <cell r="EU583">
            <v>0</v>
          </cell>
          <cell r="EV583">
            <v>0</v>
          </cell>
          <cell r="EW583">
            <v>0</v>
          </cell>
          <cell r="EY583">
            <v>0</v>
          </cell>
          <cell r="EZ583">
            <v>8</v>
          </cell>
          <cell r="FA583">
            <v>0</v>
          </cell>
          <cell r="FB583">
            <v>0</v>
          </cell>
          <cell r="FC583">
            <v>8.6</v>
          </cell>
          <cell r="FD583">
            <v>0</v>
          </cell>
          <cell r="FE583">
            <v>0</v>
          </cell>
          <cell r="FF583">
            <v>0</v>
          </cell>
          <cell r="FH583">
            <v>0</v>
          </cell>
        </row>
        <row r="584">
          <cell r="B584">
            <v>9712</v>
          </cell>
          <cell r="C584" t="str">
            <v>04.02.2010</v>
          </cell>
          <cell r="D584" t="str">
            <v>Vaidya Kailas Arjun</v>
          </cell>
          <cell r="F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BA584">
            <v>0</v>
          </cell>
          <cell r="BB584">
            <v>0</v>
          </cell>
          <cell r="BC584">
            <v>0</v>
          </cell>
          <cell r="BD584">
            <v>0</v>
          </cell>
          <cell r="BE584">
            <v>0</v>
          </cell>
          <cell r="BF584">
            <v>0</v>
          </cell>
          <cell r="BG584">
            <v>0</v>
          </cell>
          <cell r="BH584">
            <v>0</v>
          </cell>
          <cell r="BI584">
            <v>0</v>
          </cell>
          <cell r="BK584">
            <v>0</v>
          </cell>
          <cell r="BL584">
            <v>0</v>
          </cell>
          <cell r="BM584">
            <v>0</v>
          </cell>
          <cell r="BN584">
            <v>0</v>
          </cell>
          <cell r="BO584">
            <v>0</v>
          </cell>
          <cell r="BP584">
            <v>0</v>
          </cell>
          <cell r="BQ584">
            <v>0</v>
          </cell>
          <cell r="BR584">
            <v>0</v>
          </cell>
          <cell r="BS584">
            <v>0</v>
          </cell>
          <cell r="BU584">
            <v>0</v>
          </cell>
          <cell r="BV584">
            <v>0</v>
          </cell>
          <cell r="BW584">
            <v>0</v>
          </cell>
          <cell r="BX584">
            <v>0</v>
          </cell>
          <cell r="BY584">
            <v>0</v>
          </cell>
          <cell r="BZ584">
            <v>0</v>
          </cell>
          <cell r="CA584">
            <v>0</v>
          </cell>
          <cell r="CB584">
            <v>0</v>
          </cell>
          <cell r="CC584">
            <v>0</v>
          </cell>
          <cell r="CE584">
            <v>0</v>
          </cell>
          <cell r="CF584">
            <v>0</v>
          </cell>
          <cell r="CG584">
            <v>0</v>
          </cell>
          <cell r="CH584">
            <v>0</v>
          </cell>
          <cell r="CI584">
            <v>0</v>
          </cell>
          <cell r="CJ584">
            <v>0</v>
          </cell>
          <cell r="CK584">
            <v>0</v>
          </cell>
          <cell r="CL584">
            <v>0</v>
          </cell>
          <cell r="CM584">
            <v>0</v>
          </cell>
          <cell r="CO584">
            <v>0</v>
          </cell>
          <cell r="CP584">
            <v>0</v>
          </cell>
          <cell r="CQ584">
            <v>0</v>
          </cell>
          <cell r="CR584">
            <v>0</v>
          </cell>
          <cell r="CS584">
            <v>0</v>
          </cell>
          <cell r="CT584">
            <v>0</v>
          </cell>
          <cell r="CU584">
            <v>0</v>
          </cell>
          <cell r="CV584">
            <v>0</v>
          </cell>
          <cell r="CW584">
            <v>0</v>
          </cell>
          <cell r="CY584">
            <v>0</v>
          </cell>
          <cell r="CZ584">
            <v>0</v>
          </cell>
          <cell r="DA584">
            <v>0</v>
          </cell>
          <cell r="DB584">
            <v>0</v>
          </cell>
          <cell r="DC584">
            <v>0</v>
          </cell>
          <cell r="DD584">
            <v>0</v>
          </cell>
          <cell r="DE584">
            <v>0</v>
          </cell>
          <cell r="DF584">
            <v>0</v>
          </cell>
          <cell r="DG584">
            <v>0</v>
          </cell>
          <cell r="DI584">
            <v>0</v>
          </cell>
          <cell r="DJ584">
            <v>0</v>
          </cell>
          <cell r="DK584">
            <v>0</v>
          </cell>
          <cell r="DL584">
            <v>0</v>
          </cell>
          <cell r="DM584">
            <v>0</v>
          </cell>
          <cell r="DN584">
            <v>0</v>
          </cell>
          <cell r="DO584">
            <v>0</v>
          </cell>
          <cell r="DP584">
            <v>0</v>
          </cell>
          <cell r="DQ584">
            <v>0</v>
          </cell>
          <cell r="DR584">
            <v>0</v>
          </cell>
          <cell r="DS584">
            <v>0</v>
          </cell>
          <cell r="DT584">
            <v>0</v>
          </cell>
          <cell r="DU584">
            <v>0</v>
          </cell>
          <cell r="DW584">
            <v>0</v>
          </cell>
          <cell r="DX584">
            <v>0</v>
          </cell>
          <cell r="DY584">
            <v>0</v>
          </cell>
          <cell r="DZ584">
            <v>0</v>
          </cell>
          <cell r="EA584">
            <v>0</v>
          </cell>
          <cell r="EB584">
            <v>0</v>
          </cell>
          <cell r="EC584">
            <v>0</v>
          </cell>
          <cell r="ED584">
            <v>0</v>
          </cell>
          <cell r="EE584">
            <v>0</v>
          </cell>
          <cell r="EF584">
            <v>0</v>
          </cell>
          <cell r="EG584">
            <v>0</v>
          </cell>
          <cell r="EH584">
            <v>0</v>
          </cell>
          <cell r="EI584">
            <v>0</v>
          </cell>
          <cell r="EK584">
            <v>0</v>
          </cell>
          <cell r="EL584">
            <v>0</v>
          </cell>
          <cell r="EM584">
            <v>0</v>
          </cell>
          <cell r="EN584">
            <v>0</v>
          </cell>
          <cell r="EO584">
            <v>0</v>
          </cell>
          <cell r="EP584">
            <v>0</v>
          </cell>
          <cell r="EQ584">
            <v>0</v>
          </cell>
          <cell r="ER584">
            <v>0</v>
          </cell>
          <cell r="ES584">
            <v>0</v>
          </cell>
          <cell r="ET584">
            <v>0</v>
          </cell>
          <cell r="EU584">
            <v>0</v>
          </cell>
          <cell r="EV584">
            <v>0</v>
          </cell>
          <cell r="EW584">
            <v>0</v>
          </cell>
          <cell r="EY584">
            <v>0</v>
          </cell>
          <cell r="EZ584">
            <v>8</v>
          </cell>
          <cell r="FA584">
            <v>0</v>
          </cell>
          <cell r="FB584">
            <v>0</v>
          </cell>
          <cell r="FC584">
            <v>8.6</v>
          </cell>
          <cell r="FD584">
            <v>0</v>
          </cell>
          <cell r="FE584">
            <v>0</v>
          </cell>
          <cell r="FF584">
            <v>0</v>
          </cell>
          <cell r="FH584">
            <v>0</v>
          </cell>
        </row>
        <row r="585">
          <cell r="B585">
            <v>9713</v>
          </cell>
          <cell r="C585" t="str">
            <v>04.02.2010</v>
          </cell>
          <cell r="D585" t="str">
            <v>More Darshan Nagsen</v>
          </cell>
          <cell r="F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BA585">
            <v>0</v>
          </cell>
          <cell r="BB585">
            <v>0</v>
          </cell>
          <cell r="BC585">
            <v>0</v>
          </cell>
          <cell r="BD585">
            <v>0</v>
          </cell>
          <cell r="BE585">
            <v>0</v>
          </cell>
          <cell r="BF585">
            <v>0</v>
          </cell>
          <cell r="BG585">
            <v>0</v>
          </cell>
          <cell r="BH585">
            <v>0</v>
          </cell>
          <cell r="BI585">
            <v>0</v>
          </cell>
          <cell r="BK585">
            <v>0</v>
          </cell>
          <cell r="BL585">
            <v>0</v>
          </cell>
          <cell r="BM585">
            <v>0</v>
          </cell>
          <cell r="BN585">
            <v>0</v>
          </cell>
          <cell r="BO585">
            <v>0</v>
          </cell>
          <cell r="BP585">
            <v>0</v>
          </cell>
          <cell r="BQ585">
            <v>0</v>
          </cell>
          <cell r="BR585">
            <v>0</v>
          </cell>
          <cell r="BS585">
            <v>0</v>
          </cell>
          <cell r="BU585">
            <v>0</v>
          </cell>
          <cell r="BV585">
            <v>0</v>
          </cell>
          <cell r="BW585">
            <v>0</v>
          </cell>
          <cell r="BX585">
            <v>0</v>
          </cell>
          <cell r="BY585">
            <v>0</v>
          </cell>
          <cell r="BZ585">
            <v>0</v>
          </cell>
          <cell r="CA585">
            <v>0</v>
          </cell>
          <cell r="CB585">
            <v>0</v>
          </cell>
          <cell r="CC585">
            <v>0</v>
          </cell>
          <cell r="CE585">
            <v>0</v>
          </cell>
          <cell r="CF585">
            <v>0</v>
          </cell>
          <cell r="CG585">
            <v>0</v>
          </cell>
          <cell r="CH585">
            <v>0</v>
          </cell>
          <cell r="CI585">
            <v>0</v>
          </cell>
          <cell r="CJ585">
            <v>0</v>
          </cell>
          <cell r="CK585">
            <v>0</v>
          </cell>
          <cell r="CL585">
            <v>0</v>
          </cell>
          <cell r="CM585">
            <v>0</v>
          </cell>
          <cell r="CO585">
            <v>0</v>
          </cell>
          <cell r="CP585">
            <v>0</v>
          </cell>
          <cell r="CQ585">
            <v>0</v>
          </cell>
          <cell r="CR585">
            <v>0</v>
          </cell>
          <cell r="CS585">
            <v>0</v>
          </cell>
          <cell r="CT585">
            <v>0</v>
          </cell>
          <cell r="CU585">
            <v>0</v>
          </cell>
          <cell r="CV585">
            <v>0</v>
          </cell>
          <cell r="CW585">
            <v>0</v>
          </cell>
          <cell r="CY585">
            <v>0</v>
          </cell>
          <cell r="CZ585">
            <v>0</v>
          </cell>
          <cell r="DA585">
            <v>0</v>
          </cell>
          <cell r="DB585">
            <v>0</v>
          </cell>
          <cell r="DC585">
            <v>0</v>
          </cell>
          <cell r="DD585">
            <v>0</v>
          </cell>
          <cell r="DE585">
            <v>0</v>
          </cell>
          <cell r="DF585">
            <v>0</v>
          </cell>
          <cell r="DG585">
            <v>0</v>
          </cell>
          <cell r="DI585">
            <v>0</v>
          </cell>
          <cell r="DJ585">
            <v>0</v>
          </cell>
          <cell r="DK585">
            <v>0</v>
          </cell>
          <cell r="DL585">
            <v>0</v>
          </cell>
          <cell r="DM585">
            <v>0</v>
          </cell>
          <cell r="DN585">
            <v>0</v>
          </cell>
          <cell r="DO585">
            <v>0</v>
          </cell>
          <cell r="DP585">
            <v>0</v>
          </cell>
          <cell r="DQ585">
            <v>0</v>
          </cell>
          <cell r="DR585">
            <v>0</v>
          </cell>
          <cell r="DS585">
            <v>0</v>
          </cell>
          <cell r="DT585">
            <v>0</v>
          </cell>
          <cell r="DU585">
            <v>0</v>
          </cell>
          <cell r="DW585">
            <v>0</v>
          </cell>
          <cell r="DX585">
            <v>0</v>
          </cell>
          <cell r="DY585">
            <v>0</v>
          </cell>
          <cell r="DZ585">
            <v>0</v>
          </cell>
          <cell r="EA585">
            <v>0</v>
          </cell>
          <cell r="EB585">
            <v>0</v>
          </cell>
          <cell r="EC585">
            <v>0</v>
          </cell>
          <cell r="ED585">
            <v>0</v>
          </cell>
          <cell r="EE585">
            <v>0</v>
          </cell>
          <cell r="EF585">
            <v>0</v>
          </cell>
          <cell r="EG585">
            <v>0</v>
          </cell>
          <cell r="EH585">
            <v>0</v>
          </cell>
          <cell r="EI585">
            <v>0</v>
          </cell>
          <cell r="EK585">
            <v>0</v>
          </cell>
          <cell r="EL585">
            <v>0</v>
          </cell>
          <cell r="EM585">
            <v>0</v>
          </cell>
          <cell r="EN585">
            <v>0</v>
          </cell>
          <cell r="EO585">
            <v>0</v>
          </cell>
          <cell r="EP585">
            <v>0</v>
          </cell>
          <cell r="EQ585">
            <v>0</v>
          </cell>
          <cell r="ER585">
            <v>0</v>
          </cell>
          <cell r="ES585">
            <v>0</v>
          </cell>
          <cell r="ET585">
            <v>0</v>
          </cell>
          <cell r="EU585">
            <v>0</v>
          </cell>
          <cell r="EV585">
            <v>0</v>
          </cell>
          <cell r="EW585">
            <v>0</v>
          </cell>
          <cell r="EY585">
            <v>0</v>
          </cell>
          <cell r="EZ585">
            <v>8</v>
          </cell>
          <cell r="FA585">
            <v>0</v>
          </cell>
          <cell r="FB585">
            <v>0</v>
          </cell>
          <cell r="FC585">
            <v>8.6</v>
          </cell>
          <cell r="FD585">
            <v>0</v>
          </cell>
          <cell r="FE585">
            <v>0</v>
          </cell>
          <cell r="FF585">
            <v>0</v>
          </cell>
          <cell r="FH585">
            <v>0</v>
          </cell>
        </row>
        <row r="586">
          <cell r="B586">
            <v>9715</v>
          </cell>
          <cell r="C586" t="str">
            <v>05.02.2010</v>
          </cell>
          <cell r="D586" t="str">
            <v>Nikam Ujjwala Suresh</v>
          </cell>
          <cell r="F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BA586">
            <v>0</v>
          </cell>
          <cell r="BB586">
            <v>0</v>
          </cell>
          <cell r="BC586">
            <v>0</v>
          </cell>
          <cell r="BD586">
            <v>0</v>
          </cell>
          <cell r="BE586">
            <v>0</v>
          </cell>
          <cell r="BF586">
            <v>0</v>
          </cell>
          <cell r="BG586">
            <v>0</v>
          </cell>
          <cell r="BH586">
            <v>0</v>
          </cell>
          <cell r="BI586">
            <v>0</v>
          </cell>
          <cell r="BK586">
            <v>0</v>
          </cell>
          <cell r="BL586">
            <v>0</v>
          </cell>
          <cell r="BM586">
            <v>0</v>
          </cell>
          <cell r="BN586">
            <v>0</v>
          </cell>
          <cell r="BO586">
            <v>0</v>
          </cell>
          <cell r="BP586">
            <v>0</v>
          </cell>
          <cell r="BQ586">
            <v>0</v>
          </cell>
          <cell r="BR586">
            <v>0</v>
          </cell>
          <cell r="BS586">
            <v>0</v>
          </cell>
          <cell r="BU586">
            <v>0</v>
          </cell>
          <cell r="BV586">
            <v>0</v>
          </cell>
          <cell r="BW586">
            <v>0</v>
          </cell>
          <cell r="BX586">
            <v>0</v>
          </cell>
          <cell r="BY586">
            <v>0</v>
          </cell>
          <cell r="BZ586">
            <v>0</v>
          </cell>
          <cell r="CA586">
            <v>0</v>
          </cell>
          <cell r="CB586">
            <v>0</v>
          </cell>
          <cell r="CC586">
            <v>0</v>
          </cell>
          <cell r="CE586">
            <v>0</v>
          </cell>
          <cell r="CF586">
            <v>0</v>
          </cell>
          <cell r="CG586">
            <v>0</v>
          </cell>
          <cell r="CH586">
            <v>0</v>
          </cell>
          <cell r="CI586">
            <v>0</v>
          </cell>
          <cell r="CJ586">
            <v>0</v>
          </cell>
          <cell r="CK586">
            <v>0</v>
          </cell>
          <cell r="CL586">
            <v>0</v>
          </cell>
          <cell r="CM586">
            <v>0</v>
          </cell>
          <cell r="CO586">
            <v>0</v>
          </cell>
          <cell r="CP586">
            <v>0</v>
          </cell>
          <cell r="CQ586">
            <v>0</v>
          </cell>
          <cell r="CR586">
            <v>0</v>
          </cell>
          <cell r="CS586">
            <v>0</v>
          </cell>
          <cell r="CT586">
            <v>0</v>
          </cell>
          <cell r="CU586">
            <v>0</v>
          </cell>
          <cell r="CV586">
            <v>0</v>
          </cell>
          <cell r="CW586">
            <v>0</v>
          </cell>
          <cell r="CY586">
            <v>0</v>
          </cell>
          <cell r="CZ586">
            <v>0</v>
          </cell>
          <cell r="DA586">
            <v>0</v>
          </cell>
          <cell r="DB586">
            <v>0</v>
          </cell>
          <cell r="DC586">
            <v>0</v>
          </cell>
          <cell r="DD586">
            <v>0</v>
          </cell>
          <cell r="DE586">
            <v>0</v>
          </cell>
          <cell r="DF586">
            <v>0</v>
          </cell>
          <cell r="DG586">
            <v>0</v>
          </cell>
          <cell r="DI586">
            <v>0</v>
          </cell>
          <cell r="DJ586">
            <v>0</v>
          </cell>
          <cell r="DK586">
            <v>0</v>
          </cell>
          <cell r="DL586">
            <v>0</v>
          </cell>
          <cell r="DM586">
            <v>0</v>
          </cell>
          <cell r="DN586">
            <v>0</v>
          </cell>
          <cell r="DO586">
            <v>0</v>
          </cell>
          <cell r="DP586">
            <v>0</v>
          </cell>
          <cell r="DQ586">
            <v>0</v>
          </cell>
          <cell r="DR586">
            <v>0</v>
          </cell>
          <cell r="DS586">
            <v>0</v>
          </cell>
          <cell r="DT586">
            <v>0</v>
          </cell>
          <cell r="DU586">
            <v>0</v>
          </cell>
          <cell r="DW586">
            <v>0</v>
          </cell>
          <cell r="DX586">
            <v>0</v>
          </cell>
          <cell r="DY586">
            <v>0</v>
          </cell>
          <cell r="DZ586">
            <v>0</v>
          </cell>
          <cell r="EA586">
            <v>0</v>
          </cell>
          <cell r="EB586">
            <v>0</v>
          </cell>
          <cell r="EC586">
            <v>0</v>
          </cell>
          <cell r="ED586">
            <v>0</v>
          </cell>
          <cell r="EE586">
            <v>0</v>
          </cell>
          <cell r="EF586">
            <v>0</v>
          </cell>
          <cell r="EG586">
            <v>0</v>
          </cell>
          <cell r="EH586">
            <v>0</v>
          </cell>
          <cell r="EI586">
            <v>0</v>
          </cell>
          <cell r="EK586">
            <v>0</v>
          </cell>
          <cell r="EL586">
            <v>0</v>
          </cell>
          <cell r="EM586">
            <v>0</v>
          </cell>
          <cell r="EN586">
            <v>0</v>
          </cell>
          <cell r="EO586">
            <v>0</v>
          </cell>
          <cell r="EP586">
            <v>0</v>
          </cell>
          <cell r="EQ586">
            <v>0</v>
          </cell>
          <cell r="ER586">
            <v>0</v>
          </cell>
          <cell r="ES586">
            <v>0</v>
          </cell>
          <cell r="ET586">
            <v>0</v>
          </cell>
          <cell r="EU586">
            <v>0</v>
          </cell>
          <cell r="EV586">
            <v>0</v>
          </cell>
          <cell r="EW586">
            <v>0</v>
          </cell>
          <cell r="EY586">
            <v>0</v>
          </cell>
          <cell r="EZ586">
            <v>8</v>
          </cell>
          <cell r="FA586">
            <v>0</v>
          </cell>
          <cell r="FB586">
            <v>0</v>
          </cell>
          <cell r="FC586">
            <v>8.6</v>
          </cell>
          <cell r="FD586">
            <v>0</v>
          </cell>
          <cell r="FE586">
            <v>0</v>
          </cell>
          <cell r="FF586">
            <v>0</v>
          </cell>
          <cell r="FH586">
            <v>0</v>
          </cell>
        </row>
        <row r="587">
          <cell r="B587">
            <v>9716</v>
          </cell>
          <cell r="C587" t="str">
            <v>12.02.2010</v>
          </cell>
          <cell r="D587" t="str">
            <v>Baid Arvind Babulal</v>
          </cell>
          <cell r="F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BA587">
            <v>0</v>
          </cell>
          <cell r="BB587">
            <v>0</v>
          </cell>
          <cell r="BC587">
            <v>0</v>
          </cell>
          <cell r="BD587">
            <v>0</v>
          </cell>
          <cell r="BE587">
            <v>0</v>
          </cell>
          <cell r="BF587">
            <v>0</v>
          </cell>
          <cell r="BG587">
            <v>0</v>
          </cell>
          <cell r="BH587">
            <v>0</v>
          </cell>
          <cell r="BI587">
            <v>0</v>
          </cell>
          <cell r="BK587">
            <v>0</v>
          </cell>
          <cell r="BL587">
            <v>0</v>
          </cell>
          <cell r="BM587">
            <v>0</v>
          </cell>
          <cell r="BN587">
            <v>0</v>
          </cell>
          <cell r="BO587">
            <v>0</v>
          </cell>
          <cell r="BP587">
            <v>0</v>
          </cell>
          <cell r="BQ587">
            <v>0</v>
          </cell>
          <cell r="BR587">
            <v>0</v>
          </cell>
          <cell r="BS587">
            <v>0</v>
          </cell>
          <cell r="BU587">
            <v>0</v>
          </cell>
          <cell r="BV587">
            <v>0</v>
          </cell>
          <cell r="BW587">
            <v>0</v>
          </cell>
          <cell r="BX587">
            <v>0</v>
          </cell>
          <cell r="BY587">
            <v>0</v>
          </cell>
          <cell r="BZ587">
            <v>0</v>
          </cell>
          <cell r="CA587">
            <v>0</v>
          </cell>
          <cell r="CB587">
            <v>0</v>
          </cell>
          <cell r="CC587">
            <v>0</v>
          </cell>
          <cell r="CE587">
            <v>0</v>
          </cell>
          <cell r="CF587">
            <v>0</v>
          </cell>
          <cell r="CG587">
            <v>0</v>
          </cell>
          <cell r="CH587">
            <v>0</v>
          </cell>
          <cell r="CI587">
            <v>0</v>
          </cell>
          <cell r="CJ587">
            <v>0</v>
          </cell>
          <cell r="CK587">
            <v>0</v>
          </cell>
          <cell r="CL587">
            <v>0</v>
          </cell>
          <cell r="CM587">
            <v>0</v>
          </cell>
          <cell r="CO587">
            <v>0</v>
          </cell>
          <cell r="CP587">
            <v>0</v>
          </cell>
          <cell r="CQ587">
            <v>0</v>
          </cell>
          <cell r="CR587">
            <v>0</v>
          </cell>
          <cell r="CS587">
            <v>0</v>
          </cell>
          <cell r="CT587">
            <v>0</v>
          </cell>
          <cell r="CU587">
            <v>0</v>
          </cell>
          <cell r="CV587">
            <v>0</v>
          </cell>
          <cell r="CW587">
            <v>0</v>
          </cell>
          <cell r="CY587">
            <v>0</v>
          </cell>
          <cell r="CZ587">
            <v>0</v>
          </cell>
          <cell r="DA587">
            <v>0</v>
          </cell>
          <cell r="DB587">
            <v>0</v>
          </cell>
          <cell r="DC587">
            <v>0</v>
          </cell>
          <cell r="DD587">
            <v>0</v>
          </cell>
          <cell r="DE587">
            <v>0</v>
          </cell>
          <cell r="DF587">
            <v>0</v>
          </cell>
          <cell r="DG587">
            <v>0</v>
          </cell>
          <cell r="DI587">
            <v>0</v>
          </cell>
          <cell r="DJ587">
            <v>0</v>
          </cell>
          <cell r="DK587">
            <v>0</v>
          </cell>
          <cell r="DL587">
            <v>0</v>
          </cell>
          <cell r="DM587">
            <v>0</v>
          </cell>
          <cell r="DN587">
            <v>0</v>
          </cell>
          <cell r="DO587">
            <v>0</v>
          </cell>
          <cell r="DP587">
            <v>0</v>
          </cell>
          <cell r="DQ587">
            <v>0</v>
          </cell>
          <cell r="DR587">
            <v>0</v>
          </cell>
          <cell r="DS587">
            <v>0</v>
          </cell>
          <cell r="DT587">
            <v>0</v>
          </cell>
          <cell r="DU587">
            <v>0</v>
          </cell>
          <cell r="DW587">
            <v>0</v>
          </cell>
          <cell r="DX587">
            <v>0</v>
          </cell>
          <cell r="DY587">
            <v>0</v>
          </cell>
          <cell r="DZ587">
            <v>0</v>
          </cell>
          <cell r="EA587">
            <v>0</v>
          </cell>
          <cell r="EB587">
            <v>0</v>
          </cell>
          <cell r="EC587">
            <v>0</v>
          </cell>
          <cell r="ED587">
            <v>0</v>
          </cell>
          <cell r="EE587">
            <v>0</v>
          </cell>
          <cell r="EF587">
            <v>0</v>
          </cell>
          <cell r="EG587">
            <v>0</v>
          </cell>
          <cell r="EH587">
            <v>0</v>
          </cell>
          <cell r="EI587">
            <v>0</v>
          </cell>
          <cell r="EK587">
            <v>0</v>
          </cell>
          <cell r="EL587">
            <v>0</v>
          </cell>
          <cell r="EM587">
            <v>0</v>
          </cell>
          <cell r="EN587">
            <v>0</v>
          </cell>
          <cell r="EO587">
            <v>0</v>
          </cell>
          <cell r="EP587">
            <v>0</v>
          </cell>
          <cell r="EQ587">
            <v>0</v>
          </cell>
          <cell r="ER587">
            <v>0</v>
          </cell>
          <cell r="ES587">
            <v>0</v>
          </cell>
          <cell r="ET587">
            <v>0</v>
          </cell>
          <cell r="EU587">
            <v>0</v>
          </cell>
          <cell r="EV587">
            <v>0</v>
          </cell>
          <cell r="EW587">
            <v>0</v>
          </cell>
          <cell r="EY587">
            <v>0</v>
          </cell>
          <cell r="EZ587">
            <v>8</v>
          </cell>
          <cell r="FA587">
            <v>0</v>
          </cell>
          <cell r="FB587">
            <v>0</v>
          </cell>
          <cell r="FC587">
            <v>8.6</v>
          </cell>
          <cell r="FD587">
            <v>0</v>
          </cell>
          <cell r="FE587">
            <v>0</v>
          </cell>
          <cell r="FF587">
            <v>0</v>
          </cell>
          <cell r="FH587">
            <v>0</v>
          </cell>
        </row>
        <row r="588">
          <cell r="B588">
            <v>9717</v>
          </cell>
          <cell r="C588" t="str">
            <v>12.02.2010</v>
          </cell>
          <cell r="D588" t="str">
            <v>Sapute Mangla Shivaji</v>
          </cell>
          <cell r="F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BA588">
            <v>0</v>
          </cell>
          <cell r="BB588">
            <v>0</v>
          </cell>
          <cell r="BC588">
            <v>0</v>
          </cell>
          <cell r="BD588">
            <v>0</v>
          </cell>
          <cell r="BE588">
            <v>0</v>
          </cell>
          <cell r="BF588">
            <v>0</v>
          </cell>
          <cell r="BG588">
            <v>0</v>
          </cell>
          <cell r="BH588">
            <v>0</v>
          </cell>
          <cell r="BI588">
            <v>0</v>
          </cell>
          <cell r="BK588">
            <v>0</v>
          </cell>
          <cell r="BL588">
            <v>0</v>
          </cell>
          <cell r="BM588">
            <v>0</v>
          </cell>
          <cell r="BN588">
            <v>0</v>
          </cell>
          <cell r="BO588">
            <v>0</v>
          </cell>
          <cell r="BP588">
            <v>0</v>
          </cell>
          <cell r="BQ588">
            <v>0</v>
          </cell>
          <cell r="BR588">
            <v>0</v>
          </cell>
          <cell r="BS588">
            <v>0</v>
          </cell>
          <cell r="BU588">
            <v>0</v>
          </cell>
          <cell r="BV588">
            <v>0</v>
          </cell>
          <cell r="BW588">
            <v>0</v>
          </cell>
          <cell r="BX588">
            <v>0</v>
          </cell>
          <cell r="BY588">
            <v>0</v>
          </cell>
          <cell r="BZ588">
            <v>0</v>
          </cell>
          <cell r="CA588">
            <v>0</v>
          </cell>
          <cell r="CB588">
            <v>0</v>
          </cell>
          <cell r="CC588">
            <v>0</v>
          </cell>
          <cell r="CE588">
            <v>0</v>
          </cell>
          <cell r="CF588">
            <v>0</v>
          </cell>
          <cell r="CG588">
            <v>0</v>
          </cell>
          <cell r="CH588">
            <v>0</v>
          </cell>
          <cell r="CI588">
            <v>0</v>
          </cell>
          <cell r="CJ588">
            <v>0</v>
          </cell>
          <cell r="CK588">
            <v>0</v>
          </cell>
          <cell r="CL588">
            <v>0</v>
          </cell>
          <cell r="CM588">
            <v>0</v>
          </cell>
          <cell r="CO588">
            <v>0</v>
          </cell>
          <cell r="CP588">
            <v>0</v>
          </cell>
          <cell r="CQ588">
            <v>0</v>
          </cell>
          <cell r="CR588">
            <v>0</v>
          </cell>
          <cell r="CS588">
            <v>0</v>
          </cell>
          <cell r="CT588">
            <v>0</v>
          </cell>
          <cell r="CU588">
            <v>0</v>
          </cell>
          <cell r="CV588">
            <v>0</v>
          </cell>
          <cell r="CW588">
            <v>0</v>
          </cell>
          <cell r="CY588">
            <v>0</v>
          </cell>
          <cell r="CZ588">
            <v>0</v>
          </cell>
          <cell r="DA588">
            <v>0</v>
          </cell>
          <cell r="DB588">
            <v>0</v>
          </cell>
          <cell r="DC588">
            <v>0</v>
          </cell>
          <cell r="DD588">
            <v>0</v>
          </cell>
          <cell r="DE588">
            <v>0</v>
          </cell>
          <cell r="DF588">
            <v>0</v>
          </cell>
          <cell r="DG588">
            <v>0</v>
          </cell>
          <cell r="DI588">
            <v>0</v>
          </cell>
          <cell r="DJ588">
            <v>0</v>
          </cell>
          <cell r="DK588">
            <v>0</v>
          </cell>
          <cell r="DL588">
            <v>0</v>
          </cell>
          <cell r="DM588">
            <v>0</v>
          </cell>
          <cell r="DN588">
            <v>0</v>
          </cell>
          <cell r="DO588">
            <v>0</v>
          </cell>
          <cell r="DP588">
            <v>0</v>
          </cell>
          <cell r="DQ588">
            <v>0</v>
          </cell>
          <cell r="DR588">
            <v>0</v>
          </cell>
          <cell r="DS588">
            <v>0</v>
          </cell>
          <cell r="DT588">
            <v>0</v>
          </cell>
          <cell r="DU588">
            <v>0</v>
          </cell>
          <cell r="DW588">
            <v>0</v>
          </cell>
          <cell r="DX588">
            <v>0</v>
          </cell>
          <cell r="DY588">
            <v>0</v>
          </cell>
          <cell r="DZ588">
            <v>0</v>
          </cell>
          <cell r="EA588">
            <v>0</v>
          </cell>
          <cell r="EB588">
            <v>0</v>
          </cell>
          <cell r="EC588">
            <v>0</v>
          </cell>
          <cell r="ED588">
            <v>0</v>
          </cell>
          <cell r="EE588">
            <v>0</v>
          </cell>
          <cell r="EF588">
            <v>0</v>
          </cell>
          <cell r="EG588">
            <v>0</v>
          </cell>
          <cell r="EH588">
            <v>0</v>
          </cell>
          <cell r="EI588">
            <v>0</v>
          </cell>
          <cell r="EK588">
            <v>0</v>
          </cell>
          <cell r="EL588">
            <v>0</v>
          </cell>
          <cell r="EM588">
            <v>0</v>
          </cell>
          <cell r="EN588">
            <v>0</v>
          </cell>
          <cell r="EO588">
            <v>0</v>
          </cell>
          <cell r="EP588">
            <v>0</v>
          </cell>
          <cell r="EQ588">
            <v>0</v>
          </cell>
          <cell r="ER588">
            <v>0</v>
          </cell>
          <cell r="ES588">
            <v>0</v>
          </cell>
          <cell r="ET588">
            <v>0</v>
          </cell>
          <cell r="EU588">
            <v>0</v>
          </cell>
          <cell r="EV588">
            <v>0</v>
          </cell>
          <cell r="EW588">
            <v>0</v>
          </cell>
          <cell r="EY588">
            <v>0</v>
          </cell>
          <cell r="EZ588">
            <v>8</v>
          </cell>
          <cell r="FA588">
            <v>0</v>
          </cell>
          <cell r="FB588">
            <v>0</v>
          </cell>
          <cell r="FC588">
            <v>8.6</v>
          </cell>
          <cell r="FD588">
            <v>0</v>
          </cell>
          <cell r="FE588">
            <v>0</v>
          </cell>
          <cell r="FF588">
            <v>0</v>
          </cell>
          <cell r="FH588">
            <v>0</v>
          </cell>
        </row>
        <row r="589">
          <cell r="B589">
            <v>9782</v>
          </cell>
          <cell r="C589" t="str">
            <v>18.02.2010</v>
          </cell>
          <cell r="D589" t="str">
            <v>Baid Vikramsingh Shantiprakash</v>
          </cell>
          <cell r="F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BA589">
            <v>0</v>
          </cell>
          <cell r="BB589">
            <v>0</v>
          </cell>
          <cell r="BC589">
            <v>0</v>
          </cell>
          <cell r="BD589">
            <v>0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K589">
            <v>0</v>
          </cell>
          <cell r="BL589">
            <v>0</v>
          </cell>
          <cell r="BM589">
            <v>0</v>
          </cell>
          <cell r="BN589">
            <v>0</v>
          </cell>
          <cell r="BO589">
            <v>0</v>
          </cell>
          <cell r="BP589">
            <v>0</v>
          </cell>
          <cell r="BQ589">
            <v>0</v>
          </cell>
          <cell r="BR589">
            <v>0</v>
          </cell>
          <cell r="BS589">
            <v>0</v>
          </cell>
          <cell r="BU589">
            <v>0</v>
          </cell>
          <cell r="BV589">
            <v>0</v>
          </cell>
          <cell r="BW589">
            <v>0</v>
          </cell>
          <cell r="BX589">
            <v>0</v>
          </cell>
          <cell r="BY589">
            <v>0</v>
          </cell>
          <cell r="BZ589">
            <v>0</v>
          </cell>
          <cell r="CA589">
            <v>0</v>
          </cell>
          <cell r="CB589">
            <v>0</v>
          </cell>
          <cell r="CC589">
            <v>0</v>
          </cell>
          <cell r="CE589">
            <v>0</v>
          </cell>
          <cell r="CF589">
            <v>0</v>
          </cell>
          <cell r="CG589">
            <v>0</v>
          </cell>
          <cell r="CH589">
            <v>0</v>
          </cell>
          <cell r="CI589">
            <v>0</v>
          </cell>
          <cell r="CJ589">
            <v>0</v>
          </cell>
          <cell r="CK589">
            <v>0</v>
          </cell>
          <cell r="CL589">
            <v>0</v>
          </cell>
          <cell r="CM589">
            <v>0</v>
          </cell>
          <cell r="CO589">
            <v>0</v>
          </cell>
          <cell r="CP589">
            <v>0</v>
          </cell>
          <cell r="CQ589">
            <v>0</v>
          </cell>
          <cell r="CR589">
            <v>0</v>
          </cell>
          <cell r="CS589">
            <v>0</v>
          </cell>
          <cell r="CT589">
            <v>0</v>
          </cell>
          <cell r="CU589">
            <v>0</v>
          </cell>
          <cell r="CV589">
            <v>0</v>
          </cell>
          <cell r="CW589">
            <v>0</v>
          </cell>
          <cell r="CY589">
            <v>0</v>
          </cell>
          <cell r="CZ589">
            <v>0</v>
          </cell>
          <cell r="DA589">
            <v>0</v>
          </cell>
          <cell r="DB589">
            <v>0</v>
          </cell>
          <cell r="DC589">
            <v>0</v>
          </cell>
          <cell r="DD589">
            <v>0</v>
          </cell>
          <cell r="DE589">
            <v>0</v>
          </cell>
          <cell r="DF589">
            <v>0</v>
          </cell>
          <cell r="DG589">
            <v>0</v>
          </cell>
          <cell r="DI589">
            <v>0</v>
          </cell>
          <cell r="DJ589">
            <v>0</v>
          </cell>
          <cell r="DK589">
            <v>0</v>
          </cell>
          <cell r="DL589">
            <v>0</v>
          </cell>
          <cell r="DM589">
            <v>0</v>
          </cell>
          <cell r="DN589">
            <v>0</v>
          </cell>
          <cell r="DO589">
            <v>0</v>
          </cell>
          <cell r="DP589">
            <v>0</v>
          </cell>
          <cell r="DQ589">
            <v>0</v>
          </cell>
          <cell r="DR589">
            <v>0</v>
          </cell>
          <cell r="DS589">
            <v>0</v>
          </cell>
          <cell r="DT589">
            <v>0</v>
          </cell>
          <cell r="DU589">
            <v>0</v>
          </cell>
          <cell r="DW589">
            <v>0</v>
          </cell>
          <cell r="DX589">
            <v>0</v>
          </cell>
          <cell r="DY589">
            <v>0</v>
          </cell>
          <cell r="DZ589">
            <v>0</v>
          </cell>
          <cell r="EA589">
            <v>0</v>
          </cell>
          <cell r="EB589">
            <v>0</v>
          </cell>
          <cell r="EC589">
            <v>0</v>
          </cell>
          <cell r="ED589">
            <v>0</v>
          </cell>
          <cell r="EE589">
            <v>0</v>
          </cell>
          <cell r="EF589">
            <v>0</v>
          </cell>
          <cell r="EG589">
            <v>0</v>
          </cell>
          <cell r="EH589">
            <v>0</v>
          </cell>
          <cell r="EI589">
            <v>0</v>
          </cell>
          <cell r="EK589">
            <v>0</v>
          </cell>
          <cell r="EL589">
            <v>0</v>
          </cell>
          <cell r="EM589">
            <v>0</v>
          </cell>
          <cell r="EN589">
            <v>0</v>
          </cell>
          <cell r="EO589">
            <v>0</v>
          </cell>
          <cell r="EP589">
            <v>0</v>
          </cell>
          <cell r="EQ589">
            <v>0</v>
          </cell>
          <cell r="ER589">
            <v>0</v>
          </cell>
          <cell r="ES589">
            <v>0</v>
          </cell>
          <cell r="ET589">
            <v>0</v>
          </cell>
          <cell r="EU589">
            <v>0</v>
          </cell>
          <cell r="EV589">
            <v>0</v>
          </cell>
          <cell r="EW589">
            <v>0</v>
          </cell>
          <cell r="EY589">
            <v>0</v>
          </cell>
          <cell r="EZ589">
            <v>8</v>
          </cell>
          <cell r="FA589">
            <v>0</v>
          </cell>
          <cell r="FB589">
            <v>0</v>
          </cell>
          <cell r="FC589">
            <v>8.6</v>
          </cell>
          <cell r="FD589">
            <v>0</v>
          </cell>
          <cell r="FE589">
            <v>0</v>
          </cell>
          <cell r="FF589">
            <v>0</v>
          </cell>
          <cell r="FH589">
            <v>0</v>
          </cell>
        </row>
        <row r="590">
          <cell r="B590">
            <v>9755</v>
          </cell>
          <cell r="C590" t="str">
            <v>26.03.2010</v>
          </cell>
          <cell r="D590" t="str">
            <v>Chavan Rahul Ramkisan</v>
          </cell>
          <cell r="F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BA590">
            <v>0</v>
          </cell>
          <cell r="BB590">
            <v>0</v>
          </cell>
          <cell r="BC590">
            <v>0</v>
          </cell>
          <cell r="BD590">
            <v>0</v>
          </cell>
          <cell r="BE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0</v>
          </cell>
          <cell r="BK590">
            <v>0</v>
          </cell>
          <cell r="BL590">
            <v>0</v>
          </cell>
          <cell r="BM590">
            <v>0</v>
          </cell>
          <cell r="BN590">
            <v>0</v>
          </cell>
          <cell r="BO590">
            <v>0</v>
          </cell>
          <cell r="BP590">
            <v>0</v>
          </cell>
          <cell r="BQ590">
            <v>0</v>
          </cell>
          <cell r="BR590">
            <v>0</v>
          </cell>
          <cell r="BS590">
            <v>0</v>
          </cell>
          <cell r="BU590">
            <v>0</v>
          </cell>
          <cell r="BV590">
            <v>0</v>
          </cell>
          <cell r="BW590">
            <v>0</v>
          </cell>
          <cell r="BX590">
            <v>0</v>
          </cell>
          <cell r="BY590">
            <v>0</v>
          </cell>
          <cell r="BZ590">
            <v>0</v>
          </cell>
          <cell r="CA590">
            <v>0</v>
          </cell>
          <cell r="CB590">
            <v>0</v>
          </cell>
          <cell r="CC590">
            <v>0</v>
          </cell>
          <cell r="CE590">
            <v>0</v>
          </cell>
          <cell r="CF590">
            <v>0</v>
          </cell>
          <cell r="CG590">
            <v>0</v>
          </cell>
          <cell r="CH590">
            <v>0</v>
          </cell>
          <cell r="CI590">
            <v>0</v>
          </cell>
          <cell r="CJ590">
            <v>0</v>
          </cell>
          <cell r="CK590">
            <v>0</v>
          </cell>
          <cell r="CL590">
            <v>0</v>
          </cell>
          <cell r="CM590">
            <v>0</v>
          </cell>
          <cell r="CO590">
            <v>0</v>
          </cell>
          <cell r="CP590">
            <v>0</v>
          </cell>
          <cell r="CQ590">
            <v>0</v>
          </cell>
          <cell r="CR590">
            <v>0</v>
          </cell>
          <cell r="CS590">
            <v>0</v>
          </cell>
          <cell r="CT590">
            <v>0</v>
          </cell>
          <cell r="CU590">
            <v>0</v>
          </cell>
          <cell r="CV590">
            <v>0</v>
          </cell>
          <cell r="CW590">
            <v>0</v>
          </cell>
          <cell r="CY590">
            <v>0</v>
          </cell>
          <cell r="CZ590">
            <v>0</v>
          </cell>
          <cell r="DA590">
            <v>0</v>
          </cell>
          <cell r="DB590">
            <v>0</v>
          </cell>
          <cell r="DC590">
            <v>0</v>
          </cell>
          <cell r="DD590">
            <v>0</v>
          </cell>
          <cell r="DE590">
            <v>0</v>
          </cell>
          <cell r="DF590">
            <v>0</v>
          </cell>
          <cell r="DG590">
            <v>0</v>
          </cell>
          <cell r="DI590">
            <v>0</v>
          </cell>
          <cell r="DJ590">
            <v>0</v>
          </cell>
          <cell r="DK590">
            <v>0</v>
          </cell>
          <cell r="DL590">
            <v>0</v>
          </cell>
          <cell r="DM590">
            <v>0</v>
          </cell>
          <cell r="DN590">
            <v>0</v>
          </cell>
          <cell r="DO590">
            <v>0</v>
          </cell>
          <cell r="DP590">
            <v>0</v>
          </cell>
          <cell r="DQ590">
            <v>0</v>
          </cell>
          <cell r="DR590">
            <v>0</v>
          </cell>
          <cell r="DS590">
            <v>0</v>
          </cell>
          <cell r="DT590">
            <v>0</v>
          </cell>
          <cell r="DU590">
            <v>0</v>
          </cell>
          <cell r="DW590">
            <v>0</v>
          </cell>
          <cell r="DX590">
            <v>0</v>
          </cell>
          <cell r="DY590">
            <v>0</v>
          </cell>
          <cell r="DZ590">
            <v>0</v>
          </cell>
          <cell r="EA590">
            <v>0</v>
          </cell>
          <cell r="EB590">
            <v>0</v>
          </cell>
          <cell r="EC590">
            <v>0</v>
          </cell>
          <cell r="ED590">
            <v>0</v>
          </cell>
          <cell r="EE590">
            <v>0</v>
          </cell>
          <cell r="EF590">
            <v>0</v>
          </cell>
          <cell r="EG590">
            <v>0</v>
          </cell>
          <cell r="EH590">
            <v>0</v>
          </cell>
          <cell r="EI590">
            <v>0</v>
          </cell>
          <cell r="EK590">
            <v>0</v>
          </cell>
          <cell r="EL590">
            <v>0</v>
          </cell>
          <cell r="EM590">
            <v>0</v>
          </cell>
          <cell r="EN590">
            <v>0</v>
          </cell>
          <cell r="EO590">
            <v>0</v>
          </cell>
          <cell r="EP590">
            <v>0</v>
          </cell>
          <cell r="EQ590">
            <v>0</v>
          </cell>
          <cell r="ER590">
            <v>0</v>
          </cell>
          <cell r="ES590">
            <v>0</v>
          </cell>
          <cell r="ET590">
            <v>0</v>
          </cell>
          <cell r="EU590">
            <v>0</v>
          </cell>
          <cell r="EV590">
            <v>0</v>
          </cell>
          <cell r="EW590">
            <v>0</v>
          </cell>
          <cell r="EY590">
            <v>0</v>
          </cell>
          <cell r="EZ590">
            <v>8</v>
          </cell>
          <cell r="FA590">
            <v>0</v>
          </cell>
          <cell r="FB590">
            <v>0</v>
          </cell>
          <cell r="FC590">
            <v>8.6</v>
          </cell>
          <cell r="FD590">
            <v>0</v>
          </cell>
          <cell r="FE590">
            <v>0</v>
          </cell>
          <cell r="FF590">
            <v>0</v>
          </cell>
          <cell r="FH590">
            <v>0</v>
          </cell>
        </row>
        <row r="591">
          <cell r="B591">
            <v>9719</v>
          </cell>
          <cell r="C591" t="str">
            <v>01.04.2010</v>
          </cell>
          <cell r="D591" t="str">
            <v>Gangurde Sunil Rajendra</v>
          </cell>
          <cell r="F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BA591">
            <v>0</v>
          </cell>
          <cell r="BB591">
            <v>0</v>
          </cell>
          <cell r="BC591">
            <v>0</v>
          </cell>
          <cell r="BD591">
            <v>0</v>
          </cell>
          <cell r="BE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K591">
            <v>0</v>
          </cell>
          <cell r="BL591">
            <v>0</v>
          </cell>
          <cell r="BM591">
            <v>0</v>
          </cell>
          <cell r="BN591">
            <v>0</v>
          </cell>
          <cell r="BO591">
            <v>0</v>
          </cell>
          <cell r="BP591">
            <v>0</v>
          </cell>
          <cell r="BQ591">
            <v>0</v>
          </cell>
          <cell r="BR591">
            <v>0</v>
          </cell>
          <cell r="BS591">
            <v>0</v>
          </cell>
          <cell r="BU591">
            <v>0</v>
          </cell>
          <cell r="BV591">
            <v>0</v>
          </cell>
          <cell r="BW591">
            <v>0</v>
          </cell>
          <cell r="BX591">
            <v>0</v>
          </cell>
          <cell r="BY591">
            <v>0</v>
          </cell>
          <cell r="BZ591">
            <v>0</v>
          </cell>
          <cell r="CA591">
            <v>0</v>
          </cell>
          <cell r="CB591">
            <v>0</v>
          </cell>
          <cell r="CC591">
            <v>0</v>
          </cell>
          <cell r="CE591">
            <v>0</v>
          </cell>
          <cell r="CF591">
            <v>0</v>
          </cell>
          <cell r="CG591">
            <v>0</v>
          </cell>
          <cell r="CH591">
            <v>0</v>
          </cell>
          <cell r="CI591">
            <v>0</v>
          </cell>
          <cell r="CJ591">
            <v>0</v>
          </cell>
          <cell r="CK591">
            <v>0</v>
          </cell>
          <cell r="CL591">
            <v>0</v>
          </cell>
          <cell r="CM591">
            <v>0</v>
          </cell>
          <cell r="CO591">
            <v>0</v>
          </cell>
          <cell r="CP591">
            <v>0</v>
          </cell>
          <cell r="CQ591">
            <v>0</v>
          </cell>
          <cell r="CR591">
            <v>0</v>
          </cell>
          <cell r="CS591">
            <v>0</v>
          </cell>
          <cell r="CT591">
            <v>0</v>
          </cell>
          <cell r="CU591">
            <v>0</v>
          </cell>
          <cell r="CV591">
            <v>0</v>
          </cell>
          <cell r="CW591">
            <v>0</v>
          </cell>
          <cell r="CY591">
            <v>0</v>
          </cell>
          <cell r="CZ591">
            <v>0</v>
          </cell>
          <cell r="DA591">
            <v>0</v>
          </cell>
          <cell r="DB591">
            <v>0</v>
          </cell>
          <cell r="DC591">
            <v>0</v>
          </cell>
          <cell r="DD591">
            <v>0</v>
          </cell>
          <cell r="DE591">
            <v>0</v>
          </cell>
          <cell r="DF591">
            <v>0</v>
          </cell>
          <cell r="DG591">
            <v>0</v>
          </cell>
          <cell r="DI591">
            <v>0</v>
          </cell>
          <cell r="DJ591">
            <v>0</v>
          </cell>
          <cell r="DK591">
            <v>0</v>
          </cell>
          <cell r="DL591">
            <v>0</v>
          </cell>
          <cell r="DM591">
            <v>0</v>
          </cell>
          <cell r="DN591">
            <v>0</v>
          </cell>
          <cell r="DO591">
            <v>0</v>
          </cell>
          <cell r="DP591">
            <v>0</v>
          </cell>
          <cell r="DQ591">
            <v>0</v>
          </cell>
          <cell r="DR591">
            <v>0</v>
          </cell>
          <cell r="DS591">
            <v>0</v>
          </cell>
          <cell r="DT591">
            <v>0</v>
          </cell>
          <cell r="DU591">
            <v>0</v>
          </cell>
          <cell r="DW591">
            <v>0</v>
          </cell>
          <cell r="DX591">
            <v>0</v>
          </cell>
          <cell r="DY591">
            <v>0</v>
          </cell>
          <cell r="DZ591">
            <v>0</v>
          </cell>
          <cell r="EA591">
            <v>0</v>
          </cell>
          <cell r="EB591">
            <v>0</v>
          </cell>
          <cell r="EC591">
            <v>0</v>
          </cell>
          <cell r="ED591">
            <v>0</v>
          </cell>
          <cell r="EE591">
            <v>0</v>
          </cell>
          <cell r="EF591">
            <v>0</v>
          </cell>
          <cell r="EG591">
            <v>0</v>
          </cell>
          <cell r="EH591">
            <v>0</v>
          </cell>
          <cell r="EI591">
            <v>0</v>
          </cell>
          <cell r="EK591">
            <v>0</v>
          </cell>
          <cell r="EL591">
            <v>0</v>
          </cell>
          <cell r="EM591">
            <v>0</v>
          </cell>
          <cell r="EN591">
            <v>0</v>
          </cell>
          <cell r="EO591">
            <v>0</v>
          </cell>
          <cell r="EP591">
            <v>0</v>
          </cell>
          <cell r="EQ591">
            <v>0</v>
          </cell>
          <cell r="ER591">
            <v>0</v>
          </cell>
          <cell r="ES591">
            <v>0</v>
          </cell>
          <cell r="ET591">
            <v>0</v>
          </cell>
          <cell r="EU591">
            <v>0</v>
          </cell>
          <cell r="EV591">
            <v>0</v>
          </cell>
          <cell r="EW591">
            <v>0</v>
          </cell>
          <cell r="EY591">
            <v>0</v>
          </cell>
          <cell r="EZ591">
            <v>8</v>
          </cell>
          <cell r="FA591">
            <v>0</v>
          </cell>
          <cell r="FB591">
            <v>0</v>
          </cell>
          <cell r="FC591">
            <v>8.6</v>
          </cell>
          <cell r="FD591">
            <v>0</v>
          </cell>
          <cell r="FE591">
            <v>0</v>
          </cell>
          <cell r="FF591">
            <v>0</v>
          </cell>
          <cell r="FH591">
            <v>0</v>
          </cell>
        </row>
        <row r="592">
          <cell r="B592">
            <v>9723</v>
          </cell>
          <cell r="C592" t="str">
            <v>05.04.2010</v>
          </cell>
          <cell r="D592" t="str">
            <v>Salunkhe Deepak Chandrakant</v>
          </cell>
          <cell r="F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BA592">
            <v>0</v>
          </cell>
          <cell r="BB592">
            <v>0</v>
          </cell>
          <cell r="BC592">
            <v>0</v>
          </cell>
          <cell r="BD592">
            <v>0</v>
          </cell>
          <cell r="BE592">
            <v>0</v>
          </cell>
          <cell r="BF592">
            <v>0</v>
          </cell>
          <cell r="BG592">
            <v>0</v>
          </cell>
          <cell r="BH592">
            <v>0</v>
          </cell>
          <cell r="BI592">
            <v>0</v>
          </cell>
          <cell r="BK592">
            <v>0</v>
          </cell>
          <cell r="BL592">
            <v>0</v>
          </cell>
          <cell r="BM592">
            <v>0</v>
          </cell>
          <cell r="BN592">
            <v>0</v>
          </cell>
          <cell r="BO592">
            <v>0</v>
          </cell>
          <cell r="BP592">
            <v>0</v>
          </cell>
          <cell r="BQ592">
            <v>0</v>
          </cell>
          <cell r="BR592">
            <v>0</v>
          </cell>
          <cell r="BS592">
            <v>0</v>
          </cell>
          <cell r="BU592">
            <v>0</v>
          </cell>
          <cell r="BV592">
            <v>0</v>
          </cell>
          <cell r="BW592">
            <v>0</v>
          </cell>
          <cell r="BX592">
            <v>0</v>
          </cell>
          <cell r="BY592">
            <v>0</v>
          </cell>
          <cell r="BZ592">
            <v>0</v>
          </cell>
          <cell r="CA592">
            <v>0</v>
          </cell>
          <cell r="CB592">
            <v>0</v>
          </cell>
          <cell r="CC592">
            <v>0</v>
          </cell>
          <cell r="CE592">
            <v>0</v>
          </cell>
          <cell r="CF592">
            <v>0</v>
          </cell>
          <cell r="CG592">
            <v>0</v>
          </cell>
          <cell r="CH592">
            <v>0</v>
          </cell>
          <cell r="CI592">
            <v>0</v>
          </cell>
          <cell r="CJ592">
            <v>0</v>
          </cell>
          <cell r="CK592">
            <v>0</v>
          </cell>
          <cell r="CL592">
            <v>0</v>
          </cell>
          <cell r="CM592">
            <v>0</v>
          </cell>
          <cell r="CO592">
            <v>0</v>
          </cell>
          <cell r="CP592">
            <v>0</v>
          </cell>
          <cell r="CQ592">
            <v>0</v>
          </cell>
          <cell r="CR592">
            <v>0</v>
          </cell>
          <cell r="CS592">
            <v>0</v>
          </cell>
          <cell r="CT592">
            <v>0</v>
          </cell>
          <cell r="CU592">
            <v>0</v>
          </cell>
          <cell r="CV592">
            <v>0</v>
          </cell>
          <cell r="CW592">
            <v>0</v>
          </cell>
          <cell r="CY592">
            <v>0</v>
          </cell>
          <cell r="CZ592">
            <v>0</v>
          </cell>
          <cell r="DA592">
            <v>0</v>
          </cell>
          <cell r="DB592">
            <v>0</v>
          </cell>
          <cell r="DC592">
            <v>0</v>
          </cell>
          <cell r="DD592">
            <v>0</v>
          </cell>
          <cell r="DE592">
            <v>0</v>
          </cell>
          <cell r="DF592">
            <v>0</v>
          </cell>
          <cell r="DG592">
            <v>0</v>
          </cell>
          <cell r="DI592">
            <v>0</v>
          </cell>
          <cell r="DJ592">
            <v>0</v>
          </cell>
          <cell r="DK592">
            <v>0</v>
          </cell>
          <cell r="DL592">
            <v>0</v>
          </cell>
          <cell r="DM592">
            <v>0</v>
          </cell>
          <cell r="DN592">
            <v>0</v>
          </cell>
          <cell r="DO592">
            <v>0</v>
          </cell>
          <cell r="DP592">
            <v>0</v>
          </cell>
          <cell r="DQ592">
            <v>0</v>
          </cell>
          <cell r="DR592">
            <v>0</v>
          </cell>
          <cell r="DS592">
            <v>0</v>
          </cell>
          <cell r="DT592">
            <v>0</v>
          </cell>
          <cell r="DU592">
            <v>0</v>
          </cell>
          <cell r="DW592">
            <v>0</v>
          </cell>
          <cell r="DX592">
            <v>0</v>
          </cell>
          <cell r="DY592">
            <v>0</v>
          </cell>
          <cell r="DZ592">
            <v>0</v>
          </cell>
          <cell r="EA592">
            <v>0</v>
          </cell>
          <cell r="EB592">
            <v>0</v>
          </cell>
          <cell r="EC592">
            <v>0</v>
          </cell>
          <cell r="ED592">
            <v>0</v>
          </cell>
          <cell r="EE592">
            <v>0</v>
          </cell>
          <cell r="EF592">
            <v>0</v>
          </cell>
          <cell r="EG592">
            <v>0</v>
          </cell>
          <cell r="EH592">
            <v>0</v>
          </cell>
          <cell r="EI592">
            <v>0</v>
          </cell>
          <cell r="EK592">
            <v>0</v>
          </cell>
          <cell r="EL592">
            <v>0</v>
          </cell>
          <cell r="EM592">
            <v>0</v>
          </cell>
          <cell r="EN592">
            <v>0</v>
          </cell>
          <cell r="EO592">
            <v>0</v>
          </cell>
          <cell r="EP592">
            <v>0</v>
          </cell>
          <cell r="EQ592">
            <v>0</v>
          </cell>
          <cell r="ER592">
            <v>0</v>
          </cell>
          <cell r="ES592">
            <v>0</v>
          </cell>
          <cell r="ET592">
            <v>0</v>
          </cell>
          <cell r="EU592">
            <v>0</v>
          </cell>
          <cell r="EV592">
            <v>0</v>
          </cell>
          <cell r="EW592">
            <v>0</v>
          </cell>
          <cell r="EY592">
            <v>0</v>
          </cell>
          <cell r="EZ592">
            <v>8</v>
          </cell>
          <cell r="FA592">
            <v>0</v>
          </cell>
          <cell r="FB592">
            <v>0</v>
          </cell>
          <cell r="FC592">
            <v>8.6</v>
          </cell>
          <cell r="FD592">
            <v>0</v>
          </cell>
          <cell r="FE592">
            <v>0</v>
          </cell>
          <cell r="FF592">
            <v>0</v>
          </cell>
          <cell r="FH592">
            <v>0</v>
          </cell>
        </row>
        <row r="593">
          <cell r="B593">
            <v>9724</v>
          </cell>
          <cell r="C593" t="str">
            <v>05.04.2010</v>
          </cell>
          <cell r="D593" t="str">
            <v>Bhavar Sangita Balu</v>
          </cell>
          <cell r="F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BA593">
            <v>0</v>
          </cell>
          <cell r="BB593">
            <v>0</v>
          </cell>
          <cell r="BC593">
            <v>0</v>
          </cell>
          <cell r="BD593">
            <v>0</v>
          </cell>
          <cell r="BE593">
            <v>0</v>
          </cell>
          <cell r="BF593">
            <v>0</v>
          </cell>
          <cell r="BG593">
            <v>0</v>
          </cell>
          <cell r="BH593">
            <v>0</v>
          </cell>
          <cell r="BI593">
            <v>0</v>
          </cell>
          <cell r="BK593">
            <v>0</v>
          </cell>
          <cell r="BL593">
            <v>0</v>
          </cell>
          <cell r="BM593">
            <v>0</v>
          </cell>
          <cell r="BN593">
            <v>0</v>
          </cell>
          <cell r="BO593">
            <v>0</v>
          </cell>
          <cell r="BP593">
            <v>0</v>
          </cell>
          <cell r="BQ593">
            <v>0</v>
          </cell>
          <cell r="BR593">
            <v>0</v>
          </cell>
          <cell r="BS593">
            <v>0</v>
          </cell>
          <cell r="BU593">
            <v>0</v>
          </cell>
          <cell r="BV593">
            <v>0</v>
          </cell>
          <cell r="BW593">
            <v>0</v>
          </cell>
          <cell r="BX593">
            <v>0</v>
          </cell>
          <cell r="BY593">
            <v>0</v>
          </cell>
          <cell r="BZ593">
            <v>0</v>
          </cell>
          <cell r="CA593">
            <v>0</v>
          </cell>
          <cell r="CB593">
            <v>0</v>
          </cell>
          <cell r="CC593">
            <v>0</v>
          </cell>
          <cell r="CE593">
            <v>0</v>
          </cell>
          <cell r="CF593">
            <v>0</v>
          </cell>
          <cell r="CG593">
            <v>0</v>
          </cell>
          <cell r="CH593">
            <v>0</v>
          </cell>
          <cell r="CI593">
            <v>0</v>
          </cell>
          <cell r="CJ593">
            <v>0</v>
          </cell>
          <cell r="CK593">
            <v>0</v>
          </cell>
          <cell r="CL593">
            <v>0</v>
          </cell>
          <cell r="CM593">
            <v>0</v>
          </cell>
          <cell r="CO593">
            <v>0</v>
          </cell>
          <cell r="CP593">
            <v>0</v>
          </cell>
          <cell r="CQ593">
            <v>0</v>
          </cell>
          <cell r="CR593">
            <v>0</v>
          </cell>
          <cell r="CS593">
            <v>0</v>
          </cell>
          <cell r="CT593">
            <v>0</v>
          </cell>
          <cell r="CU593">
            <v>0</v>
          </cell>
          <cell r="CV593">
            <v>0</v>
          </cell>
          <cell r="CW593">
            <v>0</v>
          </cell>
          <cell r="CY593">
            <v>0</v>
          </cell>
          <cell r="CZ593">
            <v>0</v>
          </cell>
          <cell r="DA593">
            <v>0</v>
          </cell>
          <cell r="DB593">
            <v>0</v>
          </cell>
          <cell r="DC593">
            <v>0</v>
          </cell>
          <cell r="DD593">
            <v>0</v>
          </cell>
          <cell r="DE593">
            <v>0</v>
          </cell>
          <cell r="DF593">
            <v>0</v>
          </cell>
          <cell r="DG593">
            <v>0</v>
          </cell>
          <cell r="DI593">
            <v>0</v>
          </cell>
          <cell r="DJ593">
            <v>0</v>
          </cell>
          <cell r="DK593">
            <v>0</v>
          </cell>
          <cell r="DL593">
            <v>0</v>
          </cell>
          <cell r="DM593">
            <v>0</v>
          </cell>
          <cell r="DN593">
            <v>0</v>
          </cell>
          <cell r="DO593">
            <v>0</v>
          </cell>
          <cell r="DP593">
            <v>0</v>
          </cell>
          <cell r="DQ593">
            <v>0</v>
          </cell>
          <cell r="DR593">
            <v>0</v>
          </cell>
          <cell r="DS593">
            <v>0</v>
          </cell>
          <cell r="DT593">
            <v>0</v>
          </cell>
          <cell r="DU593">
            <v>0</v>
          </cell>
          <cell r="DW593">
            <v>0</v>
          </cell>
          <cell r="DX593">
            <v>0</v>
          </cell>
          <cell r="DY593">
            <v>0</v>
          </cell>
          <cell r="DZ593">
            <v>0</v>
          </cell>
          <cell r="EA593">
            <v>0</v>
          </cell>
          <cell r="EB593">
            <v>0</v>
          </cell>
          <cell r="EC593">
            <v>0</v>
          </cell>
          <cell r="ED593">
            <v>0</v>
          </cell>
          <cell r="EE593">
            <v>0</v>
          </cell>
          <cell r="EF593">
            <v>0</v>
          </cell>
          <cell r="EG593">
            <v>0</v>
          </cell>
          <cell r="EH593">
            <v>0</v>
          </cell>
          <cell r="EI593">
            <v>0</v>
          </cell>
          <cell r="EK593">
            <v>0</v>
          </cell>
          <cell r="EL593">
            <v>0</v>
          </cell>
          <cell r="EM593">
            <v>0</v>
          </cell>
          <cell r="EN593">
            <v>0</v>
          </cell>
          <cell r="EO593">
            <v>0</v>
          </cell>
          <cell r="EP593">
            <v>0</v>
          </cell>
          <cell r="EQ593">
            <v>0</v>
          </cell>
          <cell r="ER593">
            <v>0</v>
          </cell>
          <cell r="ES593">
            <v>0</v>
          </cell>
          <cell r="ET593">
            <v>0</v>
          </cell>
          <cell r="EU593">
            <v>0</v>
          </cell>
          <cell r="EV593">
            <v>0</v>
          </cell>
          <cell r="EW593">
            <v>0</v>
          </cell>
          <cell r="EY593">
            <v>0</v>
          </cell>
          <cell r="EZ593">
            <v>8</v>
          </cell>
          <cell r="FA593">
            <v>0</v>
          </cell>
          <cell r="FB593">
            <v>0</v>
          </cell>
          <cell r="FC593">
            <v>8.6</v>
          </cell>
          <cell r="FD593">
            <v>0</v>
          </cell>
          <cell r="FE593">
            <v>0</v>
          </cell>
          <cell r="FF593">
            <v>0</v>
          </cell>
          <cell r="FH593">
            <v>0</v>
          </cell>
        </row>
        <row r="594">
          <cell r="B594">
            <v>9727</v>
          </cell>
          <cell r="C594" t="str">
            <v>15.04.2010</v>
          </cell>
          <cell r="D594" t="str">
            <v>Maru Jaya Purushottam</v>
          </cell>
          <cell r="F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BA594">
            <v>0</v>
          </cell>
          <cell r="BB594">
            <v>0</v>
          </cell>
          <cell r="BC594">
            <v>0</v>
          </cell>
          <cell r="BD594">
            <v>0</v>
          </cell>
          <cell r="BE594">
            <v>0</v>
          </cell>
          <cell r="BF594">
            <v>0</v>
          </cell>
          <cell r="BG594">
            <v>0</v>
          </cell>
          <cell r="BH594">
            <v>0</v>
          </cell>
          <cell r="BI594">
            <v>0</v>
          </cell>
          <cell r="BK594">
            <v>0</v>
          </cell>
          <cell r="BL594">
            <v>0</v>
          </cell>
          <cell r="BM594">
            <v>0</v>
          </cell>
          <cell r="BN594">
            <v>0</v>
          </cell>
          <cell r="BO594">
            <v>0</v>
          </cell>
          <cell r="BP594">
            <v>0</v>
          </cell>
          <cell r="BQ594">
            <v>0</v>
          </cell>
          <cell r="BR594">
            <v>0</v>
          </cell>
          <cell r="BS594">
            <v>0</v>
          </cell>
          <cell r="BU594">
            <v>0</v>
          </cell>
          <cell r="BV594">
            <v>0</v>
          </cell>
          <cell r="BW594">
            <v>0</v>
          </cell>
          <cell r="BX594">
            <v>0</v>
          </cell>
          <cell r="BY594">
            <v>0</v>
          </cell>
          <cell r="BZ594">
            <v>0</v>
          </cell>
          <cell r="CA594">
            <v>0</v>
          </cell>
          <cell r="CB594">
            <v>0</v>
          </cell>
          <cell r="CC594">
            <v>0</v>
          </cell>
          <cell r="CE594">
            <v>0</v>
          </cell>
          <cell r="CF594">
            <v>0</v>
          </cell>
          <cell r="CG594">
            <v>0</v>
          </cell>
          <cell r="CH594">
            <v>0</v>
          </cell>
          <cell r="CI594">
            <v>0</v>
          </cell>
          <cell r="CJ594">
            <v>0</v>
          </cell>
          <cell r="CK594">
            <v>0</v>
          </cell>
          <cell r="CL594">
            <v>0</v>
          </cell>
          <cell r="CM594">
            <v>0</v>
          </cell>
          <cell r="CO594">
            <v>0</v>
          </cell>
          <cell r="CP594">
            <v>0</v>
          </cell>
          <cell r="CQ594">
            <v>0</v>
          </cell>
          <cell r="CR594">
            <v>0</v>
          </cell>
          <cell r="CS594">
            <v>0</v>
          </cell>
          <cell r="CT594">
            <v>0</v>
          </cell>
          <cell r="CU594">
            <v>0</v>
          </cell>
          <cell r="CV594">
            <v>0</v>
          </cell>
          <cell r="CW594">
            <v>0</v>
          </cell>
          <cell r="CY594">
            <v>0</v>
          </cell>
          <cell r="CZ594">
            <v>0</v>
          </cell>
          <cell r="DA594">
            <v>0</v>
          </cell>
          <cell r="DB594">
            <v>0</v>
          </cell>
          <cell r="DC594">
            <v>0</v>
          </cell>
          <cell r="DD594">
            <v>0</v>
          </cell>
          <cell r="DE594">
            <v>0</v>
          </cell>
          <cell r="DF594">
            <v>0</v>
          </cell>
          <cell r="DG594">
            <v>0</v>
          </cell>
          <cell r="DI594">
            <v>0</v>
          </cell>
          <cell r="DJ594">
            <v>0</v>
          </cell>
          <cell r="DK594">
            <v>0</v>
          </cell>
          <cell r="DL594">
            <v>0</v>
          </cell>
          <cell r="DM594">
            <v>0</v>
          </cell>
          <cell r="DN594">
            <v>0</v>
          </cell>
          <cell r="DO594">
            <v>0</v>
          </cell>
          <cell r="DP594">
            <v>0</v>
          </cell>
          <cell r="DQ594">
            <v>0</v>
          </cell>
          <cell r="DR594">
            <v>0</v>
          </cell>
          <cell r="DS594">
            <v>0</v>
          </cell>
          <cell r="DT594">
            <v>0</v>
          </cell>
          <cell r="DU594">
            <v>0</v>
          </cell>
          <cell r="DW594">
            <v>0</v>
          </cell>
          <cell r="DX594">
            <v>0</v>
          </cell>
          <cell r="DY594">
            <v>0</v>
          </cell>
          <cell r="DZ594">
            <v>0</v>
          </cell>
          <cell r="EA594">
            <v>0</v>
          </cell>
          <cell r="EB594">
            <v>0</v>
          </cell>
          <cell r="EC594">
            <v>0</v>
          </cell>
          <cell r="ED594">
            <v>0</v>
          </cell>
          <cell r="EE594">
            <v>0</v>
          </cell>
          <cell r="EF594">
            <v>0</v>
          </cell>
          <cell r="EG594">
            <v>0</v>
          </cell>
          <cell r="EH594">
            <v>0</v>
          </cell>
          <cell r="EI594">
            <v>0</v>
          </cell>
          <cell r="EK594">
            <v>0</v>
          </cell>
          <cell r="EL594">
            <v>0</v>
          </cell>
          <cell r="EM594">
            <v>0</v>
          </cell>
          <cell r="EN594">
            <v>0</v>
          </cell>
          <cell r="EO594">
            <v>0</v>
          </cell>
          <cell r="EP594">
            <v>0</v>
          </cell>
          <cell r="EQ594">
            <v>0</v>
          </cell>
          <cell r="ER594">
            <v>0</v>
          </cell>
          <cell r="ES594">
            <v>0</v>
          </cell>
          <cell r="ET594">
            <v>0</v>
          </cell>
          <cell r="EU594">
            <v>0</v>
          </cell>
          <cell r="EV594">
            <v>0</v>
          </cell>
          <cell r="EW594">
            <v>0</v>
          </cell>
          <cell r="EY594">
            <v>0</v>
          </cell>
          <cell r="EZ594">
            <v>8</v>
          </cell>
          <cell r="FA594">
            <v>0</v>
          </cell>
          <cell r="FB594">
            <v>0</v>
          </cell>
          <cell r="FC594">
            <v>8.6</v>
          </cell>
          <cell r="FD594">
            <v>0</v>
          </cell>
          <cell r="FE594">
            <v>0</v>
          </cell>
          <cell r="FF594">
            <v>0</v>
          </cell>
          <cell r="FH594">
            <v>0</v>
          </cell>
        </row>
        <row r="595">
          <cell r="B595">
            <v>9728</v>
          </cell>
          <cell r="C595" t="str">
            <v>07.04.2010</v>
          </cell>
          <cell r="D595" t="str">
            <v>Donde Nirmala Popat</v>
          </cell>
          <cell r="F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BA595">
            <v>0</v>
          </cell>
          <cell r="BB595">
            <v>0</v>
          </cell>
          <cell r="BC595">
            <v>0</v>
          </cell>
          <cell r="BD595">
            <v>0</v>
          </cell>
          <cell r="BE595">
            <v>0</v>
          </cell>
          <cell r="BF595">
            <v>0</v>
          </cell>
          <cell r="BG595">
            <v>0</v>
          </cell>
          <cell r="BH595">
            <v>0</v>
          </cell>
          <cell r="BI595">
            <v>0</v>
          </cell>
          <cell r="BK595">
            <v>0</v>
          </cell>
          <cell r="BL595">
            <v>0</v>
          </cell>
          <cell r="BM595">
            <v>0</v>
          </cell>
          <cell r="BN595">
            <v>0</v>
          </cell>
          <cell r="BO595">
            <v>0</v>
          </cell>
          <cell r="BP595">
            <v>0</v>
          </cell>
          <cell r="BQ595">
            <v>0</v>
          </cell>
          <cell r="BR595">
            <v>0</v>
          </cell>
          <cell r="BS595">
            <v>0</v>
          </cell>
          <cell r="BU595">
            <v>0</v>
          </cell>
          <cell r="BV595">
            <v>0</v>
          </cell>
          <cell r="BW595">
            <v>0</v>
          </cell>
          <cell r="BX595">
            <v>0</v>
          </cell>
          <cell r="BY595">
            <v>0</v>
          </cell>
          <cell r="BZ595">
            <v>0</v>
          </cell>
          <cell r="CA595">
            <v>0</v>
          </cell>
          <cell r="CB595">
            <v>0</v>
          </cell>
          <cell r="CC595">
            <v>0</v>
          </cell>
          <cell r="CE595">
            <v>0</v>
          </cell>
          <cell r="CF595">
            <v>0</v>
          </cell>
          <cell r="CG595">
            <v>0</v>
          </cell>
          <cell r="CH595">
            <v>0</v>
          </cell>
          <cell r="CI595">
            <v>0</v>
          </cell>
          <cell r="CJ595">
            <v>0</v>
          </cell>
          <cell r="CK595">
            <v>0</v>
          </cell>
          <cell r="CL595">
            <v>0</v>
          </cell>
          <cell r="CM595">
            <v>0</v>
          </cell>
          <cell r="CO595">
            <v>0</v>
          </cell>
          <cell r="CP595">
            <v>0</v>
          </cell>
          <cell r="CQ595">
            <v>0</v>
          </cell>
          <cell r="CR595">
            <v>0</v>
          </cell>
          <cell r="CS595">
            <v>0</v>
          </cell>
          <cell r="CT595">
            <v>0</v>
          </cell>
          <cell r="CU595">
            <v>0</v>
          </cell>
          <cell r="CV595">
            <v>0</v>
          </cell>
          <cell r="CW595">
            <v>0</v>
          </cell>
          <cell r="CY595">
            <v>0</v>
          </cell>
          <cell r="CZ595">
            <v>0</v>
          </cell>
          <cell r="DA595">
            <v>0</v>
          </cell>
          <cell r="DB595">
            <v>0</v>
          </cell>
          <cell r="DC595">
            <v>0</v>
          </cell>
          <cell r="DD595">
            <v>0</v>
          </cell>
          <cell r="DE595">
            <v>0</v>
          </cell>
          <cell r="DF595">
            <v>0</v>
          </cell>
          <cell r="DG595">
            <v>0</v>
          </cell>
          <cell r="DI595">
            <v>0</v>
          </cell>
          <cell r="DJ595">
            <v>0</v>
          </cell>
          <cell r="DK595">
            <v>0</v>
          </cell>
          <cell r="DL595">
            <v>0</v>
          </cell>
          <cell r="DM595">
            <v>0</v>
          </cell>
          <cell r="DN595">
            <v>0</v>
          </cell>
          <cell r="DO595">
            <v>0</v>
          </cell>
          <cell r="DP595">
            <v>0</v>
          </cell>
          <cell r="DQ595">
            <v>0</v>
          </cell>
          <cell r="DR595">
            <v>0</v>
          </cell>
          <cell r="DS595">
            <v>0</v>
          </cell>
          <cell r="DT595">
            <v>0</v>
          </cell>
          <cell r="DU595">
            <v>0</v>
          </cell>
          <cell r="DW595">
            <v>0</v>
          </cell>
          <cell r="DX595">
            <v>0</v>
          </cell>
          <cell r="DY595">
            <v>0</v>
          </cell>
          <cell r="DZ595">
            <v>0</v>
          </cell>
          <cell r="EA595">
            <v>0</v>
          </cell>
          <cell r="EB595">
            <v>0</v>
          </cell>
          <cell r="EC595">
            <v>0</v>
          </cell>
          <cell r="ED595">
            <v>0</v>
          </cell>
          <cell r="EE595">
            <v>0</v>
          </cell>
          <cell r="EF595">
            <v>0</v>
          </cell>
          <cell r="EG595">
            <v>0</v>
          </cell>
          <cell r="EH595">
            <v>0</v>
          </cell>
          <cell r="EI595">
            <v>0</v>
          </cell>
          <cell r="EK595">
            <v>0</v>
          </cell>
          <cell r="EL595">
            <v>0</v>
          </cell>
          <cell r="EM595">
            <v>0</v>
          </cell>
          <cell r="EN595">
            <v>0</v>
          </cell>
          <cell r="EO595">
            <v>0</v>
          </cell>
          <cell r="EP595">
            <v>0</v>
          </cell>
          <cell r="EQ595">
            <v>0</v>
          </cell>
          <cell r="ER595">
            <v>0</v>
          </cell>
          <cell r="ES595">
            <v>0</v>
          </cell>
          <cell r="ET595">
            <v>0</v>
          </cell>
          <cell r="EU595">
            <v>0</v>
          </cell>
          <cell r="EV595">
            <v>0</v>
          </cell>
          <cell r="EW595">
            <v>0</v>
          </cell>
          <cell r="EY595">
            <v>0</v>
          </cell>
          <cell r="EZ595">
            <v>8</v>
          </cell>
          <cell r="FA595">
            <v>0</v>
          </cell>
          <cell r="FB595">
            <v>0</v>
          </cell>
          <cell r="FC595">
            <v>8.6</v>
          </cell>
          <cell r="FD595">
            <v>0</v>
          </cell>
          <cell r="FE595">
            <v>0</v>
          </cell>
          <cell r="FF595">
            <v>0</v>
          </cell>
          <cell r="FH595">
            <v>0</v>
          </cell>
        </row>
        <row r="596">
          <cell r="B596">
            <v>9735</v>
          </cell>
          <cell r="C596" t="str">
            <v>08.04.2010</v>
          </cell>
          <cell r="D596" t="str">
            <v>Jadhav Prashant Ashok</v>
          </cell>
          <cell r="F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BA596">
            <v>0</v>
          </cell>
          <cell r="BB596">
            <v>0</v>
          </cell>
          <cell r="BC596">
            <v>0</v>
          </cell>
          <cell r="BD596">
            <v>0</v>
          </cell>
          <cell r="BE596">
            <v>0</v>
          </cell>
          <cell r="BF596">
            <v>0</v>
          </cell>
          <cell r="BG596">
            <v>0</v>
          </cell>
          <cell r="BH596">
            <v>0</v>
          </cell>
          <cell r="BI596">
            <v>0</v>
          </cell>
          <cell r="BK596">
            <v>0</v>
          </cell>
          <cell r="BL596">
            <v>0</v>
          </cell>
          <cell r="BM596">
            <v>0</v>
          </cell>
          <cell r="BN596">
            <v>0</v>
          </cell>
          <cell r="BO596">
            <v>0</v>
          </cell>
          <cell r="BP596">
            <v>0</v>
          </cell>
          <cell r="BQ596">
            <v>0</v>
          </cell>
          <cell r="BR596">
            <v>0</v>
          </cell>
          <cell r="BS596">
            <v>0</v>
          </cell>
          <cell r="BU596">
            <v>0</v>
          </cell>
          <cell r="BV596">
            <v>0</v>
          </cell>
          <cell r="BW596">
            <v>0</v>
          </cell>
          <cell r="BX596">
            <v>0</v>
          </cell>
          <cell r="BY596">
            <v>0</v>
          </cell>
          <cell r="BZ596">
            <v>0</v>
          </cell>
          <cell r="CA596">
            <v>0</v>
          </cell>
          <cell r="CB596">
            <v>0</v>
          </cell>
          <cell r="CC596">
            <v>0</v>
          </cell>
          <cell r="CE596">
            <v>0</v>
          </cell>
          <cell r="CF596">
            <v>0</v>
          </cell>
          <cell r="CG596">
            <v>0</v>
          </cell>
          <cell r="CH596">
            <v>0</v>
          </cell>
          <cell r="CI596">
            <v>0</v>
          </cell>
          <cell r="CJ596">
            <v>0</v>
          </cell>
          <cell r="CK596">
            <v>0</v>
          </cell>
          <cell r="CL596">
            <v>0</v>
          </cell>
          <cell r="CM596">
            <v>0</v>
          </cell>
          <cell r="CO596">
            <v>0</v>
          </cell>
          <cell r="CP596">
            <v>0</v>
          </cell>
          <cell r="CQ596">
            <v>0</v>
          </cell>
          <cell r="CR596">
            <v>0</v>
          </cell>
          <cell r="CS596">
            <v>0</v>
          </cell>
          <cell r="CT596">
            <v>0</v>
          </cell>
          <cell r="CU596">
            <v>0</v>
          </cell>
          <cell r="CV596">
            <v>0</v>
          </cell>
          <cell r="CW596">
            <v>0</v>
          </cell>
          <cell r="CY596">
            <v>0</v>
          </cell>
          <cell r="CZ596">
            <v>0</v>
          </cell>
          <cell r="DA596">
            <v>0</v>
          </cell>
          <cell r="DB596">
            <v>0</v>
          </cell>
          <cell r="DC596">
            <v>0</v>
          </cell>
          <cell r="DD596">
            <v>0</v>
          </cell>
          <cell r="DE596">
            <v>0</v>
          </cell>
          <cell r="DF596">
            <v>0</v>
          </cell>
          <cell r="DG596">
            <v>0</v>
          </cell>
          <cell r="DI596">
            <v>0</v>
          </cell>
          <cell r="DJ596">
            <v>0</v>
          </cell>
          <cell r="DK596">
            <v>0</v>
          </cell>
          <cell r="DL596">
            <v>0</v>
          </cell>
          <cell r="DM596">
            <v>0</v>
          </cell>
          <cell r="DN596">
            <v>0</v>
          </cell>
          <cell r="DO596">
            <v>0</v>
          </cell>
          <cell r="DP596">
            <v>0</v>
          </cell>
          <cell r="DQ596">
            <v>0</v>
          </cell>
          <cell r="DR596">
            <v>0</v>
          </cell>
          <cell r="DS596">
            <v>0</v>
          </cell>
          <cell r="DT596">
            <v>0</v>
          </cell>
          <cell r="DU596">
            <v>0</v>
          </cell>
          <cell r="DW596">
            <v>0</v>
          </cell>
          <cell r="DX596">
            <v>0</v>
          </cell>
          <cell r="DY596">
            <v>0</v>
          </cell>
          <cell r="DZ596">
            <v>0</v>
          </cell>
          <cell r="EA596">
            <v>0</v>
          </cell>
          <cell r="EB596">
            <v>0</v>
          </cell>
          <cell r="EC596">
            <v>0</v>
          </cell>
          <cell r="ED596">
            <v>0</v>
          </cell>
          <cell r="EE596">
            <v>0</v>
          </cell>
          <cell r="EF596">
            <v>0</v>
          </cell>
          <cell r="EG596">
            <v>0</v>
          </cell>
          <cell r="EH596">
            <v>0</v>
          </cell>
          <cell r="EI596">
            <v>0</v>
          </cell>
          <cell r="EK596">
            <v>0</v>
          </cell>
          <cell r="EL596">
            <v>0</v>
          </cell>
          <cell r="EM596">
            <v>0</v>
          </cell>
          <cell r="EN596">
            <v>0</v>
          </cell>
          <cell r="EO596">
            <v>0</v>
          </cell>
          <cell r="EP596">
            <v>0</v>
          </cell>
          <cell r="EQ596">
            <v>0</v>
          </cell>
          <cell r="ER596">
            <v>0</v>
          </cell>
          <cell r="ES596">
            <v>0</v>
          </cell>
          <cell r="ET596">
            <v>0</v>
          </cell>
          <cell r="EU596">
            <v>0</v>
          </cell>
          <cell r="EV596">
            <v>0</v>
          </cell>
          <cell r="EW596">
            <v>0</v>
          </cell>
          <cell r="EY596">
            <v>0</v>
          </cell>
          <cell r="EZ596">
            <v>8</v>
          </cell>
          <cell r="FA596">
            <v>0</v>
          </cell>
          <cell r="FB596">
            <v>0</v>
          </cell>
          <cell r="FC596">
            <v>8.6</v>
          </cell>
          <cell r="FD596">
            <v>0</v>
          </cell>
          <cell r="FE596">
            <v>0</v>
          </cell>
          <cell r="FF596">
            <v>0</v>
          </cell>
          <cell r="FH596">
            <v>0</v>
          </cell>
        </row>
        <row r="597">
          <cell r="B597">
            <v>9736</v>
          </cell>
          <cell r="C597" t="str">
            <v>24.04.2010</v>
          </cell>
          <cell r="D597" t="str">
            <v>Mehroliya Kalpesh Naresh</v>
          </cell>
          <cell r="F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BA597">
            <v>0</v>
          </cell>
          <cell r="BB597">
            <v>0</v>
          </cell>
          <cell r="BC597">
            <v>0</v>
          </cell>
          <cell r="BD597">
            <v>0</v>
          </cell>
          <cell r="BE597">
            <v>0</v>
          </cell>
          <cell r="BF597">
            <v>0</v>
          </cell>
          <cell r="BG597">
            <v>0</v>
          </cell>
          <cell r="BH597">
            <v>0</v>
          </cell>
          <cell r="BI597">
            <v>0</v>
          </cell>
          <cell r="BK597">
            <v>0</v>
          </cell>
          <cell r="BL597">
            <v>0</v>
          </cell>
          <cell r="BM597">
            <v>0</v>
          </cell>
          <cell r="BN597">
            <v>0</v>
          </cell>
          <cell r="BO597">
            <v>0</v>
          </cell>
          <cell r="BP597">
            <v>0</v>
          </cell>
          <cell r="BQ597">
            <v>0</v>
          </cell>
          <cell r="BR597">
            <v>0</v>
          </cell>
          <cell r="BS597">
            <v>0</v>
          </cell>
          <cell r="BU597">
            <v>0</v>
          </cell>
          <cell r="BV597">
            <v>0</v>
          </cell>
          <cell r="BW597">
            <v>0</v>
          </cell>
          <cell r="BX597">
            <v>0</v>
          </cell>
          <cell r="BY597">
            <v>0</v>
          </cell>
          <cell r="BZ597">
            <v>0</v>
          </cell>
          <cell r="CA597">
            <v>0</v>
          </cell>
          <cell r="CB597">
            <v>0</v>
          </cell>
          <cell r="CC597">
            <v>0</v>
          </cell>
          <cell r="CE597">
            <v>0</v>
          </cell>
          <cell r="CF597">
            <v>0</v>
          </cell>
          <cell r="CG597">
            <v>0</v>
          </cell>
          <cell r="CH597">
            <v>0</v>
          </cell>
          <cell r="CI597">
            <v>0</v>
          </cell>
          <cell r="CJ597">
            <v>0</v>
          </cell>
          <cell r="CK597">
            <v>0</v>
          </cell>
          <cell r="CL597">
            <v>0</v>
          </cell>
          <cell r="CM597">
            <v>0</v>
          </cell>
          <cell r="CO597">
            <v>0</v>
          </cell>
          <cell r="CP597">
            <v>0</v>
          </cell>
          <cell r="CQ597">
            <v>0</v>
          </cell>
          <cell r="CR597">
            <v>0</v>
          </cell>
          <cell r="CS597">
            <v>0</v>
          </cell>
          <cell r="CT597">
            <v>0</v>
          </cell>
          <cell r="CU597">
            <v>0</v>
          </cell>
          <cell r="CV597">
            <v>0</v>
          </cell>
          <cell r="CW597">
            <v>0</v>
          </cell>
          <cell r="CY597">
            <v>0</v>
          </cell>
          <cell r="CZ597">
            <v>0</v>
          </cell>
          <cell r="DA597">
            <v>0</v>
          </cell>
          <cell r="DB597">
            <v>0</v>
          </cell>
          <cell r="DC597">
            <v>0</v>
          </cell>
          <cell r="DD597">
            <v>0</v>
          </cell>
          <cell r="DE597">
            <v>0</v>
          </cell>
          <cell r="DF597">
            <v>0</v>
          </cell>
          <cell r="DG597">
            <v>0</v>
          </cell>
          <cell r="DI597">
            <v>0</v>
          </cell>
          <cell r="DJ597">
            <v>0</v>
          </cell>
          <cell r="DK597">
            <v>0</v>
          </cell>
          <cell r="DL597">
            <v>0</v>
          </cell>
          <cell r="DM597">
            <v>0</v>
          </cell>
          <cell r="DN597">
            <v>0</v>
          </cell>
          <cell r="DO597">
            <v>0</v>
          </cell>
          <cell r="DP597">
            <v>0</v>
          </cell>
          <cell r="DQ597">
            <v>0</v>
          </cell>
          <cell r="DR597">
            <v>0</v>
          </cell>
          <cell r="DS597">
            <v>0</v>
          </cell>
          <cell r="DT597">
            <v>0</v>
          </cell>
          <cell r="DU597">
            <v>0</v>
          </cell>
          <cell r="DW597">
            <v>0</v>
          </cell>
          <cell r="DX597">
            <v>0</v>
          </cell>
          <cell r="DY597">
            <v>0</v>
          </cell>
          <cell r="DZ597">
            <v>0</v>
          </cell>
          <cell r="EA597">
            <v>0</v>
          </cell>
          <cell r="EB597">
            <v>0</v>
          </cell>
          <cell r="EC597">
            <v>0</v>
          </cell>
          <cell r="ED597">
            <v>0</v>
          </cell>
          <cell r="EE597">
            <v>0</v>
          </cell>
          <cell r="EF597">
            <v>0</v>
          </cell>
          <cell r="EG597">
            <v>0</v>
          </cell>
          <cell r="EH597">
            <v>0</v>
          </cell>
          <cell r="EI597">
            <v>0</v>
          </cell>
          <cell r="EK597">
            <v>0</v>
          </cell>
          <cell r="EL597">
            <v>0</v>
          </cell>
          <cell r="EM597">
            <v>0</v>
          </cell>
          <cell r="EN597">
            <v>0</v>
          </cell>
          <cell r="EO597">
            <v>0</v>
          </cell>
          <cell r="EP597">
            <v>0</v>
          </cell>
          <cell r="EQ597">
            <v>0</v>
          </cell>
          <cell r="ER597">
            <v>0</v>
          </cell>
          <cell r="ES597">
            <v>0</v>
          </cell>
          <cell r="ET597">
            <v>0</v>
          </cell>
          <cell r="EU597">
            <v>0</v>
          </cell>
          <cell r="EV597">
            <v>0</v>
          </cell>
          <cell r="EW597">
            <v>0</v>
          </cell>
          <cell r="EY597">
            <v>0</v>
          </cell>
          <cell r="EZ597">
            <v>8</v>
          </cell>
          <cell r="FA597">
            <v>0</v>
          </cell>
          <cell r="FB597">
            <v>0</v>
          </cell>
          <cell r="FC597">
            <v>8.6</v>
          </cell>
          <cell r="FD597">
            <v>0</v>
          </cell>
          <cell r="FE597">
            <v>0</v>
          </cell>
          <cell r="FF597">
            <v>0</v>
          </cell>
          <cell r="FH597">
            <v>0</v>
          </cell>
        </row>
        <row r="598">
          <cell r="B598">
            <v>9734</v>
          </cell>
          <cell r="C598" t="str">
            <v>30.04.2010</v>
          </cell>
          <cell r="D598" t="str">
            <v>More Prashant Pralhad</v>
          </cell>
          <cell r="F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BA598">
            <v>0</v>
          </cell>
          <cell r="BB598">
            <v>0</v>
          </cell>
          <cell r="BC598">
            <v>0</v>
          </cell>
          <cell r="BD598">
            <v>0</v>
          </cell>
          <cell r="BE598">
            <v>0</v>
          </cell>
          <cell r="BF598">
            <v>0</v>
          </cell>
          <cell r="BG598">
            <v>0</v>
          </cell>
          <cell r="BH598">
            <v>0</v>
          </cell>
          <cell r="BI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0</v>
          </cell>
          <cell r="BP598">
            <v>0</v>
          </cell>
          <cell r="BQ598">
            <v>0</v>
          </cell>
          <cell r="BR598">
            <v>0</v>
          </cell>
          <cell r="BS598">
            <v>0</v>
          </cell>
          <cell r="BU598">
            <v>0</v>
          </cell>
          <cell r="BV598">
            <v>0</v>
          </cell>
          <cell r="BW598">
            <v>0</v>
          </cell>
          <cell r="BX598">
            <v>0</v>
          </cell>
          <cell r="BY598">
            <v>0</v>
          </cell>
          <cell r="BZ598">
            <v>0</v>
          </cell>
          <cell r="CA598">
            <v>0</v>
          </cell>
          <cell r="CB598">
            <v>0</v>
          </cell>
          <cell r="CC598">
            <v>0</v>
          </cell>
          <cell r="CE598">
            <v>0</v>
          </cell>
          <cell r="CF598">
            <v>0</v>
          </cell>
          <cell r="CG598">
            <v>0</v>
          </cell>
          <cell r="CH598">
            <v>0</v>
          </cell>
          <cell r="CI598">
            <v>0</v>
          </cell>
          <cell r="CJ598">
            <v>0</v>
          </cell>
          <cell r="CK598">
            <v>0</v>
          </cell>
          <cell r="CL598">
            <v>0</v>
          </cell>
          <cell r="CM598">
            <v>0</v>
          </cell>
          <cell r="CO598">
            <v>0</v>
          </cell>
          <cell r="CP598">
            <v>0</v>
          </cell>
          <cell r="CQ598">
            <v>0</v>
          </cell>
          <cell r="CR598">
            <v>0</v>
          </cell>
          <cell r="CS598">
            <v>0</v>
          </cell>
          <cell r="CT598">
            <v>0</v>
          </cell>
          <cell r="CU598">
            <v>0</v>
          </cell>
          <cell r="CV598">
            <v>0</v>
          </cell>
          <cell r="CW598">
            <v>0</v>
          </cell>
          <cell r="CY598">
            <v>0</v>
          </cell>
          <cell r="CZ598">
            <v>0</v>
          </cell>
          <cell r="DA598">
            <v>0</v>
          </cell>
          <cell r="DB598">
            <v>0</v>
          </cell>
          <cell r="DC598">
            <v>0</v>
          </cell>
          <cell r="DD598">
            <v>0</v>
          </cell>
          <cell r="DE598">
            <v>0</v>
          </cell>
          <cell r="DF598">
            <v>0</v>
          </cell>
          <cell r="DG598">
            <v>0</v>
          </cell>
          <cell r="DI598">
            <v>0</v>
          </cell>
          <cell r="DJ598">
            <v>0</v>
          </cell>
          <cell r="DK598">
            <v>0</v>
          </cell>
          <cell r="DL598">
            <v>0</v>
          </cell>
          <cell r="DM598">
            <v>0</v>
          </cell>
          <cell r="DN598">
            <v>0</v>
          </cell>
          <cell r="DO598">
            <v>0</v>
          </cell>
          <cell r="DP598">
            <v>0</v>
          </cell>
          <cell r="DQ598">
            <v>0</v>
          </cell>
          <cell r="DR598">
            <v>0</v>
          </cell>
          <cell r="DS598">
            <v>0</v>
          </cell>
          <cell r="DT598">
            <v>0</v>
          </cell>
          <cell r="DU598">
            <v>0</v>
          </cell>
          <cell r="DW598">
            <v>0</v>
          </cell>
          <cell r="DX598">
            <v>0</v>
          </cell>
          <cell r="DY598">
            <v>0</v>
          </cell>
          <cell r="DZ598">
            <v>0</v>
          </cell>
          <cell r="EA598">
            <v>0</v>
          </cell>
          <cell r="EB598">
            <v>0</v>
          </cell>
          <cell r="EC598">
            <v>0</v>
          </cell>
          <cell r="ED598">
            <v>0</v>
          </cell>
          <cell r="EE598">
            <v>0</v>
          </cell>
          <cell r="EF598">
            <v>0</v>
          </cell>
          <cell r="EG598">
            <v>0</v>
          </cell>
          <cell r="EH598">
            <v>0</v>
          </cell>
          <cell r="EI598">
            <v>0</v>
          </cell>
          <cell r="EK598">
            <v>0</v>
          </cell>
          <cell r="EL598">
            <v>0</v>
          </cell>
          <cell r="EM598">
            <v>0</v>
          </cell>
          <cell r="EN598">
            <v>0</v>
          </cell>
          <cell r="EO598">
            <v>0</v>
          </cell>
          <cell r="EP598">
            <v>0</v>
          </cell>
          <cell r="EQ598">
            <v>0</v>
          </cell>
          <cell r="ER598">
            <v>0</v>
          </cell>
          <cell r="ES598">
            <v>0</v>
          </cell>
          <cell r="ET598">
            <v>0</v>
          </cell>
          <cell r="EU598">
            <v>0</v>
          </cell>
          <cell r="EV598">
            <v>0</v>
          </cell>
          <cell r="EW598">
            <v>0</v>
          </cell>
          <cell r="EY598">
            <v>0</v>
          </cell>
          <cell r="EZ598">
            <v>8</v>
          </cell>
          <cell r="FA598">
            <v>0</v>
          </cell>
          <cell r="FB598">
            <v>0</v>
          </cell>
          <cell r="FC598">
            <v>8.6</v>
          </cell>
          <cell r="FD598">
            <v>0</v>
          </cell>
          <cell r="FE598">
            <v>0</v>
          </cell>
          <cell r="FF598">
            <v>0</v>
          </cell>
          <cell r="FH598">
            <v>0</v>
          </cell>
        </row>
        <row r="599">
          <cell r="B599">
            <v>9730</v>
          </cell>
          <cell r="C599" t="str">
            <v>04.05.2010</v>
          </cell>
          <cell r="D599" t="str">
            <v>Shinde Rakesh Ratnakar</v>
          </cell>
          <cell r="F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BA599">
            <v>0</v>
          </cell>
          <cell r="BB599">
            <v>0</v>
          </cell>
          <cell r="BC599">
            <v>0</v>
          </cell>
          <cell r="BD599">
            <v>0</v>
          </cell>
          <cell r="BE599">
            <v>0</v>
          </cell>
          <cell r="BF599">
            <v>0</v>
          </cell>
          <cell r="BG599">
            <v>0</v>
          </cell>
          <cell r="BH599">
            <v>0</v>
          </cell>
          <cell r="BI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0</v>
          </cell>
          <cell r="BP599">
            <v>0</v>
          </cell>
          <cell r="BQ599">
            <v>0</v>
          </cell>
          <cell r="BR599">
            <v>0</v>
          </cell>
          <cell r="BS599">
            <v>0</v>
          </cell>
          <cell r="BU599">
            <v>0</v>
          </cell>
          <cell r="BV599">
            <v>0</v>
          </cell>
          <cell r="BW599">
            <v>0</v>
          </cell>
          <cell r="BX599">
            <v>0</v>
          </cell>
          <cell r="BY599">
            <v>0</v>
          </cell>
          <cell r="BZ599">
            <v>0</v>
          </cell>
          <cell r="CA599">
            <v>0</v>
          </cell>
          <cell r="CB599">
            <v>0</v>
          </cell>
          <cell r="CC599">
            <v>0</v>
          </cell>
          <cell r="CE599">
            <v>0</v>
          </cell>
          <cell r="CF599">
            <v>0</v>
          </cell>
          <cell r="CG599">
            <v>0</v>
          </cell>
          <cell r="CH599">
            <v>0</v>
          </cell>
          <cell r="CI599">
            <v>0</v>
          </cell>
          <cell r="CJ599">
            <v>0</v>
          </cell>
          <cell r="CK599">
            <v>0</v>
          </cell>
          <cell r="CL599">
            <v>0</v>
          </cell>
          <cell r="CM599">
            <v>0</v>
          </cell>
          <cell r="CO599">
            <v>0</v>
          </cell>
          <cell r="CP599">
            <v>0</v>
          </cell>
          <cell r="CQ599">
            <v>0</v>
          </cell>
          <cell r="CR599">
            <v>0</v>
          </cell>
          <cell r="CS599">
            <v>0</v>
          </cell>
          <cell r="CT599">
            <v>0</v>
          </cell>
          <cell r="CU599">
            <v>0</v>
          </cell>
          <cell r="CV599">
            <v>0</v>
          </cell>
          <cell r="CW599">
            <v>0</v>
          </cell>
          <cell r="CY599">
            <v>0</v>
          </cell>
          <cell r="CZ599">
            <v>0</v>
          </cell>
          <cell r="DA599">
            <v>0</v>
          </cell>
          <cell r="DB599">
            <v>0</v>
          </cell>
          <cell r="DC599">
            <v>0</v>
          </cell>
          <cell r="DD599">
            <v>0</v>
          </cell>
          <cell r="DE599">
            <v>0</v>
          </cell>
          <cell r="DF599">
            <v>0</v>
          </cell>
          <cell r="DG599">
            <v>0</v>
          </cell>
          <cell r="DI599">
            <v>0</v>
          </cell>
          <cell r="DJ599">
            <v>0</v>
          </cell>
          <cell r="DK599">
            <v>0</v>
          </cell>
          <cell r="DL599">
            <v>0</v>
          </cell>
          <cell r="DM599">
            <v>0</v>
          </cell>
          <cell r="DN599">
            <v>0</v>
          </cell>
          <cell r="DO599">
            <v>0</v>
          </cell>
          <cell r="DP599">
            <v>0</v>
          </cell>
          <cell r="DQ599">
            <v>0</v>
          </cell>
          <cell r="DR599">
            <v>0</v>
          </cell>
          <cell r="DS599">
            <v>0</v>
          </cell>
          <cell r="DT599">
            <v>0</v>
          </cell>
          <cell r="DU599">
            <v>0</v>
          </cell>
          <cell r="DW599">
            <v>0</v>
          </cell>
          <cell r="DX599">
            <v>0</v>
          </cell>
          <cell r="DY599">
            <v>0</v>
          </cell>
          <cell r="DZ599">
            <v>0</v>
          </cell>
          <cell r="EA599">
            <v>0</v>
          </cell>
          <cell r="EB599">
            <v>0</v>
          </cell>
          <cell r="EC599">
            <v>0</v>
          </cell>
          <cell r="ED599">
            <v>0</v>
          </cell>
          <cell r="EE599">
            <v>0</v>
          </cell>
          <cell r="EF599">
            <v>0</v>
          </cell>
          <cell r="EG599">
            <v>0</v>
          </cell>
          <cell r="EH599">
            <v>0</v>
          </cell>
          <cell r="EI599">
            <v>0</v>
          </cell>
          <cell r="EK599">
            <v>0</v>
          </cell>
          <cell r="EL599">
            <v>0</v>
          </cell>
          <cell r="EM599">
            <v>0</v>
          </cell>
          <cell r="EN599">
            <v>0</v>
          </cell>
          <cell r="EO599">
            <v>0</v>
          </cell>
          <cell r="EP599">
            <v>0</v>
          </cell>
          <cell r="EQ599">
            <v>0</v>
          </cell>
          <cell r="ER599">
            <v>0</v>
          </cell>
          <cell r="ES599">
            <v>0</v>
          </cell>
          <cell r="ET599">
            <v>0</v>
          </cell>
          <cell r="EU599">
            <v>0</v>
          </cell>
          <cell r="EV599">
            <v>0</v>
          </cell>
          <cell r="EW599">
            <v>0</v>
          </cell>
          <cell r="EY599">
            <v>0</v>
          </cell>
          <cell r="EZ599">
            <v>8</v>
          </cell>
          <cell r="FA599">
            <v>0</v>
          </cell>
          <cell r="FB599">
            <v>0</v>
          </cell>
          <cell r="FC599">
            <v>8.6</v>
          </cell>
          <cell r="FD599">
            <v>0</v>
          </cell>
          <cell r="FE599">
            <v>0</v>
          </cell>
          <cell r="FF599">
            <v>0</v>
          </cell>
          <cell r="FH599">
            <v>0</v>
          </cell>
        </row>
        <row r="600">
          <cell r="B600">
            <v>9818</v>
          </cell>
          <cell r="C600" t="str">
            <v>08.05.2010</v>
          </cell>
          <cell r="D600" t="str">
            <v>Pawar Sonal Namdeo</v>
          </cell>
          <cell r="F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BA600">
            <v>0</v>
          </cell>
          <cell r="BB600">
            <v>0</v>
          </cell>
          <cell r="BC600">
            <v>0</v>
          </cell>
          <cell r="BD600">
            <v>0</v>
          </cell>
          <cell r="BE600">
            <v>0</v>
          </cell>
          <cell r="BF600">
            <v>0</v>
          </cell>
          <cell r="BG600">
            <v>0</v>
          </cell>
          <cell r="BH600">
            <v>0</v>
          </cell>
          <cell r="BI600">
            <v>0</v>
          </cell>
          <cell r="BK600">
            <v>0</v>
          </cell>
          <cell r="BL600">
            <v>0</v>
          </cell>
          <cell r="BM600">
            <v>0</v>
          </cell>
          <cell r="BN600">
            <v>0</v>
          </cell>
          <cell r="BO600">
            <v>0</v>
          </cell>
          <cell r="BP600">
            <v>0</v>
          </cell>
          <cell r="BQ600">
            <v>0</v>
          </cell>
          <cell r="BR600">
            <v>0</v>
          </cell>
          <cell r="BS600">
            <v>0</v>
          </cell>
          <cell r="BU600">
            <v>0</v>
          </cell>
          <cell r="BV600">
            <v>0</v>
          </cell>
          <cell r="BW600">
            <v>0</v>
          </cell>
          <cell r="BX600">
            <v>0</v>
          </cell>
          <cell r="BY600">
            <v>0</v>
          </cell>
          <cell r="BZ600">
            <v>0</v>
          </cell>
          <cell r="CA600">
            <v>0</v>
          </cell>
          <cell r="CB600">
            <v>0</v>
          </cell>
          <cell r="CC600">
            <v>0</v>
          </cell>
          <cell r="CE600">
            <v>0</v>
          </cell>
          <cell r="CF600">
            <v>0</v>
          </cell>
          <cell r="CG600">
            <v>0</v>
          </cell>
          <cell r="CH600">
            <v>0</v>
          </cell>
          <cell r="CI600">
            <v>0</v>
          </cell>
          <cell r="CJ600">
            <v>0</v>
          </cell>
          <cell r="CK600">
            <v>0</v>
          </cell>
          <cell r="CL600">
            <v>0</v>
          </cell>
          <cell r="CM600">
            <v>0</v>
          </cell>
          <cell r="CO600">
            <v>0</v>
          </cell>
          <cell r="CP600">
            <v>0</v>
          </cell>
          <cell r="CQ600">
            <v>0</v>
          </cell>
          <cell r="CR600">
            <v>0</v>
          </cell>
          <cell r="CS600">
            <v>0</v>
          </cell>
          <cell r="CT600">
            <v>0</v>
          </cell>
          <cell r="CU600">
            <v>0</v>
          </cell>
          <cell r="CV600">
            <v>0</v>
          </cell>
          <cell r="CW600">
            <v>0</v>
          </cell>
          <cell r="CY600">
            <v>0</v>
          </cell>
          <cell r="CZ600">
            <v>0</v>
          </cell>
          <cell r="DA600">
            <v>0</v>
          </cell>
          <cell r="DB600">
            <v>0</v>
          </cell>
          <cell r="DC600">
            <v>0</v>
          </cell>
          <cell r="DD600">
            <v>0</v>
          </cell>
          <cell r="DE600">
            <v>0</v>
          </cell>
          <cell r="DF600">
            <v>0</v>
          </cell>
          <cell r="DG600">
            <v>0</v>
          </cell>
          <cell r="DI600">
            <v>0</v>
          </cell>
          <cell r="DJ600">
            <v>0</v>
          </cell>
          <cell r="DK600">
            <v>0</v>
          </cell>
          <cell r="DL600">
            <v>0</v>
          </cell>
          <cell r="DM600">
            <v>0</v>
          </cell>
          <cell r="DN600">
            <v>0</v>
          </cell>
          <cell r="DO600">
            <v>0</v>
          </cell>
          <cell r="DP600">
            <v>0</v>
          </cell>
          <cell r="DQ600">
            <v>0</v>
          </cell>
          <cell r="DR600">
            <v>0</v>
          </cell>
          <cell r="DS600">
            <v>0</v>
          </cell>
          <cell r="DT600">
            <v>0</v>
          </cell>
          <cell r="DU600">
            <v>0</v>
          </cell>
          <cell r="DW600">
            <v>0</v>
          </cell>
          <cell r="DX600">
            <v>0</v>
          </cell>
          <cell r="DY600">
            <v>0</v>
          </cell>
          <cell r="DZ600">
            <v>0</v>
          </cell>
          <cell r="EA600">
            <v>0</v>
          </cell>
          <cell r="EB600">
            <v>0</v>
          </cell>
          <cell r="EC600">
            <v>0</v>
          </cell>
          <cell r="ED600">
            <v>0</v>
          </cell>
          <cell r="EE600">
            <v>0</v>
          </cell>
          <cell r="EF600">
            <v>0</v>
          </cell>
          <cell r="EG600">
            <v>0</v>
          </cell>
          <cell r="EH600">
            <v>0</v>
          </cell>
          <cell r="EI600">
            <v>0</v>
          </cell>
          <cell r="EK600">
            <v>0</v>
          </cell>
          <cell r="EL600">
            <v>0</v>
          </cell>
          <cell r="EM600">
            <v>0</v>
          </cell>
          <cell r="EN600">
            <v>0</v>
          </cell>
          <cell r="EO600">
            <v>0</v>
          </cell>
          <cell r="EP600">
            <v>0</v>
          </cell>
          <cell r="EQ600">
            <v>0</v>
          </cell>
          <cell r="ER600">
            <v>0</v>
          </cell>
          <cell r="ES600">
            <v>0</v>
          </cell>
          <cell r="ET600">
            <v>0</v>
          </cell>
          <cell r="EU600">
            <v>0</v>
          </cell>
          <cell r="EV600">
            <v>0</v>
          </cell>
          <cell r="EW600">
            <v>0</v>
          </cell>
          <cell r="EY600">
            <v>0</v>
          </cell>
          <cell r="EZ600">
            <v>8</v>
          </cell>
          <cell r="FA600">
            <v>0</v>
          </cell>
          <cell r="FB600">
            <v>0</v>
          </cell>
          <cell r="FC600">
            <v>8.6</v>
          </cell>
          <cell r="FD600">
            <v>0</v>
          </cell>
          <cell r="FE600">
            <v>0</v>
          </cell>
          <cell r="FF600">
            <v>0</v>
          </cell>
          <cell r="FH600">
            <v>0</v>
          </cell>
        </row>
        <row r="601">
          <cell r="B601">
            <v>9749</v>
          </cell>
          <cell r="C601" t="str">
            <v>19.05.2010</v>
          </cell>
          <cell r="D601" t="str">
            <v>Saude Anjana Jitendra</v>
          </cell>
          <cell r="F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BA601">
            <v>0</v>
          </cell>
          <cell r="BB601">
            <v>0</v>
          </cell>
          <cell r="BC601">
            <v>0</v>
          </cell>
          <cell r="BD601">
            <v>0</v>
          </cell>
          <cell r="BE601">
            <v>0</v>
          </cell>
          <cell r="BF601">
            <v>0</v>
          </cell>
          <cell r="BG601">
            <v>0</v>
          </cell>
          <cell r="BH601">
            <v>0</v>
          </cell>
          <cell r="BI601">
            <v>0</v>
          </cell>
          <cell r="BK601">
            <v>0</v>
          </cell>
          <cell r="BL601">
            <v>0</v>
          </cell>
          <cell r="BM601">
            <v>0</v>
          </cell>
          <cell r="BN601">
            <v>0</v>
          </cell>
          <cell r="BO601">
            <v>0</v>
          </cell>
          <cell r="BP601">
            <v>0</v>
          </cell>
          <cell r="BQ601">
            <v>0</v>
          </cell>
          <cell r="BR601">
            <v>0</v>
          </cell>
          <cell r="BS601">
            <v>0</v>
          </cell>
          <cell r="BU601">
            <v>0</v>
          </cell>
          <cell r="BV601">
            <v>0</v>
          </cell>
          <cell r="BW601">
            <v>0</v>
          </cell>
          <cell r="BX601">
            <v>0</v>
          </cell>
          <cell r="BY601">
            <v>0</v>
          </cell>
          <cell r="BZ601">
            <v>0</v>
          </cell>
          <cell r="CA601">
            <v>0</v>
          </cell>
          <cell r="CB601">
            <v>0</v>
          </cell>
          <cell r="CC601">
            <v>0</v>
          </cell>
          <cell r="CE601">
            <v>0</v>
          </cell>
          <cell r="CF601">
            <v>0</v>
          </cell>
          <cell r="CG601">
            <v>0</v>
          </cell>
          <cell r="CH601">
            <v>0</v>
          </cell>
          <cell r="CI601">
            <v>0</v>
          </cell>
          <cell r="CJ601">
            <v>0</v>
          </cell>
          <cell r="CK601">
            <v>0</v>
          </cell>
          <cell r="CL601">
            <v>0</v>
          </cell>
          <cell r="CM601">
            <v>0</v>
          </cell>
          <cell r="CO601">
            <v>0</v>
          </cell>
          <cell r="CP601">
            <v>0</v>
          </cell>
          <cell r="CQ601">
            <v>0</v>
          </cell>
          <cell r="CR601">
            <v>0</v>
          </cell>
          <cell r="CS601">
            <v>0</v>
          </cell>
          <cell r="CT601">
            <v>0</v>
          </cell>
          <cell r="CU601">
            <v>0</v>
          </cell>
          <cell r="CV601">
            <v>0</v>
          </cell>
          <cell r="CW601">
            <v>0</v>
          </cell>
          <cell r="CY601">
            <v>0</v>
          </cell>
          <cell r="CZ601">
            <v>0</v>
          </cell>
          <cell r="DA601">
            <v>0</v>
          </cell>
          <cell r="DB601">
            <v>0</v>
          </cell>
          <cell r="DC601">
            <v>0</v>
          </cell>
          <cell r="DD601">
            <v>0</v>
          </cell>
          <cell r="DE601">
            <v>0</v>
          </cell>
          <cell r="DF601">
            <v>0</v>
          </cell>
          <cell r="DG601">
            <v>0</v>
          </cell>
          <cell r="DI601">
            <v>0</v>
          </cell>
          <cell r="DJ601">
            <v>0</v>
          </cell>
          <cell r="DK601">
            <v>0</v>
          </cell>
          <cell r="DL601">
            <v>0</v>
          </cell>
          <cell r="DM601">
            <v>0</v>
          </cell>
          <cell r="DN601">
            <v>0</v>
          </cell>
          <cell r="DO601">
            <v>0</v>
          </cell>
          <cell r="DP601">
            <v>0</v>
          </cell>
          <cell r="DQ601">
            <v>0</v>
          </cell>
          <cell r="DR601">
            <v>0</v>
          </cell>
          <cell r="DS601">
            <v>0</v>
          </cell>
          <cell r="DT601">
            <v>0</v>
          </cell>
          <cell r="DU601">
            <v>0</v>
          </cell>
          <cell r="DW601">
            <v>0</v>
          </cell>
          <cell r="DX601">
            <v>0</v>
          </cell>
          <cell r="DY601">
            <v>0</v>
          </cell>
          <cell r="DZ601">
            <v>0</v>
          </cell>
          <cell r="EA601">
            <v>0</v>
          </cell>
          <cell r="EB601">
            <v>0</v>
          </cell>
          <cell r="EC601">
            <v>0</v>
          </cell>
          <cell r="ED601">
            <v>0</v>
          </cell>
          <cell r="EE601">
            <v>0</v>
          </cell>
          <cell r="EF601">
            <v>0</v>
          </cell>
          <cell r="EG601">
            <v>0</v>
          </cell>
          <cell r="EH601">
            <v>0</v>
          </cell>
          <cell r="EI601">
            <v>0</v>
          </cell>
          <cell r="EK601">
            <v>0</v>
          </cell>
          <cell r="EL601">
            <v>0</v>
          </cell>
          <cell r="EM601">
            <v>0</v>
          </cell>
          <cell r="EN601">
            <v>0</v>
          </cell>
          <cell r="EO601">
            <v>0</v>
          </cell>
          <cell r="EP601">
            <v>0</v>
          </cell>
          <cell r="EQ601">
            <v>0</v>
          </cell>
          <cell r="ER601">
            <v>0</v>
          </cell>
          <cell r="ES601">
            <v>0</v>
          </cell>
          <cell r="ET601">
            <v>0</v>
          </cell>
          <cell r="EU601">
            <v>0</v>
          </cell>
          <cell r="EV601">
            <v>0</v>
          </cell>
          <cell r="EW601">
            <v>0</v>
          </cell>
          <cell r="EY601">
            <v>0</v>
          </cell>
          <cell r="EZ601">
            <v>8</v>
          </cell>
          <cell r="FA601">
            <v>0</v>
          </cell>
          <cell r="FB601">
            <v>0</v>
          </cell>
          <cell r="FC601">
            <v>8.6</v>
          </cell>
          <cell r="FD601">
            <v>0</v>
          </cell>
          <cell r="FE601">
            <v>0</v>
          </cell>
          <cell r="FF601">
            <v>0</v>
          </cell>
          <cell r="FH601">
            <v>0</v>
          </cell>
        </row>
        <row r="602">
          <cell r="B602">
            <v>9817</v>
          </cell>
          <cell r="C602" t="str">
            <v>19.05.2010</v>
          </cell>
          <cell r="D602" t="str">
            <v>Shewale Kajal Mangesh</v>
          </cell>
          <cell r="F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BA602">
            <v>0</v>
          </cell>
          <cell r="BB602">
            <v>0</v>
          </cell>
          <cell r="BC602">
            <v>0</v>
          </cell>
          <cell r="BD602">
            <v>0</v>
          </cell>
          <cell r="BE602">
            <v>0</v>
          </cell>
          <cell r="BF602">
            <v>0</v>
          </cell>
          <cell r="BG602">
            <v>0</v>
          </cell>
          <cell r="BH602">
            <v>0</v>
          </cell>
          <cell r="BI602">
            <v>0</v>
          </cell>
          <cell r="BK602">
            <v>0</v>
          </cell>
          <cell r="BL602">
            <v>0</v>
          </cell>
          <cell r="BM602">
            <v>0</v>
          </cell>
          <cell r="BN602">
            <v>0</v>
          </cell>
          <cell r="BO602">
            <v>0</v>
          </cell>
          <cell r="BP602">
            <v>0</v>
          </cell>
          <cell r="BQ602">
            <v>0</v>
          </cell>
          <cell r="BR602">
            <v>0</v>
          </cell>
          <cell r="BS602">
            <v>0</v>
          </cell>
          <cell r="BU602">
            <v>0</v>
          </cell>
          <cell r="BV602">
            <v>0</v>
          </cell>
          <cell r="BW602">
            <v>0</v>
          </cell>
          <cell r="BX602">
            <v>0</v>
          </cell>
          <cell r="BY602">
            <v>0</v>
          </cell>
          <cell r="BZ602">
            <v>0</v>
          </cell>
          <cell r="CA602">
            <v>0</v>
          </cell>
          <cell r="CB602">
            <v>0</v>
          </cell>
          <cell r="CC602">
            <v>0</v>
          </cell>
          <cell r="CE602">
            <v>0</v>
          </cell>
          <cell r="CF602">
            <v>0</v>
          </cell>
          <cell r="CG602">
            <v>0</v>
          </cell>
          <cell r="CH602">
            <v>0</v>
          </cell>
          <cell r="CI602">
            <v>0</v>
          </cell>
          <cell r="CJ602">
            <v>0</v>
          </cell>
          <cell r="CK602">
            <v>0</v>
          </cell>
          <cell r="CL602">
            <v>0</v>
          </cell>
          <cell r="CM602">
            <v>0</v>
          </cell>
          <cell r="CO602">
            <v>0</v>
          </cell>
          <cell r="CP602">
            <v>0</v>
          </cell>
          <cell r="CQ602">
            <v>0</v>
          </cell>
          <cell r="CR602">
            <v>0</v>
          </cell>
          <cell r="CS602">
            <v>0</v>
          </cell>
          <cell r="CT602">
            <v>0</v>
          </cell>
          <cell r="CU602">
            <v>0</v>
          </cell>
          <cell r="CV602">
            <v>0</v>
          </cell>
          <cell r="CW602">
            <v>0</v>
          </cell>
          <cell r="CY602">
            <v>0</v>
          </cell>
          <cell r="CZ602">
            <v>0</v>
          </cell>
          <cell r="DA602">
            <v>0</v>
          </cell>
          <cell r="DB602">
            <v>0</v>
          </cell>
          <cell r="DC602">
            <v>0</v>
          </cell>
          <cell r="DD602">
            <v>0</v>
          </cell>
          <cell r="DE602">
            <v>0</v>
          </cell>
          <cell r="DF602">
            <v>0</v>
          </cell>
          <cell r="DG602">
            <v>0</v>
          </cell>
          <cell r="DI602">
            <v>0</v>
          </cell>
          <cell r="DJ602">
            <v>0</v>
          </cell>
          <cell r="DK602">
            <v>0</v>
          </cell>
          <cell r="DL602">
            <v>0</v>
          </cell>
          <cell r="DM602">
            <v>0</v>
          </cell>
          <cell r="DN602">
            <v>0</v>
          </cell>
          <cell r="DO602">
            <v>0</v>
          </cell>
          <cell r="DP602">
            <v>0</v>
          </cell>
          <cell r="DQ602">
            <v>0</v>
          </cell>
          <cell r="DR602">
            <v>0</v>
          </cell>
          <cell r="DS602">
            <v>0</v>
          </cell>
          <cell r="DT602">
            <v>0</v>
          </cell>
          <cell r="DU602">
            <v>0</v>
          </cell>
          <cell r="DW602">
            <v>0</v>
          </cell>
          <cell r="DX602">
            <v>0</v>
          </cell>
          <cell r="DY602">
            <v>0</v>
          </cell>
          <cell r="DZ602">
            <v>0</v>
          </cell>
          <cell r="EA602">
            <v>0</v>
          </cell>
          <cell r="EB602">
            <v>0</v>
          </cell>
          <cell r="EC602">
            <v>0</v>
          </cell>
          <cell r="ED602">
            <v>0</v>
          </cell>
          <cell r="EE602">
            <v>0</v>
          </cell>
          <cell r="EF602">
            <v>0</v>
          </cell>
          <cell r="EG602">
            <v>0</v>
          </cell>
          <cell r="EH602">
            <v>0</v>
          </cell>
          <cell r="EI602">
            <v>0</v>
          </cell>
          <cell r="EK602">
            <v>0</v>
          </cell>
          <cell r="EL602">
            <v>0</v>
          </cell>
          <cell r="EM602">
            <v>0</v>
          </cell>
          <cell r="EN602">
            <v>0</v>
          </cell>
          <cell r="EO602">
            <v>0</v>
          </cell>
          <cell r="EP602">
            <v>0</v>
          </cell>
          <cell r="EQ602">
            <v>0</v>
          </cell>
          <cell r="ER602">
            <v>0</v>
          </cell>
          <cell r="ES602">
            <v>0</v>
          </cell>
          <cell r="ET602">
            <v>0</v>
          </cell>
          <cell r="EU602">
            <v>0</v>
          </cell>
          <cell r="EV602">
            <v>0</v>
          </cell>
          <cell r="EW602">
            <v>0</v>
          </cell>
          <cell r="EY602">
            <v>0</v>
          </cell>
          <cell r="EZ602">
            <v>8</v>
          </cell>
          <cell r="FA602">
            <v>0</v>
          </cell>
          <cell r="FB602">
            <v>0</v>
          </cell>
          <cell r="FC602">
            <v>8.6</v>
          </cell>
          <cell r="FD602">
            <v>0</v>
          </cell>
          <cell r="FE602">
            <v>0</v>
          </cell>
          <cell r="FF602">
            <v>0</v>
          </cell>
          <cell r="FH602">
            <v>0</v>
          </cell>
        </row>
        <row r="603">
          <cell r="B603">
            <v>9737</v>
          </cell>
          <cell r="C603" t="str">
            <v>20.05.2010</v>
          </cell>
          <cell r="D603" t="str">
            <v>Dive Mohan Ashok</v>
          </cell>
          <cell r="F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BA603">
            <v>0</v>
          </cell>
          <cell r="BB603">
            <v>0</v>
          </cell>
          <cell r="BC603">
            <v>0</v>
          </cell>
          <cell r="BD603">
            <v>0</v>
          </cell>
          <cell r="BE603">
            <v>0</v>
          </cell>
          <cell r="BF603">
            <v>0</v>
          </cell>
          <cell r="BG603">
            <v>0</v>
          </cell>
          <cell r="BH603">
            <v>0</v>
          </cell>
          <cell r="BI603">
            <v>0</v>
          </cell>
          <cell r="BK603">
            <v>0</v>
          </cell>
          <cell r="BL603">
            <v>0</v>
          </cell>
          <cell r="BM603">
            <v>0</v>
          </cell>
          <cell r="BN603">
            <v>0</v>
          </cell>
          <cell r="BO603">
            <v>0</v>
          </cell>
          <cell r="BP603">
            <v>0</v>
          </cell>
          <cell r="BQ603">
            <v>0</v>
          </cell>
          <cell r="BR603">
            <v>0</v>
          </cell>
          <cell r="BS603">
            <v>0</v>
          </cell>
          <cell r="BU603">
            <v>0</v>
          </cell>
          <cell r="BV603">
            <v>0</v>
          </cell>
          <cell r="BW603">
            <v>0</v>
          </cell>
          <cell r="BX603">
            <v>0</v>
          </cell>
          <cell r="BY603">
            <v>0</v>
          </cell>
          <cell r="BZ603">
            <v>0</v>
          </cell>
          <cell r="CA603">
            <v>0</v>
          </cell>
          <cell r="CB603">
            <v>0</v>
          </cell>
          <cell r="CC603">
            <v>0</v>
          </cell>
          <cell r="CE603">
            <v>0</v>
          </cell>
          <cell r="CF603">
            <v>0</v>
          </cell>
          <cell r="CG603">
            <v>0</v>
          </cell>
          <cell r="CH603">
            <v>0</v>
          </cell>
          <cell r="CI603">
            <v>0</v>
          </cell>
          <cell r="CJ603">
            <v>0</v>
          </cell>
          <cell r="CK603">
            <v>0</v>
          </cell>
          <cell r="CL603">
            <v>0</v>
          </cell>
          <cell r="CM603">
            <v>0</v>
          </cell>
          <cell r="CO603">
            <v>0</v>
          </cell>
          <cell r="CP603">
            <v>0</v>
          </cell>
          <cell r="CQ603">
            <v>0</v>
          </cell>
          <cell r="CR603">
            <v>0</v>
          </cell>
          <cell r="CS603">
            <v>0</v>
          </cell>
          <cell r="CT603">
            <v>0</v>
          </cell>
          <cell r="CU603">
            <v>0</v>
          </cell>
          <cell r="CV603">
            <v>0</v>
          </cell>
          <cell r="CW603">
            <v>0</v>
          </cell>
          <cell r="CY603">
            <v>0</v>
          </cell>
          <cell r="CZ603">
            <v>0</v>
          </cell>
          <cell r="DA603">
            <v>0</v>
          </cell>
          <cell r="DB603">
            <v>0</v>
          </cell>
          <cell r="DC603">
            <v>0</v>
          </cell>
          <cell r="DD603">
            <v>0</v>
          </cell>
          <cell r="DE603">
            <v>0</v>
          </cell>
          <cell r="DF603">
            <v>0</v>
          </cell>
          <cell r="DG603">
            <v>0</v>
          </cell>
          <cell r="DI603">
            <v>0</v>
          </cell>
          <cell r="DJ603">
            <v>0</v>
          </cell>
          <cell r="DK603">
            <v>0</v>
          </cell>
          <cell r="DL603">
            <v>0</v>
          </cell>
          <cell r="DM603">
            <v>0</v>
          </cell>
          <cell r="DN603">
            <v>0</v>
          </cell>
          <cell r="DO603">
            <v>0</v>
          </cell>
          <cell r="DP603">
            <v>0</v>
          </cell>
          <cell r="DQ603">
            <v>0</v>
          </cell>
          <cell r="DR603">
            <v>0</v>
          </cell>
          <cell r="DS603">
            <v>0</v>
          </cell>
          <cell r="DT603">
            <v>0</v>
          </cell>
          <cell r="DU603">
            <v>0</v>
          </cell>
          <cell r="DW603">
            <v>0</v>
          </cell>
          <cell r="DX603">
            <v>0</v>
          </cell>
          <cell r="DY603">
            <v>0</v>
          </cell>
          <cell r="DZ603">
            <v>0</v>
          </cell>
          <cell r="EA603">
            <v>0</v>
          </cell>
          <cell r="EB603">
            <v>0</v>
          </cell>
          <cell r="EC603">
            <v>0</v>
          </cell>
          <cell r="ED603">
            <v>0</v>
          </cell>
          <cell r="EE603">
            <v>0</v>
          </cell>
          <cell r="EF603">
            <v>0</v>
          </cell>
          <cell r="EG603">
            <v>0</v>
          </cell>
          <cell r="EH603">
            <v>0</v>
          </cell>
          <cell r="EI603">
            <v>0</v>
          </cell>
          <cell r="EK603">
            <v>0</v>
          </cell>
          <cell r="EL603">
            <v>0</v>
          </cell>
          <cell r="EM603">
            <v>0</v>
          </cell>
          <cell r="EN603">
            <v>0</v>
          </cell>
          <cell r="EO603">
            <v>0</v>
          </cell>
          <cell r="EP603">
            <v>0</v>
          </cell>
          <cell r="EQ603">
            <v>0</v>
          </cell>
          <cell r="ER603">
            <v>0</v>
          </cell>
          <cell r="ES603">
            <v>0</v>
          </cell>
          <cell r="ET603">
            <v>0</v>
          </cell>
          <cell r="EU603">
            <v>0</v>
          </cell>
          <cell r="EV603">
            <v>0</v>
          </cell>
          <cell r="EW603">
            <v>0</v>
          </cell>
          <cell r="EY603">
            <v>0</v>
          </cell>
          <cell r="EZ603">
            <v>8</v>
          </cell>
          <cell r="FA603">
            <v>0</v>
          </cell>
          <cell r="FB603">
            <v>0</v>
          </cell>
          <cell r="FC603">
            <v>8.6</v>
          </cell>
          <cell r="FD603">
            <v>0</v>
          </cell>
          <cell r="FE603">
            <v>0</v>
          </cell>
          <cell r="FF603">
            <v>0</v>
          </cell>
          <cell r="FH603">
            <v>0</v>
          </cell>
        </row>
        <row r="604">
          <cell r="B604">
            <v>9738</v>
          </cell>
          <cell r="C604" t="str">
            <v>20.05.2010</v>
          </cell>
          <cell r="D604" t="str">
            <v>Rathod Sanny Devji</v>
          </cell>
          <cell r="F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BA604">
            <v>0</v>
          </cell>
          <cell r="BB604">
            <v>0</v>
          </cell>
          <cell r="BC604">
            <v>0</v>
          </cell>
          <cell r="BD604">
            <v>0</v>
          </cell>
          <cell r="BE604">
            <v>0</v>
          </cell>
          <cell r="BF604">
            <v>0</v>
          </cell>
          <cell r="BG604">
            <v>0</v>
          </cell>
          <cell r="BH604">
            <v>0</v>
          </cell>
          <cell r="BI604">
            <v>0</v>
          </cell>
          <cell r="BK604">
            <v>0</v>
          </cell>
          <cell r="BL604">
            <v>0</v>
          </cell>
          <cell r="BM604">
            <v>0</v>
          </cell>
          <cell r="BN604">
            <v>0</v>
          </cell>
          <cell r="BO604">
            <v>0</v>
          </cell>
          <cell r="BP604">
            <v>0</v>
          </cell>
          <cell r="BQ604">
            <v>0</v>
          </cell>
          <cell r="BR604">
            <v>0</v>
          </cell>
          <cell r="BS604">
            <v>0</v>
          </cell>
          <cell r="BU604">
            <v>0</v>
          </cell>
          <cell r="BV604">
            <v>0</v>
          </cell>
          <cell r="BW604">
            <v>0</v>
          </cell>
          <cell r="BX604">
            <v>0</v>
          </cell>
          <cell r="BY604">
            <v>0</v>
          </cell>
          <cell r="BZ604">
            <v>0</v>
          </cell>
          <cell r="CA604">
            <v>0</v>
          </cell>
          <cell r="CB604">
            <v>0</v>
          </cell>
          <cell r="CC604">
            <v>0</v>
          </cell>
          <cell r="CE604">
            <v>0</v>
          </cell>
          <cell r="CF604">
            <v>0</v>
          </cell>
          <cell r="CG604">
            <v>0</v>
          </cell>
          <cell r="CH604">
            <v>0</v>
          </cell>
          <cell r="CI604">
            <v>0</v>
          </cell>
          <cell r="CJ604">
            <v>0</v>
          </cell>
          <cell r="CK604">
            <v>0</v>
          </cell>
          <cell r="CL604">
            <v>0</v>
          </cell>
          <cell r="CM604">
            <v>0</v>
          </cell>
          <cell r="CO604">
            <v>0</v>
          </cell>
          <cell r="CP604">
            <v>0</v>
          </cell>
          <cell r="CQ604">
            <v>0</v>
          </cell>
          <cell r="CR604">
            <v>0</v>
          </cell>
          <cell r="CS604">
            <v>0</v>
          </cell>
          <cell r="CT604">
            <v>0</v>
          </cell>
          <cell r="CU604">
            <v>0</v>
          </cell>
          <cell r="CV604">
            <v>0</v>
          </cell>
          <cell r="CW604">
            <v>0</v>
          </cell>
          <cell r="CY604">
            <v>0</v>
          </cell>
          <cell r="CZ604">
            <v>0</v>
          </cell>
          <cell r="DA604">
            <v>0</v>
          </cell>
          <cell r="DB604">
            <v>0</v>
          </cell>
          <cell r="DC604">
            <v>0</v>
          </cell>
          <cell r="DD604">
            <v>0</v>
          </cell>
          <cell r="DE604">
            <v>0</v>
          </cell>
          <cell r="DF604">
            <v>0</v>
          </cell>
          <cell r="DG604">
            <v>0</v>
          </cell>
          <cell r="DI604">
            <v>0</v>
          </cell>
          <cell r="DJ604">
            <v>0</v>
          </cell>
          <cell r="DK604">
            <v>0</v>
          </cell>
          <cell r="DL604">
            <v>0</v>
          </cell>
          <cell r="DM604">
            <v>0</v>
          </cell>
          <cell r="DN604">
            <v>0</v>
          </cell>
          <cell r="DO604">
            <v>0</v>
          </cell>
          <cell r="DP604">
            <v>0</v>
          </cell>
          <cell r="DQ604">
            <v>0</v>
          </cell>
          <cell r="DR604">
            <v>0</v>
          </cell>
          <cell r="DS604">
            <v>0</v>
          </cell>
          <cell r="DT604">
            <v>0</v>
          </cell>
          <cell r="DU604">
            <v>0</v>
          </cell>
          <cell r="DW604">
            <v>0</v>
          </cell>
          <cell r="DX604">
            <v>0</v>
          </cell>
          <cell r="DY604">
            <v>0</v>
          </cell>
          <cell r="DZ604">
            <v>0</v>
          </cell>
          <cell r="EA604">
            <v>0</v>
          </cell>
          <cell r="EB604">
            <v>0</v>
          </cell>
          <cell r="EC604">
            <v>0</v>
          </cell>
          <cell r="ED604">
            <v>0</v>
          </cell>
          <cell r="EE604">
            <v>0</v>
          </cell>
          <cell r="EF604">
            <v>0</v>
          </cell>
          <cell r="EG604">
            <v>0</v>
          </cell>
          <cell r="EH604">
            <v>0</v>
          </cell>
          <cell r="EI604">
            <v>0</v>
          </cell>
          <cell r="EK604">
            <v>0</v>
          </cell>
          <cell r="EL604">
            <v>0</v>
          </cell>
          <cell r="EM604">
            <v>0</v>
          </cell>
          <cell r="EN604">
            <v>0</v>
          </cell>
          <cell r="EO604">
            <v>0</v>
          </cell>
          <cell r="EP604">
            <v>0</v>
          </cell>
          <cell r="EQ604">
            <v>0</v>
          </cell>
          <cell r="ER604">
            <v>0</v>
          </cell>
          <cell r="ES604">
            <v>0</v>
          </cell>
          <cell r="ET604">
            <v>0</v>
          </cell>
          <cell r="EU604">
            <v>0</v>
          </cell>
          <cell r="EV604">
            <v>0</v>
          </cell>
          <cell r="EW604">
            <v>0</v>
          </cell>
          <cell r="EY604">
            <v>0</v>
          </cell>
          <cell r="EZ604">
            <v>8</v>
          </cell>
          <cell r="FA604">
            <v>0</v>
          </cell>
          <cell r="FB604">
            <v>0</v>
          </cell>
          <cell r="FC604">
            <v>8.6</v>
          </cell>
          <cell r="FD604">
            <v>0</v>
          </cell>
          <cell r="FE604">
            <v>0</v>
          </cell>
          <cell r="FF604">
            <v>0</v>
          </cell>
          <cell r="FH604">
            <v>0</v>
          </cell>
        </row>
        <row r="605">
          <cell r="B605">
            <v>9810</v>
          </cell>
          <cell r="C605" t="str">
            <v>20.05.2010</v>
          </cell>
          <cell r="D605" t="str">
            <v>Bhumbak Vikram Darya</v>
          </cell>
          <cell r="F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BA605">
            <v>0</v>
          </cell>
          <cell r="BB605">
            <v>0</v>
          </cell>
          <cell r="BC605">
            <v>0</v>
          </cell>
          <cell r="BD605">
            <v>0</v>
          </cell>
          <cell r="BE605">
            <v>0</v>
          </cell>
          <cell r="BF605">
            <v>0</v>
          </cell>
          <cell r="BG605">
            <v>0</v>
          </cell>
          <cell r="BH605">
            <v>0</v>
          </cell>
          <cell r="BI605">
            <v>0</v>
          </cell>
          <cell r="BK605">
            <v>0</v>
          </cell>
          <cell r="BL605">
            <v>0</v>
          </cell>
          <cell r="BM605">
            <v>0</v>
          </cell>
          <cell r="BN605">
            <v>0</v>
          </cell>
          <cell r="BO605">
            <v>0</v>
          </cell>
          <cell r="BP605">
            <v>0</v>
          </cell>
          <cell r="BQ605">
            <v>0</v>
          </cell>
          <cell r="BR605">
            <v>0</v>
          </cell>
          <cell r="BS605">
            <v>0</v>
          </cell>
          <cell r="BU605">
            <v>0</v>
          </cell>
          <cell r="BV605">
            <v>0</v>
          </cell>
          <cell r="BW605">
            <v>0</v>
          </cell>
          <cell r="BX605">
            <v>0</v>
          </cell>
          <cell r="BY605">
            <v>0</v>
          </cell>
          <cell r="BZ605">
            <v>0</v>
          </cell>
          <cell r="CA605">
            <v>0</v>
          </cell>
          <cell r="CB605">
            <v>0</v>
          </cell>
          <cell r="CC605">
            <v>0</v>
          </cell>
          <cell r="CE605">
            <v>0</v>
          </cell>
          <cell r="CF605">
            <v>0</v>
          </cell>
          <cell r="CG605">
            <v>0</v>
          </cell>
          <cell r="CH605">
            <v>0</v>
          </cell>
          <cell r="CI605">
            <v>0</v>
          </cell>
          <cell r="CJ605">
            <v>0</v>
          </cell>
          <cell r="CK605">
            <v>0</v>
          </cell>
          <cell r="CL605">
            <v>0</v>
          </cell>
          <cell r="CM605">
            <v>0</v>
          </cell>
          <cell r="CO605">
            <v>0</v>
          </cell>
          <cell r="CP605">
            <v>0</v>
          </cell>
          <cell r="CQ605">
            <v>0</v>
          </cell>
          <cell r="CR605">
            <v>0</v>
          </cell>
          <cell r="CS605">
            <v>0</v>
          </cell>
          <cell r="CT605">
            <v>0</v>
          </cell>
          <cell r="CU605">
            <v>0</v>
          </cell>
          <cell r="CV605">
            <v>0</v>
          </cell>
          <cell r="CW605">
            <v>0</v>
          </cell>
          <cell r="CY605">
            <v>0</v>
          </cell>
          <cell r="CZ605">
            <v>0</v>
          </cell>
          <cell r="DA605">
            <v>0</v>
          </cell>
          <cell r="DB605">
            <v>0</v>
          </cell>
          <cell r="DC605">
            <v>0</v>
          </cell>
          <cell r="DD605">
            <v>0</v>
          </cell>
          <cell r="DE605">
            <v>0</v>
          </cell>
          <cell r="DF605">
            <v>0</v>
          </cell>
          <cell r="DG605">
            <v>0</v>
          </cell>
          <cell r="DI605">
            <v>0</v>
          </cell>
          <cell r="DJ605">
            <v>0</v>
          </cell>
          <cell r="DK605">
            <v>0</v>
          </cell>
          <cell r="DL605">
            <v>0</v>
          </cell>
          <cell r="DM605">
            <v>0</v>
          </cell>
          <cell r="DN605">
            <v>0</v>
          </cell>
          <cell r="DO605">
            <v>0</v>
          </cell>
          <cell r="DP605">
            <v>0</v>
          </cell>
          <cell r="DQ605">
            <v>0</v>
          </cell>
          <cell r="DR605">
            <v>0</v>
          </cell>
          <cell r="DS605">
            <v>0</v>
          </cell>
          <cell r="DT605">
            <v>0</v>
          </cell>
          <cell r="DU605">
            <v>0</v>
          </cell>
          <cell r="DW605">
            <v>0</v>
          </cell>
          <cell r="DX605">
            <v>0</v>
          </cell>
          <cell r="DY605">
            <v>0</v>
          </cell>
          <cell r="DZ605">
            <v>0</v>
          </cell>
          <cell r="EA605">
            <v>0</v>
          </cell>
          <cell r="EB605">
            <v>0</v>
          </cell>
          <cell r="EC605">
            <v>0</v>
          </cell>
          <cell r="ED605">
            <v>0</v>
          </cell>
          <cell r="EE605">
            <v>0</v>
          </cell>
          <cell r="EF605">
            <v>0</v>
          </cell>
          <cell r="EG605">
            <v>0</v>
          </cell>
          <cell r="EH605">
            <v>0</v>
          </cell>
          <cell r="EI605">
            <v>0</v>
          </cell>
          <cell r="EK605">
            <v>0</v>
          </cell>
          <cell r="EL605">
            <v>0</v>
          </cell>
          <cell r="EM605">
            <v>0</v>
          </cell>
          <cell r="EN605">
            <v>0</v>
          </cell>
          <cell r="EO605">
            <v>0</v>
          </cell>
          <cell r="EP605">
            <v>0</v>
          </cell>
          <cell r="EQ605">
            <v>0</v>
          </cell>
          <cell r="ER605">
            <v>0</v>
          </cell>
          <cell r="ES605">
            <v>0</v>
          </cell>
          <cell r="ET605">
            <v>0</v>
          </cell>
          <cell r="EU605">
            <v>0</v>
          </cell>
          <cell r="EV605">
            <v>0</v>
          </cell>
          <cell r="EW605">
            <v>0</v>
          </cell>
          <cell r="EY605">
            <v>0</v>
          </cell>
          <cell r="EZ605">
            <v>8</v>
          </cell>
          <cell r="FA605">
            <v>0</v>
          </cell>
          <cell r="FB605">
            <v>0</v>
          </cell>
          <cell r="FC605">
            <v>8.6</v>
          </cell>
          <cell r="FD605">
            <v>0</v>
          </cell>
          <cell r="FE605">
            <v>0</v>
          </cell>
          <cell r="FF605">
            <v>0</v>
          </cell>
          <cell r="FH605">
            <v>0</v>
          </cell>
        </row>
        <row r="606">
          <cell r="B606">
            <v>9757</v>
          </cell>
          <cell r="C606" t="str">
            <v>21.05.2010</v>
          </cell>
          <cell r="D606" t="str">
            <v>Kale Arun Narayan</v>
          </cell>
          <cell r="F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BA606">
            <v>0</v>
          </cell>
          <cell r="BB606">
            <v>0</v>
          </cell>
          <cell r="BC606">
            <v>0</v>
          </cell>
          <cell r="BD606">
            <v>0</v>
          </cell>
          <cell r="BE606">
            <v>0</v>
          </cell>
          <cell r="BF606">
            <v>0</v>
          </cell>
          <cell r="BG606">
            <v>0</v>
          </cell>
          <cell r="BH606">
            <v>0</v>
          </cell>
          <cell r="BI606">
            <v>0</v>
          </cell>
          <cell r="BK606">
            <v>0</v>
          </cell>
          <cell r="BL606">
            <v>0</v>
          </cell>
          <cell r="BM606">
            <v>0</v>
          </cell>
          <cell r="BN606">
            <v>0</v>
          </cell>
          <cell r="BO606">
            <v>0</v>
          </cell>
          <cell r="BP606">
            <v>0</v>
          </cell>
          <cell r="BQ606">
            <v>0</v>
          </cell>
          <cell r="BR606">
            <v>0</v>
          </cell>
          <cell r="BS606">
            <v>0</v>
          </cell>
          <cell r="BU606">
            <v>0</v>
          </cell>
          <cell r="BV606">
            <v>0</v>
          </cell>
          <cell r="BW606">
            <v>0</v>
          </cell>
          <cell r="BX606">
            <v>0</v>
          </cell>
          <cell r="BY606">
            <v>0</v>
          </cell>
          <cell r="BZ606">
            <v>0</v>
          </cell>
          <cell r="CA606">
            <v>0</v>
          </cell>
          <cell r="CB606">
            <v>0</v>
          </cell>
          <cell r="CC606">
            <v>0</v>
          </cell>
          <cell r="CE606">
            <v>0</v>
          </cell>
          <cell r="CF606">
            <v>0</v>
          </cell>
          <cell r="CG606">
            <v>0</v>
          </cell>
          <cell r="CH606">
            <v>0</v>
          </cell>
          <cell r="CI606">
            <v>0</v>
          </cell>
          <cell r="CJ606">
            <v>0</v>
          </cell>
          <cell r="CK606">
            <v>0</v>
          </cell>
          <cell r="CL606">
            <v>0</v>
          </cell>
          <cell r="CM606">
            <v>0</v>
          </cell>
          <cell r="CO606">
            <v>0</v>
          </cell>
          <cell r="CP606">
            <v>0</v>
          </cell>
          <cell r="CQ606">
            <v>0</v>
          </cell>
          <cell r="CR606">
            <v>0</v>
          </cell>
          <cell r="CS606">
            <v>0</v>
          </cell>
          <cell r="CT606">
            <v>0</v>
          </cell>
          <cell r="CU606">
            <v>0</v>
          </cell>
          <cell r="CV606">
            <v>0</v>
          </cell>
          <cell r="CW606">
            <v>0</v>
          </cell>
          <cell r="CY606">
            <v>0</v>
          </cell>
          <cell r="CZ606">
            <v>0</v>
          </cell>
          <cell r="DA606">
            <v>0</v>
          </cell>
          <cell r="DB606">
            <v>0</v>
          </cell>
          <cell r="DC606">
            <v>0</v>
          </cell>
          <cell r="DD606">
            <v>0</v>
          </cell>
          <cell r="DE606">
            <v>0</v>
          </cell>
          <cell r="DF606">
            <v>0</v>
          </cell>
          <cell r="DG606">
            <v>0</v>
          </cell>
          <cell r="DI606">
            <v>0</v>
          </cell>
          <cell r="DJ606">
            <v>0</v>
          </cell>
          <cell r="DK606">
            <v>0</v>
          </cell>
          <cell r="DL606">
            <v>0</v>
          </cell>
          <cell r="DM606">
            <v>0</v>
          </cell>
          <cell r="DN606">
            <v>0</v>
          </cell>
          <cell r="DO606">
            <v>0</v>
          </cell>
          <cell r="DP606">
            <v>0</v>
          </cell>
          <cell r="DQ606">
            <v>0</v>
          </cell>
          <cell r="DR606">
            <v>0</v>
          </cell>
          <cell r="DS606">
            <v>0</v>
          </cell>
          <cell r="DT606">
            <v>0</v>
          </cell>
          <cell r="DU606">
            <v>0</v>
          </cell>
          <cell r="DW606">
            <v>0</v>
          </cell>
          <cell r="DX606">
            <v>0</v>
          </cell>
          <cell r="DY606">
            <v>0</v>
          </cell>
          <cell r="DZ606">
            <v>0</v>
          </cell>
          <cell r="EA606">
            <v>0</v>
          </cell>
          <cell r="EB606">
            <v>0</v>
          </cell>
          <cell r="EC606">
            <v>0</v>
          </cell>
          <cell r="ED606">
            <v>0</v>
          </cell>
          <cell r="EE606">
            <v>0</v>
          </cell>
          <cell r="EF606">
            <v>0</v>
          </cell>
          <cell r="EG606">
            <v>0</v>
          </cell>
          <cell r="EH606">
            <v>0</v>
          </cell>
          <cell r="EI606">
            <v>0</v>
          </cell>
          <cell r="EK606">
            <v>0</v>
          </cell>
          <cell r="EL606">
            <v>0</v>
          </cell>
          <cell r="EM606">
            <v>0</v>
          </cell>
          <cell r="EN606">
            <v>0</v>
          </cell>
          <cell r="EO606">
            <v>0</v>
          </cell>
          <cell r="EP606">
            <v>0</v>
          </cell>
          <cell r="EQ606">
            <v>0</v>
          </cell>
          <cell r="ER606">
            <v>0</v>
          </cell>
          <cell r="ES606">
            <v>0</v>
          </cell>
          <cell r="ET606">
            <v>0</v>
          </cell>
          <cell r="EU606">
            <v>0</v>
          </cell>
          <cell r="EV606">
            <v>0</v>
          </cell>
          <cell r="EW606">
            <v>0</v>
          </cell>
          <cell r="EY606">
            <v>0</v>
          </cell>
          <cell r="EZ606">
            <v>8</v>
          </cell>
          <cell r="FA606">
            <v>0</v>
          </cell>
          <cell r="FB606">
            <v>0</v>
          </cell>
          <cell r="FC606">
            <v>8.6</v>
          </cell>
          <cell r="FD606">
            <v>0</v>
          </cell>
          <cell r="FE606">
            <v>0</v>
          </cell>
          <cell r="FF606">
            <v>0</v>
          </cell>
          <cell r="FH606">
            <v>0</v>
          </cell>
        </row>
        <row r="607">
          <cell r="B607">
            <v>9766</v>
          </cell>
          <cell r="C607" t="str">
            <v>21.05.2010</v>
          </cell>
          <cell r="D607" t="str">
            <v>Purkar Sunita Ramkisan</v>
          </cell>
          <cell r="F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BA607">
            <v>0</v>
          </cell>
          <cell r="BB607">
            <v>0</v>
          </cell>
          <cell r="BC607">
            <v>0</v>
          </cell>
          <cell r="BD607">
            <v>0</v>
          </cell>
          <cell r="BE607">
            <v>0</v>
          </cell>
          <cell r="BF607">
            <v>0</v>
          </cell>
          <cell r="BG607">
            <v>0</v>
          </cell>
          <cell r="BH607">
            <v>0</v>
          </cell>
          <cell r="BI607">
            <v>0</v>
          </cell>
          <cell r="BK607">
            <v>0</v>
          </cell>
          <cell r="BL607">
            <v>0</v>
          </cell>
          <cell r="BM607">
            <v>0</v>
          </cell>
          <cell r="BN607">
            <v>0</v>
          </cell>
          <cell r="BO607">
            <v>0</v>
          </cell>
          <cell r="BP607">
            <v>0</v>
          </cell>
          <cell r="BQ607">
            <v>0</v>
          </cell>
          <cell r="BR607">
            <v>0</v>
          </cell>
          <cell r="BS607">
            <v>0</v>
          </cell>
          <cell r="BU607">
            <v>0</v>
          </cell>
          <cell r="BV607">
            <v>0</v>
          </cell>
          <cell r="BW607">
            <v>0</v>
          </cell>
          <cell r="BX607">
            <v>0</v>
          </cell>
          <cell r="BY607">
            <v>0</v>
          </cell>
          <cell r="BZ607">
            <v>0</v>
          </cell>
          <cell r="CA607">
            <v>0</v>
          </cell>
          <cell r="CB607">
            <v>0</v>
          </cell>
          <cell r="CC607">
            <v>0</v>
          </cell>
          <cell r="CE607">
            <v>0</v>
          </cell>
          <cell r="CF607">
            <v>0</v>
          </cell>
          <cell r="CG607">
            <v>0</v>
          </cell>
          <cell r="CH607">
            <v>0</v>
          </cell>
          <cell r="CI607">
            <v>0</v>
          </cell>
          <cell r="CJ607">
            <v>0</v>
          </cell>
          <cell r="CK607">
            <v>0</v>
          </cell>
          <cell r="CL607">
            <v>0</v>
          </cell>
          <cell r="CM607">
            <v>0</v>
          </cell>
          <cell r="CO607">
            <v>0</v>
          </cell>
          <cell r="CP607">
            <v>0</v>
          </cell>
          <cell r="CQ607">
            <v>0</v>
          </cell>
          <cell r="CR607">
            <v>0</v>
          </cell>
          <cell r="CS607">
            <v>0</v>
          </cell>
          <cell r="CT607">
            <v>0</v>
          </cell>
          <cell r="CU607">
            <v>0</v>
          </cell>
          <cell r="CV607">
            <v>0</v>
          </cell>
          <cell r="CW607">
            <v>0</v>
          </cell>
          <cell r="CY607">
            <v>0</v>
          </cell>
          <cell r="CZ607">
            <v>0</v>
          </cell>
          <cell r="DA607">
            <v>0</v>
          </cell>
          <cell r="DB607">
            <v>0</v>
          </cell>
          <cell r="DC607">
            <v>0</v>
          </cell>
          <cell r="DD607">
            <v>0</v>
          </cell>
          <cell r="DE607">
            <v>0</v>
          </cell>
          <cell r="DF607">
            <v>0</v>
          </cell>
          <cell r="DG607">
            <v>0</v>
          </cell>
          <cell r="DI607">
            <v>0</v>
          </cell>
          <cell r="DJ607">
            <v>0</v>
          </cell>
          <cell r="DK607">
            <v>0</v>
          </cell>
          <cell r="DL607">
            <v>0</v>
          </cell>
          <cell r="DM607">
            <v>0</v>
          </cell>
          <cell r="DN607">
            <v>0</v>
          </cell>
          <cell r="DO607">
            <v>0</v>
          </cell>
          <cell r="DP607">
            <v>0</v>
          </cell>
          <cell r="DQ607">
            <v>0</v>
          </cell>
          <cell r="DR607">
            <v>0</v>
          </cell>
          <cell r="DS607">
            <v>0</v>
          </cell>
          <cell r="DT607">
            <v>0</v>
          </cell>
          <cell r="DU607">
            <v>0</v>
          </cell>
          <cell r="DW607">
            <v>0</v>
          </cell>
          <cell r="DX607">
            <v>0</v>
          </cell>
          <cell r="DY607">
            <v>0</v>
          </cell>
          <cell r="DZ607">
            <v>0</v>
          </cell>
          <cell r="EA607">
            <v>0</v>
          </cell>
          <cell r="EB607">
            <v>0</v>
          </cell>
          <cell r="EC607">
            <v>0</v>
          </cell>
          <cell r="ED607">
            <v>0</v>
          </cell>
          <cell r="EE607">
            <v>0</v>
          </cell>
          <cell r="EF607">
            <v>0</v>
          </cell>
          <cell r="EG607">
            <v>0</v>
          </cell>
          <cell r="EH607">
            <v>0</v>
          </cell>
          <cell r="EI607">
            <v>0</v>
          </cell>
          <cell r="EK607">
            <v>0</v>
          </cell>
          <cell r="EL607">
            <v>0</v>
          </cell>
          <cell r="EM607">
            <v>0</v>
          </cell>
          <cell r="EN607">
            <v>0</v>
          </cell>
          <cell r="EO607">
            <v>0</v>
          </cell>
          <cell r="EP607">
            <v>0</v>
          </cell>
          <cell r="EQ607">
            <v>0</v>
          </cell>
          <cell r="ER607">
            <v>0</v>
          </cell>
          <cell r="ES607">
            <v>0</v>
          </cell>
          <cell r="ET607">
            <v>0</v>
          </cell>
          <cell r="EU607">
            <v>0</v>
          </cell>
          <cell r="EV607">
            <v>0</v>
          </cell>
          <cell r="EW607">
            <v>0</v>
          </cell>
          <cell r="EY607">
            <v>0</v>
          </cell>
          <cell r="EZ607">
            <v>8</v>
          </cell>
          <cell r="FA607">
            <v>0</v>
          </cell>
          <cell r="FB607">
            <v>0</v>
          </cell>
          <cell r="FC607">
            <v>8.6</v>
          </cell>
          <cell r="FD607">
            <v>0</v>
          </cell>
          <cell r="FE607">
            <v>0</v>
          </cell>
          <cell r="FF607">
            <v>0</v>
          </cell>
          <cell r="FH607">
            <v>0</v>
          </cell>
        </row>
        <row r="608">
          <cell r="B608">
            <v>9726</v>
          </cell>
          <cell r="C608" t="str">
            <v>25.05.2010</v>
          </cell>
          <cell r="D608" t="str">
            <v>Padaya Nanda Ajay</v>
          </cell>
          <cell r="F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BA608">
            <v>0</v>
          </cell>
          <cell r="BB608">
            <v>0</v>
          </cell>
          <cell r="BC608">
            <v>0</v>
          </cell>
          <cell r="BD608">
            <v>0</v>
          </cell>
          <cell r="BE608">
            <v>0</v>
          </cell>
          <cell r="BF608">
            <v>0</v>
          </cell>
          <cell r="BG608">
            <v>0</v>
          </cell>
          <cell r="BH608">
            <v>0</v>
          </cell>
          <cell r="BI608">
            <v>0</v>
          </cell>
          <cell r="BK608">
            <v>0</v>
          </cell>
          <cell r="BL608">
            <v>0</v>
          </cell>
          <cell r="BM608">
            <v>0</v>
          </cell>
          <cell r="BN608">
            <v>0</v>
          </cell>
          <cell r="BO608">
            <v>0</v>
          </cell>
          <cell r="BP608">
            <v>0</v>
          </cell>
          <cell r="BQ608">
            <v>0</v>
          </cell>
          <cell r="BR608">
            <v>0</v>
          </cell>
          <cell r="BS608">
            <v>0</v>
          </cell>
          <cell r="BU608">
            <v>0</v>
          </cell>
          <cell r="BV608">
            <v>0</v>
          </cell>
          <cell r="BW608">
            <v>0</v>
          </cell>
          <cell r="BX608">
            <v>0</v>
          </cell>
          <cell r="BY608">
            <v>0</v>
          </cell>
          <cell r="BZ608">
            <v>0</v>
          </cell>
          <cell r="CA608">
            <v>0</v>
          </cell>
          <cell r="CB608">
            <v>0</v>
          </cell>
          <cell r="CC608">
            <v>0</v>
          </cell>
          <cell r="CE608">
            <v>0</v>
          </cell>
          <cell r="CF608">
            <v>0</v>
          </cell>
          <cell r="CG608">
            <v>0</v>
          </cell>
          <cell r="CH608">
            <v>0</v>
          </cell>
          <cell r="CI608">
            <v>0</v>
          </cell>
          <cell r="CJ608">
            <v>0</v>
          </cell>
          <cell r="CK608">
            <v>0</v>
          </cell>
          <cell r="CL608">
            <v>0</v>
          </cell>
          <cell r="CM608">
            <v>0</v>
          </cell>
          <cell r="CO608">
            <v>0</v>
          </cell>
          <cell r="CP608">
            <v>0</v>
          </cell>
          <cell r="CQ608">
            <v>0</v>
          </cell>
          <cell r="CR608">
            <v>0</v>
          </cell>
          <cell r="CS608">
            <v>0</v>
          </cell>
          <cell r="CT608">
            <v>0</v>
          </cell>
          <cell r="CU608">
            <v>0</v>
          </cell>
          <cell r="CV608">
            <v>0</v>
          </cell>
          <cell r="CW608">
            <v>0</v>
          </cell>
          <cell r="CY608">
            <v>0</v>
          </cell>
          <cell r="CZ608">
            <v>0</v>
          </cell>
          <cell r="DA608">
            <v>0</v>
          </cell>
          <cell r="DB608">
            <v>0</v>
          </cell>
          <cell r="DC608">
            <v>0</v>
          </cell>
          <cell r="DD608">
            <v>0</v>
          </cell>
          <cell r="DE608">
            <v>0</v>
          </cell>
          <cell r="DF608">
            <v>0</v>
          </cell>
          <cell r="DG608">
            <v>0</v>
          </cell>
          <cell r="DI608">
            <v>0</v>
          </cell>
          <cell r="DJ608">
            <v>0</v>
          </cell>
          <cell r="DK608">
            <v>0</v>
          </cell>
          <cell r="DL608">
            <v>0</v>
          </cell>
          <cell r="DM608">
            <v>0</v>
          </cell>
          <cell r="DN608">
            <v>0</v>
          </cell>
          <cell r="DO608">
            <v>0</v>
          </cell>
          <cell r="DP608">
            <v>0</v>
          </cell>
          <cell r="DQ608">
            <v>0</v>
          </cell>
          <cell r="DR608">
            <v>0</v>
          </cell>
          <cell r="DS608">
            <v>0</v>
          </cell>
          <cell r="DT608">
            <v>0</v>
          </cell>
          <cell r="DU608">
            <v>0</v>
          </cell>
          <cell r="DW608">
            <v>0</v>
          </cell>
          <cell r="DX608">
            <v>0</v>
          </cell>
          <cell r="DY608">
            <v>0</v>
          </cell>
          <cell r="DZ608">
            <v>0</v>
          </cell>
          <cell r="EA608">
            <v>0</v>
          </cell>
          <cell r="EB608">
            <v>0</v>
          </cell>
          <cell r="EC608">
            <v>0</v>
          </cell>
          <cell r="ED608">
            <v>0</v>
          </cell>
          <cell r="EE608">
            <v>0</v>
          </cell>
          <cell r="EF608">
            <v>0</v>
          </cell>
          <cell r="EG608">
            <v>0</v>
          </cell>
          <cell r="EH608">
            <v>0</v>
          </cell>
          <cell r="EI608">
            <v>0</v>
          </cell>
          <cell r="EK608">
            <v>0</v>
          </cell>
          <cell r="EL608">
            <v>0</v>
          </cell>
          <cell r="EM608">
            <v>0</v>
          </cell>
          <cell r="EN608">
            <v>0</v>
          </cell>
          <cell r="EO608">
            <v>0</v>
          </cell>
          <cell r="EP608">
            <v>0</v>
          </cell>
          <cell r="EQ608">
            <v>0</v>
          </cell>
          <cell r="ER608">
            <v>0</v>
          </cell>
          <cell r="ES608">
            <v>0</v>
          </cell>
          <cell r="ET608">
            <v>0</v>
          </cell>
          <cell r="EU608">
            <v>0</v>
          </cell>
          <cell r="EV608">
            <v>0</v>
          </cell>
          <cell r="EW608">
            <v>0</v>
          </cell>
          <cell r="EY608">
            <v>0</v>
          </cell>
          <cell r="EZ608">
            <v>8</v>
          </cell>
          <cell r="FA608">
            <v>0</v>
          </cell>
          <cell r="FB608">
            <v>0</v>
          </cell>
          <cell r="FC608">
            <v>8.6</v>
          </cell>
          <cell r="FD608">
            <v>0</v>
          </cell>
          <cell r="FE608">
            <v>0</v>
          </cell>
          <cell r="FF608">
            <v>0</v>
          </cell>
          <cell r="FH608">
            <v>0</v>
          </cell>
        </row>
        <row r="609">
          <cell r="B609">
            <v>9731</v>
          </cell>
          <cell r="C609" t="str">
            <v>25.05.2010</v>
          </cell>
          <cell r="D609" t="str">
            <v>Barve Arun Ashok</v>
          </cell>
          <cell r="F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BA609">
            <v>0</v>
          </cell>
          <cell r="BB609">
            <v>0</v>
          </cell>
          <cell r="BC609">
            <v>0</v>
          </cell>
          <cell r="BD609">
            <v>0</v>
          </cell>
          <cell r="BE609">
            <v>0</v>
          </cell>
          <cell r="BF609">
            <v>0</v>
          </cell>
          <cell r="BG609">
            <v>0</v>
          </cell>
          <cell r="BH609">
            <v>0</v>
          </cell>
          <cell r="BI609">
            <v>0</v>
          </cell>
          <cell r="BK609">
            <v>0</v>
          </cell>
          <cell r="BL609">
            <v>0</v>
          </cell>
          <cell r="BM609">
            <v>0</v>
          </cell>
          <cell r="BN609">
            <v>0</v>
          </cell>
          <cell r="BO609">
            <v>0</v>
          </cell>
          <cell r="BP609">
            <v>0</v>
          </cell>
          <cell r="BQ609">
            <v>0</v>
          </cell>
          <cell r="BR609">
            <v>0</v>
          </cell>
          <cell r="BS609">
            <v>0</v>
          </cell>
          <cell r="BU609">
            <v>0</v>
          </cell>
          <cell r="BV609">
            <v>0</v>
          </cell>
          <cell r="BW609">
            <v>0</v>
          </cell>
          <cell r="BX609">
            <v>0</v>
          </cell>
          <cell r="BY609">
            <v>0</v>
          </cell>
          <cell r="BZ609">
            <v>0</v>
          </cell>
          <cell r="CA609">
            <v>0</v>
          </cell>
          <cell r="CB609">
            <v>0</v>
          </cell>
          <cell r="CC609">
            <v>0</v>
          </cell>
          <cell r="CE609">
            <v>0</v>
          </cell>
          <cell r="CF609">
            <v>0</v>
          </cell>
          <cell r="CG609">
            <v>0</v>
          </cell>
          <cell r="CH609">
            <v>0</v>
          </cell>
          <cell r="CI609">
            <v>0</v>
          </cell>
          <cell r="CJ609">
            <v>0</v>
          </cell>
          <cell r="CK609">
            <v>0</v>
          </cell>
          <cell r="CL609">
            <v>0</v>
          </cell>
          <cell r="CM609">
            <v>0</v>
          </cell>
          <cell r="CO609">
            <v>0</v>
          </cell>
          <cell r="CP609">
            <v>0</v>
          </cell>
          <cell r="CQ609">
            <v>0</v>
          </cell>
          <cell r="CR609">
            <v>0</v>
          </cell>
          <cell r="CS609">
            <v>0</v>
          </cell>
          <cell r="CT609">
            <v>0</v>
          </cell>
          <cell r="CU609">
            <v>0</v>
          </cell>
          <cell r="CV609">
            <v>0</v>
          </cell>
          <cell r="CW609">
            <v>0</v>
          </cell>
          <cell r="CY609">
            <v>0</v>
          </cell>
          <cell r="CZ609">
            <v>0</v>
          </cell>
          <cell r="DA609">
            <v>0</v>
          </cell>
          <cell r="DB609">
            <v>0</v>
          </cell>
          <cell r="DC609">
            <v>0</v>
          </cell>
          <cell r="DD609">
            <v>0</v>
          </cell>
          <cell r="DE609">
            <v>0</v>
          </cell>
          <cell r="DF609">
            <v>0</v>
          </cell>
          <cell r="DG609">
            <v>0</v>
          </cell>
          <cell r="DI609">
            <v>0</v>
          </cell>
          <cell r="DJ609">
            <v>0</v>
          </cell>
          <cell r="DK609">
            <v>0</v>
          </cell>
          <cell r="DL609">
            <v>0</v>
          </cell>
          <cell r="DM609">
            <v>0</v>
          </cell>
          <cell r="DN609">
            <v>0</v>
          </cell>
          <cell r="DO609">
            <v>0</v>
          </cell>
          <cell r="DP609">
            <v>0</v>
          </cell>
          <cell r="DQ609">
            <v>0</v>
          </cell>
          <cell r="DR609">
            <v>0</v>
          </cell>
          <cell r="DS609">
            <v>0</v>
          </cell>
          <cell r="DT609">
            <v>0</v>
          </cell>
          <cell r="DU609">
            <v>0</v>
          </cell>
          <cell r="DW609">
            <v>0</v>
          </cell>
          <cell r="DX609">
            <v>0</v>
          </cell>
          <cell r="DY609">
            <v>0</v>
          </cell>
          <cell r="DZ609">
            <v>0</v>
          </cell>
          <cell r="EA609">
            <v>0</v>
          </cell>
          <cell r="EB609">
            <v>0</v>
          </cell>
          <cell r="EC609">
            <v>0</v>
          </cell>
          <cell r="ED609">
            <v>0</v>
          </cell>
          <cell r="EE609">
            <v>0</v>
          </cell>
          <cell r="EF609">
            <v>0</v>
          </cell>
          <cell r="EG609">
            <v>0</v>
          </cell>
          <cell r="EH609">
            <v>0</v>
          </cell>
          <cell r="EI609">
            <v>0</v>
          </cell>
          <cell r="EK609">
            <v>0</v>
          </cell>
          <cell r="EL609">
            <v>0</v>
          </cell>
          <cell r="EM609">
            <v>0</v>
          </cell>
          <cell r="EN609">
            <v>0</v>
          </cell>
          <cell r="EO609">
            <v>0</v>
          </cell>
          <cell r="EP609">
            <v>0</v>
          </cell>
          <cell r="EQ609">
            <v>0</v>
          </cell>
          <cell r="ER609">
            <v>0</v>
          </cell>
          <cell r="ES609">
            <v>0</v>
          </cell>
          <cell r="ET609">
            <v>0</v>
          </cell>
          <cell r="EU609">
            <v>0</v>
          </cell>
          <cell r="EV609">
            <v>0</v>
          </cell>
          <cell r="EW609">
            <v>0</v>
          </cell>
          <cell r="EY609">
            <v>0</v>
          </cell>
          <cell r="EZ609">
            <v>8</v>
          </cell>
          <cell r="FA609">
            <v>0</v>
          </cell>
          <cell r="FB609">
            <v>0</v>
          </cell>
          <cell r="FC609">
            <v>8.6</v>
          </cell>
          <cell r="FD609">
            <v>0</v>
          </cell>
          <cell r="FE609">
            <v>0</v>
          </cell>
          <cell r="FF609">
            <v>0</v>
          </cell>
          <cell r="FH609">
            <v>0</v>
          </cell>
        </row>
        <row r="610">
          <cell r="B610">
            <v>9791</v>
          </cell>
          <cell r="C610" t="str">
            <v>25.05.2010</v>
          </cell>
          <cell r="D610" t="str">
            <v>Revar Dinesh Kishor</v>
          </cell>
          <cell r="F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BA610">
            <v>0</v>
          </cell>
          <cell r="BB610">
            <v>0</v>
          </cell>
          <cell r="BC610">
            <v>0</v>
          </cell>
          <cell r="BD610">
            <v>0</v>
          </cell>
          <cell r="BE610">
            <v>0</v>
          </cell>
          <cell r="BF610">
            <v>0</v>
          </cell>
          <cell r="BG610">
            <v>0</v>
          </cell>
          <cell r="BH610">
            <v>0</v>
          </cell>
          <cell r="BI610">
            <v>0</v>
          </cell>
          <cell r="BK610">
            <v>0</v>
          </cell>
          <cell r="BL610">
            <v>0</v>
          </cell>
          <cell r="BM610">
            <v>0</v>
          </cell>
          <cell r="BN610">
            <v>0</v>
          </cell>
          <cell r="BO610">
            <v>0</v>
          </cell>
          <cell r="BP610">
            <v>0</v>
          </cell>
          <cell r="BQ610">
            <v>0</v>
          </cell>
          <cell r="BR610">
            <v>0</v>
          </cell>
          <cell r="BS610">
            <v>0</v>
          </cell>
          <cell r="BU610">
            <v>0</v>
          </cell>
          <cell r="BV610">
            <v>0</v>
          </cell>
          <cell r="BW610">
            <v>0</v>
          </cell>
          <cell r="BX610">
            <v>0</v>
          </cell>
          <cell r="BY610">
            <v>0</v>
          </cell>
          <cell r="BZ610">
            <v>0</v>
          </cell>
          <cell r="CA610">
            <v>0</v>
          </cell>
          <cell r="CB610">
            <v>0</v>
          </cell>
          <cell r="CC610">
            <v>0</v>
          </cell>
          <cell r="CE610">
            <v>0</v>
          </cell>
          <cell r="CF610">
            <v>0</v>
          </cell>
          <cell r="CG610">
            <v>0</v>
          </cell>
          <cell r="CH610">
            <v>0</v>
          </cell>
          <cell r="CI610">
            <v>0</v>
          </cell>
          <cell r="CJ610">
            <v>0</v>
          </cell>
          <cell r="CK610">
            <v>0</v>
          </cell>
          <cell r="CL610">
            <v>0</v>
          </cell>
          <cell r="CM610">
            <v>0</v>
          </cell>
          <cell r="CO610">
            <v>0</v>
          </cell>
          <cell r="CP610">
            <v>0</v>
          </cell>
          <cell r="CQ610">
            <v>0</v>
          </cell>
          <cell r="CR610">
            <v>0</v>
          </cell>
          <cell r="CS610">
            <v>0</v>
          </cell>
          <cell r="CT610">
            <v>0</v>
          </cell>
          <cell r="CU610">
            <v>0</v>
          </cell>
          <cell r="CV610">
            <v>0</v>
          </cell>
          <cell r="CW610">
            <v>0</v>
          </cell>
          <cell r="CY610">
            <v>0</v>
          </cell>
          <cell r="CZ610">
            <v>0</v>
          </cell>
          <cell r="DA610">
            <v>0</v>
          </cell>
          <cell r="DB610">
            <v>0</v>
          </cell>
          <cell r="DC610">
            <v>0</v>
          </cell>
          <cell r="DD610">
            <v>0</v>
          </cell>
          <cell r="DE610">
            <v>0</v>
          </cell>
          <cell r="DF610">
            <v>0</v>
          </cell>
          <cell r="DG610">
            <v>0</v>
          </cell>
          <cell r="DI610">
            <v>0</v>
          </cell>
          <cell r="DJ610">
            <v>0</v>
          </cell>
          <cell r="DK610">
            <v>0</v>
          </cell>
          <cell r="DL610">
            <v>0</v>
          </cell>
          <cell r="DM610">
            <v>0</v>
          </cell>
          <cell r="DN610">
            <v>0</v>
          </cell>
          <cell r="DO610">
            <v>0</v>
          </cell>
          <cell r="DP610">
            <v>0</v>
          </cell>
          <cell r="DQ610">
            <v>0</v>
          </cell>
          <cell r="DR610">
            <v>0</v>
          </cell>
          <cell r="DS610">
            <v>0</v>
          </cell>
          <cell r="DT610">
            <v>0</v>
          </cell>
          <cell r="DU610">
            <v>0</v>
          </cell>
          <cell r="DW610">
            <v>0</v>
          </cell>
          <cell r="DX610">
            <v>0</v>
          </cell>
          <cell r="DY610">
            <v>0</v>
          </cell>
          <cell r="DZ610">
            <v>0</v>
          </cell>
          <cell r="EA610">
            <v>0</v>
          </cell>
          <cell r="EB610">
            <v>0</v>
          </cell>
          <cell r="EC610">
            <v>0</v>
          </cell>
          <cell r="ED610">
            <v>0</v>
          </cell>
          <cell r="EE610">
            <v>0</v>
          </cell>
          <cell r="EF610">
            <v>0</v>
          </cell>
          <cell r="EG610">
            <v>0</v>
          </cell>
          <cell r="EH610">
            <v>0</v>
          </cell>
          <cell r="EI610">
            <v>0</v>
          </cell>
          <cell r="EK610">
            <v>0</v>
          </cell>
          <cell r="EL610">
            <v>0</v>
          </cell>
          <cell r="EM610">
            <v>0</v>
          </cell>
          <cell r="EN610">
            <v>0</v>
          </cell>
          <cell r="EO610">
            <v>0</v>
          </cell>
          <cell r="EP610">
            <v>0</v>
          </cell>
          <cell r="EQ610">
            <v>0</v>
          </cell>
          <cell r="ER610">
            <v>0</v>
          </cell>
          <cell r="ES610">
            <v>0</v>
          </cell>
          <cell r="ET610">
            <v>0</v>
          </cell>
          <cell r="EU610">
            <v>0</v>
          </cell>
          <cell r="EV610">
            <v>0</v>
          </cell>
          <cell r="EW610">
            <v>0</v>
          </cell>
          <cell r="EY610">
            <v>0</v>
          </cell>
          <cell r="EZ610">
            <v>8</v>
          </cell>
          <cell r="FA610">
            <v>0</v>
          </cell>
          <cell r="FB610">
            <v>0</v>
          </cell>
          <cell r="FC610">
            <v>8.6</v>
          </cell>
          <cell r="FD610">
            <v>0</v>
          </cell>
          <cell r="FE610">
            <v>0</v>
          </cell>
          <cell r="FF610">
            <v>0</v>
          </cell>
          <cell r="FH610">
            <v>0</v>
          </cell>
        </row>
        <row r="611">
          <cell r="B611">
            <v>9739</v>
          </cell>
          <cell r="C611" t="str">
            <v>31.05.2010</v>
          </cell>
          <cell r="D611" t="str">
            <v>Bagul Pramod Laxman</v>
          </cell>
          <cell r="F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BA611">
            <v>0</v>
          </cell>
          <cell r="BB611">
            <v>0</v>
          </cell>
          <cell r="BC611">
            <v>0</v>
          </cell>
          <cell r="BD611">
            <v>0</v>
          </cell>
          <cell r="BE611">
            <v>0</v>
          </cell>
          <cell r="BF611">
            <v>0</v>
          </cell>
          <cell r="BG611">
            <v>0</v>
          </cell>
          <cell r="BH611">
            <v>0</v>
          </cell>
          <cell r="BI611">
            <v>0</v>
          </cell>
          <cell r="BK611">
            <v>0</v>
          </cell>
          <cell r="BL611">
            <v>0</v>
          </cell>
          <cell r="BM611">
            <v>0</v>
          </cell>
          <cell r="BN611">
            <v>0</v>
          </cell>
          <cell r="BO611">
            <v>0</v>
          </cell>
          <cell r="BP611">
            <v>0</v>
          </cell>
          <cell r="BQ611">
            <v>0</v>
          </cell>
          <cell r="BR611">
            <v>0</v>
          </cell>
          <cell r="BS611">
            <v>0</v>
          </cell>
          <cell r="BU611">
            <v>0</v>
          </cell>
          <cell r="BV611">
            <v>0</v>
          </cell>
          <cell r="BW611">
            <v>0</v>
          </cell>
          <cell r="BX611">
            <v>0</v>
          </cell>
          <cell r="BY611">
            <v>0</v>
          </cell>
          <cell r="BZ611">
            <v>0</v>
          </cell>
          <cell r="CA611">
            <v>0</v>
          </cell>
          <cell r="CB611">
            <v>0</v>
          </cell>
          <cell r="CC611">
            <v>0</v>
          </cell>
          <cell r="CE611">
            <v>0</v>
          </cell>
          <cell r="CF611">
            <v>0</v>
          </cell>
          <cell r="CG611">
            <v>0</v>
          </cell>
          <cell r="CH611">
            <v>0</v>
          </cell>
          <cell r="CI611">
            <v>0</v>
          </cell>
          <cell r="CJ611">
            <v>0</v>
          </cell>
          <cell r="CK611">
            <v>0</v>
          </cell>
          <cell r="CL611">
            <v>0</v>
          </cell>
          <cell r="CM611">
            <v>0</v>
          </cell>
          <cell r="CO611">
            <v>0</v>
          </cell>
          <cell r="CP611">
            <v>0</v>
          </cell>
          <cell r="CQ611">
            <v>0</v>
          </cell>
          <cell r="CR611">
            <v>0</v>
          </cell>
          <cell r="CS611">
            <v>0</v>
          </cell>
          <cell r="CT611">
            <v>0</v>
          </cell>
          <cell r="CU611">
            <v>0</v>
          </cell>
          <cell r="CV611">
            <v>0</v>
          </cell>
          <cell r="CW611">
            <v>0</v>
          </cell>
          <cell r="CY611">
            <v>0</v>
          </cell>
          <cell r="CZ611">
            <v>0</v>
          </cell>
          <cell r="DA611">
            <v>0</v>
          </cell>
          <cell r="DB611">
            <v>0</v>
          </cell>
          <cell r="DC611">
            <v>0</v>
          </cell>
          <cell r="DD611">
            <v>0</v>
          </cell>
          <cell r="DE611">
            <v>0</v>
          </cell>
          <cell r="DF611">
            <v>0</v>
          </cell>
          <cell r="DG611">
            <v>0</v>
          </cell>
          <cell r="DI611">
            <v>0</v>
          </cell>
          <cell r="DJ611">
            <v>0</v>
          </cell>
          <cell r="DK611">
            <v>0</v>
          </cell>
          <cell r="DL611">
            <v>0</v>
          </cell>
          <cell r="DM611">
            <v>0</v>
          </cell>
          <cell r="DN611">
            <v>0</v>
          </cell>
          <cell r="DO611">
            <v>0</v>
          </cell>
          <cell r="DP611">
            <v>0</v>
          </cell>
          <cell r="DQ611">
            <v>0</v>
          </cell>
          <cell r="DR611">
            <v>0</v>
          </cell>
          <cell r="DS611">
            <v>0</v>
          </cell>
          <cell r="DT611">
            <v>0</v>
          </cell>
          <cell r="DU611">
            <v>0</v>
          </cell>
          <cell r="DW611">
            <v>0</v>
          </cell>
          <cell r="DX611">
            <v>0</v>
          </cell>
          <cell r="DY611">
            <v>0</v>
          </cell>
          <cell r="DZ611">
            <v>0</v>
          </cell>
          <cell r="EA611">
            <v>0</v>
          </cell>
          <cell r="EB611">
            <v>0</v>
          </cell>
          <cell r="EC611">
            <v>0</v>
          </cell>
          <cell r="ED611">
            <v>0</v>
          </cell>
          <cell r="EE611">
            <v>0</v>
          </cell>
          <cell r="EF611">
            <v>0</v>
          </cell>
          <cell r="EG611">
            <v>0</v>
          </cell>
          <cell r="EH611">
            <v>0</v>
          </cell>
          <cell r="EI611">
            <v>0</v>
          </cell>
          <cell r="EK611">
            <v>0</v>
          </cell>
          <cell r="EL611">
            <v>0</v>
          </cell>
          <cell r="EM611">
            <v>0</v>
          </cell>
          <cell r="EN611">
            <v>0</v>
          </cell>
          <cell r="EO611">
            <v>0</v>
          </cell>
          <cell r="EP611">
            <v>0</v>
          </cell>
          <cell r="EQ611">
            <v>0</v>
          </cell>
          <cell r="ER611">
            <v>0</v>
          </cell>
          <cell r="ES611">
            <v>0</v>
          </cell>
          <cell r="ET611">
            <v>0</v>
          </cell>
          <cell r="EU611">
            <v>0</v>
          </cell>
          <cell r="EV611">
            <v>0</v>
          </cell>
          <cell r="EW611">
            <v>0</v>
          </cell>
          <cell r="EY611">
            <v>0</v>
          </cell>
          <cell r="EZ611">
            <v>8</v>
          </cell>
          <cell r="FA611">
            <v>0</v>
          </cell>
          <cell r="FB611">
            <v>0</v>
          </cell>
          <cell r="FC611">
            <v>8.6</v>
          </cell>
          <cell r="FD611">
            <v>0</v>
          </cell>
          <cell r="FE611">
            <v>0</v>
          </cell>
          <cell r="FF611">
            <v>0</v>
          </cell>
          <cell r="FH611">
            <v>0</v>
          </cell>
        </row>
        <row r="612">
          <cell r="B612">
            <v>9759</v>
          </cell>
          <cell r="C612" t="str">
            <v>31.05.2010</v>
          </cell>
          <cell r="D612" t="str">
            <v>Salve Santosh Balu</v>
          </cell>
          <cell r="F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BA612">
            <v>0</v>
          </cell>
          <cell r="BB612">
            <v>0</v>
          </cell>
          <cell r="BC612">
            <v>0</v>
          </cell>
          <cell r="BD612">
            <v>0</v>
          </cell>
          <cell r="BE612">
            <v>0</v>
          </cell>
          <cell r="BF612">
            <v>0</v>
          </cell>
          <cell r="BG612">
            <v>0</v>
          </cell>
          <cell r="BH612">
            <v>0</v>
          </cell>
          <cell r="BI612">
            <v>0</v>
          </cell>
          <cell r="BK612">
            <v>0</v>
          </cell>
          <cell r="BL612">
            <v>0</v>
          </cell>
          <cell r="BM612">
            <v>0</v>
          </cell>
          <cell r="BN612">
            <v>0</v>
          </cell>
          <cell r="BO612">
            <v>0</v>
          </cell>
          <cell r="BP612">
            <v>0</v>
          </cell>
          <cell r="BQ612">
            <v>0</v>
          </cell>
          <cell r="BR612">
            <v>0</v>
          </cell>
          <cell r="BS612">
            <v>0</v>
          </cell>
          <cell r="BU612">
            <v>0</v>
          </cell>
          <cell r="BV612">
            <v>0</v>
          </cell>
          <cell r="BW612">
            <v>0</v>
          </cell>
          <cell r="BX612">
            <v>0</v>
          </cell>
          <cell r="BY612">
            <v>0</v>
          </cell>
          <cell r="BZ612">
            <v>0</v>
          </cell>
          <cell r="CA612">
            <v>0</v>
          </cell>
          <cell r="CB612">
            <v>0</v>
          </cell>
          <cell r="CC612">
            <v>0</v>
          </cell>
          <cell r="CE612">
            <v>0</v>
          </cell>
          <cell r="CF612">
            <v>0</v>
          </cell>
          <cell r="CG612">
            <v>0</v>
          </cell>
          <cell r="CH612">
            <v>0</v>
          </cell>
          <cell r="CI612">
            <v>0</v>
          </cell>
          <cell r="CJ612">
            <v>0</v>
          </cell>
          <cell r="CK612">
            <v>0</v>
          </cell>
          <cell r="CL612">
            <v>0</v>
          </cell>
          <cell r="CM612">
            <v>0</v>
          </cell>
          <cell r="CO612">
            <v>0</v>
          </cell>
          <cell r="CP612">
            <v>0</v>
          </cell>
          <cell r="CQ612">
            <v>0</v>
          </cell>
          <cell r="CR612">
            <v>0</v>
          </cell>
          <cell r="CS612">
            <v>0</v>
          </cell>
          <cell r="CT612">
            <v>0</v>
          </cell>
          <cell r="CU612">
            <v>0</v>
          </cell>
          <cell r="CV612">
            <v>0</v>
          </cell>
          <cell r="CW612">
            <v>0</v>
          </cell>
          <cell r="CY612">
            <v>0</v>
          </cell>
          <cell r="CZ612">
            <v>0</v>
          </cell>
          <cell r="DA612">
            <v>0</v>
          </cell>
          <cell r="DB612">
            <v>0</v>
          </cell>
          <cell r="DC612">
            <v>0</v>
          </cell>
          <cell r="DD612">
            <v>0</v>
          </cell>
          <cell r="DE612">
            <v>0</v>
          </cell>
          <cell r="DF612">
            <v>0</v>
          </cell>
          <cell r="DG612">
            <v>0</v>
          </cell>
          <cell r="DI612">
            <v>0</v>
          </cell>
          <cell r="DJ612">
            <v>0</v>
          </cell>
          <cell r="DK612">
            <v>0</v>
          </cell>
          <cell r="DL612">
            <v>0</v>
          </cell>
          <cell r="DM612">
            <v>0</v>
          </cell>
          <cell r="DN612">
            <v>0</v>
          </cell>
          <cell r="DO612">
            <v>0</v>
          </cell>
          <cell r="DP612">
            <v>0</v>
          </cell>
          <cell r="DQ612">
            <v>0</v>
          </cell>
          <cell r="DR612">
            <v>0</v>
          </cell>
          <cell r="DS612">
            <v>0</v>
          </cell>
          <cell r="DT612">
            <v>0</v>
          </cell>
          <cell r="DU612">
            <v>0</v>
          </cell>
          <cell r="DW612">
            <v>0</v>
          </cell>
          <cell r="DX612">
            <v>0</v>
          </cell>
          <cell r="DY612">
            <v>0</v>
          </cell>
          <cell r="DZ612">
            <v>0</v>
          </cell>
          <cell r="EA612">
            <v>0</v>
          </cell>
          <cell r="EB612">
            <v>0</v>
          </cell>
          <cell r="EC612">
            <v>0</v>
          </cell>
          <cell r="ED612">
            <v>0</v>
          </cell>
          <cell r="EE612">
            <v>0</v>
          </cell>
          <cell r="EF612">
            <v>0</v>
          </cell>
          <cell r="EG612">
            <v>0</v>
          </cell>
          <cell r="EH612">
            <v>0</v>
          </cell>
          <cell r="EI612">
            <v>0</v>
          </cell>
          <cell r="EK612">
            <v>0</v>
          </cell>
          <cell r="EL612">
            <v>0</v>
          </cell>
          <cell r="EM612">
            <v>0</v>
          </cell>
          <cell r="EN612">
            <v>0</v>
          </cell>
          <cell r="EO612">
            <v>0</v>
          </cell>
          <cell r="EP612">
            <v>0</v>
          </cell>
          <cell r="EQ612">
            <v>0</v>
          </cell>
          <cell r="ER612">
            <v>0</v>
          </cell>
          <cell r="ES612">
            <v>0</v>
          </cell>
          <cell r="ET612">
            <v>0</v>
          </cell>
          <cell r="EU612">
            <v>0</v>
          </cell>
          <cell r="EV612">
            <v>0</v>
          </cell>
          <cell r="EW612">
            <v>0</v>
          </cell>
          <cell r="EY612">
            <v>0</v>
          </cell>
          <cell r="EZ612">
            <v>8</v>
          </cell>
          <cell r="FA612">
            <v>0</v>
          </cell>
          <cell r="FB612">
            <v>0</v>
          </cell>
          <cell r="FC612">
            <v>8.6</v>
          </cell>
          <cell r="FD612">
            <v>0</v>
          </cell>
          <cell r="FE612">
            <v>0</v>
          </cell>
          <cell r="FF612">
            <v>0</v>
          </cell>
          <cell r="FH612">
            <v>0</v>
          </cell>
        </row>
        <row r="613">
          <cell r="B613">
            <v>9781</v>
          </cell>
          <cell r="C613" t="str">
            <v>01.06.2010</v>
          </cell>
          <cell r="D613" t="str">
            <v>Kagda Vinit Subhash</v>
          </cell>
          <cell r="F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BA613">
            <v>0</v>
          </cell>
          <cell r="BB613">
            <v>0</v>
          </cell>
          <cell r="BC613">
            <v>0</v>
          </cell>
          <cell r="BD613">
            <v>0</v>
          </cell>
          <cell r="BE613">
            <v>0</v>
          </cell>
          <cell r="BF613">
            <v>0</v>
          </cell>
          <cell r="BG613">
            <v>0</v>
          </cell>
          <cell r="BH613">
            <v>0</v>
          </cell>
          <cell r="BI613">
            <v>0</v>
          </cell>
          <cell r="BK613">
            <v>0</v>
          </cell>
          <cell r="BL613">
            <v>0</v>
          </cell>
          <cell r="BM613">
            <v>0</v>
          </cell>
          <cell r="BN613">
            <v>0</v>
          </cell>
          <cell r="BO613">
            <v>0</v>
          </cell>
          <cell r="BP613">
            <v>0</v>
          </cell>
          <cell r="BQ613">
            <v>0</v>
          </cell>
          <cell r="BR613">
            <v>0</v>
          </cell>
          <cell r="BS613">
            <v>0</v>
          </cell>
          <cell r="BU613">
            <v>0</v>
          </cell>
          <cell r="BV613">
            <v>0</v>
          </cell>
          <cell r="BW613">
            <v>0</v>
          </cell>
          <cell r="BX613">
            <v>0</v>
          </cell>
          <cell r="BY613">
            <v>0</v>
          </cell>
          <cell r="BZ613">
            <v>0</v>
          </cell>
          <cell r="CA613">
            <v>0</v>
          </cell>
          <cell r="CB613">
            <v>0</v>
          </cell>
          <cell r="CC613">
            <v>0</v>
          </cell>
          <cell r="CE613">
            <v>0</v>
          </cell>
          <cell r="CF613">
            <v>0</v>
          </cell>
          <cell r="CG613">
            <v>0</v>
          </cell>
          <cell r="CH613">
            <v>0</v>
          </cell>
          <cell r="CI613">
            <v>0</v>
          </cell>
          <cell r="CJ613">
            <v>0</v>
          </cell>
          <cell r="CK613">
            <v>0</v>
          </cell>
          <cell r="CL613">
            <v>0</v>
          </cell>
          <cell r="CM613">
            <v>0</v>
          </cell>
          <cell r="CO613">
            <v>0</v>
          </cell>
          <cell r="CP613">
            <v>0</v>
          </cell>
          <cell r="CQ613">
            <v>0</v>
          </cell>
          <cell r="CR613">
            <v>0</v>
          </cell>
          <cell r="CS613">
            <v>0</v>
          </cell>
          <cell r="CT613">
            <v>0</v>
          </cell>
          <cell r="CU613">
            <v>0</v>
          </cell>
          <cell r="CV613">
            <v>0</v>
          </cell>
          <cell r="CW613">
            <v>0</v>
          </cell>
          <cell r="CY613">
            <v>0</v>
          </cell>
          <cell r="CZ613">
            <v>0</v>
          </cell>
          <cell r="DA613">
            <v>0</v>
          </cell>
          <cell r="DB613">
            <v>0</v>
          </cell>
          <cell r="DC613">
            <v>0</v>
          </cell>
          <cell r="DD613">
            <v>0</v>
          </cell>
          <cell r="DE613">
            <v>0</v>
          </cell>
          <cell r="DF613">
            <v>0</v>
          </cell>
          <cell r="DG613">
            <v>0</v>
          </cell>
          <cell r="DI613">
            <v>0</v>
          </cell>
          <cell r="DJ613">
            <v>0</v>
          </cell>
          <cell r="DK613">
            <v>0</v>
          </cell>
          <cell r="DL613">
            <v>0</v>
          </cell>
          <cell r="DM613">
            <v>0</v>
          </cell>
          <cell r="DN613">
            <v>0</v>
          </cell>
          <cell r="DO613">
            <v>0</v>
          </cell>
          <cell r="DP613">
            <v>0</v>
          </cell>
          <cell r="DQ613">
            <v>0</v>
          </cell>
          <cell r="DR613">
            <v>0</v>
          </cell>
          <cell r="DS613">
            <v>0</v>
          </cell>
          <cell r="DT613">
            <v>0</v>
          </cell>
          <cell r="DU613">
            <v>0</v>
          </cell>
          <cell r="DW613">
            <v>0</v>
          </cell>
          <cell r="DX613">
            <v>0</v>
          </cell>
          <cell r="DY613">
            <v>0</v>
          </cell>
          <cell r="DZ613">
            <v>0</v>
          </cell>
          <cell r="EA613">
            <v>0</v>
          </cell>
          <cell r="EB613">
            <v>0</v>
          </cell>
          <cell r="EC613">
            <v>0</v>
          </cell>
          <cell r="ED613">
            <v>0</v>
          </cell>
          <cell r="EE613">
            <v>0</v>
          </cell>
          <cell r="EF613">
            <v>0</v>
          </cell>
          <cell r="EG613">
            <v>0</v>
          </cell>
          <cell r="EH613">
            <v>0</v>
          </cell>
          <cell r="EI613">
            <v>0</v>
          </cell>
          <cell r="EK613">
            <v>0</v>
          </cell>
          <cell r="EL613">
            <v>0</v>
          </cell>
          <cell r="EM613">
            <v>0</v>
          </cell>
          <cell r="EN613">
            <v>0</v>
          </cell>
          <cell r="EO613">
            <v>0</v>
          </cell>
          <cell r="EP613">
            <v>0</v>
          </cell>
          <cell r="EQ613">
            <v>0</v>
          </cell>
          <cell r="ER613">
            <v>0</v>
          </cell>
          <cell r="ES613">
            <v>0</v>
          </cell>
          <cell r="ET613">
            <v>0</v>
          </cell>
          <cell r="EU613">
            <v>0</v>
          </cell>
          <cell r="EV613">
            <v>0</v>
          </cell>
          <cell r="EW613">
            <v>0</v>
          </cell>
          <cell r="EY613">
            <v>0</v>
          </cell>
          <cell r="EZ613">
            <v>8</v>
          </cell>
          <cell r="FA613">
            <v>0</v>
          </cell>
          <cell r="FB613">
            <v>0</v>
          </cell>
          <cell r="FC613">
            <v>8.6</v>
          </cell>
          <cell r="FD613">
            <v>0</v>
          </cell>
          <cell r="FE613">
            <v>0</v>
          </cell>
          <cell r="FF613">
            <v>0</v>
          </cell>
          <cell r="FH613">
            <v>0</v>
          </cell>
        </row>
        <row r="614">
          <cell r="B614">
            <v>9780</v>
          </cell>
          <cell r="C614" t="str">
            <v>05.06.2010</v>
          </cell>
          <cell r="D614" t="str">
            <v>Kagda Chaya Rohidas</v>
          </cell>
          <cell r="F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BA614">
            <v>0</v>
          </cell>
          <cell r="BB614">
            <v>0</v>
          </cell>
          <cell r="BC614">
            <v>0</v>
          </cell>
          <cell r="BD614">
            <v>0</v>
          </cell>
          <cell r="BE614">
            <v>0</v>
          </cell>
          <cell r="BF614">
            <v>0</v>
          </cell>
          <cell r="BG614">
            <v>0</v>
          </cell>
          <cell r="BH614">
            <v>0</v>
          </cell>
          <cell r="BI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0</v>
          </cell>
          <cell r="BP614">
            <v>0</v>
          </cell>
          <cell r="BQ614">
            <v>0</v>
          </cell>
          <cell r="BR614">
            <v>0</v>
          </cell>
          <cell r="BS614">
            <v>0</v>
          </cell>
          <cell r="BU614">
            <v>0</v>
          </cell>
          <cell r="BV614">
            <v>0</v>
          </cell>
          <cell r="BW614">
            <v>0</v>
          </cell>
          <cell r="BX614">
            <v>0</v>
          </cell>
          <cell r="BY614">
            <v>0</v>
          </cell>
          <cell r="BZ614">
            <v>0</v>
          </cell>
          <cell r="CA614">
            <v>0</v>
          </cell>
          <cell r="CB614">
            <v>0</v>
          </cell>
          <cell r="CC614">
            <v>0</v>
          </cell>
          <cell r="CE614">
            <v>0</v>
          </cell>
          <cell r="CF614">
            <v>0</v>
          </cell>
          <cell r="CG614">
            <v>0</v>
          </cell>
          <cell r="CH614">
            <v>0</v>
          </cell>
          <cell r="CI614">
            <v>0</v>
          </cell>
          <cell r="CJ614">
            <v>0</v>
          </cell>
          <cell r="CK614">
            <v>0</v>
          </cell>
          <cell r="CL614">
            <v>0</v>
          </cell>
          <cell r="CM614">
            <v>0</v>
          </cell>
          <cell r="CO614">
            <v>0</v>
          </cell>
          <cell r="CP614">
            <v>0</v>
          </cell>
          <cell r="CQ614">
            <v>0</v>
          </cell>
          <cell r="CR614">
            <v>0</v>
          </cell>
          <cell r="CS614">
            <v>0</v>
          </cell>
          <cell r="CT614">
            <v>0</v>
          </cell>
          <cell r="CU614">
            <v>0</v>
          </cell>
          <cell r="CV614">
            <v>0</v>
          </cell>
          <cell r="CW614">
            <v>0</v>
          </cell>
          <cell r="CY614">
            <v>0</v>
          </cell>
          <cell r="CZ614">
            <v>0</v>
          </cell>
          <cell r="DA614">
            <v>0</v>
          </cell>
          <cell r="DB614">
            <v>0</v>
          </cell>
          <cell r="DC614">
            <v>0</v>
          </cell>
          <cell r="DD614">
            <v>0</v>
          </cell>
          <cell r="DE614">
            <v>0</v>
          </cell>
          <cell r="DF614">
            <v>0</v>
          </cell>
          <cell r="DG614">
            <v>0</v>
          </cell>
          <cell r="DI614">
            <v>0</v>
          </cell>
          <cell r="DJ614">
            <v>0</v>
          </cell>
          <cell r="DK614">
            <v>0</v>
          </cell>
          <cell r="DL614">
            <v>0</v>
          </cell>
          <cell r="DM614">
            <v>0</v>
          </cell>
          <cell r="DN614">
            <v>0</v>
          </cell>
          <cell r="DO614">
            <v>0</v>
          </cell>
          <cell r="DP614">
            <v>0</v>
          </cell>
          <cell r="DQ614">
            <v>0</v>
          </cell>
          <cell r="DR614">
            <v>0</v>
          </cell>
          <cell r="DS614">
            <v>0</v>
          </cell>
          <cell r="DT614">
            <v>0</v>
          </cell>
          <cell r="DU614">
            <v>0</v>
          </cell>
          <cell r="DW614">
            <v>0</v>
          </cell>
          <cell r="DX614">
            <v>0</v>
          </cell>
          <cell r="DY614">
            <v>0</v>
          </cell>
          <cell r="DZ614">
            <v>0</v>
          </cell>
          <cell r="EA614">
            <v>0</v>
          </cell>
          <cell r="EB614">
            <v>0</v>
          </cell>
          <cell r="EC614">
            <v>0</v>
          </cell>
          <cell r="ED614">
            <v>0</v>
          </cell>
          <cell r="EE614">
            <v>0</v>
          </cell>
          <cell r="EF614">
            <v>0</v>
          </cell>
          <cell r="EG614">
            <v>0</v>
          </cell>
          <cell r="EH614">
            <v>0</v>
          </cell>
          <cell r="EI614">
            <v>0</v>
          </cell>
          <cell r="EK614">
            <v>0</v>
          </cell>
          <cell r="EL614">
            <v>0</v>
          </cell>
          <cell r="EM614">
            <v>0</v>
          </cell>
          <cell r="EN614">
            <v>0</v>
          </cell>
          <cell r="EO614">
            <v>0</v>
          </cell>
          <cell r="EP614">
            <v>0</v>
          </cell>
          <cell r="EQ614">
            <v>0</v>
          </cell>
          <cell r="ER614">
            <v>0</v>
          </cell>
          <cell r="ES614">
            <v>0</v>
          </cell>
          <cell r="ET614">
            <v>0</v>
          </cell>
          <cell r="EU614">
            <v>0</v>
          </cell>
          <cell r="EV614">
            <v>0</v>
          </cell>
          <cell r="EW614">
            <v>0</v>
          </cell>
          <cell r="EY614">
            <v>0</v>
          </cell>
          <cell r="EZ614">
            <v>8</v>
          </cell>
          <cell r="FA614">
            <v>0</v>
          </cell>
          <cell r="FB614">
            <v>0</v>
          </cell>
          <cell r="FC614">
            <v>8.6</v>
          </cell>
          <cell r="FD614">
            <v>0</v>
          </cell>
          <cell r="FE614">
            <v>0</v>
          </cell>
          <cell r="FF614">
            <v>0</v>
          </cell>
          <cell r="FH614">
            <v>0</v>
          </cell>
        </row>
        <row r="615">
          <cell r="B615">
            <v>9754</v>
          </cell>
          <cell r="C615" t="str">
            <v>07.06.2010</v>
          </cell>
          <cell r="D615" t="str">
            <v>Dhengale Yogita Santosh</v>
          </cell>
          <cell r="F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BA615">
            <v>0</v>
          </cell>
          <cell r="BB615">
            <v>0</v>
          </cell>
          <cell r="BC615">
            <v>0</v>
          </cell>
          <cell r="BD615">
            <v>0</v>
          </cell>
          <cell r="BE615">
            <v>0</v>
          </cell>
          <cell r="BF615">
            <v>0</v>
          </cell>
          <cell r="BG615">
            <v>0</v>
          </cell>
          <cell r="BH615">
            <v>0</v>
          </cell>
          <cell r="BI615">
            <v>0</v>
          </cell>
          <cell r="BK615">
            <v>0</v>
          </cell>
          <cell r="BL615">
            <v>0</v>
          </cell>
          <cell r="BM615">
            <v>0</v>
          </cell>
          <cell r="BN615">
            <v>0</v>
          </cell>
          <cell r="BO615">
            <v>0</v>
          </cell>
          <cell r="BP615">
            <v>0</v>
          </cell>
          <cell r="BQ615">
            <v>0</v>
          </cell>
          <cell r="BR615">
            <v>0</v>
          </cell>
          <cell r="BS615">
            <v>0</v>
          </cell>
          <cell r="BU615">
            <v>0</v>
          </cell>
          <cell r="BV615">
            <v>0</v>
          </cell>
          <cell r="BW615">
            <v>0</v>
          </cell>
          <cell r="BX615">
            <v>0</v>
          </cell>
          <cell r="BY615">
            <v>0</v>
          </cell>
          <cell r="BZ615">
            <v>0</v>
          </cell>
          <cell r="CA615">
            <v>0</v>
          </cell>
          <cell r="CB615">
            <v>0</v>
          </cell>
          <cell r="CC615">
            <v>0</v>
          </cell>
          <cell r="CE615">
            <v>0</v>
          </cell>
          <cell r="CF615">
            <v>0</v>
          </cell>
          <cell r="CG615">
            <v>0</v>
          </cell>
          <cell r="CH615">
            <v>0</v>
          </cell>
          <cell r="CI615">
            <v>0</v>
          </cell>
          <cell r="CJ615">
            <v>0</v>
          </cell>
          <cell r="CK615">
            <v>0</v>
          </cell>
          <cell r="CL615">
            <v>0</v>
          </cell>
          <cell r="CM615">
            <v>0</v>
          </cell>
          <cell r="CO615">
            <v>0</v>
          </cell>
          <cell r="CP615">
            <v>0</v>
          </cell>
          <cell r="CQ615">
            <v>0</v>
          </cell>
          <cell r="CR615">
            <v>0</v>
          </cell>
          <cell r="CS615">
            <v>0</v>
          </cell>
          <cell r="CT615">
            <v>0</v>
          </cell>
          <cell r="CU615">
            <v>0</v>
          </cell>
          <cell r="CV615">
            <v>0</v>
          </cell>
          <cell r="CW615">
            <v>0</v>
          </cell>
          <cell r="CY615">
            <v>0</v>
          </cell>
          <cell r="CZ615">
            <v>0</v>
          </cell>
          <cell r="DA615">
            <v>0</v>
          </cell>
          <cell r="DB615">
            <v>0</v>
          </cell>
          <cell r="DC615">
            <v>0</v>
          </cell>
          <cell r="DD615">
            <v>0</v>
          </cell>
          <cell r="DE615">
            <v>0</v>
          </cell>
          <cell r="DF615">
            <v>0</v>
          </cell>
          <cell r="DG615">
            <v>0</v>
          </cell>
          <cell r="DI615">
            <v>0</v>
          </cell>
          <cell r="DJ615">
            <v>0</v>
          </cell>
          <cell r="DK615">
            <v>0</v>
          </cell>
          <cell r="DL615">
            <v>0</v>
          </cell>
          <cell r="DM615">
            <v>0</v>
          </cell>
          <cell r="DN615">
            <v>0</v>
          </cell>
          <cell r="DO615">
            <v>0</v>
          </cell>
          <cell r="DP615">
            <v>0</v>
          </cell>
          <cell r="DQ615">
            <v>0</v>
          </cell>
          <cell r="DR615">
            <v>0</v>
          </cell>
          <cell r="DS615">
            <v>0</v>
          </cell>
          <cell r="DT615">
            <v>0</v>
          </cell>
          <cell r="DU615">
            <v>0</v>
          </cell>
          <cell r="DW615">
            <v>0</v>
          </cell>
          <cell r="DX615">
            <v>0</v>
          </cell>
          <cell r="DY615">
            <v>0</v>
          </cell>
          <cell r="DZ615">
            <v>0</v>
          </cell>
          <cell r="EA615">
            <v>0</v>
          </cell>
          <cell r="EB615">
            <v>0</v>
          </cell>
          <cell r="EC615">
            <v>0</v>
          </cell>
          <cell r="ED615">
            <v>0</v>
          </cell>
          <cell r="EE615">
            <v>0</v>
          </cell>
          <cell r="EF615">
            <v>0</v>
          </cell>
          <cell r="EG615">
            <v>0</v>
          </cell>
          <cell r="EH615">
            <v>0</v>
          </cell>
          <cell r="EI615">
            <v>0</v>
          </cell>
          <cell r="EK615">
            <v>0</v>
          </cell>
          <cell r="EL615">
            <v>0</v>
          </cell>
          <cell r="EM615">
            <v>0</v>
          </cell>
          <cell r="EN615">
            <v>0</v>
          </cell>
          <cell r="EO615">
            <v>0</v>
          </cell>
          <cell r="EP615">
            <v>0</v>
          </cell>
          <cell r="EQ615">
            <v>0</v>
          </cell>
          <cell r="ER615">
            <v>0</v>
          </cell>
          <cell r="ES615">
            <v>0</v>
          </cell>
          <cell r="ET615">
            <v>0</v>
          </cell>
          <cell r="EU615">
            <v>0</v>
          </cell>
          <cell r="EV615">
            <v>0</v>
          </cell>
          <cell r="EW615">
            <v>0</v>
          </cell>
          <cell r="EY615">
            <v>0</v>
          </cell>
          <cell r="EZ615">
            <v>8</v>
          </cell>
          <cell r="FA615">
            <v>0</v>
          </cell>
          <cell r="FB615">
            <v>0</v>
          </cell>
          <cell r="FC615">
            <v>8.6</v>
          </cell>
          <cell r="FD615">
            <v>0</v>
          </cell>
          <cell r="FE615">
            <v>0</v>
          </cell>
          <cell r="FF615">
            <v>0</v>
          </cell>
          <cell r="FH615">
            <v>0</v>
          </cell>
        </row>
        <row r="616">
          <cell r="B616">
            <v>9750</v>
          </cell>
          <cell r="C616" t="str">
            <v>08.06.2010</v>
          </cell>
          <cell r="D616" t="str">
            <v>Pandav Jitendra Ramchandra</v>
          </cell>
          <cell r="F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BA616">
            <v>0</v>
          </cell>
          <cell r="BB616">
            <v>0</v>
          </cell>
          <cell r="BC616">
            <v>0</v>
          </cell>
          <cell r="BD616">
            <v>0</v>
          </cell>
          <cell r="BE616">
            <v>0</v>
          </cell>
          <cell r="BF616">
            <v>0</v>
          </cell>
          <cell r="BG616">
            <v>0</v>
          </cell>
          <cell r="BH616">
            <v>0</v>
          </cell>
          <cell r="BI616">
            <v>0</v>
          </cell>
          <cell r="BK616">
            <v>0</v>
          </cell>
          <cell r="BL616">
            <v>0</v>
          </cell>
          <cell r="BM616">
            <v>0</v>
          </cell>
          <cell r="BN616">
            <v>0</v>
          </cell>
          <cell r="BO616">
            <v>0</v>
          </cell>
          <cell r="BP616">
            <v>0</v>
          </cell>
          <cell r="BQ616">
            <v>0</v>
          </cell>
          <cell r="BR616">
            <v>0</v>
          </cell>
          <cell r="BS616">
            <v>0</v>
          </cell>
          <cell r="BU616">
            <v>0</v>
          </cell>
          <cell r="BV616">
            <v>0</v>
          </cell>
          <cell r="BW616">
            <v>0</v>
          </cell>
          <cell r="BX616">
            <v>0</v>
          </cell>
          <cell r="BY616">
            <v>0</v>
          </cell>
          <cell r="BZ616">
            <v>0</v>
          </cell>
          <cell r="CA616">
            <v>0</v>
          </cell>
          <cell r="CB616">
            <v>0</v>
          </cell>
          <cell r="CC616">
            <v>0</v>
          </cell>
          <cell r="CE616">
            <v>0</v>
          </cell>
          <cell r="CF616">
            <v>0</v>
          </cell>
          <cell r="CG616">
            <v>0</v>
          </cell>
          <cell r="CH616">
            <v>0</v>
          </cell>
          <cell r="CI616">
            <v>0</v>
          </cell>
          <cell r="CJ616">
            <v>0</v>
          </cell>
          <cell r="CK616">
            <v>0</v>
          </cell>
          <cell r="CL616">
            <v>0</v>
          </cell>
          <cell r="CM616">
            <v>0</v>
          </cell>
          <cell r="CO616">
            <v>0</v>
          </cell>
          <cell r="CP616">
            <v>0</v>
          </cell>
          <cell r="CQ616">
            <v>0</v>
          </cell>
          <cell r="CR616">
            <v>0</v>
          </cell>
          <cell r="CS616">
            <v>0</v>
          </cell>
          <cell r="CT616">
            <v>0</v>
          </cell>
          <cell r="CU616">
            <v>0</v>
          </cell>
          <cell r="CV616">
            <v>0</v>
          </cell>
          <cell r="CW616">
            <v>0</v>
          </cell>
          <cell r="CY616">
            <v>0</v>
          </cell>
          <cell r="CZ616">
            <v>0</v>
          </cell>
          <cell r="DA616">
            <v>0</v>
          </cell>
          <cell r="DB616">
            <v>0</v>
          </cell>
          <cell r="DC616">
            <v>0</v>
          </cell>
          <cell r="DD616">
            <v>0</v>
          </cell>
          <cell r="DE616">
            <v>0</v>
          </cell>
          <cell r="DF616">
            <v>0</v>
          </cell>
          <cell r="DG616">
            <v>0</v>
          </cell>
          <cell r="DI616">
            <v>0</v>
          </cell>
          <cell r="DJ616">
            <v>0</v>
          </cell>
          <cell r="DK616">
            <v>0</v>
          </cell>
          <cell r="DL616">
            <v>0</v>
          </cell>
          <cell r="DM616">
            <v>0</v>
          </cell>
          <cell r="DN616">
            <v>0</v>
          </cell>
          <cell r="DO616">
            <v>0</v>
          </cell>
          <cell r="DP616">
            <v>0</v>
          </cell>
          <cell r="DQ616">
            <v>0</v>
          </cell>
          <cell r="DR616">
            <v>0</v>
          </cell>
          <cell r="DS616">
            <v>0</v>
          </cell>
          <cell r="DT616">
            <v>0</v>
          </cell>
          <cell r="DU616">
            <v>0</v>
          </cell>
          <cell r="DW616">
            <v>0</v>
          </cell>
          <cell r="DX616">
            <v>0</v>
          </cell>
          <cell r="DY616">
            <v>0</v>
          </cell>
          <cell r="DZ616">
            <v>0</v>
          </cell>
          <cell r="EA616">
            <v>0</v>
          </cell>
          <cell r="EB616">
            <v>0</v>
          </cell>
          <cell r="EC616">
            <v>0</v>
          </cell>
          <cell r="ED616">
            <v>0</v>
          </cell>
          <cell r="EE616">
            <v>0</v>
          </cell>
          <cell r="EF616">
            <v>0</v>
          </cell>
          <cell r="EG616">
            <v>0</v>
          </cell>
          <cell r="EH616">
            <v>0</v>
          </cell>
          <cell r="EI616">
            <v>0</v>
          </cell>
          <cell r="EK616">
            <v>0</v>
          </cell>
          <cell r="EL616">
            <v>0</v>
          </cell>
          <cell r="EM616">
            <v>0</v>
          </cell>
          <cell r="EN616">
            <v>0</v>
          </cell>
          <cell r="EO616">
            <v>0</v>
          </cell>
          <cell r="EP616">
            <v>0</v>
          </cell>
          <cell r="EQ616">
            <v>0</v>
          </cell>
          <cell r="ER616">
            <v>0</v>
          </cell>
          <cell r="ES616">
            <v>0</v>
          </cell>
          <cell r="ET616">
            <v>0</v>
          </cell>
          <cell r="EU616">
            <v>0</v>
          </cell>
          <cell r="EV616">
            <v>0</v>
          </cell>
          <cell r="EW616">
            <v>0</v>
          </cell>
          <cell r="EY616">
            <v>0</v>
          </cell>
          <cell r="EZ616">
            <v>8</v>
          </cell>
          <cell r="FA616">
            <v>0</v>
          </cell>
          <cell r="FB616">
            <v>0</v>
          </cell>
          <cell r="FC616">
            <v>8.6</v>
          </cell>
          <cell r="FD616">
            <v>0</v>
          </cell>
          <cell r="FE616">
            <v>0</v>
          </cell>
          <cell r="FF616">
            <v>0</v>
          </cell>
          <cell r="FH616">
            <v>0</v>
          </cell>
        </row>
        <row r="617">
          <cell r="B617">
            <v>9732</v>
          </cell>
          <cell r="C617" t="str">
            <v>10.06.2010</v>
          </cell>
          <cell r="D617" t="str">
            <v>Makwana Nita Ramesh</v>
          </cell>
          <cell r="F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BA617">
            <v>0</v>
          </cell>
          <cell r="BB617">
            <v>0</v>
          </cell>
          <cell r="BC617">
            <v>0</v>
          </cell>
          <cell r="BD617">
            <v>0</v>
          </cell>
          <cell r="BE617">
            <v>0</v>
          </cell>
          <cell r="BF617">
            <v>0</v>
          </cell>
          <cell r="BG617">
            <v>0</v>
          </cell>
          <cell r="BH617">
            <v>0</v>
          </cell>
          <cell r="BI617">
            <v>0</v>
          </cell>
          <cell r="BK617">
            <v>0</v>
          </cell>
          <cell r="BL617">
            <v>0</v>
          </cell>
          <cell r="BM617">
            <v>0</v>
          </cell>
          <cell r="BN617">
            <v>0</v>
          </cell>
          <cell r="BO617">
            <v>0</v>
          </cell>
          <cell r="BP617">
            <v>0</v>
          </cell>
          <cell r="BQ617">
            <v>0</v>
          </cell>
          <cell r="BR617">
            <v>0</v>
          </cell>
          <cell r="BS617">
            <v>0</v>
          </cell>
          <cell r="BU617">
            <v>0</v>
          </cell>
          <cell r="BV617">
            <v>0</v>
          </cell>
          <cell r="BW617">
            <v>0</v>
          </cell>
          <cell r="BX617">
            <v>0</v>
          </cell>
          <cell r="BY617">
            <v>0</v>
          </cell>
          <cell r="BZ617">
            <v>0</v>
          </cell>
          <cell r="CA617">
            <v>0</v>
          </cell>
          <cell r="CB617">
            <v>0</v>
          </cell>
          <cell r="CC617">
            <v>0</v>
          </cell>
          <cell r="CE617">
            <v>0</v>
          </cell>
          <cell r="CF617">
            <v>0</v>
          </cell>
          <cell r="CG617">
            <v>0</v>
          </cell>
          <cell r="CH617">
            <v>0</v>
          </cell>
          <cell r="CI617">
            <v>0</v>
          </cell>
          <cell r="CJ617">
            <v>0</v>
          </cell>
          <cell r="CK617">
            <v>0</v>
          </cell>
          <cell r="CL617">
            <v>0</v>
          </cell>
          <cell r="CM617">
            <v>0</v>
          </cell>
          <cell r="CO617">
            <v>0</v>
          </cell>
          <cell r="CP617">
            <v>0</v>
          </cell>
          <cell r="CQ617">
            <v>0</v>
          </cell>
          <cell r="CR617">
            <v>0</v>
          </cell>
          <cell r="CS617">
            <v>0</v>
          </cell>
          <cell r="CT617">
            <v>0</v>
          </cell>
          <cell r="CU617">
            <v>0</v>
          </cell>
          <cell r="CV617">
            <v>0</v>
          </cell>
          <cell r="CW617">
            <v>0</v>
          </cell>
          <cell r="CY617">
            <v>0</v>
          </cell>
          <cell r="CZ617">
            <v>0</v>
          </cell>
          <cell r="DA617">
            <v>0</v>
          </cell>
          <cell r="DB617">
            <v>0</v>
          </cell>
          <cell r="DC617">
            <v>0</v>
          </cell>
          <cell r="DD617">
            <v>0</v>
          </cell>
          <cell r="DE617">
            <v>0</v>
          </cell>
          <cell r="DF617">
            <v>0</v>
          </cell>
          <cell r="DG617">
            <v>0</v>
          </cell>
          <cell r="DI617">
            <v>0</v>
          </cell>
          <cell r="DJ617">
            <v>0</v>
          </cell>
          <cell r="DK617">
            <v>0</v>
          </cell>
          <cell r="DL617">
            <v>0</v>
          </cell>
          <cell r="DM617">
            <v>0</v>
          </cell>
          <cell r="DN617">
            <v>0</v>
          </cell>
          <cell r="DO617">
            <v>0</v>
          </cell>
          <cell r="DP617">
            <v>0</v>
          </cell>
          <cell r="DQ617">
            <v>0</v>
          </cell>
          <cell r="DR617">
            <v>0</v>
          </cell>
          <cell r="DS617">
            <v>0</v>
          </cell>
          <cell r="DT617">
            <v>0</v>
          </cell>
          <cell r="DU617">
            <v>0</v>
          </cell>
          <cell r="DW617">
            <v>0</v>
          </cell>
          <cell r="DX617">
            <v>0</v>
          </cell>
          <cell r="DY617">
            <v>0</v>
          </cell>
          <cell r="DZ617">
            <v>0</v>
          </cell>
          <cell r="EA617">
            <v>0</v>
          </cell>
          <cell r="EB617">
            <v>0</v>
          </cell>
          <cell r="EC617">
            <v>0</v>
          </cell>
          <cell r="ED617">
            <v>0</v>
          </cell>
          <cell r="EE617">
            <v>0</v>
          </cell>
          <cell r="EF617">
            <v>0</v>
          </cell>
          <cell r="EG617">
            <v>0</v>
          </cell>
          <cell r="EH617">
            <v>0</v>
          </cell>
          <cell r="EI617">
            <v>0</v>
          </cell>
          <cell r="EK617">
            <v>0</v>
          </cell>
          <cell r="EL617">
            <v>0</v>
          </cell>
          <cell r="EM617">
            <v>0</v>
          </cell>
          <cell r="EN617">
            <v>0</v>
          </cell>
          <cell r="EO617">
            <v>0</v>
          </cell>
          <cell r="EP617">
            <v>0</v>
          </cell>
          <cell r="EQ617">
            <v>0</v>
          </cell>
          <cell r="ER617">
            <v>0</v>
          </cell>
          <cell r="ES617">
            <v>0</v>
          </cell>
          <cell r="ET617">
            <v>0</v>
          </cell>
          <cell r="EU617">
            <v>0</v>
          </cell>
          <cell r="EV617">
            <v>0</v>
          </cell>
          <cell r="EW617">
            <v>0</v>
          </cell>
          <cell r="EY617">
            <v>0</v>
          </cell>
          <cell r="EZ617">
            <v>8</v>
          </cell>
          <cell r="FA617">
            <v>0</v>
          </cell>
          <cell r="FB617">
            <v>0</v>
          </cell>
          <cell r="FC617">
            <v>8.6</v>
          </cell>
          <cell r="FD617">
            <v>0</v>
          </cell>
          <cell r="FE617">
            <v>0</v>
          </cell>
          <cell r="FF617">
            <v>0</v>
          </cell>
          <cell r="FH617">
            <v>0</v>
          </cell>
        </row>
        <row r="618">
          <cell r="B618">
            <v>9733</v>
          </cell>
          <cell r="C618" t="str">
            <v>10.06.2010</v>
          </cell>
          <cell r="D618" t="str">
            <v>Revar Ashok Keshav</v>
          </cell>
          <cell r="F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BA618">
            <v>0</v>
          </cell>
          <cell r="BB618">
            <v>0</v>
          </cell>
          <cell r="BC618">
            <v>0</v>
          </cell>
          <cell r="BD618">
            <v>0</v>
          </cell>
          <cell r="BE618">
            <v>0</v>
          </cell>
          <cell r="BF618">
            <v>0</v>
          </cell>
          <cell r="BG618">
            <v>0</v>
          </cell>
          <cell r="BH618">
            <v>0</v>
          </cell>
          <cell r="BI618">
            <v>0</v>
          </cell>
          <cell r="BK618">
            <v>0</v>
          </cell>
          <cell r="BL618">
            <v>0</v>
          </cell>
          <cell r="BM618">
            <v>0</v>
          </cell>
          <cell r="BN618">
            <v>0</v>
          </cell>
          <cell r="BO618">
            <v>0</v>
          </cell>
          <cell r="BP618">
            <v>0</v>
          </cell>
          <cell r="BQ618">
            <v>0</v>
          </cell>
          <cell r="BR618">
            <v>0</v>
          </cell>
          <cell r="BS618">
            <v>0</v>
          </cell>
          <cell r="BU618">
            <v>0</v>
          </cell>
          <cell r="BV618">
            <v>0</v>
          </cell>
          <cell r="BW618">
            <v>0</v>
          </cell>
          <cell r="BX618">
            <v>0</v>
          </cell>
          <cell r="BY618">
            <v>0</v>
          </cell>
          <cell r="BZ618">
            <v>0</v>
          </cell>
          <cell r="CA618">
            <v>0</v>
          </cell>
          <cell r="CB618">
            <v>0</v>
          </cell>
          <cell r="CC618">
            <v>0</v>
          </cell>
          <cell r="CE618">
            <v>0</v>
          </cell>
          <cell r="CF618">
            <v>0</v>
          </cell>
          <cell r="CG618">
            <v>0</v>
          </cell>
          <cell r="CH618">
            <v>0</v>
          </cell>
          <cell r="CI618">
            <v>0</v>
          </cell>
          <cell r="CJ618">
            <v>0</v>
          </cell>
          <cell r="CK618">
            <v>0</v>
          </cell>
          <cell r="CL618">
            <v>0</v>
          </cell>
          <cell r="CM618">
            <v>0</v>
          </cell>
          <cell r="CO618">
            <v>0</v>
          </cell>
          <cell r="CP618">
            <v>0</v>
          </cell>
          <cell r="CQ618">
            <v>0</v>
          </cell>
          <cell r="CR618">
            <v>0</v>
          </cell>
          <cell r="CS618">
            <v>0</v>
          </cell>
          <cell r="CT618">
            <v>0</v>
          </cell>
          <cell r="CU618">
            <v>0</v>
          </cell>
          <cell r="CV618">
            <v>0</v>
          </cell>
          <cell r="CW618">
            <v>0</v>
          </cell>
          <cell r="CY618">
            <v>0</v>
          </cell>
          <cell r="CZ618">
            <v>0</v>
          </cell>
          <cell r="DA618">
            <v>0</v>
          </cell>
          <cell r="DB618">
            <v>0</v>
          </cell>
          <cell r="DC618">
            <v>0</v>
          </cell>
          <cell r="DD618">
            <v>0</v>
          </cell>
          <cell r="DE618">
            <v>0</v>
          </cell>
          <cell r="DF618">
            <v>0</v>
          </cell>
          <cell r="DG618">
            <v>0</v>
          </cell>
          <cell r="DI618">
            <v>0</v>
          </cell>
          <cell r="DJ618">
            <v>0</v>
          </cell>
          <cell r="DK618">
            <v>0</v>
          </cell>
          <cell r="DL618">
            <v>0</v>
          </cell>
          <cell r="DM618">
            <v>0</v>
          </cell>
          <cell r="DN618">
            <v>0</v>
          </cell>
          <cell r="DO618">
            <v>0</v>
          </cell>
          <cell r="DP618">
            <v>0</v>
          </cell>
          <cell r="DQ618">
            <v>0</v>
          </cell>
          <cell r="DR618">
            <v>0</v>
          </cell>
          <cell r="DS618">
            <v>0</v>
          </cell>
          <cell r="DT618">
            <v>0</v>
          </cell>
          <cell r="DU618">
            <v>0</v>
          </cell>
          <cell r="DW618">
            <v>0</v>
          </cell>
          <cell r="DX618">
            <v>0</v>
          </cell>
          <cell r="DY618">
            <v>0</v>
          </cell>
          <cell r="DZ618">
            <v>0</v>
          </cell>
          <cell r="EA618">
            <v>0</v>
          </cell>
          <cell r="EB618">
            <v>0</v>
          </cell>
          <cell r="EC618">
            <v>0</v>
          </cell>
          <cell r="ED618">
            <v>0</v>
          </cell>
          <cell r="EE618">
            <v>0</v>
          </cell>
          <cell r="EF618">
            <v>0</v>
          </cell>
          <cell r="EG618">
            <v>0</v>
          </cell>
          <cell r="EH618">
            <v>0</v>
          </cell>
          <cell r="EI618">
            <v>0</v>
          </cell>
          <cell r="EK618">
            <v>0</v>
          </cell>
          <cell r="EL618">
            <v>0</v>
          </cell>
          <cell r="EM618">
            <v>0</v>
          </cell>
          <cell r="EN618">
            <v>0</v>
          </cell>
          <cell r="EO618">
            <v>0</v>
          </cell>
          <cell r="EP618">
            <v>0</v>
          </cell>
          <cell r="EQ618">
            <v>0</v>
          </cell>
          <cell r="ER618">
            <v>0</v>
          </cell>
          <cell r="ES618">
            <v>0</v>
          </cell>
          <cell r="ET618">
            <v>0</v>
          </cell>
          <cell r="EU618">
            <v>0</v>
          </cell>
          <cell r="EV618">
            <v>0</v>
          </cell>
          <cell r="EW618">
            <v>0</v>
          </cell>
          <cell r="EY618">
            <v>0</v>
          </cell>
          <cell r="EZ618">
            <v>8</v>
          </cell>
          <cell r="FA618">
            <v>0</v>
          </cell>
          <cell r="FB618">
            <v>0</v>
          </cell>
          <cell r="FC618">
            <v>8.6</v>
          </cell>
          <cell r="FD618">
            <v>0</v>
          </cell>
          <cell r="FE618">
            <v>0</v>
          </cell>
          <cell r="FF618">
            <v>0</v>
          </cell>
          <cell r="FH618">
            <v>0</v>
          </cell>
        </row>
        <row r="619">
          <cell r="B619">
            <v>9752</v>
          </cell>
          <cell r="C619" t="str">
            <v>19.06.2010</v>
          </cell>
          <cell r="D619" t="str">
            <v>Barve Deepak Shridhar</v>
          </cell>
          <cell r="F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BA619">
            <v>0</v>
          </cell>
          <cell r="BB619">
            <v>0</v>
          </cell>
          <cell r="BC619">
            <v>0</v>
          </cell>
          <cell r="BD619">
            <v>0</v>
          </cell>
          <cell r="BE619">
            <v>0</v>
          </cell>
          <cell r="BF619">
            <v>0</v>
          </cell>
          <cell r="BG619">
            <v>0</v>
          </cell>
          <cell r="BH619">
            <v>0</v>
          </cell>
          <cell r="BI619">
            <v>0</v>
          </cell>
          <cell r="BK619">
            <v>0</v>
          </cell>
          <cell r="BL619">
            <v>0</v>
          </cell>
          <cell r="BM619">
            <v>0</v>
          </cell>
          <cell r="BN619">
            <v>0</v>
          </cell>
          <cell r="BO619">
            <v>0</v>
          </cell>
          <cell r="BP619">
            <v>0</v>
          </cell>
          <cell r="BQ619">
            <v>0</v>
          </cell>
          <cell r="BR619">
            <v>0</v>
          </cell>
          <cell r="BS619">
            <v>0</v>
          </cell>
          <cell r="BU619">
            <v>0</v>
          </cell>
          <cell r="BV619">
            <v>0</v>
          </cell>
          <cell r="BW619">
            <v>0</v>
          </cell>
          <cell r="BX619">
            <v>0</v>
          </cell>
          <cell r="BY619">
            <v>0</v>
          </cell>
          <cell r="BZ619">
            <v>0</v>
          </cell>
          <cell r="CA619">
            <v>0</v>
          </cell>
          <cell r="CB619">
            <v>0</v>
          </cell>
          <cell r="CC619">
            <v>0</v>
          </cell>
          <cell r="CE619">
            <v>0</v>
          </cell>
          <cell r="CF619">
            <v>0</v>
          </cell>
          <cell r="CG619">
            <v>0</v>
          </cell>
          <cell r="CH619">
            <v>0</v>
          </cell>
          <cell r="CI619">
            <v>0</v>
          </cell>
          <cell r="CJ619">
            <v>0</v>
          </cell>
          <cell r="CK619">
            <v>0</v>
          </cell>
          <cell r="CL619">
            <v>0</v>
          </cell>
          <cell r="CM619">
            <v>0</v>
          </cell>
          <cell r="CO619">
            <v>0</v>
          </cell>
          <cell r="CP619">
            <v>0</v>
          </cell>
          <cell r="CQ619">
            <v>0</v>
          </cell>
          <cell r="CR619">
            <v>0</v>
          </cell>
          <cell r="CS619">
            <v>0</v>
          </cell>
          <cell r="CT619">
            <v>0</v>
          </cell>
          <cell r="CU619">
            <v>0</v>
          </cell>
          <cell r="CV619">
            <v>0</v>
          </cell>
          <cell r="CW619">
            <v>0</v>
          </cell>
          <cell r="CY619">
            <v>0</v>
          </cell>
          <cell r="CZ619">
            <v>0</v>
          </cell>
          <cell r="DA619">
            <v>0</v>
          </cell>
          <cell r="DB619">
            <v>0</v>
          </cell>
          <cell r="DC619">
            <v>0</v>
          </cell>
          <cell r="DD619">
            <v>0</v>
          </cell>
          <cell r="DE619">
            <v>0</v>
          </cell>
          <cell r="DF619">
            <v>0</v>
          </cell>
          <cell r="DG619">
            <v>0</v>
          </cell>
          <cell r="DI619">
            <v>0</v>
          </cell>
          <cell r="DJ619">
            <v>0</v>
          </cell>
          <cell r="DK619">
            <v>0</v>
          </cell>
          <cell r="DL619">
            <v>0</v>
          </cell>
          <cell r="DM619">
            <v>0</v>
          </cell>
          <cell r="DN619">
            <v>0</v>
          </cell>
          <cell r="DO619">
            <v>0</v>
          </cell>
          <cell r="DP619">
            <v>0</v>
          </cell>
          <cell r="DQ619">
            <v>0</v>
          </cell>
          <cell r="DR619">
            <v>0</v>
          </cell>
          <cell r="DS619">
            <v>0</v>
          </cell>
          <cell r="DT619">
            <v>0</v>
          </cell>
          <cell r="DU619">
            <v>0</v>
          </cell>
          <cell r="DW619">
            <v>0</v>
          </cell>
          <cell r="DX619">
            <v>0</v>
          </cell>
          <cell r="DY619">
            <v>0</v>
          </cell>
          <cell r="DZ619">
            <v>0</v>
          </cell>
          <cell r="EA619">
            <v>0</v>
          </cell>
          <cell r="EB619">
            <v>0</v>
          </cell>
          <cell r="EC619">
            <v>0</v>
          </cell>
          <cell r="ED619">
            <v>0</v>
          </cell>
          <cell r="EE619">
            <v>0</v>
          </cell>
          <cell r="EF619">
            <v>0</v>
          </cell>
          <cell r="EG619">
            <v>0</v>
          </cell>
          <cell r="EH619">
            <v>0</v>
          </cell>
          <cell r="EI619">
            <v>0</v>
          </cell>
          <cell r="EK619">
            <v>0</v>
          </cell>
          <cell r="EL619">
            <v>0</v>
          </cell>
          <cell r="EM619">
            <v>0</v>
          </cell>
          <cell r="EN619">
            <v>0</v>
          </cell>
          <cell r="EO619">
            <v>0</v>
          </cell>
          <cell r="EP619">
            <v>0</v>
          </cell>
          <cell r="EQ619">
            <v>0</v>
          </cell>
          <cell r="ER619">
            <v>0</v>
          </cell>
          <cell r="ES619">
            <v>0</v>
          </cell>
          <cell r="ET619">
            <v>0</v>
          </cell>
          <cell r="EU619">
            <v>0</v>
          </cell>
          <cell r="EV619">
            <v>0</v>
          </cell>
          <cell r="EW619">
            <v>0</v>
          </cell>
          <cell r="EY619">
            <v>0</v>
          </cell>
          <cell r="EZ619">
            <v>8</v>
          </cell>
          <cell r="FA619">
            <v>0</v>
          </cell>
          <cell r="FB619">
            <v>0</v>
          </cell>
          <cell r="FC619">
            <v>8.6</v>
          </cell>
          <cell r="FD619">
            <v>0</v>
          </cell>
          <cell r="FE619">
            <v>0</v>
          </cell>
          <cell r="FF619">
            <v>0</v>
          </cell>
          <cell r="FH619">
            <v>0</v>
          </cell>
        </row>
        <row r="620">
          <cell r="B620">
            <v>9756</v>
          </cell>
          <cell r="C620" t="str">
            <v>22.06.2010</v>
          </cell>
          <cell r="D620" t="str">
            <v>Gangurde Ravikant Subhash</v>
          </cell>
          <cell r="F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BA620">
            <v>0</v>
          </cell>
          <cell r="BB620">
            <v>0</v>
          </cell>
          <cell r="BC620">
            <v>0</v>
          </cell>
          <cell r="BD620">
            <v>0</v>
          </cell>
          <cell r="BE620">
            <v>0</v>
          </cell>
          <cell r="BF620">
            <v>0</v>
          </cell>
          <cell r="BG620">
            <v>0</v>
          </cell>
          <cell r="BH620">
            <v>0</v>
          </cell>
          <cell r="BI620">
            <v>0</v>
          </cell>
          <cell r="BK620">
            <v>0</v>
          </cell>
          <cell r="BL620">
            <v>0</v>
          </cell>
          <cell r="BM620">
            <v>0</v>
          </cell>
          <cell r="BN620">
            <v>0</v>
          </cell>
          <cell r="BO620">
            <v>0</v>
          </cell>
          <cell r="BP620">
            <v>0</v>
          </cell>
          <cell r="BQ620">
            <v>0</v>
          </cell>
          <cell r="BR620">
            <v>0</v>
          </cell>
          <cell r="BS620">
            <v>0</v>
          </cell>
          <cell r="BU620">
            <v>0</v>
          </cell>
          <cell r="BV620">
            <v>0</v>
          </cell>
          <cell r="BW620">
            <v>0</v>
          </cell>
          <cell r="BX620">
            <v>0</v>
          </cell>
          <cell r="BY620">
            <v>0</v>
          </cell>
          <cell r="BZ620">
            <v>0</v>
          </cell>
          <cell r="CA620">
            <v>0</v>
          </cell>
          <cell r="CB620">
            <v>0</v>
          </cell>
          <cell r="CC620">
            <v>0</v>
          </cell>
          <cell r="CE620">
            <v>0</v>
          </cell>
          <cell r="CF620">
            <v>0</v>
          </cell>
          <cell r="CG620">
            <v>0</v>
          </cell>
          <cell r="CH620">
            <v>0</v>
          </cell>
          <cell r="CI620">
            <v>0</v>
          </cell>
          <cell r="CJ620">
            <v>0</v>
          </cell>
          <cell r="CK620">
            <v>0</v>
          </cell>
          <cell r="CL620">
            <v>0</v>
          </cell>
          <cell r="CM620">
            <v>0</v>
          </cell>
          <cell r="CO620">
            <v>0</v>
          </cell>
          <cell r="CP620">
            <v>0</v>
          </cell>
          <cell r="CQ620">
            <v>0</v>
          </cell>
          <cell r="CR620">
            <v>0</v>
          </cell>
          <cell r="CS620">
            <v>0</v>
          </cell>
          <cell r="CT620">
            <v>0</v>
          </cell>
          <cell r="CU620">
            <v>0</v>
          </cell>
          <cell r="CV620">
            <v>0</v>
          </cell>
          <cell r="CW620">
            <v>0</v>
          </cell>
          <cell r="CY620">
            <v>0</v>
          </cell>
          <cell r="CZ620">
            <v>0</v>
          </cell>
          <cell r="DA620">
            <v>0</v>
          </cell>
          <cell r="DB620">
            <v>0</v>
          </cell>
          <cell r="DC620">
            <v>0</v>
          </cell>
          <cell r="DD620">
            <v>0</v>
          </cell>
          <cell r="DE620">
            <v>0</v>
          </cell>
          <cell r="DF620">
            <v>0</v>
          </cell>
          <cell r="DG620">
            <v>0</v>
          </cell>
          <cell r="DI620">
            <v>0</v>
          </cell>
          <cell r="DJ620">
            <v>0</v>
          </cell>
          <cell r="DK620">
            <v>0</v>
          </cell>
          <cell r="DL620">
            <v>0</v>
          </cell>
          <cell r="DM620">
            <v>0</v>
          </cell>
          <cell r="DN620">
            <v>0</v>
          </cell>
          <cell r="DO620">
            <v>0</v>
          </cell>
          <cell r="DP620">
            <v>0</v>
          </cell>
          <cell r="DQ620">
            <v>0</v>
          </cell>
          <cell r="DR620">
            <v>0</v>
          </cell>
          <cell r="DS620">
            <v>0</v>
          </cell>
          <cell r="DT620">
            <v>0</v>
          </cell>
          <cell r="DU620">
            <v>0</v>
          </cell>
          <cell r="DW620">
            <v>0</v>
          </cell>
          <cell r="DX620">
            <v>0</v>
          </cell>
          <cell r="DY620">
            <v>0</v>
          </cell>
          <cell r="DZ620">
            <v>0</v>
          </cell>
          <cell r="EA620">
            <v>0</v>
          </cell>
          <cell r="EB620">
            <v>0</v>
          </cell>
          <cell r="EC620">
            <v>0</v>
          </cell>
          <cell r="ED620">
            <v>0</v>
          </cell>
          <cell r="EE620">
            <v>0</v>
          </cell>
          <cell r="EF620">
            <v>0</v>
          </cell>
          <cell r="EG620">
            <v>0</v>
          </cell>
          <cell r="EH620">
            <v>0</v>
          </cell>
          <cell r="EI620">
            <v>0</v>
          </cell>
          <cell r="EK620">
            <v>0</v>
          </cell>
          <cell r="EL620">
            <v>0</v>
          </cell>
          <cell r="EM620">
            <v>0</v>
          </cell>
          <cell r="EN620">
            <v>0</v>
          </cell>
          <cell r="EO620">
            <v>0</v>
          </cell>
          <cell r="EP620">
            <v>0</v>
          </cell>
          <cell r="EQ620">
            <v>0</v>
          </cell>
          <cell r="ER620">
            <v>0</v>
          </cell>
          <cell r="ES620">
            <v>0</v>
          </cell>
          <cell r="ET620">
            <v>0</v>
          </cell>
          <cell r="EU620">
            <v>0</v>
          </cell>
          <cell r="EV620">
            <v>0</v>
          </cell>
          <cell r="EW620">
            <v>0</v>
          </cell>
          <cell r="EY620">
            <v>0</v>
          </cell>
          <cell r="EZ620">
            <v>8</v>
          </cell>
          <cell r="FA620">
            <v>0</v>
          </cell>
          <cell r="FB620">
            <v>0</v>
          </cell>
          <cell r="FC620">
            <v>8.6</v>
          </cell>
          <cell r="FD620">
            <v>0</v>
          </cell>
          <cell r="FE620">
            <v>0</v>
          </cell>
          <cell r="FF620">
            <v>0</v>
          </cell>
          <cell r="FH620">
            <v>0</v>
          </cell>
        </row>
        <row r="621">
          <cell r="B621">
            <v>9711</v>
          </cell>
          <cell r="C621" t="str">
            <v>26.06.2010</v>
          </cell>
          <cell r="D621" t="str">
            <v>Borisa Vinod Yashwant</v>
          </cell>
          <cell r="F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BA621">
            <v>0</v>
          </cell>
          <cell r="BB621">
            <v>0</v>
          </cell>
          <cell r="BC621">
            <v>0</v>
          </cell>
          <cell r="BD621">
            <v>0</v>
          </cell>
          <cell r="BE621">
            <v>0</v>
          </cell>
          <cell r="BF621">
            <v>0</v>
          </cell>
          <cell r="BG621">
            <v>0</v>
          </cell>
          <cell r="BH621">
            <v>0</v>
          </cell>
          <cell r="BI621">
            <v>0</v>
          </cell>
          <cell r="BK621">
            <v>0</v>
          </cell>
          <cell r="BL621">
            <v>0</v>
          </cell>
          <cell r="BM621">
            <v>0</v>
          </cell>
          <cell r="BN621">
            <v>0</v>
          </cell>
          <cell r="BO621">
            <v>0</v>
          </cell>
          <cell r="BP621">
            <v>0</v>
          </cell>
          <cell r="BQ621">
            <v>0</v>
          </cell>
          <cell r="BR621">
            <v>0</v>
          </cell>
          <cell r="BS621">
            <v>0</v>
          </cell>
          <cell r="BU621">
            <v>0</v>
          </cell>
          <cell r="BV621">
            <v>0</v>
          </cell>
          <cell r="BW621">
            <v>0</v>
          </cell>
          <cell r="BX621">
            <v>0</v>
          </cell>
          <cell r="BY621">
            <v>0</v>
          </cell>
          <cell r="BZ621">
            <v>0</v>
          </cell>
          <cell r="CA621">
            <v>0</v>
          </cell>
          <cell r="CB621">
            <v>0</v>
          </cell>
          <cell r="CC621">
            <v>0</v>
          </cell>
          <cell r="CE621">
            <v>0</v>
          </cell>
          <cell r="CF621">
            <v>0</v>
          </cell>
          <cell r="CG621">
            <v>0</v>
          </cell>
          <cell r="CH621">
            <v>0</v>
          </cell>
          <cell r="CI621">
            <v>0</v>
          </cell>
          <cell r="CJ621">
            <v>0</v>
          </cell>
          <cell r="CK621">
            <v>0</v>
          </cell>
          <cell r="CL621">
            <v>0</v>
          </cell>
          <cell r="CM621">
            <v>0</v>
          </cell>
          <cell r="CO621">
            <v>0</v>
          </cell>
          <cell r="CP621">
            <v>0</v>
          </cell>
          <cell r="CQ621">
            <v>0</v>
          </cell>
          <cell r="CR621">
            <v>0</v>
          </cell>
          <cell r="CS621">
            <v>0</v>
          </cell>
          <cell r="CT621">
            <v>0</v>
          </cell>
          <cell r="CU621">
            <v>0</v>
          </cell>
          <cell r="CV621">
            <v>0</v>
          </cell>
          <cell r="CW621">
            <v>0</v>
          </cell>
          <cell r="CY621">
            <v>0</v>
          </cell>
          <cell r="CZ621">
            <v>0</v>
          </cell>
          <cell r="DA621">
            <v>0</v>
          </cell>
          <cell r="DB621">
            <v>0</v>
          </cell>
          <cell r="DC621">
            <v>0</v>
          </cell>
          <cell r="DD621">
            <v>0</v>
          </cell>
          <cell r="DE621">
            <v>0</v>
          </cell>
          <cell r="DF621">
            <v>0</v>
          </cell>
          <cell r="DG621">
            <v>0</v>
          </cell>
          <cell r="DI621">
            <v>0</v>
          </cell>
          <cell r="DJ621">
            <v>0</v>
          </cell>
          <cell r="DK621">
            <v>0</v>
          </cell>
          <cell r="DL621">
            <v>0</v>
          </cell>
          <cell r="DM621">
            <v>0</v>
          </cell>
          <cell r="DN621">
            <v>0</v>
          </cell>
          <cell r="DO621">
            <v>0</v>
          </cell>
          <cell r="DP621">
            <v>0</v>
          </cell>
          <cell r="DQ621">
            <v>0</v>
          </cell>
          <cell r="DR621">
            <v>0</v>
          </cell>
          <cell r="DS621">
            <v>0</v>
          </cell>
          <cell r="DT621">
            <v>0</v>
          </cell>
          <cell r="DU621">
            <v>0</v>
          </cell>
          <cell r="DW621">
            <v>0</v>
          </cell>
          <cell r="DX621">
            <v>0</v>
          </cell>
          <cell r="DY621">
            <v>0</v>
          </cell>
          <cell r="DZ621">
            <v>0</v>
          </cell>
          <cell r="EA621">
            <v>0</v>
          </cell>
          <cell r="EB621">
            <v>0</v>
          </cell>
          <cell r="EC621">
            <v>0</v>
          </cell>
          <cell r="ED621">
            <v>0</v>
          </cell>
          <cell r="EE621">
            <v>0</v>
          </cell>
          <cell r="EF621">
            <v>0</v>
          </cell>
          <cell r="EG621">
            <v>0</v>
          </cell>
          <cell r="EH621">
            <v>0</v>
          </cell>
          <cell r="EI621">
            <v>0</v>
          </cell>
          <cell r="EK621">
            <v>0</v>
          </cell>
          <cell r="EL621">
            <v>0</v>
          </cell>
          <cell r="EM621">
            <v>0</v>
          </cell>
          <cell r="EN621">
            <v>0</v>
          </cell>
          <cell r="EO621">
            <v>0</v>
          </cell>
          <cell r="EP621">
            <v>0</v>
          </cell>
          <cell r="EQ621">
            <v>0</v>
          </cell>
          <cell r="ER621">
            <v>0</v>
          </cell>
          <cell r="ES621">
            <v>0</v>
          </cell>
          <cell r="ET621">
            <v>0</v>
          </cell>
          <cell r="EU621">
            <v>0</v>
          </cell>
          <cell r="EV621">
            <v>0</v>
          </cell>
          <cell r="EW621">
            <v>0</v>
          </cell>
          <cell r="EY621">
            <v>0</v>
          </cell>
          <cell r="EZ621">
            <v>8</v>
          </cell>
          <cell r="FA621">
            <v>0</v>
          </cell>
          <cell r="FB621">
            <v>0</v>
          </cell>
          <cell r="FC621">
            <v>8.6</v>
          </cell>
          <cell r="FD621">
            <v>0</v>
          </cell>
          <cell r="FE621">
            <v>0</v>
          </cell>
          <cell r="FF621">
            <v>0</v>
          </cell>
          <cell r="FH621">
            <v>0</v>
          </cell>
        </row>
        <row r="622">
          <cell r="B622">
            <v>9748</v>
          </cell>
          <cell r="C622" t="str">
            <v>08.07.2010</v>
          </cell>
          <cell r="D622" t="str">
            <v>Rokade Vanita Rakesh</v>
          </cell>
          <cell r="F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BA622">
            <v>0</v>
          </cell>
          <cell r="BB622">
            <v>0</v>
          </cell>
          <cell r="BC622">
            <v>0</v>
          </cell>
          <cell r="BD622">
            <v>0</v>
          </cell>
          <cell r="BE622">
            <v>0</v>
          </cell>
          <cell r="BF622">
            <v>0</v>
          </cell>
          <cell r="BG622">
            <v>0</v>
          </cell>
          <cell r="BH622">
            <v>0</v>
          </cell>
          <cell r="BI622">
            <v>0</v>
          </cell>
          <cell r="BK622">
            <v>0</v>
          </cell>
          <cell r="BL622">
            <v>0</v>
          </cell>
          <cell r="BM622">
            <v>0</v>
          </cell>
          <cell r="BN622">
            <v>0</v>
          </cell>
          <cell r="BO622">
            <v>0</v>
          </cell>
          <cell r="BP622">
            <v>0</v>
          </cell>
          <cell r="BQ622">
            <v>0</v>
          </cell>
          <cell r="BR622">
            <v>0</v>
          </cell>
          <cell r="BS622">
            <v>0</v>
          </cell>
          <cell r="BU622">
            <v>0</v>
          </cell>
          <cell r="BV622">
            <v>0</v>
          </cell>
          <cell r="BW622">
            <v>0</v>
          </cell>
          <cell r="BX622">
            <v>0</v>
          </cell>
          <cell r="BY622">
            <v>0</v>
          </cell>
          <cell r="BZ622">
            <v>0</v>
          </cell>
          <cell r="CA622">
            <v>0</v>
          </cell>
          <cell r="CB622">
            <v>0</v>
          </cell>
          <cell r="CC622">
            <v>0</v>
          </cell>
          <cell r="CE622">
            <v>0</v>
          </cell>
          <cell r="CF622">
            <v>0</v>
          </cell>
          <cell r="CG622">
            <v>0</v>
          </cell>
          <cell r="CH622">
            <v>0</v>
          </cell>
          <cell r="CI622">
            <v>0</v>
          </cell>
          <cell r="CJ622">
            <v>0</v>
          </cell>
          <cell r="CK622">
            <v>0</v>
          </cell>
          <cell r="CL622">
            <v>0</v>
          </cell>
          <cell r="CM622">
            <v>0</v>
          </cell>
          <cell r="CO622">
            <v>0</v>
          </cell>
          <cell r="CP622">
            <v>0</v>
          </cell>
          <cell r="CQ622">
            <v>0</v>
          </cell>
          <cell r="CR622">
            <v>0</v>
          </cell>
          <cell r="CS622">
            <v>0</v>
          </cell>
          <cell r="CT622">
            <v>0</v>
          </cell>
          <cell r="CU622">
            <v>0</v>
          </cell>
          <cell r="CV622">
            <v>0</v>
          </cell>
          <cell r="CW622">
            <v>0</v>
          </cell>
          <cell r="CY622">
            <v>0</v>
          </cell>
          <cell r="CZ622">
            <v>0</v>
          </cell>
          <cell r="DA622">
            <v>0</v>
          </cell>
          <cell r="DB622">
            <v>0</v>
          </cell>
          <cell r="DC622">
            <v>0</v>
          </cell>
          <cell r="DD622">
            <v>0</v>
          </cell>
          <cell r="DE622">
            <v>0</v>
          </cell>
          <cell r="DF622">
            <v>0</v>
          </cell>
          <cell r="DG622">
            <v>0</v>
          </cell>
          <cell r="DI622">
            <v>0</v>
          </cell>
          <cell r="DJ622">
            <v>0</v>
          </cell>
          <cell r="DK622">
            <v>0</v>
          </cell>
          <cell r="DL622">
            <v>0</v>
          </cell>
          <cell r="DM622">
            <v>0</v>
          </cell>
          <cell r="DN622">
            <v>0</v>
          </cell>
          <cell r="DO622">
            <v>0</v>
          </cell>
          <cell r="DP622">
            <v>0</v>
          </cell>
          <cell r="DQ622">
            <v>0</v>
          </cell>
          <cell r="DR622">
            <v>0</v>
          </cell>
          <cell r="DS622">
            <v>0</v>
          </cell>
          <cell r="DT622">
            <v>0</v>
          </cell>
          <cell r="DU622">
            <v>0</v>
          </cell>
          <cell r="DW622">
            <v>0</v>
          </cell>
          <cell r="DX622">
            <v>0</v>
          </cell>
          <cell r="DY622">
            <v>0</v>
          </cell>
          <cell r="DZ622">
            <v>0</v>
          </cell>
          <cell r="EA622">
            <v>0</v>
          </cell>
          <cell r="EB622">
            <v>0</v>
          </cell>
          <cell r="EC622">
            <v>0</v>
          </cell>
          <cell r="ED622">
            <v>0</v>
          </cell>
          <cell r="EE622">
            <v>0</v>
          </cell>
          <cell r="EF622">
            <v>0</v>
          </cell>
          <cell r="EG622">
            <v>0</v>
          </cell>
          <cell r="EH622">
            <v>0</v>
          </cell>
          <cell r="EI622">
            <v>0</v>
          </cell>
          <cell r="EK622">
            <v>0</v>
          </cell>
          <cell r="EL622">
            <v>0</v>
          </cell>
          <cell r="EM622">
            <v>0</v>
          </cell>
          <cell r="EN622">
            <v>0</v>
          </cell>
          <cell r="EO622">
            <v>0</v>
          </cell>
          <cell r="EP622">
            <v>0</v>
          </cell>
          <cell r="EQ622">
            <v>0</v>
          </cell>
          <cell r="ER622">
            <v>0</v>
          </cell>
          <cell r="ES622">
            <v>0</v>
          </cell>
          <cell r="ET622">
            <v>0</v>
          </cell>
          <cell r="EU622">
            <v>0</v>
          </cell>
          <cell r="EV622">
            <v>0</v>
          </cell>
          <cell r="EW622">
            <v>0</v>
          </cell>
          <cell r="EY622">
            <v>0</v>
          </cell>
          <cell r="EZ622">
            <v>8</v>
          </cell>
          <cell r="FA622">
            <v>0</v>
          </cell>
          <cell r="FB622">
            <v>0</v>
          </cell>
          <cell r="FC622">
            <v>8.6</v>
          </cell>
          <cell r="FD622">
            <v>0</v>
          </cell>
          <cell r="FE622">
            <v>0</v>
          </cell>
          <cell r="FF622">
            <v>0</v>
          </cell>
          <cell r="FH622">
            <v>0</v>
          </cell>
        </row>
        <row r="623">
          <cell r="B623">
            <v>9751</v>
          </cell>
          <cell r="C623" t="str">
            <v>08.07.2010</v>
          </cell>
          <cell r="D623" t="str">
            <v>Pathare Surekha Vilas</v>
          </cell>
          <cell r="F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BA623">
            <v>0</v>
          </cell>
          <cell r="BB623">
            <v>0</v>
          </cell>
          <cell r="BC623">
            <v>0</v>
          </cell>
          <cell r="BD623">
            <v>0</v>
          </cell>
          <cell r="BE623">
            <v>0</v>
          </cell>
          <cell r="BF623">
            <v>0</v>
          </cell>
          <cell r="BG623">
            <v>0</v>
          </cell>
          <cell r="BH623">
            <v>0</v>
          </cell>
          <cell r="BI623">
            <v>0</v>
          </cell>
          <cell r="BK623">
            <v>0</v>
          </cell>
          <cell r="BL623">
            <v>0</v>
          </cell>
          <cell r="BM623">
            <v>0</v>
          </cell>
          <cell r="BN623">
            <v>0</v>
          </cell>
          <cell r="BO623">
            <v>0</v>
          </cell>
          <cell r="BP623">
            <v>0</v>
          </cell>
          <cell r="BQ623">
            <v>0</v>
          </cell>
          <cell r="BR623">
            <v>0</v>
          </cell>
          <cell r="BS623">
            <v>0</v>
          </cell>
          <cell r="BU623">
            <v>0</v>
          </cell>
          <cell r="BV623">
            <v>0</v>
          </cell>
          <cell r="BW623">
            <v>0</v>
          </cell>
          <cell r="BX623">
            <v>0</v>
          </cell>
          <cell r="BY623">
            <v>0</v>
          </cell>
          <cell r="BZ623">
            <v>0</v>
          </cell>
          <cell r="CA623">
            <v>0</v>
          </cell>
          <cell r="CB623">
            <v>0</v>
          </cell>
          <cell r="CC623">
            <v>0</v>
          </cell>
          <cell r="CE623">
            <v>0</v>
          </cell>
          <cell r="CF623">
            <v>0</v>
          </cell>
          <cell r="CG623">
            <v>0</v>
          </cell>
          <cell r="CH623">
            <v>0</v>
          </cell>
          <cell r="CI623">
            <v>0</v>
          </cell>
          <cell r="CJ623">
            <v>0</v>
          </cell>
          <cell r="CK623">
            <v>0</v>
          </cell>
          <cell r="CL623">
            <v>0</v>
          </cell>
          <cell r="CM623">
            <v>0</v>
          </cell>
          <cell r="CO623">
            <v>0</v>
          </cell>
          <cell r="CP623">
            <v>0</v>
          </cell>
          <cell r="CQ623">
            <v>0</v>
          </cell>
          <cell r="CR623">
            <v>0</v>
          </cell>
          <cell r="CS623">
            <v>0</v>
          </cell>
          <cell r="CT623">
            <v>0</v>
          </cell>
          <cell r="CU623">
            <v>0</v>
          </cell>
          <cell r="CV623">
            <v>0</v>
          </cell>
          <cell r="CW623">
            <v>0</v>
          </cell>
          <cell r="CY623">
            <v>0</v>
          </cell>
          <cell r="CZ623">
            <v>0</v>
          </cell>
          <cell r="DA623">
            <v>0</v>
          </cell>
          <cell r="DB623">
            <v>0</v>
          </cell>
          <cell r="DC623">
            <v>0</v>
          </cell>
          <cell r="DD623">
            <v>0</v>
          </cell>
          <cell r="DE623">
            <v>0</v>
          </cell>
          <cell r="DF623">
            <v>0</v>
          </cell>
          <cell r="DG623">
            <v>0</v>
          </cell>
          <cell r="DI623">
            <v>0</v>
          </cell>
          <cell r="DJ623">
            <v>0</v>
          </cell>
          <cell r="DK623">
            <v>0</v>
          </cell>
          <cell r="DL623">
            <v>0</v>
          </cell>
          <cell r="DM623">
            <v>0</v>
          </cell>
          <cell r="DN623">
            <v>0</v>
          </cell>
          <cell r="DO623">
            <v>0</v>
          </cell>
          <cell r="DP623">
            <v>0</v>
          </cell>
          <cell r="DQ623">
            <v>0</v>
          </cell>
          <cell r="DR623">
            <v>0</v>
          </cell>
          <cell r="DS623">
            <v>0</v>
          </cell>
          <cell r="DT623">
            <v>0</v>
          </cell>
          <cell r="DU623">
            <v>0</v>
          </cell>
          <cell r="DW623">
            <v>0</v>
          </cell>
          <cell r="DX623">
            <v>0</v>
          </cell>
          <cell r="DY623">
            <v>0</v>
          </cell>
          <cell r="DZ623">
            <v>0</v>
          </cell>
          <cell r="EA623">
            <v>0</v>
          </cell>
          <cell r="EB623">
            <v>0</v>
          </cell>
          <cell r="EC623">
            <v>0</v>
          </cell>
          <cell r="ED623">
            <v>0</v>
          </cell>
          <cell r="EE623">
            <v>0</v>
          </cell>
          <cell r="EF623">
            <v>0</v>
          </cell>
          <cell r="EG623">
            <v>0</v>
          </cell>
          <cell r="EH623">
            <v>0</v>
          </cell>
          <cell r="EI623">
            <v>0</v>
          </cell>
          <cell r="EK623">
            <v>0</v>
          </cell>
          <cell r="EL623">
            <v>0</v>
          </cell>
          <cell r="EM623">
            <v>0</v>
          </cell>
          <cell r="EN623">
            <v>0</v>
          </cell>
          <cell r="EO623">
            <v>0</v>
          </cell>
          <cell r="EP623">
            <v>0</v>
          </cell>
          <cell r="EQ623">
            <v>0</v>
          </cell>
          <cell r="ER623">
            <v>0</v>
          </cell>
          <cell r="ES623">
            <v>0</v>
          </cell>
          <cell r="ET623">
            <v>0</v>
          </cell>
          <cell r="EU623">
            <v>0</v>
          </cell>
          <cell r="EV623">
            <v>0</v>
          </cell>
          <cell r="EW623">
            <v>0</v>
          </cell>
          <cell r="EY623">
            <v>0</v>
          </cell>
          <cell r="EZ623">
            <v>8</v>
          </cell>
          <cell r="FA623">
            <v>0</v>
          </cell>
          <cell r="FB623">
            <v>0</v>
          </cell>
          <cell r="FC623">
            <v>8.6</v>
          </cell>
          <cell r="FD623">
            <v>0</v>
          </cell>
          <cell r="FE623">
            <v>0</v>
          </cell>
          <cell r="FF623">
            <v>0</v>
          </cell>
          <cell r="FH623">
            <v>0</v>
          </cell>
        </row>
        <row r="624">
          <cell r="B624">
            <v>9758</v>
          </cell>
          <cell r="C624" t="str">
            <v>29.07.2010</v>
          </cell>
          <cell r="D624" t="str">
            <v>Sakat Vinod Shantaram</v>
          </cell>
          <cell r="F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BA624">
            <v>0</v>
          </cell>
          <cell r="BB624">
            <v>0</v>
          </cell>
          <cell r="BC624">
            <v>0</v>
          </cell>
          <cell r="BD624">
            <v>0</v>
          </cell>
          <cell r="BE624">
            <v>0</v>
          </cell>
          <cell r="BF624">
            <v>0</v>
          </cell>
          <cell r="BG624">
            <v>0</v>
          </cell>
          <cell r="BH624">
            <v>0</v>
          </cell>
          <cell r="BI624">
            <v>0</v>
          </cell>
          <cell r="BK624">
            <v>0</v>
          </cell>
          <cell r="BL624">
            <v>0</v>
          </cell>
          <cell r="BM624">
            <v>0</v>
          </cell>
          <cell r="BN624">
            <v>0</v>
          </cell>
          <cell r="BO624">
            <v>0</v>
          </cell>
          <cell r="BP624">
            <v>0</v>
          </cell>
          <cell r="BQ624">
            <v>0</v>
          </cell>
          <cell r="BR624">
            <v>0</v>
          </cell>
          <cell r="BS624">
            <v>0</v>
          </cell>
          <cell r="BU624">
            <v>0</v>
          </cell>
          <cell r="BV624">
            <v>0</v>
          </cell>
          <cell r="BW624">
            <v>0</v>
          </cell>
          <cell r="BX624">
            <v>0</v>
          </cell>
          <cell r="BY624">
            <v>0</v>
          </cell>
          <cell r="BZ624">
            <v>0</v>
          </cell>
          <cell r="CA624">
            <v>0</v>
          </cell>
          <cell r="CB624">
            <v>0</v>
          </cell>
          <cell r="CC624">
            <v>0</v>
          </cell>
          <cell r="CE624">
            <v>0</v>
          </cell>
          <cell r="CF624">
            <v>0</v>
          </cell>
          <cell r="CG624">
            <v>0</v>
          </cell>
          <cell r="CH624">
            <v>0</v>
          </cell>
          <cell r="CI624">
            <v>0</v>
          </cell>
          <cell r="CJ624">
            <v>0</v>
          </cell>
          <cell r="CK624">
            <v>0</v>
          </cell>
          <cell r="CL624">
            <v>0</v>
          </cell>
          <cell r="CM624">
            <v>0</v>
          </cell>
          <cell r="CO624">
            <v>0</v>
          </cell>
          <cell r="CP624">
            <v>0</v>
          </cell>
          <cell r="CQ624">
            <v>0</v>
          </cell>
          <cell r="CR624">
            <v>0</v>
          </cell>
          <cell r="CS624">
            <v>0</v>
          </cell>
          <cell r="CT624">
            <v>0</v>
          </cell>
          <cell r="CU624">
            <v>0</v>
          </cell>
          <cell r="CV624">
            <v>0</v>
          </cell>
          <cell r="CW624">
            <v>0</v>
          </cell>
          <cell r="CY624">
            <v>0</v>
          </cell>
          <cell r="CZ624">
            <v>0</v>
          </cell>
          <cell r="DA624">
            <v>0</v>
          </cell>
          <cell r="DB624">
            <v>0</v>
          </cell>
          <cell r="DC624">
            <v>0</v>
          </cell>
          <cell r="DD624">
            <v>0</v>
          </cell>
          <cell r="DE624">
            <v>0</v>
          </cell>
          <cell r="DF624">
            <v>0</v>
          </cell>
          <cell r="DG624">
            <v>0</v>
          </cell>
          <cell r="DI624">
            <v>0</v>
          </cell>
          <cell r="DJ624">
            <v>0</v>
          </cell>
          <cell r="DK624">
            <v>0</v>
          </cell>
          <cell r="DL624">
            <v>0</v>
          </cell>
          <cell r="DM624">
            <v>0</v>
          </cell>
          <cell r="DN624">
            <v>0</v>
          </cell>
          <cell r="DO624">
            <v>0</v>
          </cell>
          <cell r="DP624">
            <v>0</v>
          </cell>
          <cell r="DQ624">
            <v>0</v>
          </cell>
          <cell r="DR624">
            <v>0</v>
          </cell>
          <cell r="DS624">
            <v>0</v>
          </cell>
          <cell r="DT624">
            <v>0</v>
          </cell>
          <cell r="DU624">
            <v>0</v>
          </cell>
          <cell r="DW624">
            <v>0</v>
          </cell>
          <cell r="DX624">
            <v>0</v>
          </cell>
          <cell r="DY624">
            <v>0</v>
          </cell>
          <cell r="DZ624">
            <v>0</v>
          </cell>
          <cell r="EA624">
            <v>0</v>
          </cell>
          <cell r="EB624">
            <v>0</v>
          </cell>
          <cell r="EC624">
            <v>0</v>
          </cell>
          <cell r="ED624">
            <v>0</v>
          </cell>
          <cell r="EE624">
            <v>0</v>
          </cell>
          <cell r="EF624">
            <v>0</v>
          </cell>
          <cell r="EG624">
            <v>0</v>
          </cell>
          <cell r="EH624">
            <v>0</v>
          </cell>
          <cell r="EI624">
            <v>0</v>
          </cell>
          <cell r="EK624">
            <v>0</v>
          </cell>
          <cell r="EL624">
            <v>0</v>
          </cell>
          <cell r="EM624">
            <v>0</v>
          </cell>
          <cell r="EN624">
            <v>0</v>
          </cell>
          <cell r="EO624">
            <v>0</v>
          </cell>
          <cell r="EP624">
            <v>0</v>
          </cell>
          <cell r="EQ624">
            <v>0</v>
          </cell>
          <cell r="ER624">
            <v>0</v>
          </cell>
          <cell r="ES624">
            <v>0</v>
          </cell>
          <cell r="ET624">
            <v>0</v>
          </cell>
          <cell r="EU624">
            <v>0</v>
          </cell>
          <cell r="EV624">
            <v>0</v>
          </cell>
          <cell r="EW624">
            <v>0</v>
          </cell>
          <cell r="EY624">
            <v>0</v>
          </cell>
          <cell r="EZ624">
            <v>8</v>
          </cell>
          <cell r="FA624">
            <v>0</v>
          </cell>
          <cell r="FB624">
            <v>0</v>
          </cell>
          <cell r="FC624">
            <v>8.6</v>
          </cell>
          <cell r="FD624">
            <v>0</v>
          </cell>
          <cell r="FE624">
            <v>0</v>
          </cell>
          <cell r="FF624">
            <v>0</v>
          </cell>
          <cell r="FH624">
            <v>0</v>
          </cell>
        </row>
        <row r="625">
          <cell r="B625">
            <v>9790</v>
          </cell>
          <cell r="C625" t="str">
            <v>05.08.2010</v>
          </cell>
          <cell r="D625" t="str">
            <v>Shardul Kishor Uttam</v>
          </cell>
          <cell r="F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BA625">
            <v>0</v>
          </cell>
          <cell r="BB625">
            <v>0</v>
          </cell>
          <cell r="BC625">
            <v>0</v>
          </cell>
          <cell r="BD625">
            <v>0</v>
          </cell>
          <cell r="BE625">
            <v>0</v>
          </cell>
          <cell r="BF625">
            <v>0</v>
          </cell>
          <cell r="BG625">
            <v>0</v>
          </cell>
          <cell r="BH625">
            <v>0</v>
          </cell>
          <cell r="BI625">
            <v>0</v>
          </cell>
          <cell r="BK625">
            <v>0</v>
          </cell>
          <cell r="BL625">
            <v>0</v>
          </cell>
          <cell r="BM625">
            <v>0</v>
          </cell>
          <cell r="BN625">
            <v>0</v>
          </cell>
          <cell r="BO625">
            <v>0</v>
          </cell>
          <cell r="BP625">
            <v>0</v>
          </cell>
          <cell r="BQ625">
            <v>0</v>
          </cell>
          <cell r="BR625">
            <v>0</v>
          </cell>
          <cell r="BS625">
            <v>0</v>
          </cell>
          <cell r="BU625">
            <v>0</v>
          </cell>
          <cell r="BV625">
            <v>0</v>
          </cell>
          <cell r="BW625">
            <v>0</v>
          </cell>
          <cell r="BX625">
            <v>0</v>
          </cell>
          <cell r="BY625">
            <v>0</v>
          </cell>
          <cell r="BZ625">
            <v>0</v>
          </cell>
          <cell r="CA625">
            <v>0</v>
          </cell>
          <cell r="CB625">
            <v>0</v>
          </cell>
          <cell r="CC625">
            <v>0</v>
          </cell>
          <cell r="CE625">
            <v>0</v>
          </cell>
          <cell r="CF625">
            <v>0</v>
          </cell>
          <cell r="CG625">
            <v>0</v>
          </cell>
          <cell r="CH625">
            <v>0</v>
          </cell>
          <cell r="CI625">
            <v>0</v>
          </cell>
          <cell r="CJ625">
            <v>0</v>
          </cell>
          <cell r="CK625">
            <v>0</v>
          </cell>
          <cell r="CL625">
            <v>0</v>
          </cell>
          <cell r="CM625">
            <v>0</v>
          </cell>
          <cell r="CO625">
            <v>0</v>
          </cell>
          <cell r="CP625">
            <v>0</v>
          </cell>
          <cell r="CQ625">
            <v>0</v>
          </cell>
          <cell r="CR625">
            <v>0</v>
          </cell>
          <cell r="CS625">
            <v>0</v>
          </cell>
          <cell r="CT625">
            <v>0</v>
          </cell>
          <cell r="CU625">
            <v>0</v>
          </cell>
          <cell r="CV625">
            <v>0</v>
          </cell>
          <cell r="CW625">
            <v>0</v>
          </cell>
          <cell r="CY625">
            <v>0</v>
          </cell>
          <cell r="CZ625">
            <v>0</v>
          </cell>
          <cell r="DA625">
            <v>0</v>
          </cell>
          <cell r="DB625">
            <v>0</v>
          </cell>
          <cell r="DC625">
            <v>0</v>
          </cell>
          <cell r="DD625">
            <v>0</v>
          </cell>
          <cell r="DE625">
            <v>0</v>
          </cell>
          <cell r="DF625">
            <v>0</v>
          </cell>
          <cell r="DG625">
            <v>0</v>
          </cell>
          <cell r="DI625">
            <v>0</v>
          </cell>
          <cell r="DJ625">
            <v>0</v>
          </cell>
          <cell r="DK625">
            <v>0</v>
          </cell>
          <cell r="DL625">
            <v>0</v>
          </cell>
          <cell r="DM625">
            <v>0</v>
          </cell>
          <cell r="DN625">
            <v>0</v>
          </cell>
          <cell r="DO625">
            <v>0</v>
          </cell>
          <cell r="DP625">
            <v>0</v>
          </cell>
          <cell r="DQ625">
            <v>0</v>
          </cell>
          <cell r="DR625">
            <v>0</v>
          </cell>
          <cell r="DS625">
            <v>0</v>
          </cell>
          <cell r="DT625">
            <v>0</v>
          </cell>
          <cell r="DU625">
            <v>0</v>
          </cell>
          <cell r="DW625">
            <v>0</v>
          </cell>
          <cell r="DX625">
            <v>0</v>
          </cell>
          <cell r="DY625">
            <v>0</v>
          </cell>
          <cell r="DZ625">
            <v>0</v>
          </cell>
          <cell r="EA625">
            <v>0</v>
          </cell>
          <cell r="EB625">
            <v>0</v>
          </cell>
          <cell r="EC625">
            <v>0</v>
          </cell>
          <cell r="ED625">
            <v>0</v>
          </cell>
          <cell r="EE625">
            <v>0</v>
          </cell>
          <cell r="EF625">
            <v>0</v>
          </cell>
          <cell r="EG625">
            <v>0</v>
          </cell>
          <cell r="EH625">
            <v>0</v>
          </cell>
          <cell r="EI625">
            <v>0</v>
          </cell>
          <cell r="EK625">
            <v>0</v>
          </cell>
          <cell r="EL625">
            <v>0</v>
          </cell>
          <cell r="EM625">
            <v>0</v>
          </cell>
          <cell r="EN625">
            <v>0</v>
          </cell>
          <cell r="EO625">
            <v>0</v>
          </cell>
          <cell r="EP625">
            <v>0</v>
          </cell>
          <cell r="EQ625">
            <v>0</v>
          </cell>
          <cell r="ER625">
            <v>0</v>
          </cell>
          <cell r="ES625">
            <v>0</v>
          </cell>
          <cell r="ET625">
            <v>0</v>
          </cell>
          <cell r="EU625">
            <v>0</v>
          </cell>
          <cell r="EV625">
            <v>0</v>
          </cell>
          <cell r="EW625">
            <v>0</v>
          </cell>
          <cell r="EY625">
            <v>0</v>
          </cell>
          <cell r="EZ625">
            <v>8</v>
          </cell>
          <cell r="FA625">
            <v>0</v>
          </cell>
          <cell r="FB625">
            <v>0</v>
          </cell>
          <cell r="FC625">
            <v>8.6</v>
          </cell>
          <cell r="FD625">
            <v>0</v>
          </cell>
          <cell r="FE625">
            <v>0</v>
          </cell>
          <cell r="FF625">
            <v>0</v>
          </cell>
          <cell r="FH625">
            <v>0</v>
          </cell>
        </row>
        <row r="626">
          <cell r="B626">
            <v>9762</v>
          </cell>
          <cell r="C626" t="str">
            <v>17.08.2010</v>
          </cell>
          <cell r="D626" t="str">
            <v>More Gauri Dattaray</v>
          </cell>
          <cell r="F626">
            <v>0</v>
          </cell>
          <cell r="G626">
            <v>3500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BA626">
            <v>0</v>
          </cell>
          <cell r="BB626">
            <v>0</v>
          </cell>
          <cell r="BC626">
            <v>0</v>
          </cell>
          <cell r="BD626">
            <v>0</v>
          </cell>
          <cell r="BE626">
            <v>0</v>
          </cell>
          <cell r="BF626">
            <v>0</v>
          </cell>
          <cell r="BG626">
            <v>0</v>
          </cell>
          <cell r="BH626">
            <v>0</v>
          </cell>
          <cell r="BI626">
            <v>0</v>
          </cell>
          <cell r="BK626">
            <v>0</v>
          </cell>
          <cell r="BL626">
            <v>0</v>
          </cell>
          <cell r="BM626">
            <v>0</v>
          </cell>
          <cell r="BN626">
            <v>0</v>
          </cell>
          <cell r="BO626">
            <v>0</v>
          </cell>
          <cell r="BP626">
            <v>0</v>
          </cell>
          <cell r="BQ626">
            <v>0</v>
          </cell>
          <cell r="BR626">
            <v>0</v>
          </cell>
          <cell r="BS626">
            <v>0</v>
          </cell>
          <cell r="BU626">
            <v>0</v>
          </cell>
          <cell r="BV626">
            <v>0</v>
          </cell>
          <cell r="BW626">
            <v>0</v>
          </cell>
          <cell r="BX626">
            <v>0</v>
          </cell>
          <cell r="BY626">
            <v>0</v>
          </cell>
          <cell r="BZ626">
            <v>0</v>
          </cell>
          <cell r="CA626">
            <v>0</v>
          </cell>
          <cell r="CB626">
            <v>0</v>
          </cell>
          <cell r="CC626">
            <v>0</v>
          </cell>
          <cell r="CE626">
            <v>0</v>
          </cell>
          <cell r="CF626">
            <v>0</v>
          </cell>
          <cell r="CG626">
            <v>0</v>
          </cell>
          <cell r="CH626">
            <v>0</v>
          </cell>
          <cell r="CI626">
            <v>0</v>
          </cell>
          <cell r="CJ626">
            <v>0</v>
          </cell>
          <cell r="CK626">
            <v>0</v>
          </cell>
          <cell r="CL626">
            <v>0</v>
          </cell>
          <cell r="CM626">
            <v>0</v>
          </cell>
          <cell r="CO626">
            <v>0</v>
          </cell>
          <cell r="CP626">
            <v>0</v>
          </cell>
          <cell r="CQ626">
            <v>0</v>
          </cell>
          <cell r="CR626">
            <v>0</v>
          </cell>
          <cell r="CS626">
            <v>0</v>
          </cell>
          <cell r="CT626">
            <v>0</v>
          </cell>
          <cell r="CU626">
            <v>0</v>
          </cell>
          <cell r="CV626">
            <v>0</v>
          </cell>
          <cell r="CW626">
            <v>0</v>
          </cell>
          <cell r="CY626">
            <v>0</v>
          </cell>
          <cell r="CZ626">
            <v>0</v>
          </cell>
          <cell r="DA626">
            <v>0</v>
          </cell>
          <cell r="DB626">
            <v>0</v>
          </cell>
          <cell r="DC626">
            <v>0</v>
          </cell>
          <cell r="DD626">
            <v>0</v>
          </cell>
          <cell r="DE626">
            <v>0</v>
          </cell>
          <cell r="DF626">
            <v>0</v>
          </cell>
          <cell r="DG626">
            <v>0</v>
          </cell>
          <cell r="DI626">
            <v>0</v>
          </cell>
          <cell r="DJ626">
            <v>0</v>
          </cell>
          <cell r="DK626">
            <v>0</v>
          </cell>
          <cell r="DL626">
            <v>0</v>
          </cell>
          <cell r="DM626">
            <v>0</v>
          </cell>
          <cell r="DN626">
            <v>0</v>
          </cell>
          <cell r="DO626">
            <v>0</v>
          </cell>
          <cell r="DP626">
            <v>0</v>
          </cell>
          <cell r="DQ626">
            <v>0</v>
          </cell>
          <cell r="DR626">
            <v>0</v>
          </cell>
          <cell r="DS626">
            <v>0</v>
          </cell>
          <cell r="DT626">
            <v>0</v>
          </cell>
          <cell r="DU626">
            <v>0</v>
          </cell>
          <cell r="DW626">
            <v>0</v>
          </cell>
          <cell r="DX626">
            <v>0</v>
          </cell>
          <cell r="DY626">
            <v>0</v>
          </cell>
          <cell r="DZ626">
            <v>0</v>
          </cell>
          <cell r="EA626">
            <v>0</v>
          </cell>
          <cell r="EB626">
            <v>0</v>
          </cell>
          <cell r="EC626">
            <v>0</v>
          </cell>
          <cell r="ED626">
            <v>0</v>
          </cell>
          <cell r="EE626">
            <v>0</v>
          </cell>
          <cell r="EF626">
            <v>0</v>
          </cell>
          <cell r="EG626">
            <v>0</v>
          </cell>
          <cell r="EH626">
            <v>0</v>
          </cell>
          <cell r="EI626">
            <v>0</v>
          </cell>
          <cell r="EK626">
            <v>0</v>
          </cell>
          <cell r="EL626">
            <v>0</v>
          </cell>
          <cell r="EM626">
            <v>0</v>
          </cell>
          <cell r="EN626">
            <v>0</v>
          </cell>
          <cell r="EO626">
            <v>0</v>
          </cell>
          <cell r="EP626">
            <v>0</v>
          </cell>
          <cell r="EQ626">
            <v>0</v>
          </cell>
          <cell r="ER626">
            <v>0</v>
          </cell>
          <cell r="ES626">
            <v>0</v>
          </cell>
          <cell r="ET626">
            <v>0</v>
          </cell>
          <cell r="EU626">
            <v>0</v>
          </cell>
          <cell r="EV626">
            <v>0</v>
          </cell>
          <cell r="EW626">
            <v>0</v>
          </cell>
          <cell r="EY626">
            <v>0</v>
          </cell>
          <cell r="EZ626">
            <v>8</v>
          </cell>
          <cell r="FA626">
            <v>0</v>
          </cell>
          <cell r="FB626">
            <v>0</v>
          </cell>
          <cell r="FC626">
            <v>8.6</v>
          </cell>
          <cell r="FD626">
            <v>0</v>
          </cell>
          <cell r="FE626">
            <v>0</v>
          </cell>
          <cell r="FF626">
            <v>0</v>
          </cell>
          <cell r="FH626">
            <v>0</v>
          </cell>
        </row>
        <row r="627">
          <cell r="B627">
            <v>9767</v>
          </cell>
          <cell r="C627" t="str">
            <v>17.08.2010</v>
          </cell>
          <cell r="D627" t="str">
            <v>Aher Vanita Shankar</v>
          </cell>
          <cell r="F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BA627">
            <v>0</v>
          </cell>
          <cell r="BB627">
            <v>0</v>
          </cell>
          <cell r="BC627">
            <v>0</v>
          </cell>
          <cell r="BD627">
            <v>0</v>
          </cell>
          <cell r="BE627">
            <v>0</v>
          </cell>
          <cell r="BF627">
            <v>0</v>
          </cell>
          <cell r="BG627">
            <v>0</v>
          </cell>
          <cell r="BH627">
            <v>0</v>
          </cell>
          <cell r="BI627">
            <v>0</v>
          </cell>
          <cell r="BK627">
            <v>0</v>
          </cell>
          <cell r="BL627">
            <v>0</v>
          </cell>
          <cell r="BM627">
            <v>0</v>
          </cell>
          <cell r="BN627">
            <v>0</v>
          </cell>
          <cell r="BO627">
            <v>0</v>
          </cell>
          <cell r="BP627">
            <v>0</v>
          </cell>
          <cell r="BQ627">
            <v>0</v>
          </cell>
          <cell r="BR627">
            <v>0</v>
          </cell>
          <cell r="BS627">
            <v>0</v>
          </cell>
          <cell r="BU627">
            <v>0</v>
          </cell>
          <cell r="BV627">
            <v>0</v>
          </cell>
          <cell r="BW627">
            <v>0</v>
          </cell>
          <cell r="BX627">
            <v>0</v>
          </cell>
          <cell r="BY627">
            <v>0</v>
          </cell>
          <cell r="BZ627">
            <v>0</v>
          </cell>
          <cell r="CA627">
            <v>0</v>
          </cell>
          <cell r="CB627">
            <v>0</v>
          </cell>
          <cell r="CC627">
            <v>0</v>
          </cell>
          <cell r="CE627">
            <v>0</v>
          </cell>
          <cell r="CF627">
            <v>0</v>
          </cell>
          <cell r="CG627">
            <v>0</v>
          </cell>
          <cell r="CH627">
            <v>0</v>
          </cell>
          <cell r="CI627">
            <v>0</v>
          </cell>
          <cell r="CJ627">
            <v>0</v>
          </cell>
          <cell r="CK627">
            <v>0</v>
          </cell>
          <cell r="CL627">
            <v>0</v>
          </cell>
          <cell r="CM627">
            <v>0</v>
          </cell>
          <cell r="CO627">
            <v>0</v>
          </cell>
          <cell r="CP627">
            <v>0</v>
          </cell>
          <cell r="CQ627">
            <v>0</v>
          </cell>
          <cell r="CR627">
            <v>0</v>
          </cell>
          <cell r="CS627">
            <v>0</v>
          </cell>
          <cell r="CT627">
            <v>0</v>
          </cell>
          <cell r="CU627">
            <v>0</v>
          </cell>
          <cell r="CV627">
            <v>0</v>
          </cell>
          <cell r="CW627">
            <v>0</v>
          </cell>
          <cell r="CY627">
            <v>0</v>
          </cell>
          <cell r="CZ627">
            <v>0</v>
          </cell>
          <cell r="DA627">
            <v>0</v>
          </cell>
          <cell r="DB627">
            <v>0</v>
          </cell>
          <cell r="DC627">
            <v>0</v>
          </cell>
          <cell r="DD627">
            <v>0</v>
          </cell>
          <cell r="DE627">
            <v>0</v>
          </cell>
          <cell r="DF627">
            <v>0</v>
          </cell>
          <cell r="DG627">
            <v>0</v>
          </cell>
          <cell r="DI627">
            <v>0</v>
          </cell>
          <cell r="DJ627">
            <v>0</v>
          </cell>
          <cell r="DK627">
            <v>0</v>
          </cell>
          <cell r="DL627">
            <v>0</v>
          </cell>
          <cell r="DM627">
            <v>0</v>
          </cell>
          <cell r="DN627">
            <v>0</v>
          </cell>
          <cell r="DO627">
            <v>0</v>
          </cell>
          <cell r="DP627">
            <v>0</v>
          </cell>
          <cell r="DQ627">
            <v>0</v>
          </cell>
          <cell r="DR627">
            <v>0</v>
          </cell>
          <cell r="DS627">
            <v>0</v>
          </cell>
          <cell r="DT627">
            <v>0</v>
          </cell>
          <cell r="DU627">
            <v>0</v>
          </cell>
          <cell r="DW627">
            <v>0</v>
          </cell>
          <cell r="DX627">
            <v>0</v>
          </cell>
          <cell r="DY627">
            <v>0</v>
          </cell>
          <cell r="DZ627">
            <v>0</v>
          </cell>
          <cell r="EA627">
            <v>0</v>
          </cell>
          <cell r="EB627">
            <v>0</v>
          </cell>
          <cell r="EC627">
            <v>0</v>
          </cell>
          <cell r="ED627">
            <v>0</v>
          </cell>
          <cell r="EE627">
            <v>0</v>
          </cell>
          <cell r="EF627">
            <v>0</v>
          </cell>
          <cell r="EG627">
            <v>0</v>
          </cell>
          <cell r="EH627">
            <v>0</v>
          </cell>
          <cell r="EI627">
            <v>0</v>
          </cell>
          <cell r="EK627">
            <v>0</v>
          </cell>
          <cell r="EL627">
            <v>0</v>
          </cell>
          <cell r="EM627">
            <v>0</v>
          </cell>
          <cell r="EN627">
            <v>0</v>
          </cell>
          <cell r="EO627">
            <v>0</v>
          </cell>
          <cell r="EP627">
            <v>0</v>
          </cell>
          <cell r="EQ627">
            <v>0</v>
          </cell>
          <cell r="ER627">
            <v>0</v>
          </cell>
          <cell r="ES627">
            <v>0</v>
          </cell>
          <cell r="ET627">
            <v>0</v>
          </cell>
          <cell r="EU627">
            <v>0</v>
          </cell>
          <cell r="EV627">
            <v>0</v>
          </cell>
          <cell r="EW627">
            <v>0</v>
          </cell>
          <cell r="EY627">
            <v>0</v>
          </cell>
          <cell r="EZ627">
            <v>8</v>
          </cell>
          <cell r="FA627">
            <v>0</v>
          </cell>
          <cell r="FB627">
            <v>0</v>
          </cell>
          <cell r="FC627">
            <v>8.6</v>
          </cell>
          <cell r="FD627">
            <v>0</v>
          </cell>
          <cell r="FE627">
            <v>0</v>
          </cell>
          <cell r="FF627">
            <v>0</v>
          </cell>
          <cell r="FH627">
            <v>0</v>
          </cell>
        </row>
        <row r="628">
          <cell r="B628">
            <v>9768</v>
          </cell>
          <cell r="C628" t="str">
            <v>17.08.2010</v>
          </cell>
          <cell r="D628" t="str">
            <v>Barve Jyoti Shridhar</v>
          </cell>
          <cell r="F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BA628">
            <v>0</v>
          </cell>
          <cell r="BB628">
            <v>0</v>
          </cell>
          <cell r="BC628">
            <v>0</v>
          </cell>
          <cell r="BD628">
            <v>0</v>
          </cell>
          <cell r="BE628">
            <v>0</v>
          </cell>
          <cell r="BF628">
            <v>0</v>
          </cell>
          <cell r="BG628">
            <v>0</v>
          </cell>
          <cell r="BH628">
            <v>0</v>
          </cell>
          <cell r="BI628">
            <v>0</v>
          </cell>
          <cell r="BK628">
            <v>0</v>
          </cell>
          <cell r="BL628">
            <v>0</v>
          </cell>
          <cell r="BM628">
            <v>0</v>
          </cell>
          <cell r="BN628">
            <v>0</v>
          </cell>
          <cell r="BO628">
            <v>0</v>
          </cell>
          <cell r="BP628">
            <v>0</v>
          </cell>
          <cell r="BQ628">
            <v>0</v>
          </cell>
          <cell r="BR628">
            <v>0</v>
          </cell>
          <cell r="BS628">
            <v>0</v>
          </cell>
          <cell r="BU628">
            <v>0</v>
          </cell>
          <cell r="BV628">
            <v>0</v>
          </cell>
          <cell r="BW628">
            <v>0</v>
          </cell>
          <cell r="BX628">
            <v>0</v>
          </cell>
          <cell r="BY628">
            <v>0</v>
          </cell>
          <cell r="BZ628">
            <v>0</v>
          </cell>
          <cell r="CA628">
            <v>0</v>
          </cell>
          <cell r="CB628">
            <v>0</v>
          </cell>
          <cell r="CC628">
            <v>0</v>
          </cell>
          <cell r="CE628">
            <v>0</v>
          </cell>
          <cell r="CF628">
            <v>0</v>
          </cell>
          <cell r="CG628">
            <v>0</v>
          </cell>
          <cell r="CH628">
            <v>0</v>
          </cell>
          <cell r="CI628">
            <v>0</v>
          </cell>
          <cell r="CJ628">
            <v>0</v>
          </cell>
          <cell r="CK628">
            <v>0</v>
          </cell>
          <cell r="CL628">
            <v>0</v>
          </cell>
          <cell r="CM628">
            <v>0</v>
          </cell>
          <cell r="CO628">
            <v>0</v>
          </cell>
          <cell r="CP628">
            <v>0</v>
          </cell>
          <cell r="CQ628">
            <v>0</v>
          </cell>
          <cell r="CR628">
            <v>0</v>
          </cell>
          <cell r="CS628">
            <v>0</v>
          </cell>
          <cell r="CT628">
            <v>0</v>
          </cell>
          <cell r="CU628">
            <v>0</v>
          </cell>
          <cell r="CV628">
            <v>0</v>
          </cell>
          <cell r="CW628">
            <v>0</v>
          </cell>
          <cell r="CY628">
            <v>0</v>
          </cell>
          <cell r="CZ628">
            <v>0</v>
          </cell>
          <cell r="DA628">
            <v>0</v>
          </cell>
          <cell r="DB628">
            <v>0</v>
          </cell>
          <cell r="DC628">
            <v>0</v>
          </cell>
          <cell r="DD628">
            <v>0</v>
          </cell>
          <cell r="DE628">
            <v>0</v>
          </cell>
          <cell r="DF628">
            <v>0</v>
          </cell>
          <cell r="DG628">
            <v>0</v>
          </cell>
          <cell r="DI628">
            <v>0</v>
          </cell>
          <cell r="DJ628">
            <v>0</v>
          </cell>
          <cell r="DK628">
            <v>0</v>
          </cell>
          <cell r="DL628">
            <v>0</v>
          </cell>
          <cell r="DM628">
            <v>0</v>
          </cell>
          <cell r="DN628">
            <v>0</v>
          </cell>
          <cell r="DO628">
            <v>0</v>
          </cell>
          <cell r="DP628">
            <v>0</v>
          </cell>
          <cell r="DQ628">
            <v>0</v>
          </cell>
          <cell r="DR628">
            <v>0</v>
          </cell>
          <cell r="DS628">
            <v>0</v>
          </cell>
          <cell r="DT628">
            <v>0</v>
          </cell>
          <cell r="DU628">
            <v>0</v>
          </cell>
          <cell r="DW628">
            <v>0</v>
          </cell>
          <cell r="DX628">
            <v>0</v>
          </cell>
          <cell r="DY628">
            <v>0</v>
          </cell>
          <cell r="DZ628">
            <v>0</v>
          </cell>
          <cell r="EA628">
            <v>0</v>
          </cell>
          <cell r="EB628">
            <v>0</v>
          </cell>
          <cell r="EC628">
            <v>0</v>
          </cell>
          <cell r="ED628">
            <v>0</v>
          </cell>
          <cell r="EE628">
            <v>0</v>
          </cell>
          <cell r="EF628">
            <v>0</v>
          </cell>
          <cell r="EG628">
            <v>0</v>
          </cell>
          <cell r="EH628">
            <v>0</v>
          </cell>
          <cell r="EI628">
            <v>0</v>
          </cell>
          <cell r="EK628">
            <v>0</v>
          </cell>
          <cell r="EL628">
            <v>0</v>
          </cell>
          <cell r="EM628">
            <v>0</v>
          </cell>
          <cell r="EN628">
            <v>0</v>
          </cell>
          <cell r="EO628">
            <v>0</v>
          </cell>
          <cell r="EP628">
            <v>0</v>
          </cell>
          <cell r="EQ628">
            <v>0</v>
          </cell>
          <cell r="ER628">
            <v>0</v>
          </cell>
          <cell r="ES628">
            <v>0</v>
          </cell>
          <cell r="ET628">
            <v>0</v>
          </cell>
          <cell r="EU628">
            <v>0</v>
          </cell>
          <cell r="EV628">
            <v>0</v>
          </cell>
          <cell r="EW628">
            <v>0</v>
          </cell>
          <cell r="EY628">
            <v>0</v>
          </cell>
          <cell r="EZ628">
            <v>8</v>
          </cell>
          <cell r="FA628">
            <v>0</v>
          </cell>
          <cell r="FB628">
            <v>0</v>
          </cell>
          <cell r="FC628">
            <v>8.6</v>
          </cell>
          <cell r="FD628">
            <v>0</v>
          </cell>
          <cell r="FE628">
            <v>0</v>
          </cell>
          <cell r="FF628">
            <v>0</v>
          </cell>
          <cell r="FH628">
            <v>0</v>
          </cell>
        </row>
        <row r="629">
          <cell r="B629">
            <v>9770</v>
          </cell>
          <cell r="C629" t="str">
            <v>17.08.2010</v>
          </cell>
          <cell r="D629" t="str">
            <v>Lokhande Sheetal Ramesh</v>
          </cell>
          <cell r="F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BA629">
            <v>0</v>
          </cell>
          <cell r="BB629">
            <v>0</v>
          </cell>
          <cell r="BC629">
            <v>0</v>
          </cell>
          <cell r="BD629">
            <v>0</v>
          </cell>
          <cell r="BE629">
            <v>0</v>
          </cell>
          <cell r="BF629">
            <v>0</v>
          </cell>
          <cell r="BG629">
            <v>0</v>
          </cell>
          <cell r="BH629">
            <v>0</v>
          </cell>
          <cell r="BI629">
            <v>0</v>
          </cell>
          <cell r="BK629">
            <v>0</v>
          </cell>
          <cell r="BL629">
            <v>0</v>
          </cell>
          <cell r="BM629">
            <v>0</v>
          </cell>
          <cell r="BN629">
            <v>0</v>
          </cell>
          <cell r="BO629">
            <v>0</v>
          </cell>
          <cell r="BP629">
            <v>0</v>
          </cell>
          <cell r="BQ629">
            <v>0</v>
          </cell>
          <cell r="BR629">
            <v>0</v>
          </cell>
          <cell r="BS629">
            <v>0</v>
          </cell>
          <cell r="BU629">
            <v>0</v>
          </cell>
          <cell r="BV629">
            <v>0</v>
          </cell>
          <cell r="BW629">
            <v>0</v>
          </cell>
          <cell r="BX629">
            <v>0</v>
          </cell>
          <cell r="BY629">
            <v>0</v>
          </cell>
          <cell r="BZ629">
            <v>0</v>
          </cell>
          <cell r="CA629">
            <v>0</v>
          </cell>
          <cell r="CB629">
            <v>0</v>
          </cell>
          <cell r="CC629">
            <v>0</v>
          </cell>
          <cell r="CE629">
            <v>0</v>
          </cell>
          <cell r="CF629">
            <v>0</v>
          </cell>
          <cell r="CG629">
            <v>0</v>
          </cell>
          <cell r="CH629">
            <v>0</v>
          </cell>
          <cell r="CI629">
            <v>0</v>
          </cell>
          <cell r="CJ629">
            <v>0</v>
          </cell>
          <cell r="CK629">
            <v>0</v>
          </cell>
          <cell r="CL629">
            <v>0</v>
          </cell>
          <cell r="CM629">
            <v>0</v>
          </cell>
          <cell r="CO629">
            <v>0</v>
          </cell>
          <cell r="CP629">
            <v>0</v>
          </cell>
          <cell r="CQ629">
            <v>0</v>
          </cell>
          <cell r="CR629">
            <v>0</v>
          </cell>
          <cell r="CS629">
            <v>0</v>
          </cell>
          <cell r="CT629">
            <v>0</v>
          </cell>
          <cell r="CU629">
            <v>0</v>
          </cell>
          <cell r="CV629">
            <v>0</v>
          </cell>
          <cell r="CW629">
            <v>0</v>
          </cell>
          <cell r="CY629">
            <v>0</v>
          </cell>
          <cell r="CZ629">
            <v>0</v>
          </cell>
          <cell r="DA629">
            <v>0</v>
          </cell>
          <cell r="DB629">
            <v>0</v>
          </cell>
          <cell r="DC629">
            <v>0</v>
          </cell>
          <cell r="DD629">
            <v>0</v>
          </cell>
          <cell r="DE629">
            <v>0</v>
          </cell>
          <cell r="DF629">
            <v>0</v>
          </cell>
          <cell r="DG629">
            <v>0</v>
          </cell>
          <cell r="DI629">
            <v>0</v>
          </cell>
          <cell r="DJ629">
            <v>0</v>
          </cell>
          <cell r="DK629">
            <v>0</v>
          </cell>
          <cell r="DL629">
            <v>0</v>
          </cell>
          <cell r="DM629">
            <v>0</v>
          </cell>
          <cell r="DN629">
            <v>0</v>
          </cell>
          <cell r="DO629">
            <v>0</v>
          </cell>
          <cell r="DP629">
            <v>0</v>
          </cell>
          <cell r="DQ629">
            <v>0</v>
          </cell>
          <cell r="DR629">
            <v>0</v>
          </cell>
          <cell r="DS629">
            <v>0</v>
          </cell>
          <cell r="DT629">
            <v>0</v>
          </cell>
          <cell r="DU629">
            <v>0</v>
          </cell>
          <cell r="DW629">
            <v>0</v>
          </cell>
          <cell r="DX629">
            <v>0</v>
          </cell>
          <cell r="DY629">
            <v>0</v>
          </cell>
          <cell r="DZ629">
            <v>0</v>
          </cell>
          <cell r="EA629">
            <v>0</v>
          </cell>
          <cell r="EB629">
            <v>0</v>
          </cell>
          <cell r="EC629">
            <v>0</v>
          </cell>
          <cell r="ED629">
            <v>0</v>
          </cell>
          <cell r="EE629">
            <v>0</v>
          </cell>
          <cell r="EF629">
            <v>0</v>
          </cell>
          <cell r="EG629">
            <v>0</v>
          </cell>
          <cell r="EH629">
            <v>0</v>
          </cell>
          <cell r="EI629">
            <v>0</v>
          </cell>
          <cell r="EK629">
            <v>0</v>
          </cell>
          <cell r="EL629">
            <v>0</v>
          </cell>
          <cell r="EM629">
            <v>0</v>
          </cell>
          <cell r="EN629">
            <v>0</v>
          </cell>
          <cell r="EO629">
            <v>0</v>
          </cell>
          <cell r="EP629">
            <v>0</v>
          </cell>
          <cell r="EQ629">
            <v>0</v>
          </cell>
          <cell r="ER629">
            <v>0</v>
          </cell>
          <cell r="ES629">
            <v>0</v>
          </cell>
          <cell r="ET629">
            <v>0</v>
          </cell>
          <cell r="EU629">
            <v>0</v>
          </cell>
          <cell r="EV629">
            <v>0</v>
          </cell>
          <cell r="EW629">
            <v>0</v>
          </cell>
          <cell r="EY629">
            <v>0</v>
          </cell>
          <cell r="EZ629">
            <v>8</v>
          </cell>
          <cell r="FA629">
            <v>0</v>
          </cell>
          <cell r="FB629">
            <v>0</v>
          </cell>
          <cell r="FC629">
            <v>8.6</v>
          </cell>
          <cell r="FD629">
            <v>0</v>
          </cell>
          <cell r="FE629">
            <v>0</v>
          </cell>
          <cell r="FF629">
            <v>0</v>
          </cell>
          <cell r="FH629">
            <v>0</v>
          </cell>
        </row>
        <row r="630">
          <cell r="B630">
            <v>9771</v>
          </cell>
          <cell r="C630" t="str">
            <v>17.08.2010</v>
          </cell>
          <cell r="D630" t="str">
            <v>Dethe Vijaya Albert</v>
          </cell>
          <cell r="F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BA630">
            <v>0</v>
          </cell>
          <cell r="BB630">
            <v>0</v>
          </cell>
          <cell r="BC630">
            <v>0</v>
          </cell>
          <cell r="BD630">
            <v>0</v>
          </cell>
          <cell r="BE630">
            <v>0</v>
          </cell>
          <cell r="BF630">
            <v>0</v>
          </cell>
          <cell r="BG630">
            <v>0</v>
          </cell>
          <cell r="BH630">
            <v>0</v>
          </cell>
          <cell r="BI630">
            <v>0</v>
          </cell>
          <cell r="BK630">
            <v>0</v>
          </cell>
          <cell r="BL630">
            <v>0</v>
          </cell>
          <cell r="BM630">
            <v>0</v>
          </cell>
          <cell r="BN630">
            <v>0</v>
          </cell>
          <cell r="BO630">
            <v>0</v>
          </cell>
          <cell r="BP630">
            <v>0</v>
          </cell>
          <cell r="BQ630">
            <v>0</v>
          </cell>
          <cell r="BR630">
            <v>0</v>
          </cell>
          <cell r="BS630">
            <v>0</v>
          </cell>
          <cell r="BU630">
            <v>0</v>
          </cell>
          <cell r="BV630">
            <v>0</v>
          </cell>
          <cell r="BW630">
            <v>0</v>
          </cell>
          <cell r="BX630">
            <v>0</v>
          </cell>
          <cell r="BY630">
            <v>0</v>
          </cell>
          <cell r="BZ630">
            <v>0</v>
          </cell>
          <cell r="CA630">
            <v>0</v>
          </cell>
          <cell r="CB630">
            <v>0</v>
          </cell>
          <cell r="CC630">
            <v>0</v>
          </cell>
          <cell r="CE630">
            <v>0</v>
          </cell>
          <cell r="CF630">
            <v>0</v>
          </cell>
          <cell r="CG630">
            <v>0</v>
          </cell>
          <cell r="CH630">
            <v>0</v>
          </cell>
          <cell r="CI630">
            <v>0</v>
          </cell>
          <cell r="CJ630">
            <v>0</v>
          </cell>
          <cell r="CK630">
            <v>0</v>
          </cell>
          <cell r="CL630">
            <v>0</v>
          </cell>
          <cell r="CM630">
            <v>0</v>
          </cell>
          <cell r="CO630">
            <v>0</v>
          </cell>
          <cell r="CP630">
            <v>0</v>
          </cell>
          <cell r="CQ630">
            <v>0</v>
          </cell>
          <cell r="CR630">
            <v>0</v>
          </cell>
          <cell r="CS630">
            <v>0</v>
          </cell>
          <cell r="CT630">
            <v>0</v>
          </cell>
          <cell r="CU630">
            <v>0</v>
          </cell>
          <cell r="CV630">
            <v>0</v>
          </cell>
          <cell r="CW630">
            <v>0</v>
          </cell>
          <cell r="CY630">
            <v>0</v>
          </cell>
          <cell r="CZ630">
            <v>0</v>
          </cell>
          <cell r="DA630">
            <v>0</v>
          </cell>
          <cell r="DB630">
            <v>0</v>
          </cell>
          <cell r="DC630">
            <v>0</v>
          </cell>
          <cell r="DD630">
            <v>0</v>
          </cell>
          <cell r="DE630">
            <v>0</v>
          </cell>
          <cell r="DF630">
            <v>0</v>
          </cell>
          <cell r="DG630">
            <v>0</v>
          </cell>
          <cell r="DI630">
            <v>0</v>
          </cell>
          <cell r="DJ630">
            <v>0</v>
          </cell>
          <cell r="DK630">
            <v>0</v>
          </cell>
          <cell r="DL630">
            <v>0</v>
          </cell>
          <cell r="DM630">
            <v>0</v>
          </cell>
          <cell r="DN630">
            <v>0</v>
          </cell>
          <cell r="DO630">
            <v>0</v>
          </cell>
          <cell r="DP630">
            <v>0</v>
          </cell>
          <cell r="DQ630">
            <v>0</v>
          </cell>
          <cell r="DR630">
            <v>0</v>
          </cell>
          <cell r="DS630">
            <v>0</v>
          </cell>
          <cell r="DT630">
            <v>0</v>
          </cell>
          <cell r="DU630">
            <v>0</v>
          </cell>
          <cell r="DW630">
            <v>0</v>
          </cell>
          <cell r="DX630">
            <v>0</v>
          </cell>
          <cell r="DY630">
            <v>0</v>
          </cell>
          <cell r="DZ630">
            <v>0</v>
          </cell>
          <cell r="EA630">
            <v>0</v>
          </cell>
          <cell r="EB630">
            <v>0</v>
          </cell>
          <cell r="EC630">
            <v>0</v>
          </cell>
          <cell r="ED630">
            <v>0</v>
          </cell>
          <cell r="EE630">
            <v>0</v>
          </cell>
          <cell r="EF630">
            <v>0</v>
          </cell>
          <cell r="EG630">
            <v>0</v>
          </cell>
          <cell r="EH630">
            <v>0</v>
          </cell>
          <cell r="EI630">
            <v>0</v>
          </cell>
          <cell r="EK630">
            <v>0</v>
          </cell>
          <cell r="EL630">
            <v>0</v>
          </cell>
          <cell r="EM630">
            <v>0</v>
          </cell>
          <cell r="EN630">
            <v>0</v>
          </cell>
          <cell r="EO630">
            <v>0</v>
          </cell>
          <cell r="EP630">
            <v>0</v>
          </cell>
          <cell r="EQ630">
            <v>0</v>
          </cell>
          <cell r="ER630">
            <v>0</v>
          </cell>
          <cell r="ES630">
            <v>0</v>
          </cell>
          <cell r="ET630">
            <v>0</v>
          </cell>
          <cell r="EU630">
            <v>0</v>
          </cell>
          <cell r="EV630">
            <v>0</v>
          </cell>
          <cell r="EW630">
            <v>0</v>
          </cell>
          <cell r="EY630">
            <v>0</v>
          </cell>
          <cell r="EZ630">
            <v>8</v>
          </cell>
          <cell r="FA630">
            <v>0</v>
          </cell>
          <cell r="FB630">
            <v>0</v>
          </cell>
          <cell r="FC630">
            <v>8.6</v>
          </cell>
          <cell r="FD630">
            <v>0</v>
          </cell>
          <cell r="FE630">
            <v>0</v>
          </cell>
          <cell r="FF630">
            <v>0</v>
          </cell>
          <cell r="FH630">
            <v>0</v>
          </cell>
        </row>
        <row r="631">
          <cell r="B631">
            <v>9772</v>
          </cell>
          <cell r="C631" t="str">
            <v>17.08.2010</v>
          </cell>
          <cell r="D631" t="str">
            <v>Saudagar Tabassun Mehaboob</v>
          </cell>
          <cell r="F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BA631">
            <v>0</v>
          </cell>
          <cell r="BB631">
            <v>0</v>
          </cell>
          <cell r="BC631">
            <v>0</v>
          </cell>
          <cell r="BD631">
            <v>0</v>
          </cell>
          <cell r="BE631">
            <v>0</v>
          </cell>
          <cell r="BF631">
            <v>0</v>
          </cell>
          <cell r="BG631">
            <v>0</v>
          </cell>
          <cell r="BH631">
            <v>0</v>
          </cell>
          <cell r="BI631">
            <v>0</v>
          </cell>
          <cell r="BK631">
            <v>0</v>
          </cell>
          <cell r="BL631">
            <v>0</v>
          </cell>
          <cell r="BM631">
            <v>0</v>
          </cell>
          <cell r="BN631">
            <v>0</v>
          </cell>
          <cell r="BO631">
            <v>0</v>
          </cell>
          <cell r="BP631">
            <v>0</v>
          </cell>
          <cell r="BQ631">
            <v>0</v>
          </cell>
          <cell r="BR631">
            <v>0</v>
          </cell>
          <cell r="BS631">
            <v>0</v>
          </cell>
          <cell r="BU631">
            <v>0</v>
          </cell>
          <cell r="BV631">
            <v>0</v>
          </cell>
          <cell r="BW631">
            <v>0</v>
          </cell>
          <cell r="BX631">
            <v>0</v>
          </cell>
          <cell r="BY631">
            <v>0</v>
          </cell>
          <cell r="BZ631">
            <v>0</v>
          </cell>
          <cell r="CA631">
            <v>0</v>
          </cell>
          <cell r="CB631">
            <v>0</v>
          </cell>
          <cell r="CC631">
            <v>0</v>
          </cell>
          <cell r="CE631">
            <v>0</v>
          </cell>
          <cell r="CF631">
            <v>0</v>
          </cell>
          <cell r="CG631">
            <v>0</v>
          </cell>
          <cell r="CH631">
            <v>0</v>
          </cell>
          <cell r="CI631">
            <v>0</v>
          </cell>
          <cell r="CJ631">
            <v>0</v>
          </cell>
          <cell r="CK631">
            <v>0</v>
          </cell>
          <cell r="CL631">
            <v>0</v>
          </cell>
          <cell r="CM631">
            <v>0</v>
          </cell>
          <cell r="CO631">
            <v>0</v>
          </cell>
          <cell r="CP631">
            <v>0</v>
          </cell>
          <cell r="CQ631">
            <v>0</v>
          </cell>
          <cell r="CR631">
            <v>0</v>
          </cell>
          <cell r="CS631">
            <v>0</v>
          </cell>
          <cell r="CT631">
            <v>0</v>
          </cell>
          <cell r="CU631">
            <v>0</v>
          </cell>
          <cell r="CV631">
            <v>0</v>
          </cell>
          <cell r="CW631">
            <v>0</v>
          </cell>
          <cell r="CY631">
            <v>0</v>
          </cell>
          <cell r="CZ631">
            <v>0</v>
          </cell>
          <cell r="DA631">
            <v>0</v>
          </cell>
          <cell r="DB631">
            <v>0</v>
          </cell>
          <cell r="DC631">
            <v>0</v>
          </cell>
          <cell r="DD631">
            <v>0</v>
          </cell>
          <cell r="DE631">
            <v>0</v>
          </cell>
          <cell r="DF631">
            <v>0</v>
          </cell>
          <cell r="DG631">
            <v>0</v>
          </cell>
          <cell r="DI631">
            <v>0</v>
          </cell>
          <cell r="DJ631">
            <v>0</v>
          </cell>
          <cell r="DK631">
            <v>0</v>
          </cell>
          <cell r="DL631">
            <v>0</v>
          </cell>
          <cell r="DM631">
            <v>0</v>
          </cell>
          <cell r="DN631">
            <v>0</v>
          </cell>
          <cell r="DO631">
            <v>0</v>
          </cell>
          <cell r="DP631">
            <v>0</v>
          </cell>
          <cell r="DQ631">
            <v>0</v>
          </cell>
          <cell r="DR631">
            <v>0</v>
          </cell>
          <cell r="DS631">
            <v>0</v>
          </cell>
          <cell r="DT631">
            <v>0</v>
          </cell>
          <cell r="DU631">
            <v>0</v>
          </cell>
          <cell r="DW631">
            <v>0</v>
          </cell>
          <cell r="DX631">
            <v>0</v>
          </cell>
          <cell r="DY631">
            <v>0</v>
          </cell>
          <cell r="DZ631">
            <v>0</v>
          </cell>
          <cell r="EA631">
            <v>0</v>
          </cell>
          <cell r="EB631">
            <v>0</v>
          </cell>
          <cell r="EC631">
            <v>0</v>
          </cell>
          <cell r="ED631">
            <v>0</v>
          </cell>
          <cell r="EE631">
            <v>0</v>
          </cell>
          <cell r="EF631">
            <v>0</v>
          </cell>
          <cell r="EG631">
            <v>0</v>
          </cell>
          <cell r="EH631">
            <v>0</v>
          </cell>
          <cell r="EI631">
            <v>0</v>
          </cell>
          <cell r="EK631">
            <v>0</v>
          </cell>
          <cell r="EL631">
            <v>0</v>
          </cell>
          <cell r="EM631">
            <v>0</v>
          </cell>
          <cell r="EN631">
            <v>0</v>
          </cell>
          <cell r="EO631">
            <v>0</v>
          </cell>
          <cell r="EP631">
            <v>0</v>
          </cell>
          <cell r="EQ631">
            <v>0</v>
          </cell>
          <cell r="ER631">
            <v>0</v>
          </cell>
          <cell r="ES631">
            <v>0</v>
          </cell>
          <cell r="ET631">
            <v>0</v>
          </cell>
          <cell r="EU631">
            <v>0</v>
          </cell>
          <cell r="EV631">
            <v>0</v>
          </cell>
          <cell r="EW631">
            <v>0</v>
          </cell>
          <cell r="EY631">
            <v>0</v>
          </cell>
          <cell r="EZ631">
            <v>8</v>
          </cell>
          <cell r="FA631">
            <v>0</v>
          </cell>
          <cell r="FB631">
            <v>0</v>
          </cell>
          <cell r="FC631">
            <v>8.6</v>
          </cell>
          <cell r="FD631">
            <v>0</v>
          </cell>
          <cell r="FE631">
            <v>0</v>
          </cell>
          <cell r="FF631">
            <v>0</v>
          </cell>
          <cell r="FH631">
            <v>0</v>
          </cell>
        </row>
        <row r="632">
          <cell r="B632">
            <v>9774</v>
          </cell>
          <cell r="C632" t="str">
            <v>17.08.2010</v>
          </cell>
          <cell r="D632" t="str">
            <v>Pathare Arti Gauji</v>
          </cell>
          <cell r="F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BA632">
            <v>0</v>
          </cell>
          <cell r="BB632">
            <v>0</v>
          </cell>
          <cell r="BC632">
            <v>0</v>
          </cell>
          <cell r="BD632">
            <v>0</v>
          </cell>
          <cell r="BE632">
            <v>0</v>
          </cell>
          <cell r="BF632">
            <v>0</v>
          </cell>
          <cell r="BG632">
            <v>0</v>
          </cell>
          <cell r="BH632">
            <v>0</v>
          </cell>
          <cell r="BI632">
            <v>0</v>
          </cell>
          <cell r="BK632">
            <v>0</v>
          </cell>
          <cell r="BL632">
            <v>0</v>
          </cell>
          <cell r="BM632">
            <v>0</v>
          </cell>
          <cell r="BN632">
            <v>0</v>
          </cell>
          <cell r="BO632">
            <v>0</v>
          </cell>
          <cell r="BP632">
            <v>0</v>
          </cell>
          <cell r="BQ632">
            <v>0</v>
          </cell>
          <cell r="BR632">
            <v>0</v>
          </cell>
          <cell r="BS632">
            <v>0</v>
          </cell>
          <cell r="BU632">
            <v>0</v>
          </cell>
          <cell r="BV632">
            <v>0</v>
          </cell>
          <cell r="BW632">
            <v>0</v>
          </cell>
          <cell r="BX632">
            <v>0</v>
          </cell>
          <cell r="BY632">
            <v>0</v>
          </cell>
          <cell r="BZ632">
            <v>0</v>
          </cell>
          <cell r="CA632">
            <v>0</v>
          </cell>
          <cell r="CB632">
            <v>0</v>
          </cell>
          <cell r="CC632">
            <v>0</v>
          </cell>
          <cell r="CE632">
            <v>0</v>
          </cell>
          <cell r="CF632">
            <v>0</v>
          </cell>
          <cell r="CG632">
            <v>0</v>
          </cell>
          <cell r="CH632">
            <v>0</v>
          </cell>
          <cell r="CI632">
            <v>0</v>
          </cell>
          <cell r="CJ632">
            <v>0</v>
          </cell>
          <cell r="CK632">
            <v>0</v>
          </cell>
          <cell r="CL632">
            <v>0</v>
          </cell>
          <cell r="CM632">
            <v>0</v>
          </cell>
          <cell r="CO632">
            <v>0</v>
          </cell>
          <cell r="CP632">
            <v>0</v>
          </cell>
          <cell r="CQ632">
            <v>0</v>
          </cell>
          <cell r="CR632">
            <v>0</v>
          </cell>
          <cell r="CS632">
            <v>0</v>
          </cell>
          <cell r="CT632">
            <v>0</v>
          </cell>
          <cell r="CU632">
            <v>0</v>
          </cell>
          <cell r="CV632">
            <v>0</v>
          </cell>
          <cell r="CW632">
            <v>0</v>
          </cell>
          <cell r="CY632">
            <v>0</v>
          </cell>
          <cell r="CZ632">
            <v>0</v>
          </cell>
          <cell r="DA632">
            <v>0</v>
          </cell>
          <cell r="DB632">
            <v>0</v>
          </cell>
          <cell r="DC632">
            <v>0</v>
          </cell>
          <cell r="DD632">
            <v>0</v>
          </cell>
          <cell r="DE632">
            <v>0</v>
          </cell>
          <cell r="DF632">
            <v>0</v>
          </cell>
          <cell r="DG632">
            <v>0</v>
          </cell>
          <cell r="DI632">
            <v>0</v>
          </cell>
          <cell r="DJ632">
            <v>0</v>
          </cell>
          <cell r="DK632">
            <v>0</v>
          </cell>
          <cell r="DL632">
            <v>0</v>
          </cell>
          <cell r="DM632">
            <v>0</v>
          </cell>
          <cell r="DN632">
            <v>0</v>
          </cell>
          <cell r="DO632">
            <v>0</v>
          </cell>
          <cell r="DP632">
            <v>0</v>
          </cell>
          <cell r="DQ632">
            <v>0</v>
          </cell>
          <cell r="DR632">
            <v>0</v>
          </cell>
          <cell r="DS632">
            <v>0</v>
          </cell>
          <cell r="DT632">
            <v>0</v>
          </cell>
          <cell r="DU632">
            <v>0</v>
          </cell>
          <cell r="DW632">
            <v>0</v>
          </cell>
          <cell r="DX632">
            <v>0</v>
          </cell>
          <cell r="DY632">
            <v>0</v>
          </cell>
          <cell r="DZ632">
            <v>0</v>
          </cell>
          <cell r="EA632">
            <v>0</v>
          </cell>
          <cell r="EB632">
            <v>0</v>
          </cell>
          <cell r="EC632">
            <v>0</v>
          </cell>
          <cell r="ED632">
            <v>0</v>
          </cell>
          <cell r="EE632">
            <v>0</v>
          </cell>
          <cell r="EF632">
            <v>0</v>
          </cell>
          <cell r="EG632">
            <v>0</v>
          </cell>
          <cell r="EH632">
            <v>0</v>
          </cell>
          <cell r="EI632">
            <v>0</v>
          </cell>
          <cell r="EK632">
            <v>0</v>
          </cell>
          <cell r="EL632">
            <v>0</v>
          </cell>
          <cell r="EM632">
            <v>0</v>
          </cell>
          <cell r="EN632">
            <v>0</v>
          </cell>
          <cell r="EO632">
            <v>0</v>
          </cell>
          <cell r="EP632">
            <v>0</v>
          </cell>
          <cell r="EQ632">
            <v>0</v>
          </cell>
          <cell r="ER632">
            <v>0</v>
          </cell>
          <cell r="ES632">
            <v>0</v>
          </cell>
          <cell r="ET632">
            <v>0</v>
          </cell>
          <cell r="EU632">
            <v>0</v>
          </cell>
          <cell r="EV632">
            <v>0</v>
          </cell>
          <cell r="EW632">
            <v>0</v>
          </cell>
          <cell r="EY632">
            <v>0</v>
          </cell>
          <cell r="EZ632">
            <v>8</v>
          </cell>
          <cell r="FA632">
            <v>0</v>
          </cell>
          <cell r="FB632">
            <v>0</v>
          </cell>
          <cell r="FC632">
            <v>8.6</v>
          </cell>
          <cell r="FD632">
            <v>0</v>
          </cell>
          <cell r="FE632">
            <v>0</v>
          </cell>
          <cell r="FF632">
            <v>0</v>
          </cell>
          <cell r="FH632">
            <v>0</v>
          </cell>
        </row>
        <row r="633">
          <cell r="B633">
            <v>9792</v>
          </cell>
          <cell r="C633" t="str">
            <v>17.08.2010</v>
          </cell>
          <cell r="D633" t="str">
            <v>Shinde Yogesh Dyaneshwar</v>
          </cell>
          <cell r="F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BA633">
            <v>0</v>
          </cell>
          <cell r="BB633">
            <v>0</v>
          </cell>
          <cell r="BC633">
            <v>0</v>
          </cell>
          <cell r="BD633">
            <v>0</v>
          </cell>
          <cell r="BE633">
            <v>0</v>
          </cell>
          <cell r="BF633">
            <v>0</v>
          </cell>
          <cell r="BG633">
            <v>0</v>
          </cell>
          <cell r="BH633">
            <v>0</v>
          </cell>
          <cell r="BI633">
            <v>0</v>
          </cell>
          <cell r="BK633">
            <v>0</v>
          </cell>
          <cell r="BL633">
            <v>0</v>
          </cell>
          <cell r="BM633">
            <v>0</v>
          </cell>
          <cell r="BN633">
            <v>0</v>
          </cell>
          <cell r="BO633">
            <v>0</v>
          </cell>
          <cell r="BP633">
            <v>0</v>
          </cell>
          <cell r="BQ633">
            <v>0</v>
          </cell>
          <cell r="BR633">
            <v>0</v>
          </cell>
          <cell r="BS633">
            <v>0</v>
          </cell>
          <cell r="BU633">
            <v>0</v>
          </cell>
          <cell r="BV633">
            <v>0</v>
          </cell>
          <cell r="BW633">
            <v>0</v>
          </cell>
          <cell r="BX633">
            <v>0</v>
          </cell>
          <cell r="BY633">
            <v>0</v>
          </cell>
          <cell r="BZ633">
            <v>0</v>
          </cell>
          <cell r="CA633">
            <v>0</v>
          </cell>
          <cell r="CB633">
            <v>0</v>
          </cell>
          <cell r="CC633">
            <v>0</v>
          </cell>
          <cell r="CE633">
            <v>0</v>
          </cell>
          <cell r="CF633">
            <v>0</v>
          </cell>
          <cell r="CG633">
            <v>0</v>
          </cell>
          <cell r="CH633">
            <v>0</v>
          </cell>
          <cell r="CI633">
            <v>0</v>
          </cell>
          <cell r="CJ633">
            <v>0</v>
          </cell>
          <cell r="CK633">
            <v>0</v>
          </cell>
          <cell r="CL633">
            <v>0</v>
          </cell>
          <cell r="CM633">
            <v>0</v>
          </cell>
          <cell r="CO633">
            <v>0</v>
          </cell>
          <cell r="CP633">
            <v>0</v>
          </cell>
          <cell r="CQ633">
            <v>0</v>
          </cell>
          <cell r="CR633">
            <v>0</v>
          </cell>
          <cell r="CS633">
            <v>0</v>
          </cell>
          <cell r="CT633">
            <v>0</v>
          </cell>
          <cell r="CU633">
            <v>0</v>
          </cell>
          <cell r="CV633">
            <v>0</v>
          </cell>
          <cell r="CW633">
            <v>0</v>
          </cell>
          <cell r="CY633">
            <v>0</v>
          </cell>
          <cell r="CZ633">
            <v>0</v>
          </cell>
          <cell r="DA633">
            <v>0</v>
          </cell>
          <cell r="DB633">
            <v>0</v>
          </cell>
          <cell r="DC633">
            <v>0</v>
          </cell>
          <cell r="DD633">
            <v>0</v>
          </cell>
          <cell r="DE633">
            <v>0</v>
          </cell>
          <cell r="DF633">
            <v>0</v>
          </cell>
          <cell r="DG633">
            <v>0</v>
          </cell>
          <cell r="DI633">
            <v>0</v>
          </cell>
          <cell r="DJ633">
            <v>0</v>
          </cell>
          <cell r="DK633">
            <v>0</v>
          </cell>
          <cell r="DL633">
            <v>0</v>
          </cell>
          <cell r="DM633">
            <v>0</v>
          </cell>
          <cell r="DN633">
            <v>0</v>
          </cell>
          <cell r="DO633">
            <v>0</v>
          </cell>
          <cell r="DP633">
            <v>0</v>
          </cell>
          <cell r="DQ633">
            <v>0</v>
          </cell>
          <cell r="DR633">
            <v>0</v>
          </cell>
          <cell r="DS633">
            <v>0</v>
          </cell>
          <cell r="DT633">
            <v>0</v>
          </cell>
          <cell r="DU633">
            <v>0</v>
          </cell>
          <cell r="DW633">
            <v>0</v>
          </cell>
          <cell r="DX633">
            <v>0</v>
          </cell>
          <cell r="DY633">
            <v>0</v>
          </cell>
          <cell r="DZ633">
            <v>0</v>
          </cell>
          <cell r="EA633">
            <v>0</v>
          </cell>
          <cell r="EB633">
            <v>0</v>
          </cell>
          <cell r="EC633">
            <v>0</v>
          </cell>
          <cell r="ED633">
            <v>0</v>
          </cell>
          <cell r="EE633">
            <v>0</v>
          </cell>
          <cell r="EF633">
            <v>0</v>
          </cell>
          <cell r="EG633">
            <v>0</v>
          </cell>
          <cell r="EH633">
            <v>0</v>
          </cell>
          <cell r="EI633">
            <v>0</v>
          </cell>
          <cell r="EK633">
            <v>0</v>
          </cell>
          <cell r="EL633">
            <v>0</v>
          </cell>
          <cell r="EM633">
            <v>0</v>
          </cell>
          <cell r="EN633">
            <v>0</v>
          </cell>
          <cell r="EO633">
            <v>0</v>
          </cell>
          <cell r="EP633">
            <v>0</v>
          </cell>
          <cell r="EQ633">
            <v>0</v>
          </cell>
          <cell r="ER633">
            <v>0</v>
          </cell>
          <cell r="ES633">
            <v>0</v>
          </cell>
          <cell r="ET633">
            <v>0</v>
          </cell>
          <cell r="EU633">
            <v>0</v>
          </cell>
          <cell r="EV633">
            <v>0</v>
          </cell>
          <cell r="EW633">
            <v>0</v>
          </cell>
          <cell r="EY633">
            <v>0</v>
          </cell>
          <cell r="EZ633">
            <v>8</v>
          </cell>
          <cell r="FA633">
            <v>0</v>
          </cell>
          <cell r="FB633">
            <v>0</v>
          </cell>
          <cell r="FC633">
            <v>8.6</v>
          </cell>
          <cell r="FD633">
            <v>0</v>
          </cell>
          <cell r="FE633">
            <v>0</v>
          </cell>
          <cell r="FF633">
            <v>0</v>
          </cell>
          <cell r="FH633">
            <v>0</v>
          </cell>
        </row>
        <row r="634">
          <cell r="B634">
            <v>9793</v>
          </cell>
          <cell r="C634" t="str">
            <v>17.08.2010</v>
          </cell>
          <cell r="D634" t="str">
            <v>Labhane Ganesh Ramesh</v>
          </cell>
          <cell r="F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0</v>
          </cell>
          <cell r="BA634">
            <v>0</v>
          </cell>
          <cell r="BB634">
            <v>0</v>
          </cell>
          <cell r="BC634">
            <v>0</v>
          </cell>
          <cell r="BD634">
            <v>0</v>
          </cell>
          <cell r="BE634">
            <v>0</v>
          </cell>
          <cell r="BF634">
            <v>0</v>
          </cell>
          <cell r="BG634">
            <v>0</v>
          </cell>
          <cell r="BH634">
            <v>0</v>
          </cell>
          <cell r="BI634">
            <v>0</v>
          </cell>
          <cell r="BK634">
            <v>0</v>
          </cell>
          <cell r="BL634">
            <v>0</v>
          </cell>
          <cell r="BM634">
            <v>0</v>
          </cell>
          <cell r="BN634">
            <v>0</v>
          </cell>
          <cell r="BO634">
            <v>0</v>
          </cell>
          <cell r="BP634">
            <v>0</v>
          </cell>
          <cell r="BQ634">
            <v>0</v>
          </cell>
          <cell r="BR634">
            <v>0</v>
          </cell>
          <cell r="BS634">
            <v>0</v>
          </cell>
          <cell r="BU634">
            <v>0</v>
          </cell>
          <cell r="BV634">
            <v>0</v>
          </cell>
          <cell r="BW634">
            <v>0</v>
          </cell>
          <cell r="BX634">
            <v>0</v>
          </cell>
          <cell r="BY634">
            <v>0</v>
          </cell>
          <cell r="BZ634">
            <v>0</v>
          </cell>
          <cell r="CA634">
            <v>0</v>
          </cell>
          <cell r="CB634">
            <v>0</v>
          </cell>
          <cell r="CC634">
            <v>0</v>
          </cell>
          <cell r="CE634">
            <v>0</v>
          </cell>
          <cell r="CF634">
            <v>0</v>
          </cell>
          <cell r="CG634">
            <v>0</v>
          </cell>
          <cell r="CH634">
            <v>0</v>
          </cell>
          <cell r="CI634">
            <v>0</v>
          </cell>
          <cell r="CJ634">
            <v>0</v>
          </cell>
          <cell r="CK634">
            <v>0</v>
          </cell>
          <cell r="CL634">
            <v>0</v>
          </cell>
          <cell r="CM634">
            <v>0</v>
          </cell>
          <cell r="CO634">
            <v>0</v>
          </cell>
          <cell r="CP634">
            <v>0</v>
          </cell>
          <cell r="CQ634">
            <v>0</v>
          </cell>
          <cell r="CR634">
            <v>0</v>
          </cell>
          <cell r="CS634">
            <v>0</v>
          </cell>
          <cell r="CT634">
            <v>0</v>
          </cell>
          <cell r="CU634">
            <v>0</v>
          </cell>
          <cell r="CV634">
            <v>0</v>
          </cell>
          <cell r="CW634">
            <v>0</v>
          </cell>
          <cell r="CY634">
            <v>0</v>
          </cell>
          <cell r="CZ634">
            <v>0</v>
          </cell>
          <cell r="DA634">
            <v>0</v>
          </cell>
          <cell r="DB634">
            <v>0</v>
          </cell>
          <cell r="DC634">
            <v>0</v>
          </cell>
          <cell r="DD634">
            <v>0</v>
          </cell>
          <cell r="DE634">
            <v>0</v>
          </cell>
          <cell r="DF634">
            <v>0</v>
          </cell>
          <cell r="DG634">
            <v>0</v>
          </cell>
          <cell r="DI634">
            <v>0</v>
          </cell>
          <cell r="DJ634">
            <v>0</v>
          </cell>
          <cell r="DK634">
            <v>0</v>
          </cell>
          <cell r="DL634">
            <v>0</v>
          </cell>
          <cell r="DM634">
            <v>0</v>
          </cell>
          <cell r="DN634">
            <v>0</v>
          </cell>
          <cell r="DO634">
            <v>0</v>
          </cell>
          <cell r="DP634">
            <v>0</v>
          </cell>
          <cell r="DQ634">
            <v>0</v>
          </cell>
          <cell r="DR634">
            <v>0</v>
          </cell>
          <cell r="DS634">
            <v>0</v>
          </cell>
          <cell r="DT634">
            <v>0</v>
          </cell>
          <cell r="DU634">
            <v>0</v>
          </cell>
          <cell r="DW634">
            <v>0</v>
          </cell>
          <cell r="DX634">
            <v>0</v>
          </cell>
          <cell r="DY634">
            <v>0</v>
          </cell>
          <cell r="DZ634">
            <v>0</v>
          </cell>
          <cell r="EA634">
            <v>0</v>
          </cell>
          <cell r="EB634">
            <v>0</v>
          </cell>
          <cell r="EC634">
            <v>0</v>
          </cell>
          <cell r="ED634">
            <v>0</v>
          </cell>
          <cell r="EE634">
            <v>0</v>
          </cell>
          <cell r="EF634">
            <v>0</v>
          </cell>
          <cell r="EG634">
            <v>0</v>
          </cell>
          <cell r="EH634">
            <v>0</v>
          </cell>
          <cell r="EI634">
            <v>0</v>
          </cell>
          <cell r="EK634">
            <v>0</v>
          </cell>
          <cell r="EL634">
            <v>0</v>
          </cell>
          <cell r="EM634">
            <v>0</v>
          </cell>
          <cell r="EN634">
            <v>0</v>
          </cell>
          <cell r="EO634">
            <v>0</v>
          </cell>
          <cell r="EP634">
            <v>0</v>
          </cell>
          <cell r="EQ634">
            <v>0</v>
          </cell>
          <cell r="ER634">
            <v>0</v>
          </cell>
          <cell r="ES634">
            <v>0</v>
          </cell>
          <cell r="ET634">
            <v>0</v>
          </cell>
          <cell r="EU634">
            <v>0</v>
          </cell>
          <cell r="EV634">
            <v>0</v>
          </cell>
          <cell r="EW634">
            <v>0</v>
          </cell>
          <cell r="EY634">
            <v>0</v>
          </cell>
          <cell r="EZ634">
            <v>8</v>
          </cell>
          <cell r="FA634">
            <v>0</v>
          </cell>
          <cell r="FB634">
            <v>0</v>
          </cell>
          <cell r="FC634">
            <v>8.6</v>
          </cell>
          <cell r="FD634">
            <v>0</v>
          </cell>
          <cell r="FE634">
            <v>0</v>
          </cell>
          <cell r="FF634">
            <v>0</v>
          </cell>
          <cell r="FH634">
            <v>0</v>
          </cell>
        </row>
        <row r="635">
          <cell r="B635">
            <v>9794</v>
          </cell>
          <cell r="C635" t="str">
            <v>17.08.2010</v>
          </cell>
          <cell r="D635" t="str">
            <v>Kedare Kiran Divakar</v>
          </cell>
          <cell r="F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BA635">
            <v>0</v>
          </cell>
          <cell r="BB635">
            <v>0</v>
          </cell>
          <cell r="BC635">
            <v>0</v>
          </cell>
          <cell r="BD635">
            <v>0</v>
          </cell>
          <cell r="BE635">
            <v>0</v>
          </cell>
          <cell r="BF635">
            <v>0</v>
          </cell>
          <cell r="BG635">
            <v>0</v>
          </cell>
          <cell r="BH635">
            <v>0</v>
          </cell>
          <cell r="BI635">
            <v>0</v>
          </cell>
          <cell r="BK635">
            <v>0</v>
          </cell>
          <cell r="BL635">
            <v>0</v>
          </cell>
          <cell r="BM635">
            <v>0</v>
          </cell>
          <cell r="BN635">
            <v>0</v>
          </cell>
          <cell r="BO635">
            <v>0</v>
          </cell>
          <cell r="BP635">
            <v>0</v>
          </cell>
          <cell r="BQ635">
            <v>0</v>
          </cell>
          <cell r="BR635">
            <v>0</v>
          </cell>
          <cell r="BS635">
            <v>0</v>
          </cell>
          <cell r="BU635">
            <v>0</v>
          </cell>
          <cell r="BV635">
            <v>0</v>
          </cell>
          <cell r="BW635">
            <v>0</v>
          </cell>
          <cell r="BX635">
            <v>0</v>
          </cell>
          <cell r="BY635">
            <v>0</v>
          </cell>
          <cell r="BZ635">
            <v>0</v>
          </cell>
          <cell r="CA635">
            <v>0</v>
          </cell>
          <cell r="CB635">
            <v>0</v>
          </cell>
          <cell r="CC635">
            <v>0</v>
          </cell>
          <cell r="CE635">
            <v>0</v>
          </cell>
          <cell r="CF635">
            <v>0</v>
          </cell>
          <cell r="CG635">
            <v>0</v>
          </cell>
          <cell r="CH635">
            <v>0</v>
          </cell>
          <cell r="CI635">
            <v>0</v>
          </cell>
          <cell r="CJ635">
            <v>0</v>
          </cell>
          <cell r="CK635">
            <v>0</v>
          </cell>
          <cell r="CL635">
            <v>0</v>
          </cell>
          <cell r="CM635">
            <v>0</v>
          </cell>
          <cell r="CO635">
            <v>0</v>
          </cell>
          <cell r="CP635">
            <v>0</v>
          </cell>
          <cell r="CQ635">
            <v>0</v>
          </cell>
          <cell r="CR635">
            <v>0</v>
          </cell>
          <cell r="CS635">
            <v>0</v>
          </cell>
          <cell r="CT635">
            <v>0</v>
          </cell>
          <cell r="CU635">
            <v>0</v>
          </cell>
          <cell r="CV635">
            <v>0</v>
          </cell>
          <cell r="CW635">
            <v>0</v>
          </cell>
          <cell r="CY635">
            <v>0</v>
          </cell>
          <cell r="CZ635">
            <v>0</v>
          </cell>
          <cell r="DA635">
            <v>0</v>
          </cell>
          <cell r="DB635">
            <v>0</v>
          </cell>
          <cell r="DC635">
            <v>0</v>
          </cell>
          <cell r="DD635">
            <v>0</v>
          </cell>
          <cell r="DE635">
            <v>0</v>
          </cell>
          <cell r="DF635">
            <v>0</v>
          </cell>
          <cell r="DG635">
            <v>0</v>
          </cell>
          <cell r="DI635">
            <v>0</v>
          </cell>
          <cell r="DJ635">
            <v>0</v>
          </cell>
          <cell r="DK635">
            <v>0</v>
          </cell>
          <cell r="DL635">
            <v>0</v>
          </cell>
          <cell r="DM635">
            <v>0</v>
          </cell>
          <cell r="DN635">
            <v>0</v>
          </cell>
          <cell r="DO635">
            <v>0</v>
          </cell>
          <cell r="DP635">
            <v>0</v>
          </cell>
          <cell r="DQ635">
            <v>0</v>
          </cell>
          <cell r="DR635">
            <v>0</v>
          </cell>
          <cell r="DS635">
            <v>0</v>
          </cell>
          <cell r="DT635">
            <v>0</v>
          </cell>
          <cell r="DU635">
            <v>0</v>
          </cell>
          <cell r="DW635">
            <v>0</v>
          </cell>
          <cell r="DX635">
            <v>0</v>
          </cell>
          <cell r="DY635">
            <v>0</v>
          </cell>
          <cell r="DZ635">
            <v>0</v>
          </cell>
          <cell r="EA635">
            <v>0</v>
          </cell>
          <cell r="EB635">
            <v>0</v>
          </cell>
          <cell r="EC635">
            <v>0</v>
          </cell>
          <cell r="ED635">
            <v>0</v>
          </cell>
          <cell r="EE635">
            <v>0</v>
          </cell>
          <cell r="EF635">
            <v>0</v>
          </cell>
          <cell r="EG635">
            <v>0</v>
          </cell>
          <cell r="EH635">
            <v>0</v>
          </cell>
          <cell r="EI635">
            <v>0</v>
          </cell>
          <cell r="EK635">
            <v>0</v>
          </cell>
          <cell r="EL635">
            <v>0</v>
          </cell>
          <cell r="EM635">
            <v>0</v>
          </cell>
          <cell r="EN635">
            <v>0</v>
          </cell>
          <cell r="EO635">
            <v>0</v>
          </cell>
          <cell r="EP635">
            <v>0</v>
          </cell>
          <cell r="EQ635">
            <v>0</v>
          </cell>
          <cell r="ER635">
            <v>0</v>
          </cell>
          <cell r="ES635">
            <v>0</v>
          </cell>
          <cell r="ET635">
            <v>0</v>
          </cell>
          <cell r="EU635">
            <v>0</v>
          </cell>
          <cell r="EV635">
            <v>0</v>
          </cell>
          <cell r="EW635">
            <v>0</v>
          </cell>
          <cell r="EY635">
            <v>0</v>
          </cell>
          <cell r="EZ635">
            <v>8</v>
          </cell>
          <cell r="FA635">
            <v>0</v>
          </cell>
          <cell r="FB635">
            <v>0</v>
          </cell>
          <cell r="FC635">
            <v>8.6</v>
          </cell>
          <cell r="FD635">
            <v>0</v>
          </cell>
          <cell r="FE635">
            <v>0</v>
          </cell>
          <cell r="FF635">
            <v>0</v>
          </cell>
          <cell r="FH635">
            <v>0</v>
          </cell>
        </row>
        <row r="636">
          <cell r="B636">
            <v>9795</v>
          </cell>
          <cell r="C636" t="str">
            <v>17.08.2010</v>
          </cell>
          <cell r="D636" t="str">
            <v>Pawar Sadhanabai Kashiram</v>
          </cell>
          <cell r="F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BA636">
            <v>0</v>
          </cell>
          <cell r="BB636">
            <v>0</v>
          </cell>
          <cell r="BC636">
            <v>0</v>
          </cell>
          <cell r="BD636">
            <v>0</v>
          </cell>
          <cell r="BE636">
            <v>0</v>
          </cell>
          <cell r="BF636">
            <v>0</v>
          </cell>
          <cell r="BG636">
            <v>0</v>
          </cell>
          <cell r="BH636">
            <v>0</v>
          </cell>
          <cell r="BI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0</v>
          </cell>
          <cell r="BO636">
            <v>0</v>
          </cell>
          <cell r="BP636">
            <v>0</v>
          </cell>
          <cell r="BQ636">
            <v>0</v>
          </cell>
          <cell r="BR636">
            <v>0</v>
          </cell>
          <cell r="BS636">
            <v>0</v>
          </cell>
          <cell r="BU636">
            <v>0</v>
          </cell>
          <cell r="BV636">
            <v>0</v>
          </cell>
          <cell r="BW636">
            <v>0</v>
          </cell>
          <cell r="BX636">
            <v>0</v>
          </cell>
          <cell r="BY636">
            <v>0</v>
          </cell>
          <cell r="BZ636">
            <v>0</v>
          </cell>
          <cell r="CA636">
            <v>0</v>
          </cell>
          <cell r="CB636">
            <v>0</v>
          </cell>
          <cell r="CC636">
            <v>0</v>
          </cell>
          <cell r="CE636">
            <v>0</v>
          </cell>
          <cell r="CF636">
            <v>0</v>
          </cell>
          <cell r="CG636">
            <v>0</v>
          </cell>
          <cell r="CH636">
            <v>0</v>
          </cell>
          <cell r="CI636">
            <v>0</v>
          </cell>
          <cell r="CJ636">
            <v>0</v>
          </cell>
          <cell r="CK636">
            <v>0</v>
          </cell>
          <cell r="CL636">
            <v>0</v>
          </cell>
          <cell r="CM636">
            <v>0</v>
          </cell>
          <cell r="CO636">
            <v>0</v>
          </cell>
          <cell r="CP636">
            <v>0</v>
          </cell>
          <cell r="CQ636">
            <v>0</v>
          </cell>
          <cell r="CR636">
            <v>0</v>
          </cell>
          <cell r="CS636">
            <v>0</v>
          </cell>
          <cell r="CT636">
            <v>0</v>
          </cell>
          <cell r="CU636">
            <v>0</v>
          </cell>
          <cell r="CV636">
            <v>0</v>
          </cell>
          <cell r="CW636">
            <v>0</v>
          </cell>
          <cell r="CY636">
            <v>0</v>
          </cell>
          <cell r="CZ636">
            <v>0</v>
          </cell>
          <cell r="DA636">
            <v>0</v>
          </cell>
          <cell r="DB636">
            <v>0</v>
          </cell>
          <cell r="DC636">
            <v>0</v>
          </cell>
          <cell r="DD636">
            <v>0</v>
          </cell>
          <cell r="DE636">
            <v>0</v>
          </cell>
          <cell r="DF636">
            <v>0</v>
          </cell>
          <cell r="DG636">
            <v>0</v>
          </cell>
          <cell r="DI636">
            <v>0</v>
          </cell>
          <cell r="DJ636">
            <v>0</v>
          </cell>
          <cell r="DK636">
            <v>0</v>
          </cell>
          <cell r="DL636">
            <v>0</v>
          </cell>
          <cell r="DM636">
            <v>0</v>
          </cell>
          <cell r="DN636">
            <v>0</v>
          </cell>
          <cell r="DO636">
            <v>0</v>
          </cell>
          <cell r="DP636">
            <v>0</v>
          </cell>
          <cell r="DQ636">
            <v>0</v>
          </cell>
          <cell r="DR636">
            <v>0</v>
          </cell>
          <cell r="DS636">
            <v>0</v>
          </cell>
          <cell r="DT636">
            <v>0</v>
          </cell>
          <cell r="DU636">
            <v>0</v>
          </cell>
          <cell r="DW636">
            <v>0</v>
          </cell>
          <cell r="DX636">
            <v>0</v>
          </cell>
          <cell r="DY636">
            <v>0</v>
          </cell>
          <cell r="DZ636">
            <v>0</v>
          </cell>
          <cell r="EA636">
            <v>0</v>
          </cell>
          <cell r="EB636">
            <v>0</v>
          </cell>
          <cell r="EC636">
            <v>0</v>
          </cell>
          <cell r="ED636">
            <v>0</v>
          </cell>
          <cell r="EE636">
            <v>0</v>
          </cell>
          <cell r="EF636">
            <v>0</v>
          </cell>
          <cell r="EG636">
            <v>0</v>
          </cell>
          <cell r="EH636">
            <v>0</v>
          </cell>
          <cell r="EI636">
            <v>0</v>
          </cell>
          <cell r="EK636">
            <v>0</v>
          </cell>
          <cell r="EL636">
            <v>0</v>
          </cell>
          <cell r="EM636">
            <v>0</v>
          </cell>
          <cell r="EN636">
            <v>0</v>
          </cell>
          <cell r="EO636">
            <v>0</v>
          </cell>
          <cell r="EP636">
            <v>0</v>
          </cell>
          <cell r="EQ636">
            <v>0</v>
          </cell>
          <cell r="ER636">
            <v>0</v>
          </cell>
          <cell r="ES636">
            <v>0</v>
          </cell>
          <cell r="ET636">
            <v>0</v>
          </cell>
          <cell r="EU636">
            <v>0</v>
          </cell>
          <cell r="EV636">
            <v>0</v>
          </cell>
          <cell r="EW636">
            <v>0</v>
          </cell>
          <cell r="EY636">
            <v>0</v>
          </cell>
          <cell r="EZ636">
            <v>8</v>
          </cell>
          <cell r="FA636">
            <v>0</v>
          </cell>
          <cell r="FB636">
            <v>0</v>
          </cell>
          <cell r="FC636">
            <v>8.6</v>
          </cell>
          <cell r="FD636">
            <v>0</v>
          </cell>
          <cell r="FE636">
            <v>0</v>
          </cell>
          <cell r="FF636">
            <v>0</v>
          </cell>
          <cell r="FH636">
            <v>0</v>
          </cell>
        </row>
        <row r="637">
          <cell r="B637">
            <v>9796</v>
          </cell>
          <cell r="C637" t="str">
            <v>17.08.2010</v>
          </cell>
          <cell r="D637" t="str">
            <v>Kotkar Pratibha Gopal</v>
          </cell>
          <cell r="F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BA637">
            <v>0</v>
          </cell>
          <cell r="BB637">
            <v>0</v>
          </cell>
          <cell r="BC637">
            <v>0</v>
          </cell>
          <cell r="BD637">
            <v>0</v>
          </cell>
          <cell r="BE637">
            <v>0</v>
          </cell>
          <cell r="BF637">
            <v>0</v>
          </cell>
          <cell r="BG637">
            <v>0</v>
          </cell>
          <cell r="BH637">
            <v>0</v>
          </cell>
          <cell r="BI637">
            <v>0</v>
          </cell>
          <cell r="BK637">
            <v>0</v>
          </cell>
          <cell r="BL637">
            <v>0</v>
          </cell>
          <cell r="BM637">
            <v>0</v>
          </cell>
          <cell r="BN637">
            <v>0</v>
          </cell>
          <cell r="BO637">
            <v>0</v>
          </cell>
          <cell r="BP637">
            <v>0</v>
          </cell>
          <cell r="BQ637">
            <v>0</v>
          </cell>
          <cell r="BR637">
            <v>0</v>
          </cell>
          <cell r="BS637">
            <v>0</v>
          </cell>
          <cell r="BU637">
            <v>0</v>
          </cell>
          <cell r="BV637">
            <v>0</v>
          </cell>
          <cell r="BW637">
            <v>0</v>
          </cell>
          <cell r="BX637">
            <v>0</v>
          </cell>
          <cell r="BY637">
            <v>0</v>
          </cell>
          <cell r="BZ637">
            <v>0</v>
          </cell>
          <cell r="CA637">
            <v>0</v>
          </cell>
          <cell r="CB637">
            <v>0</v>
          </cell>
          <cell r="CC637">
            <v>0</v>
          </cell>
          <cell r="CE637">
            <v>0</v>
          </cell>
          <cell r="CF637">
            <v>0</v>
          </cell>
          <cell r="CG637">
            <v>0</v>
          </cell>
          <cell r="CH637">
            <v>0</v>
          </cell>
          <cell r="CI637">
            <v>0</v>
          </cell>
          <cell r="CJ637">
            <v>0</v>
          </cell>
          <cell r="CK637">
            <v>0</v>
          </cell>
          <cell r="CL637">
            <v>0</v>
          </cell>
          <cell r="CM637">
            <v>0</v>
          </cell>
          <cell r="CO637">
            <v>0</v>
          </cell>
          <cell r="CP637">
            <v>0</v>
          </cell>
          <cell r="CQ637">
            <v>0</v>
          </cell>
          <cell r="CR637">
            <v>0</v>
          </cell>
          <cell r="CS637">
            <v>0</v>
          </cell>
          <cell r="CT637">
            <v>0</v>
          </cell>
          <cell r="CU637">
            <v>0</v>
          </cell>
          <cell r="CV637">
            <v>0</v>
          </cell>
          <cell r="CW637">
            <v>0</v>
          </cell>
          <cell r="CY637">
            <v>0</v>
          </cell>
          <cell r="CZ637">
            <v>0</v>
          </cell>
          <cell r="DA637">
            <v>0</v>
          </cell>
          <cell r="DB637">
            <v>0</v>
          </cell>
          <cell r="DC637">
            <v>0</v>
          </cell>
          <cell r="DD637">
            <v>0</v>
          </cell>
          <cell r="DE637">
            <v>0</v>
          </cell>
          <cell r="DF637">
            <v>0</v>
          </cell>
          <cell r="DG637">
            <v>0</v>
          </cell>
          <cell r="DI637">
            <v>0</v>
          </cell>
          <cell r="DJ637">
            <v>0</v>
          </cell>
          <cell r="DK637">
            <v>0</v>
          </cell>
          <cell r="DL637">
            <v>0</v>
          </cell>
          <cell r="DM637">
            <v>0</v>
          </cell>
          <cell r="DN637">
            <v>0</v>
          </cell>
          <cell r="DO637">
            <v>0</v>
          </cell>
          <cell r="DP637">
            <v>0</v>
          </cell>
          <cell r="DQ637">
            <v>0</v>
          </cell>
          <cell r="DR637">
            <v>0</v>
          </cell>
          <cell r="DS637">
            <v>0</v>
          </cell>
          <cell r="DT637">
            <v>0</v>
          </cell>
          <cell r="DU637">
            <v>0</v>
          </cell>
          <cell r="DW637">
            <v>0</v>
          </cell>
          <cell r="DX637">
            <v>0</v>
          </cell>
          <cell r="DY637">
            <v>0</v>
          </cell>
          <cell r="DZ637">
            <v>0</v>
          </cell>
          <cell r="EA637">
            <v>0</v>
          </cell>
          <cell r="EB637">
            <v>0</v>
          </cell>
          <cell r="EC637">
            <v>0</v>
          </cell>
          <cell r="ED637">
            <v>0</v>
          </cell>
          <cell r="EE637">
            <v>0</v>
          </cell>
          <cell r="EF637">
            <v>0</v>
          </cell>
          <cell r="EG637">
            <v>0</v>
          </cell>
          <cell r="EH637">
            <v>0</v>
          </cell>
          <cell r="EI637">
            <v>0</v>
          </cell>
          <cell r="EK637">
            <v>0</v>
          </cell>
          <cell r="EL637">
            <v>0</v>
          </cell>
          <cell r="EM637">
            <v>0</v>
          </cell>
          <cell r="EN637">
            <v>0</v>
          </cell>
          <cell r="EO637">
            <v>0</v>
          </cell>
          <cell r="EP637">
            <v>0</v>
          </cell>
          <cell r="EQ637">
            <v>0</v>
          </cell>
          <cell r="ER637">
            <v>0</v>
          </cell>
          <cell r="ES637">
            <v>0</v>
          </cell>
          <cell r="ET637">
            <v>0</v>
          </cell>
          <cell r="EU637">
            <v>0</v>
          </cell>
          <cell r="EV637">
            <v>0</v>
          </cell>
          <cell r="EW637">
            <v>0</v>
          </cell>
          <cell r="EY637">
            <v>0</v>
          </cell>
          <cell r="EZ637">
            <v>8</v>
          </cell>
          <cell r="FA637">
            <v>0</v>
          </cell>
          <cell r="FB637">
            <v>0</v>
          </cell>
          <cell r="FC637">
            <v>8.6</v>
          </cell>
          <cell r="FD637">
            <v>0</v>
          </cell>
          <cell r="FE637">
            <v>0</v>
          </cell>
          <cell r="FF637">
            <v>0</v>
          </cell>
          <cell r="FH637">
            <v>0</v>
          </cell>
        </row>
        <row r="638">
          <cell r="B638">
            <v>9804</v>
          </cell>
          <cell r="C638" t="str">
            <v>17.08.2010</v>
          </cell>
          <cell r="D638" t="str">
            <v>Joshi Prajakta Prakash</v>
          </cell>
          <cell r="F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BA638">
            <v>0</v>
          </cell>
          <cell r="BB638">
            <v>0</v>
          </cell>
          <cell r="BC638">
            <v>0</v>
          </cell>
          <cell r="BD638">
            <v>0</v>
          </cell>
          <cell r="BE638">
            <v>0</v>
          </cell>
          <cell r="BF638">
            <v>0</v>
          </cell>
          <cell r="BG638">
            <v>0</v>
          </cell>
          <cell r="BH638">
            <v>0</v>
          </cell>
          <cell r="BI638">
            <v>0</v>
          </cell>
          <cell r="BK638">
            <v>0</v>
          </cell>
          <cell r="BL638">
            <v>0</v>
          </cell>
          <cell r="BM638">
            <v>0</v>
          </cell>
          <cell r="BN638">
            <v>0</v>
          </cell>
          <cell r="BO638">
            <v>0</v>
          </cell>
          <cell r="BP638">
            <v>0</v>
          </cell>
          <cell r="BQ638">
            <v>0</v>
          </cell>
          <cell r="BR638">
            <v>0</v>
          </cell>
          <cell r="BS638">
            <v>0</v>
          </cell>
          <cell r="BU638">
            <v>0</v>
          </cell>
          <cell r="BV638">
            <v>0</v>
          </cell>
          <cell r="BW638">
            <v>0</v>
          </cell>
          <cell r="BX638">
            <v>0</v>
          </cell>
          <cell r="BY638">
            <v>0</v>
          </cell>
          <cell r="BZ638">
            <v>0</v>
          </cell>
          <cell r="CA638">
            <v>0</v>
          </cell>
          <cell r="CB638">
            <v>0</v>
          </cell>
          <cell r="CC638">
            <v>0</v>
          </cell>
          <cell r="CE638">
            <v>0</v>
          </cell>
          <cell r="CF638">
            <v>0</v>
          </cell>
          <cell r="CG638">
            <v>0</v>
          </cell>
          <cell r="CH638">
            <v>0</v>
          </cell>
          <cell r="CI638">
            <v>0</v>
          </cell>
          <cell r="CJ638">
            <v>0</v>
          </cell>
          <cell r="CK638">
            <v>0</v>
          </cell>
          <cell r="CL638">
            <v>0</v>
          </cell>
          <cell r="CM638">
            <v>0</v>
          </cell>
          <cell r="CO638">
            <v>0</v>
          </cell>
          <cell r="CP638">
            <v>0</v>
          </cell>
          <cell r="CQ638">
            <v>0</v>
          </cell>
          <cell r="CR638">
            <v>0</v>
          </cell>
          <cell r="CS638">
            <v>0</v>
          </cell>
          <cell r="CT638">
            <v>0</v>
          </cell>
          <cell r="CU638">
            <v>0</v>
          </cell>
          <cell r="CV638">
            <v>0</v>
          </cell>
          <cell r="CW638">
            <v>0</v>
          </cell>
          <cell r="CY638">
            <v>0</v>
          </cell>
          <cell r="CZ638">
            <v>0</v>
          </cell>
          <cell r="DA638">
            <v>0</v>
          </cell>
          <cell r="DB638">
            <v>0</v>
          </cell>
          <cell r="DC638">
            <v>0</v>
          </cell>
          <cell r="DD638">
            <v>0</v>
          </cell>
          <cell r="DE638">
            <v>0</v>
          </cell>
          <cell r="DF638">
            <v>0</v>
          </cell>
          <cell r="DG638">
            <v>0</v>
          </cell>
          <cell r="DI638">
            <v>0</v>
          </cell>
          <cell r="DJ638">
            <v>0</v>
          </cell>
          <cell r="DK638">
            <v>0</v>
          </cell>
          <cell r="DL638">
            <v>0</v>
          </cell>
          <cell r="DM638">
            <v>0</v>
          </cell>
          <cell r="DN638">
            <v>0</v>
          </cell>
          <cell r="DO638">
            <v>0</v>
          </cell>
          <cell r="DP638">
            <v>0</v>
          </cell>
          <cell r="DQ638">
            <v>0</v>
          </cell>
          <cell r="DR638">
            <v>0</v>
          </cell>
          <cell r="DS638">
            <v>0</v>
          </cell>
          <cell r="DT638">
            <v>0</v>
          </cell>
          <cell r="DU638">
            <v>0</v>
          </cell>
          <cell r="DW638">
            <v>0</v>
          </cell>
          <cell r="DX638">
            <v>0</v>
          </cell>
          <cell r="DY638">
            <v>0</v>
          </cell>
          <cell r="DZ638">
            <v>0</v>
          </cell>
          <cell r="EA638">
            <v>0</v>
          </cell>
          <cell r="EB638">
            <v>0</v>
          </cell>
          <cell r="EC638">
            <v>0</v>
          </cell>
          <cell r="ED638">
            <v>0</v>
          </cell>
          <cell r="EE638">
            <v>0</v>
          </cell>
          <cell r="EF638">
            <v>0</v>
          </cell>
          <cell r="EG638">
            <v>0</v>
          </cell>
          <cell r="EH638">
            <v>0</v>
          </cell>
          <cell r="EI638">
            <v>0</v>
          </cell>
          <cell r="EK638">
            <v>0</v>
          </cell>
          <cell r="EL638">
            <v>0</v>
          </cell>
          <cell r="EM638">
            <v>0</v>
          </cell>
          <cell r="EN638">
            <v>0</v>
          </cell>
          <cell r="EO638">
            <v>0</v>
          </cell>
          <cell r="EP638">
            <v>0</v>
          </cell>
          <cell r="EQ638">
            <v>0</v>
          </cell>
          <cell r="ER638">
            <v>0</v>
          </cell>
          <cell r="ES638">
            <v>0</v>
          </cell>
          <cell r="ET638">
            <v>0</v>
          </cell>
          <cell r="EU638">
            <v>0</v>
          </cell>
          <cell r="EV638">
            <v>0</v>
          </cell>
          <cell r="EW638">
            <v>0</v>
          </cell>
          <cell r="EY638">
            <v>0</v>
          </cell>
          <cell r="EZ638">
            <v>8</v>
          </cell>
          <cell r="FA638">
            <v>0</v>
          </cell>
          <cell r="FB638">
            <v>0</v>
          </cell>
          <cell r="FC638">
            <v>8.6</v>
          </cell>
          <cell r="FD638">
            <v>0</v>
          </cell>
          <cell r="FE638">
            <v>0</v>
          </cell>
          <cell r="FF638">
            <v>0</v>
          </cell>
          <cell r="FH638">
            <v>0</v>
          </cell>
        </row>
        <row r="639">
          <cell r="B639">
            <v>9807</v>
          </cell>
          <cell r="C639" t="str">
            <v>17.08.2010</v>
          </cell>
          <cell r="D639" t="str">
            <v>Gaikwad Rajashree Baburao</v>
          </cell>
          <cell r="F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  <cell r="AU639">
            <v>0</v>
          </cell>
          <cell r="AV639">
            <v>0</v>
          </cell>
          <cell r="AW639">
            <v>0</v>
          </cell>
          <cell r="AX639">
            <v>0</v>
          </cell>
          <cell r="AY639">
            <v>0</v>
          </cell>
          <cell r="BA639">
            <v>0</v>
          </cell>
          <cell r="BB639">
            <v>0</v>
          </cell>
          <cell r="BC639">
            <v>0</v>
          </cell>
          <cell r="BD639">
            <v>0</v>
          </cell>
          <cell r="BE639">
            <v>0</v>
          </cell>
          <cell r="BF639">
            <v>0</v>
          </cell>
          <cell r="BG639">
            <v>0</v>
          </cell>
          <cell r="BH639">
            <v>0</v>
          </cell>
          <cell r="BI639">
            <v>0</v>
          </cell>
          <cell r="BK639">
            <v>0</v>
          </cell>
          <cell r="BL639">
            <v>0</v>
          </cell>
          <cell r="BM639">
            <v>0</v>
          </cell>
          <cell r="BN639">
            <v>0</v>
          </cell>
          <cell r="BO639">
            <v>0</v>
          </cell>
          <cell r="BP639">
            <v>0</v>
          </cell>
          <cell r="BQ639">
            <v>0</v>
          </cell>
          <cell r="BR639">
            <v>0</v>
          </cell>
          <cell r="BS639">
            <v>0</v>
          </cell>
          <cell r="BU639">
            <v>0</v>
          </cell>
          <cell r="BV639">
            <v>0</v>
          </cell>
          <cell r="BW639">
            <v>0</v>
          </cell>
          <cell r="BX639">
            <v>0</v>
          </cell>
          <cell r="BY639">
            <v>0</v>
          </cell>
          <cell r="BZ639">
            <v>0</v>
          </cell>
          <cell r="CA639">
            <v>0</v>
          </cell>
          <cell r="CB639">
            <v>0</v>
          </cell>
          <cell r="CC639">
            <v>0</v>
          </cell>
          <cell r="CE639">
            <v>0</v>
          </cell>
          <cell r="CF639">
            <v>0</v>
          </cell>
          <cell r="CG639">
            <v>0</v>
          </cell>
          <cell r="CH639">
            <v>0</v>
          </cell>
          <cell r="CI639">
            <v>0</v>
          </cell>
          <cell r="CJ639">
            <v>0</v>
          </cell>
          <cell r="CK639">
            <v>0</v>
          </cell>
          <cell r="CL639">
            <v>0</v>
          </cell>
          <cell r="CM639">
            <v>0</v>
          </cell>
          <cell r="CO639">
            <v>0</v>
          </cell>
          <cell r="CP639">
            <v>0</v>
          </cell>
          <cell r="CQ639">
            <v>0</v>
          </cell>
          <cell r="CR639">
            <v>0</v>
          </cell>
          <cell r="CS639">
            <v>0</v>
          </cell>
          <cell r="CT639">
            <v>0</v>
          </cell>
          <cell r="CU639">
            <v>0</v>
          </cell>
          <cell r="CV639">
            <v>0</v>
          </cell>
          <cell r="CW639">
            <v>0</v>
          </cell>
          <cell r="CY639">
            <v>0</v>
          </cell>
          <cell r="CZ639">
            <v>0</v>
          </cell>
          <cell r="DA639">
            <v>0</v>
          </cell>
          <cell r="DB639">
            <v>0</v>
          </cell>
          <cell r="DC639">
            <v>0</v>
          </cell>
          <cell r="DD639">
            <v>0</v>
          </cell>
          <cell r="DE639">
            <v>0</v>
          </cell>
          <cell r="DF639">
            <v>0</v>
          </cell>
          <cell r="DG639">
            <v>0</v>
          </cell>
          <cell r="DI639">
            <v>0</v>
          </cell>
          <cell r="DJ639">
            <v>0</v>
          </cell>
          <cell r="DK639">
            <v>0</v>
          </cell>
          <cell r="DL639">
            <v>0</v>
          </cell>
          <cell r="DM639">
            <v>0</v>
          </cell>
          <cell r="DN639">
            <v>0</v>
          </cell>
          <cell r="DO639">
            <v>0</v>
          </cell>
          <cell r="DP639">
            <v>0</v>
          </cell>
          <cell r="DQ639">
            <v>0</v>
          </cell>
          <cell r="DR639">
            <v>0</v>
          </cell>
          <cell r="DS639">
            <v>0</v>
          </cell>
          <cell r="DT639">
            <v>0</v>
          </cell>
          <cell r="DU639">
            <v>0</v>
          </cell>
          <cell r="DW639">
            <v>0</v>
          </cell>
          <cell r="DX639">
            <v>0</v>
          </cell>
          <cell r="DY639">
            <v>0</v>
          </cell>
          <cell r="DZ639">
            <v>0</v>
          </cell>
          <cell r="EA639">
            <v>0</v>
          </cell>
          <cell r="EB639">
            <v>0</v>
          </cell>
          <cell r="EC639">
            <v>0</v>
          </cell>
          <cell r="ED639">
            <v>0</v>
          </cell>
          <cell r="EE639">
            <v>0</v>
          </cell>
          <cell r="EF639">
            <v>0</v>
          </cell>
          <cell r="EG639">
            <v>0</v>
          </cell>
          <cell r="EH639">
            <v>0</v>
          </cell>
          <cell r="EI639">
            <v>0</v>
          </cell>
          <cell r="EK639">
            <v>0</v>
          </cell>
          <cell r="EL639">
            <v>0</v>
          </cell>
          <cell r="EM639">
            <v>0</v>
          </cell>
          <cell r="EN639">
            <v>0</v>
          </cell>
          <cell r="EO639">
            <v>0</v>
          </cell>
          <cell r="EP639">
            <v>0</v>
          </cell>
          <cell r="EQ639">
            <v>0</v>
          </cell>
          <cell r="ER639">
            <v>0</v>
          </cell>
          <cell r="ES639">
            <v>0</v>
          </cell>
          <cell r="ET639">
            <v>0</v>
          </cell>
          <cell r="EU639">
            <v>0</v>
          </cell>
          <cell r="EV639">
            <v>0</v>
          </cell>
          <cell r="EW639">
            <v>0</v>
          </cell>
          <cell r="EY639">
            <v>0</v>
          </cell>
          <cell r="EZ639">
            <v>8</v>
          </cell>
          <cell r="FA639">
            <v>0</v>
          </cell>
          <cell r="FB639">
            <v>0</v>
          </cell>
          <cell r="FC639">
            <v>8.6</v>
          </cell>
          <cell r="FD639">
            <v>0</v>
          </cell>
          <cell r="FE639">
            <v>0</v>
          </cell>
          <cell r="FF639">
            <v>0</v>
          </cell>
          <cell r="FH639">
            <v>0</v>
          </cell>
        </row>
        <row r="640">
          <cell r="B640">
            <v>9789</v>
          </cell>
          <cell r="C640" t="str">
            <v>20.08.2010</v>
          </cell>
          <cell r="D640" t="str">
            <v>Pawar Jaggu Jagdish</v>
          </cell>
          <cell r="F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  <cell r="AU640">
            <v>0</v>
          </cell>
          <cell r="AV640">
            <v>0</v>
          </cell>
          <cell r="AW640">
            <v>0</v>
          </cell>
          <cell r="AX640">
            <v>0</v>
          </cell>
          <cell r="AY640">
            <v>0</v>
          </cell>
          <cell r="BA640">
            <v>0</v>
          </cell>
          <cell r="BB640">
            <v>0</v>
          </cell>
          <cell r="BC640">
            <v>0</v>
          </cell>
          <cell r="BD640">
            <v>0</v>
          </cell>
          <cell r="BE640">
            <v>0</v>
          </cell>
          <cell r="BF640">
            <v>0</v>
          </cell>
          <cell r="BG640">
            <v>0</v>
          </cell>
          <cell r="BH640">
            <v>0</v>
          </cell>
          <cell r="BI640">
            <v>0</v>
          </cell>
          <cell r="BK640">
            <v>0</v>
          </cell>
          <cell r="BL640">
            <v>0</v>
          </cell>
          <cell r="BM640">
            <v>0</v>
          </cell>
          <cell r="BN640">
            <v>0</v>
          </cell>
          <cell r="BO640">
            <v>0</v>
          </cell>
          <cell r="BP640">
            <v>0</v>
          </cell>
          <cell r="BQ640">
            <v>0</v>
          </cell>
          <cell r="BR640">
            <v>0</v>
          </cell>
          <cell r="BS640">
            <v>0</v>
          </cell>
          <cell r="BU640">
            <v>0</v>
          </cell>
          <cell r="BV640">
            <v>0</v>
          </cell>
          <cell r="BW640">
            <v>0</v>
          </cell>
          <cell r="BX640">
            <v>0</v>
          </cell>
          <cell r="BY640">
            <v>0</v>
          </cell>
          <cell r="BZ640">
            <v>0</v>
          </cell>
          <cell r="CA640">
            <v>0</v>
          </cell>
          <cell r="CB640">
            <v>0</v>
          </cell>
          <cell r="CC640">
            <v>0</v>
          </cell>
          <cell r="CE640">
            <v>0</v>
          </cell>
          <cell r="CF640">
            <v>0</v>
          </cell>
          <cell r="CG640">
            <v>0</v>
          </cell>
          <cell r="CH640">
            <v>0</v>
          </cell>
          <cell r="CI640">
            <v>0</v>
          </cell>
          <cell r="CJ640">
            <v>0</v>
          </cell>
          <cell r="CK640">
            <v>0</v>
          </cell>
          <cell r="CL640">
            <v>0</v>
          </cell>
          <cell r="CM640">
            <v>0</v>
          </cell>
          <cell r="CO640">
            <v>0</v>
          </cell>
          <cell r="CP640">
            <v>0</v>
          </cell>
          <cell r="CQ640">
            <v>0</v>
          </cell>
          <cell r="CR640">
            <v>0</v>
          </cell>
          <cell r="CS640">
            <v>0</v>
          </cell>
          <cell r="CT640">
            <v>0</v>
          </cell>
          <cell r="CU640">
            <v>0</v>
          </cell>
          <cell r="CV640">
            <v>0</v>
          </cell>
          <cell r="CW640">
            <v>0</v>
          </cell>
          <cell r="CY640">
            <v>0</v>
          </cell>
          <cell r="CZ640">
            <v>0</v>
          </cell>
          <cell r="DA640">
            <v>0</v>
          </cell>
          <cell r="DB640">
            <v>0</v>
          </cell>
          <cell r="DC640">
            <v>0</v>
          </cell>
          <cell r="DD640">
            <v>0</v>
          </cell>
          <cell r="DE640">
            <v>0</v>
          </cell>
          <cell r="DF640">
            <v>0</v>
          </cell>
          <cell r="DG640">
            <v>0</v>
          </cell>
          <cell r="DI640">
            <v>0</v>
          </cell>
          <cell r="DJ640">
            <v>0</v>
          </cell>
          <cell r="DK640">
            <v>0</v>
          </cell>
          <cell r="DL640">
            <v>0</v>
          </cell>
          <cell r="DM640">
            <v>0</v>
          </cell>
          <cell r="DN640">
            <v>0</v>
          </cell>
          <cell r="DO640">
            <v>0</v>
          </cell>
          <cell r="DP640">
            <v>0</v>
          </cell>
          <cell r="DQ640">
            <v>0</v>
          </cell>
          <cell r="DR640">
            <v>0</v>
          </cell>
          <cell r="DS640">
            <v>0</v>
          </cell>
          <cell r="DT640">
            <v>0</v>
          </cell>
          <cell r="DU640">
            <v>0</v>
          </cell>
          <cell r="DW640">
            <v>0</v>
          </cell>
          <cell r="DX640">
            <v>0</v>
          </cell>
          <cell r="DY640">
            <v>0</v>
          </cell>
          <cell r="DZ640">
            <v>0</v>
          </cell>
          <cell r="EA640">
            <v>0</v>
          </cell>
          <cell r="EB640">
            <v>0</v>
          </cell>
          <cell r="EC640">
            <v>0</v>
          </cell>
          <cell r="ED640">
            <v>0</v>
          </cell>
          <cell r="EE640">
            <v>0</v>
          </cell>
          <cell r="EF640">
            <v>0</v>
          </cell>
          <cell r="EG640">
            <v>0</v>
          </cell>
          <cell r="EH640">
            <v>0</v>
          </cell>
          <cell r="EI640">
            <v>0</v>
          </cell>
          <cell r="EK640">
            <v>0</v>
          </cell>
          <cell r="EL640">
            <v>0</v>
          </cell>
          <cell r="EM640">
            <v>0</v>
          </cell>
          <cell r="EN640">
            <v>0</v>
          </cell>
          <cell r="EO640">
            <v>0</v>
          </cell>
          <cell r="EP640">
            <v>0</v>
          </cell>
          <cell r="EQ640">
            <v>0</v>
          </cell>
          <cell r="ER640">
            <v>0</v>
          </cell>
          <cell r="ES640">
            <v>0</v>
          </cell>
          <cell r="ET640">
            <v>0</v>
          </cell>
          <cell r="EU640">
            <v>0</v>
          </cell>
          <cell r="EV640">
            <v>0</v>
          </cell>
          <cell r="EW640">
            <v>0</v>
          </cell>
          <cell r="EY640">
            <v>0</v>
          </cell>
          <cell r="EZ640">
            <v>8</v>
          </cell>
          <cell r="FA640">
            <v>0</v>
          </cell>
          <cell r="FB640">
            <v>0</v>
          </cell>
          <cell r="FC640">
            <v>8.6</v>
          </cell>
          <cell r="FD640">
            <v>0</v>
          </cell>
          <cell r="FE640">
            <v>0</v>
          </cell>
          <cell r="FF640">
            <v>0</v>
          </cell>
          <cell r="FH640">
            <v>0</v>
          </cell>
        </row>
        <row r="641">
          <cell r="B641">
            <v>9740</v>
          </cell>
          <cell r="C641" t="str">
            <v>21.08.2010</v>
          </cell>
          <cell r="D641" t="str">
            <v>Tupe Kumar Sanjay</v>
          </cell>
          <cell r="F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0</v>
          </cell>
          <cell r="AX641">
            <v>0</v>
          </cell>
          <cell r="AY641">
            <v>0</v>
          </cell>
          <cell r="BA641">
            <v>0</v>
          </cell>
          <cell r="BB641">
            <v>0</v>
          </cell>
          <cell r="BC641">
            <v>0</v>
          </cell>
          <cell r="BD641">
            <v>0</v>
          </cell>
          <cell r="BE641">
            <v>0</v>
          </cell>
          <cell r="BF641">
            <v>0</v>
          </cell>
          <cell r="BG641">
            <v>0</v>
          </cell>
          <cell r="BH641">
            <v>0</v>
          </cell>
          <cell r="BI641">
            <v>0</v>
          </cell>
          <cell r="BK641">
            <v>0</v>
          </cell>
          <cell r="BL641">
            <v>0</v>
          </cell>
          <cell r="BM641">
            <v>0</v>
          </cell>
          <cell r="BN641">
            <v>0</v>
          </cell>
          <cell r="BO641">
            <v>0</v>
          </cell>
          <cell r="BP641">
            <v>0</v>
          </cell>
          <cell r="BQ641">
            <v>0</v>
          </cell>
          <cell r="BR641">
            <v>0</v>
          </cell>
          <cell r="BS641">
            <v>0</v>
          </cell>
          <cell r="BU641">
            <v>0</v>
          </cell>
          <cell r="BV641">
            <v>0</v>
          </cell>
          <cell r="BW641">
            <v>0</v>
          </cell>
          <cell r="BX641">
            <v>0</v>
          </cell>
          <cell r="BY641">
            <v>0</v>
          </cell>
          <cell r="BZ641">
            <v>0</v>
          </cell>
          <cell r="CA641">
            <v>0</v>
          </cell>
          <cell r="CB641">
            <v>0</v>
          </cell>
          <cell r="CC641">
            <v>0</v>
          </cell>
          <cell r="CE641">
            <v>0</v>
          </cell>
          <cell r="CF641">
            <v>0</v>
          </cell>
          <cell r="CG641">
            <v>0</v>
          </cell>
          <cell r="CH641">
            <v>0</v>
          </cell>
          <cell r="CI641">
            <v>0</v>
          </cell>
          <cell r="CJ641">
            <v>0</v>
          </cell>
          <cell r="CK641">
            <v>0</v>
          </cell>
          <cell r="CL641">
            <v>0</v>
          </cell>
          <cell r="CM641">
            <v>0</v>
          </cell>
          <cell r="CO641">
            <v>0</v>
          </cell>
          <cell r="CP641">
            <v>0</v>
          </cell>
          <cell r="CQ641">
            <v>0</v>
          </cell>
          <cell r="CR641">
            <v>0</v>
          </cell>
          <cell r="CS641">
            <v>0</v>
          </cell>
          <cell r="CT641">
            <v>0</v>
          </cell>
          <cell r="CU641">
            <v>0</v>
          </cell>
          <cell r="CV641">
            <v>0</v>
          </cell>
          <cell r="CW641">
            <v>0</v>
          </cell>
          <cell r="CY641">
            <v>0</v>
          </cell>
          <cell r="CZ641">
            <v>0</v>
          </cell>
          <cell r="DA641">
            <v>0</v>
          </cell>
          <cell r="DB641">
            <v>0</v>
          </cell>
          <cell r="DC641">
            <v>0</v>
          </cell>
          <cell r="DD641">
            <v>0</v>
          </cell>
          <cell r="DE641">
            <v>0</v>
          </cell>
          <cell r="DF641">
            <v>0</v>
          </cell>
          <cell r="DG641">
            <v>0</v>
          </cell>
          <cell r="DI641">
            <v>0</v>
          </cell>
          <cell r="DJ641">
            <v>0</v>
          </cell>
          <cell r="DK641">
            <v>0</v>
          </cell>
          <cell r="DL641">
            <v>0</v>
          </cell>
          <cell r="DM641">
            <v>0</v>
          </cell>
          <cell r="DN641">
            <v>0</v>
          </cell>
          <cell r="DO641">
            <v>0</v>
          </cell>
          <cell r="DP641">
            <v>0</v>
          </cell>
          <cell r="DQ641">
            <v>0</v>
          </cell>
          <cell r="DR641">
            <v>0</v>
          </cell>
          <cell r="DS641">
            <v>0</v>
          </cell>
          <cell r="DT641">
            <v>0</v>
          </cell>
          <cell r="DU641">
            <v>0</v>
          </cell>
          <cell r="DW641">
            <v>0</v>
          </cell>
          <cell r="DX641">
            <v>0</v>
          </cell>
          <cell r="DY641">
            <v>0</v>
          </cell>
          <cell r="DZ641">
            <v>0</v>
          </cell>
          <cell r="EA641">
            <v>0</v>
          </cell>
          <cell r="EB641">
            <v>0</v>
          </cell>
          <cell r="EC641">
            <v>0</v>
          </cell>
          <cell r="ED641">
            <v>0</v>
          </cell>
          <cell r="EE641">
            <v>0</v>
          </cell>
          <cell r="EF641">
            <v>0</v>
          </cell>
          <cell r="EG641">
            <v>0</v>
          </cell>
          <cell r="EH641">
            <v>0</v>
          </cell>
          <cell r="EI641">
            <v>0</v>
          </cell>
          <cell r="EK641">
            <v>0</v>
          </cell>
          <cell r="EL641">
            <v>0</v>
          </cell>
          <cell r="EM641">
            <v>0</v>
          </cell>
          <cell r="EN641">
            <v>0</v>
          </cell>
          <cell r="EO641">
            <v>0</v>
          </cell>
          <cell r="EP641">
            <v>0</v>
          </cell>
          <cell r="EQ641">
            <v>0</v>
          </cell>
          <cell r="ER641">
            <v>0</v>
          </cell>
          <cell r="ES641">
            <v>0</v>
          </cell>
          <cell r="ET641">
            <v>0</v>
          </cell>
          <cell r="EU641">
            <v>0</v>
          </cell>
          <cell r="EV641">
            <v>0</v>
          </cell>
          <cell r="EW641">
            <v>0</v>
          </cell>
          <cell r="EY641">
            <v>0</v>
          </cell>
          <cell r="EZ641">
            <v>8</v>
          </cell>
          <cell r="FA641">
            <v>0</v>
          </cell>
          <cell r="FB641">
            <v>0</v>
          </cell>
          <cell r="FC641">
            <v>8.6</v>
          </cell>
          <cell r="FD641">
            <v>0</v>
          </cell>
          <cell r="FE641">
            <v>0</v>
          </cell>
          <cell r="FF641">
            <v>0</v>
          </cell>
          <cell r="FH641">
            <v>0</v>
          </cell>
        </row>
        <row r="642">
          <cell r="B642">
            <v>9744</v>
          </cell>
          <cell r="C642" t="str">
            <v>21.08.2010</v>
          </cell>
          <cell r="D642" t="str">
            <v>Khairnar Meena Madhukar</v>
          </cell>
          <cell r="F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0</v>
          </cell>
          <cell r="AX642">
            <v>0</v>
          </cell>
          <cell r="AY642">
            <v>0</v>
          </cell>
          <cell r="BA642">
            <v>0</v>
          </cell>
          <cell r="BB642">
            <v>0</v>
          </cell>
          <cell r="BC642">
            <v>0</v>
          </cell>
          <cell r="BD642">
            <v>0</v>
          </cell>
          <cell r="BE642">
            <v>0</v>
          </cell>
          <cell r="BF642">
            <v>0</v>
          </cell>
          <cell r="BG642">
            <v>0</v>
          </cell>
          <cell r="BH642">
            <v>0</v>
          </cell>
          <cell r="BI642">
            <v>0</v>
          </cell>
          <cell r="BK642">
            <v>0</v>
          </cell>
          <cell r="BL642">
            <v>0</v>
          </cell>
          <cell r="BM642">
            <v>0</v>
          </cell>
          <cell r="BN642">
            <v>0</v>
          </cell>
          <cell r="BO642">
            <v>0</v>
          </cell>
          <cell r="BP642">
            <v>0</v>
          </cell>
          <cell r="BQ642">
            <v>0</v>
          </cell>
          <cell r="BR642">
            <v>0</v>
          </cell>
          <cell r="BS642">
            <v>0</v>
          </cell>
          <cell r="BU642">
            <v>0</v>
          </cell>
          <cell r="BV642">
            <v>0</v>
          </cell>
          <cell r="BW642">
            <v>0</v>
          </cell>
          <cell r="BX642">
            <v>0</v>
          </cell>
          <cell r="BY642">
            <v>0</v>
          </cell>
          <cell r="BZ642">
            <v>0</v>
          </cell>
          <cell r="CA642">
            <v>0</v>
          </cell>
          <cell r="CB642">
            <v>0</v>
          </cell>
          <cell r="CC642">
            <v>0</v>
          </cell>
          <cell r="CE642">
            <v>0</v>
          </cell>
          <cell r="CF642">
            <v>0</v>
          </cell>
          <cell r="CG642">
            <v>0</v>
          </cell>
          <cell r="CH642">
            <v>0</v>
          </cell>
          <cell r="CI642">
            <v>0</v>
          </cell>
          <cell r="CJ642">
            <v>0</v>
          </cell>
          <cell r="CK642">
            <v>0</v>
          </cell>
          <cell r="CL642">
            <v>0</v>
          </cell>
          <cell r="CM642">
            <v>0</v>
          </cell>
          <cell r="CO642">
            <v>0</v>
          </cell>
          <cell r="CP642">
            <v>0</v>
          </cell>
          <cell r="CQ642">
            <v>0</v>
          </cell>
          <cell r="CR642">
            <v>0</v>
          </cell>
          <cell r="CS642">
            <v>0</v>
          </cell>
          <cell r="CT642">
            <v>0</v>
          </cell>
          <cell r="CU642">
            <v>0</v>
          </cell>
          <cell r="CV642">
            <v>0</v>
          </cell>
          <cell r="CW642">
            <v>0</v>
          </cell>
          <cell r="CY642">
            <v>0</v>
          </cell>
          <cell r="CZ642">
            <v>0</v>
          </cell>
          <cell r="DA642">
            <v>0</v>
          </cell>
          <cell r="DB642">
            <v>0</v>
          </cell>
          <cell r="DC642">
            <v>0</v>
          </cell>
          <cell r="DD642">
            <v>0</v>
          </cell>
          <cell r="DE642">
            <v>0</v>
          </cell>
          <cell r="DF642">
            <v>0</v>
          </cell>
          <cell r="DG642">
            <v>0</v>
          </cell>
          <cell r="DI642">
            <v>0</v>
          </cell>
          <cell r="DJ642">
            <v>0</v>
          </cell>
          <cell r="DK642">
            <v>0</v>
          </cell>
          <cell r="DL642">
            <v>0</v>
          </cell>
          <cell r="DM642">
            <v>0</v>
          </cell>
          <cell r="DN642">
            <v>0</v>
          </cell>
          <cell r="DO642">
            <v>0</v>
          </cell>
          <cell r="DP642">
            <v>0</v>
          </cell>
          <cell r="DQ642">
            <v>0</v>
          </cell>
          <cell r="DR642">
            <v>0</v>
          </cell>
          <cell r="DS642">
            <v>0</v>
          </cell>
          <cell r="DT642">
            <v>0</v>
          </cell>
          <cell r="DU642">
            <v>0</v>
          </cell>
          <cell r="DW642">
            <v>0</v>
          </cell>
          <cell r="DX642">
            <v>0</v>
          </cell>
          <cell r="DY642">
            <v>0</v>
          </cell>
          <cell r="DZ642">
            <v>0</v>
          </cell>
          <cell r="EA642">
            <v>0</v>
          </cell>
          <cell r="EB642">
            <v>0</v>
          </cell>
          <cell r="EC642">
            <v>0</v>
          </cell>
          <cell r="ED642">
            <v>0</v>
          </cell>
          <cell r="EE642">
            <v>0</v>
          </cell>
          <cell r="EF642">
            <v>0</v>
          </cell>
          <cell r="EG642">
            <v>0</v>
          </cell>
          <cell r="EH642">
            <v>0</v>
          </cell>
          <cell r="EI642">
            <v>0</v>
          </cell>
          <cell r="EK642">
            <v>0</v>
          </cell>
          <cell r="EL642">
            <v>0</v>
          </cell>
          <cell r="EM642">
            <v>0</v>
          </cell>
          <cell r="EN642">
            <v>0</v>
          </cell>
          <cell r="EO642">
            <v>0</v>
          </cell>
          <cell r="EP642">
            <v>0</v>
          </cell>
          <cell r="EQ642">
            <v>0</v>
          </cell>
          <cell r="ER642">
            <v>0</v>
          </cell>
          <cell r="ES642">
            <v>0</v>
          </cell>
          <cell r="ET642">
            <v>0</v>
          </cell>
          <cell r="EU642">
            <v>0</v>
          </cell>
          <cell r="EV642">
            <v>0</v>
          </cell>
          <cell r="EW642">
            <v>0</v>
          </cell>
          <cell r="EY642">
            <v>0</v>
          </cell>
          <cell r="EZ642">
            <v>8</v>
          </cell>
          <cell r="FA642">
            <v>0</v>
          </cell>
          <cell r="FB642">
            <v>0</v>
          </cell>
          <cell r="FC642">
            <v>8.6</v>
          </cell>
          <cell r="FD642">
            <v>0</v>
          </cell>
          <cell r="FE642">
            <v>0</v>
          </cell>
          <cell r="FF642">
            <v>0</v>
          </cell>
          <cell r="FH642">
            <v>0</v>
          </cell>
        </row>
        <row r="643">
          <cell r="B643">
            <v>9745</v>
          </cell>
          <cell r="C643" t="str">
            <v>21.08.2010</v>
          </cell>
          <cell r="D643" t="str">
            <v>Walve Chaitali Ashok</v>
          </cell>
          <cell r="F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0</v>
          </cell>
          <cell r="AX643">
            <v>0</v>
          </cell>
          <cell r="AY643">
            <v>0</v>
          </cell>
          <cell r="BA643">
            <v>0</v>
          </cell>
          <cell r="BB643">
            <v>0</v>
          </cell>
          <cell r="BC643">
            <v>0</v>
          </cell>
          <cell r="BD643">
            <v>0</v>
          </cell>
          <cell r="BE643">
            <v>0</v>
          </cell>
          <cell r="BF643">
            <v>0</v>
          </cell>
          <cell r="BG643">
            <v>0</v>
          </cell>
          <cell r="BH643">
            <v>0</v>
          </cell>
          <cell r="BI643">
            <v>0</v>
          </cell>
          <cell r="BK643">
            <v>0</v>
          </cell>
          <cell r="BL643">
            <v>0</v>
          </cell>
          <cell r="BM643">
            <v>0</v>
          </cell>
          <cell r="BN643">
            <v>0</v>
          </cell>
          <cell r="BO643">
            <v>0</v>
          </cell>
          <cell r="BP643">
            <v>0</v>
          </cell>
          <cell r="BQ643">
            <v>0</v>
          </cell>
          <cell r="BR643">
            <v>0</v>
          </cell>
          <cell r="BS643">
            <v>0</v>
          </cell>
          <cell r="BU643">
            <v>0</v>
          </cell>
          <cell r="BV643">
            <v>0</v>
          </cell>
          <cell r="BW643">
            <v>0</v>
          </cell>
          <cell r="BX643">
            <v>0</v>
          </cell>
          <cell r="BY643">
            <v>0</v>
          </cell>
          <cell r="BZ643">
            <v>0</v>
          </cell>
          <cell r="CA643">
            <v>0</v>
          </cell>
          <cell r="CB643">
            <v>0</v>
          </cell>
          <cell r="CC643">
            <v>0</v>
          </cell>
          <cell r="CE643">
            <v>0</v>
          </cell>
          <cell r="CF643">
            <v>0</v>
          </cell>
          <cell r="CG643">
            <v>0</v>
          </cell>
          <cell r="CH643">
            <v>0</v>
          </cell>
          <cell r="CI643">
            <v>0</v>
          </cell>
          <cell r="CJ643">
            <v>0</v>
          </cell>
          <cell r="CK643">
            <v>0</v>
          </cell>
          <cell r="CL643">
            <v>0</v>
          </cell>
          <cell r="CM643">
            <v>0</v>
          </cell>
          <cell r="CO643">
            <v>0</v>
          </cell>
          <cell r="CP643">
            <v>0</v>
          </cell>
          <cell r="CQ643">
            <v>0</v>
          </cell>
          <cell r="CR643">
            <v>0</v>
          </cell>
          <cell r="CS643">
            <v>0</v>
          </cell>
          <cell r="CT643">
            <v>0</v>
          </cell>
          <cell r="CU643">
            <v>0</v>
          </cell>
          <cell r="CV643">
            <v>0</v>
          </cell>
          <cell r="CW643">
            <v>0</v>
          </cell>
          <cell r="CY643">
            <v>0</v>
          </cell>
          <cell r="CZ643">
            <v>0</v>
          </cell>
          <cell r="DA643">
            <v>0</v>
          </cell>
          <cell r="DB643">
            <v>0</v>
          </cell>
          <cell r="DC643">
            <v>0</v>
          </cell>
          <cell r="DD643">
            <v>0</v>
          </cell>
          <cell r="DE643">
            <v>0</v>
          </cell>
          <cell r="DF643">
            <v>0</v>
          </cell>
          <cell r="DG643">
            <v>0</v>
          </cell>
          <cell r="DI643">
            <v>0</v>
          </cell>
          <cell r="DJ643">
            <v>0</v>
          </cell>
          <cell r="DK643">
            <v>0</v>
          </cell>
          <cell r="DL643">
            <v>0</v>
          </cell>
          <cell r="DM643">
            <v>0</v>
          </cell>
          <cell r="DN643">
            <v>0</v>
          </cell>
          <cell r="DO643">
            <v>0</v>
          </cell>
          <cell r="DP643">
            <v>0</v>
          </cell>
          <cell r="DQ643">
            <v>0</v>
          </cell>
          <cell r="DR643">
            <v>0</v>
          </cell>
          <cell r="DS643">
            <v>0</v>
          </cell>
          <cell r="DT643">
            <v>0</v>
          </cell>
          <cell r="DU643">
            <v>0</v>
          </cell>
          <cell r="DW643">
            <v>0</v>
          </cell>
          <cell r="DX643">
            <v>0</v>
          </cell>
          <cell r="DY643">
            <v>0</v>
          </cell>
          <cell r="DZ643">
            <v>0</v>
          </cell>
          <cell r="EA643">
            <v>0</v>
          </cell>
          <cell r="EB643">
            <v>0</v>
          </cell>
          <cell r="EC643">
            <v>0</v>
          </cell>
          <cell r="ED643">
            <v>0</v>
          </cell>
          <cell r="EE643">
            <v>0</v>
          </cell>
          <cell r="EF643">
            <v>0</v>
          </cell>
          <cell r="EG643">
            <v>0</v>
          </cell>
          <cell r="EH643">
            <v>0</v>
          </cell>
          <cell r="EI643">
            <v>0</v>
          </cell>
          <cell r="EK643">
            <v>0</v>
          </cell>
          <cell r="EL643">
            <v>0</v>
          </cell>
          <cell r="EM643">
            <v>0</v>
          </cell>
          <cell r="EN643">
            <v>0</v>
          </cell>
          <cell r="EO643">
            <v>0</v>
          </cell>
          <cell r="EP643">
            <v>0</v>
          </cell>
          <cell r="EQ643">
            <v>0</v>
          </cell>
          <cell r="ER643">
            <v>0</v>
          </cell>
          <cell r="ES643">
            <v>0</v>
          </cell>
          <cell r="ET643">
            <v>0</v>
          </cell>
          <cell r="EU643">
            <v>0</v>
          </cell>
          <cell r="EV643">
            <v>0</v>
          </cell>
          <cell r="EW643">
            <v>0</v>
          </cell>
          <cell r="EY643">
            <v>0</v>
          </cell>
          <cell r="EZ643">
            <v>8</v>
          </cell>
          <cell r="FA643">
            <v>0</v>
          </cell>
          <cell r="FB643">
            <v>0</v>
          </cell>
          <cell r="FC643">
            <v>8.6</v>
          </cell>
          <cell r="FD643">
            <v>0</v>
          </cell>
          <cell r="FE643">
            <v>0</v>
          </cell>
          <cell r="FF643">
            <v>0</v>
          </cell>
          <cell r="FH643">
            <v>0</v>
          </cell>
        </row>
        <row r="644">
          <cell r="B644">
            <v>9763</v>
          </cell>
          <cell r="C644" t="str">
            <v>21.08.2010</v>
          </cell>
          <cell r="D644" t="str">
            <v>Sonawane Suchetan Devidas</v>
          </cell>
          <cell r="F644">
            <v>0</v>
          </cell>
          <cell r="G644">
            <v>2500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BA644">
            <v>0</v>
          </cell>
          <cell r="BB644">
            <v>0</v>
          </cell>
          <cell r="BC644">
            <v>0</v>
          </cell>
          <cell r="BD644">
            <v>0</v>
          </cell>
          <cell r="BE644">
            <v>0</v>
          </cell>
          <cell r="BF644">
            <v>0</v>
          </cell>
          <cell r="BG644">
            <v>0</v>
          </cell>
          <cell r="BH644">
            <v>0</v>
          </cell>
          <cell r="BI644">
            <v>0</v>
          </cell>
          <cell r="BK644">
            <v>0</v>
          </cell>
          <cell r="BL644">
            <v>0</v>
          </cell>
          <cell r="BM644">
            <v>0</v>
          </cell>
          <cell r="BN644">
            <v>0</v>
          </cell>
          <cell r="BO644">
            <v>0</v>
          </cell>
          <cell r="BP644">
            <v>0</v>
          </cell>
          <cell r="BQ644">
            <v>0</v>
          </cell>
          <cell r="BR644">
            <v>0</v>
          </cell>
          <cell r="BS644">
            <v>0</v>
          </cell>
          <cell r="BU644">
            <v>0</v>
          </cell>
          <cell r="BV644">
            <v>0</v>
          </cell>
          <cell r="BW644">
            <v>0</v>
          </cell>
          <cell r="BX644">
            <v>0</v>
          </cell>
          <cell r="BY644">
            <v>0</v>
          </cell>
          <cell r="BZ644">
            <v>0</v>
          </cell>
          <cell r="CA644">
            <v>0</v>
          </cell>
          <cell r="CB644">
            <v>0</v>
          </cell>
          <cell r="CC644">
            <v>0</v>
          </cell>
          <cell r="CE644">
            <v>0</v>
          </cell>
          <cell r="CF644">
            <v>0</v>
          </cell>
          <cell r="CG644">
            <v>0</v>
          </cell>
          <cell r="CH644">
            <v>0</v>
          </cell>
          <cell r="CI644">
            <v>0</v>
          </cell>
          <cell r="CJ644">
            <v>0</v>
          </cell>
          <cell r="CK644">
            <v>0</v>
          </cell>
          <cell r="CL644">
            <v>0</v>
          </cell>
          <cell r="CM644">
            <v>0</v>
          </cell>
          <cell r="CO644">
            <v>0</v>
          </cell>
          <cell r="CP644">
            <v>0</v>
          </cell>
          <cell r="CQ644">
            <v>0</v>
          </cell>
          <cell r="CR644">
            <v>0</v>
          </cell>
          <cell r="CS644">
            <v>0</v>
          </cell>
          <cell r="CT644">
            <v>0</v>
          </cell>
          <cell r="CU644">
            <v>0</v>
          </cell>
          <cell r="CV644">
            <v>0</v>
          </cell>
          <cell r="CW644">
            <v>0</v>
          </cell>
          <cell r="CY644">
            <v>0</v>
          </cell>
          <cell r="CZ644">
            <v>0</v>
          </cell>
          <cell r="DA644">
            <v>0</v>
          </cell>
          <cell r="DB644">
            <v>0</v>
          </cell>
          <cell r="DC644">
            <v>0</v>
          </cell>
          <cell r="DD644">
            <v>0</v>
          </cell>
          <cell r="DE644">
            <v>0</v>
          </cell>
          <cell r="DF644">
            <v>0</v>
          </cell>
          <cell r="DG644">
            <v>0</v>
          </cell>
          <cell r="DI644">
            <v>0</v>
          </cell>
          <cell r="DJ644">
            <v>0</v>
          </cell>
          <cell r="DK644">
            <v>0</v>
          </cell>
          <cell r="DL644">
            <v>0</v>
          </cell>
          <cell r="DM644">
            <v>0</v>
          </cell>
          <cell r="DN644">
            <v>0</v>
          </cell>
          <cell r="DO644">
            <v>0</v>
          </cell>
          <cell r="DP644">
            <v>0</v>
          </cell>
          <cell r="DQ644">
            <v>0</v>
          </cell>
          <cell r="DR644">
            <v>0</v>
          </cell>
          <cell r="DS644">
            <v>0</v>
          </cell>
          <cell r="DT644">
            <v>0</v>
          </cell>
          <cell r="DU644">
            <v>0</v>
          </cell>
          <cell r="DW644">
            <v>0</v>
          </cell>
          <cell r="DX644">
            <v>0</v>
          </cell>
          <cell r="DY644">
            <v>0</v>
          </cell>
          <cell r="DZ644">
            <v>0</v>
          </cell>
          <cell r="EA644">
            <v>0</v>
          </cell>
          <cell r="EB644">
            <v>0</v>
          </cell>
          <cell r="EC644">
            <v>0</v>
          </cell>
          <cell r="ED644">
            <v>0</v>
          </cell>
          <cell r="EE644">
            <v>0</v>
          </cell>
          <cell r="EF644">
            <v>0</v>
          </cell>
          <cell r="EG644">
            <v>0</v>
          </cell>
          <cell r="EH644">
            <v>0</v>
          </cell>
          <cell r="EI644">
            <v>0</v>
          </cell>
          <cell r="EK644">
            <v>0</v>
          </cell>
          <cell r="EL644">
            <v>0</v>
          </cell>
          <cell r="EM644">
            <v>0</v>
          </cell>
          <cell r="EN644">
            <v>0</v>
          </cell>
          <cell r="EO644">
            <v>0</v>
          </cell>
          <cell r="EP644">
            <v>0</v>
          </cell>
          <cell r="EQ644">
            <v>0</v>
          </cell>
          <cell r="ER644">
            <v>0</v>
          </cell>
          <cell r="ES644">
            <v>0</v>
          </cell>
          <cell r="ET644">
            <v>0</v>
          </cell>
          <cell r="EU644">
            <v>0</v>
          </cell>
          <cell r="EV644">
            <v>0</v>
          </cell>
          <cell r="EW644">
            <v>0</v>
          </cell>
          <cell r="EY644">
            <v>0</v>
          </cell>
          <cell r="EZ644">
            <v>8</v>
          </cell>
          <cell r="FA644">
            <v>0</v>
          </cell>
          <cell r="FB644">
            <v>0</v>
          </cell>
          <cell r="FC644">
            <v>8.6</v>
          </cell>
          <cell r="FD644">
            <v>0</v>
          </cell>
          <cell r="FE644">
            <v>0</v>
          </cell>
          <cell r="FF644">
            <v>0</v>
          </cell>
          <cell r="FH644">
            <v>0</v>
          </cell>
        </row>
        <row r="645">
          <cell r="B645">
            <v>9764</v>
          </cell>
          <cell r="C645" t="str">
            <v>21.08.2010</v>
          </cell>
          <cell r="D645" t="str">
            <v>Vise Yogesh Balu</v>
          </cell>
          <cell r="F645">
            <v>0</v>
          </cell>
          <cell r="G645">
            <v>2500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0</v>
          </cell>
          <cell r="AW645">
            <v>0</v>
          </cell>
          <cell r="AX645">
            <v>0</v>
          </cell>
          <cell r="AY645">
            <v>0</v>
          </cell>
          <cell r="BA645">
            <v>0</v>
          </cell>
          <cell r="BB645">
            <v>0</v>
          </cell>
          <cell r="BC645">
            <v>0</v>
          </cell>
          <cell r="BD645">
            <v>0</v>
          </cell>
          <cell r="BE645">
            <v>0</v>
          </cell>
          <cell r="BF645">
            <v>0</v>
          </cell>
          <cell r="BG645">
            <v>0</v>
          </cell>
          <cell r="BH645">
            <v>0</v>
          </cell>
          <cell r="BI645">
            <v>0</v>
          </cell>
          <cell r="BK645">
            <v>0</v>
          </cell>
          <cell r="BL645">
            <v>0</v>
          </cell>
          <cell r="BM645">
            <v>0</v>
          </cell>
          <cell r="BN645">
            <v>0</v>
          </cell>
          <cell r="BO645">
            <v>0</v>
          </cell>
          <cell r="BP645">
            <v>0</v>
          </cell>
          <cell r="BQ645">
            <v>0</v>
          </cell>
          <cell r="BR645">
            <v>0</v>
          </cell>
          <cell r="BS645">
            <v>0</v>
          </cell>
          <cell r="BU645">
            <v>0</v>
          </cell>
          <cell r="BV645">
            <v>0</v>
          </cell>
          <cell r="BW645">
            <v>0</v>
          </cell>
          <cell r="BX645">
            <v>0</v>
          </cell>
          <cell r="BY645">
            <v>0</v>
          </cell>
          <cell r="BZ645">
            <v>0</v>
          </cell>
          <cell r="CA645">
            <v>0</v>
          </cell>
          <cell r="CB645">
            <v>0</v>
          </cell>
          <cell r="CC645">
            <v>0</v>
          </cell>
          <cell r="CE645">
            <v>0</v>
          </cell>
          <cell r="CF645">
            <v>0</v>
          </cell>
          <cell r="CG645">
            <v>0</v>
          </cell>
          <cell r="CH645">
            <v>0</v>
          </cell>
          <cell r="CI645">
            <v>0</v>
          </cell>
          <cell r="CJ645">
            <v>0</v>
          </cell>
          <cell r="CK645">
            <v>0</v>
          </cell>
          <cell r="CL645">
            <v>0</v>
          </cell>
          <cell r="CM645">
            <v>0</v>
          </cell>
          <cell r="CO645">
            <v>0</v>
          </cell>
          <cell r="CP645">
            <v>0</v>
          </cell>
          <cell r="CQ645">
            <v>0</v>
          </cell>
          <cell r="CR645">
            <v>0</v>
          </cell>
          <cell r="CS645">
            <v>0</v>
          </cell>
          <cell r="CT645">
            <v>0</v>
          </cell>
          <cell r="CU645">
            <v>0</v>
          </cell>
          <cell r="CV645">
            <v>0</v>
          </cell>
          <cell r="CW645">
            <v>0</v>
          </cell>
          <cell r="CY645">
            <v>0</v>
          </cell>
          <cell r="CZ645">
            <v>0</v>
          </cell>
          <cell r="DA645">
            <v>0</v>
          </cell>
          <cell r="DB645">
            <v>0</v>
          </cell>
          <cell r="DC645">
            <v>0</v>
          </cell>
          <cell r="DD645">
            <v>0</v>
          </cell>
          <cell r="DE645">
            <v>0</v>
          </cell>
          <cell r="DF645">
            <v>0</v>
          </cell>
          <cell r="DG645">
            <v>0</v>
          </cell>
          <cell r="DI645">
            <v>0</v>
          </cell>
          <cell r="DJ645">
            <v>0</v>
          </cell>
          <cell r="DK645">
            <v>0</v>
          </cell>
          <cell r="DL645">
            <v>0</v>
          </cell>
          <cell r="DM645">
            <v>0</v>
          </cell>
          <cell r="DN645">
            <v>0</v>
          </cell>
          <cell r="DO645">
            <v>0</v>
          </cell>
          <cell r="DP645">
            <v>0</v>
          </cell>
          <cell r="DQ645">
            <v>0</v>
          </cell>
          <cell r="DR645">
            <v>0</v>
          </cell>
          <cell r="DS645">
            <v>0</v>
          </cell>
          <cell r="DT645">
            <v>0</v>
          </cell>
          <cell r="DU645">
            <v>0</v>
          </cell>
          <cell r="DW645">
            <v>0</v>
          </cell>
          <cell r="DX645">
            <v>0</v>
          </cell>
          <cell r="DY645">
            <v>0</v>
          </cell>
          <cell r="DZ645">
            <v>0</v>
          </cell>
          <cell r="EA645">
            <v>0</v>
          </cell>
          <cell r="EB645">
            <v>0</v>
          </cell>
          <cell r="EC645">
            <v>0</v>
          </cell>
          <cell r="ED645">
            <v>0</v>
          </cell>
          <cell r="EE645">
            <v>0</v>
          </cell>
          <cell r="EF645">
            <v>0</v>
          </cell>
          <cell r="EG645">
            <v>0</v>
          </cell>
          <cell r="EH645">
            <v>0</v>
          </cell>
          <cell r="EI645">
            <v>0</v>
          </cell>
          <cell r="EK645">
            <v>0</v>
          </cell>
          <cell r="EL645">
            <v>0</v>
          </cell>
          <cell r="EM645">
            <v>0</v>
          </cell>
          <cell r="EN645">
            <v>0</v>
          </cell>
          <cell r="EO645">
            <v>0</v>
          </cell>
          <cell r="EP645">
            <v>0</v>
          </cell>
          <cell r="EQ645">
            <v>0</v>
          </cell>
          <cell r="ER645">
            <v>0</v>
          </cell>
          <cell r="ES645">
            <v>0</v>
          </cell>
          <cell r="ET645">
            <v>0</v>
          </cell>
          <cell r="EU645">
            <v>0</v>
          </cell>
          <cell r="EV645">
            <v>0</v>
          </cell>
          <cell r="EW645">
            <v>0</v>
          </cell>
          <cell r="EY645">
            <v>0</v>
          </cell>
          <cell r="EZ645">
            <v>8</v>
          </cell>
          <cell r="FA645">
            <v>0</v>
          </cell>
          <cell r="FB645">
            <v>0</v>
          </cell>
          <cell r="FC645">
            <v>8.6</v>
          </cell>
          <cell r="FD645">
            <v>0</v>
          </cell>
          <cell r="FE645">
            <v>0</v>
          </cell>
          <cell r="FF645">
            <v>0</v>
          </cell>
          <cell r="FH645">
            <v>0</v>
          </cell>
        </row>
        <row r="646">
          <cell r="B646">
            <v>9765</v>
          </cell>
          <cell r="C646" t="str">
            <v>21.08.2010</v>
          </cell>
          <cell r="D646" t="str">
            <v>Shelar Sarla Shivaji</v>
          </cell>
          <cell r="F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BA646">
            <v>0</v>
          </cell>
          <cell r="BB646">
            <v>0</v>
          </cell>
          <cell r="BC646">
            <v>0</v>
          </cell>
          <cell r="BD646">
            <v>0</v>
          </cell>
          <cell r="BE646">
            <v>0</v>
          </cell>
          <cell r="BF646">
            <v>0</v>
          </cell>
          <cell r="BG646">
            <v>0</v>
          </cell>
          <cell r="BH646">
            <v>0</v>
          </cell>
          <cell r="BI646">
            <v>0</v>
          </cell>
          <cell r="BK646">
            <v>0</v>
          </cell>
          <cell r="BL646">
            <v>0</v>
          </cell>
          <cell r="BM646">
            <v>0</v>
          </cell>
          <cell r="BN646">
            <v>0</v>
          </cell>
          <cell r="BO646">
            <v>0</v>
          </cell>
          <cell r="BP646">
            <v>0</v>
          </cell>
          <cell r="BQ646">
            <v>0</v>
          </cell>
          <cell r="BR646">
            <v>0</v>
          </cell>
          <cell r="BS646">
            <v>0</v>
          </cell>
          <cell r="BU646">
            <v>0</v>
          </cell>
          <cell r="BV646">
            <v>0</v>
          </cell>
          <cell r="BW646">
            <v>0</v>
          </cell>
          <cell r="BX646">
            <v>0</v>
          </cell>
          <cell r="BY646">
            <v>0</v>
          </cell>
          <cell r="BZ646">
            <v>0</v>
          </cell>
          <cell r="CA646">
            <v>0</v>
          </cell>
          <cell r="CB646">
            <v>0</v>
          </cell>
          <cell r="CC646">
            <v>0</v>
          </cell>
          <cell r="CE646">
            <v>0</v>
          </cell>
          <cell r="CF646">
            <v>0</v>
          </cell>
          <cell r="CG646">
            <v>0</v>
          </cell>
          <cell r="CH646">
            <v>0</v>
          </cell>
          <cell r="CI646">
            <v>0</v>
          </cell>
          <cell r="CJ646">
            <v>0</v>
          </cell>
          <cell r="CK646">
            <v>0</v>
          </cell>
          <cell r="CL646">
            <v>0</v>
          </cell>
          <cell r="CM646">
            <v>0</v>
          </cell>
          <cell r="CO646">
            <v>0</v>
          </cell>
          <cell r="CP646">
            <v>0</v>
          </cell>
          <cell r="CQ646">
            <v>0</v>
          </cell>
          <cell r="CR646">
            <v>0</v>
          </cell>
          <cell r="CS646">
            <v>0</v>
          </cell>
          <cell r="CT646">
            <v>0</v>
          </cell>
          <cell r="CU646">
            <v>0</v>
          </cell>
          <cell r="CV646">
            <v>0</v>
          </cell>
          <cell r="CW646">
            <v>0</v>
          </cell>
          <cell r="CY646">
            <v>0</v>
          </cell>
          <cell r="CZ646">
            <v>0</v>
          </cell>
          <cell r="DA646">
            <v>0</v>
          </cell>
          <cell r="DB646">
            <v>0</v>
          </cell>
          <cell r="DC646">
            <v>0</v>
          </cell>
          <cell r="DD646">
            <v>0</v>
          </cell>
          <cell r="DE646">
            <v>0</v>
          </cell>
          <cell r="DF646">
            <v>0</v>
          </cell>
          <cell r="DG646">
            <v>0</v>
          </cell>
          <cell r="DI646">
            <v>0</v>
          </cell>
          <cell r="DJ646">
            <v>0</v>
          </cell>
          <cell r="DK646">
            <v>0</v>
          </cell>
          <cell r="DL646">
            <v>0</v>
          </cell>
          <cell r="DM646">
            <v>0</v>
          </cell>
          <cell r="DN646">
            <v>0</v>
          </cell>
          <cell r="DO646">
            <v>0</v>
          </cell>
          <cell r="DP646">
            <v>0</v>
          </cell>
          <cell r="DQ646">
            <v>0</v>
          </cell>
          <cell r="DR646">
            <v>0</v>
          </cell>
          <cell r="DS646">
            <v>0</v>
          </cell>
          <cell r="DT646">
            <v>0</v>
          </cell>
          <cell r="DU646">
            <v>0</v>
          </cell>
          <cell r="DW646">
            <v>0</v>
          </cell>
          <cell r="DX646">
            <v>0</v>
          </cell>
          <cell r="DY646">
            <v>0</v>
          </cell>
          <cell r="DZ646">
            <v>0</v>
          </cell>
          <cell r="EA646">
            <v>0</v>
          </cell>
          <cell r="EB646">
            <v>0</v>
          </cell>
          <cell r="EC646">
            <v>0</v>
          </cell>
          <cell r="ED646">
            <v>0</v>
          </cell>
          <cell r="EE646">
            <v>0</v>
          </cell>
          <cell r="EF646">
            <v>0</v>
          </cell>
          <cell r="EG646">
            <v>0</v>
          </cell>
          <cell r="EH646">
            <v>0</v>
          </cell>
          <cell r="EI646">
            <v>0</v>
          </cell>
          <cell r="EK646">
            <v>0</v>
          </cell>
          <cell r="EL646">
            <v>0</v>
          </cell>
          <cell r="EM646">
            <v>0</v>
          </cell>
          <cell r="EN646">
            <v>0</v>
          </cell>
          <cell r="EO646">
            <v>0</v>
          </cell>
          <cell r="EP646">
            <v>0</v>
          </cell>
          <cell r="EQ646">
            <v>0</v>
          </cell>
          <cell r="ER646">
            <v>0</v>
          </cell>
          <cell r="ES646">
            <v>0</v>
          </cell>
          <cell r="ET646">
            <v>0</v>
          </cell>
          <cell r="EU646">
            <v>0</v>
          </cell>
          <cell r="EV646">
            <v>0</v>
          </cell>
          <cell r="EW646">
            <v>0</v>
          </cell>
          <cell r="EY646">
            <v>0</v>
          </cell>
          <cell r="EZ646">
            <v>8</v>
          </cell>
          <cell r="FA646">
            <v>0</v>
          </cell>
          <cell r="FB646">
            <v>0</v>
          </cell>
          <cell r="FC646">
            <v>8.6</v>
          </cell>
          <cell r="FD646">
            <v>0</v>
          </cell>
          <cell r="FE646">
            <v>0</v>
          </cell>
          <cell r="FF646">
            <v>0</v>
          </cell>
          <cell r="FH646">
            <v>0</v>
          </cell>
        </row>
        <row r="647">
          <cell r="B647">
            <v>9769</v>
          </cell>
          <cell r="C647" t="str">
            <v>21.08.2010</v>
          </cell>
          <cell r="D647" t="str">
            <v>Jadhav Sunita Machindra</v>
          </cell>
          <cell r="F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0</v>
          </cell>
          <cell r="AW647">
            <v>0</v>
          </cell>
          <cell r="AX647">
            <v>0</v>
          </cell>
          <cell r="AY647">
            <v>0</v>
          </cell>
          <cell r="BA647">
            <v>0</v>
          </cell>
          <cell r="BB647">
            <v>0</v>
          </cell>
          <cell r="BC647">
            <v>0</v>
          </cell>
          <cell r="BD647">
            <v>0</v>
          </cell>
          <cell r="BE647">
            <v>0</v>
          </cell>
          <cell r="BF647">
            <v>0</v>
          </cell>
          <cell r="BG647">
            <v>0</v>
          </cell>
          <cell r="BH647">
            <v>0</v>
          </cell>
          <cell r="BI647">
            <v>0</v>
          </cell>
          <cell r="BK647">
            <v>0</v>
          </cell>
          <cell r="BL647">
            <v>0</v>
          </cell>
          <cell r="BM647">
            <v>0</v>
          </cell>
          <cell r="BN647">
            <v>0</v>
          </cell>
          <cell r="BO647">
            <v>0</v>
          </cell>
          <cell r="BP647">
            <v>0</v>
          </cell>
          <cell r="BQ647">
            <v>0</v>
          </cell>
          <cell r="BR647">
            <v>0</v>
          </cell>
          <cell r="BS647">
            <v>0</v>
          </cell>
          <cell r="BU647">
            <v>0</v>
          </cell>
          <cell r="BV647">
            <v>0</v>
          </cell>
          <cell r="BW647">
            <v>0</v>
          </cell>
          <cell r="BX647">
            <v>0</v>
          </cell>
          <cell r="BY647">
            <v>0</v>
          </cell>
          <cell r="BZ647">
            <v>0</v>
          </cell>
          <cell r="CA647">
            <v>0</v>
          </cell>
          <cell r="CB647">
            <v>0</v>
          </cell>
          <cell r="CC647">
            <v>0</v>
          </cell>
          <cell r="CE647">
            <v>0</v>
          </cell>
          <cell r="CF647">
            <v>0</v>
          </cell>
          <cell r="CG647">
            <v>0</v>
          </cell>
          <cell r="CH647">
            <v>0</v>
          </cell>
          <cell r="CI647">
            <v>0</v>
          </cell>
          <cell r="CJ647">
            <v>0</v>
          </cell>
          <cell r="CK647">
            <v>0</v>
          </cell>
          <cell r="CL647">
            <v>0</v>
          </cell>
          <cell r="CM647">
            <v>0</v>
          </cell>
          <cell r="CO647">
            <v>0</v>
          </cell>
          <cell r="CP647">
            <v>0</v>
          </cell>
          <cell r="CQ647">
            <v>0</v>
          </cell>
          <cell r="CR647">
            <v>0</v>
          </cell>
          <cell r="CS647">
            <v>0</v>
          </cell>
          <cell r="CT647">
            <v>0</v>
          </cell>
          <cell r="CU647">
            <v>0</v>
          </cell>
          <cell r="CV647">
            <v>0</v>
          </cell>
          <cell r="CW647">
            <v>0</v>
          </cell>
          <cell r="CY647">
            <v>0</v>
          </cell>
          <cell r="CZ647">
            <v>0</v>
          </cell>
          <cell r="DA647">
            <v>0</v>
          </cell>
          <cell r="DB647">
            <v>0</v>
          </cell>
          <cell r="DC647">
            <v>0</v>
          </cell>
          <cell r="DD647">
            <v>0</v>
          </cell>
          <cell r="DE647">
            <v>0</v>
          </cell>
          <cell r="DF647">
            <v>0</v>
          </cell>
          <cell r="DG647">
            <v>0</v>
          </cell>
          <cell r="DI647">
            <v>0</v>
          </cell>
          <cell r="DJ647">
            <v>0</v>
          </cell>
          <cell r="DK647">
            <v>0</v>
          </cell>
          <cell r="DL647">
            <v>0</v>
          </cell>
          <cell r="DM647">
            <v>0</v>
          </cell>
          <cell r="DN647">
            <v>0</v>
          </cell>
          <cell r="DO647">
            <v>0</v>
          </cell>
          <cell r="DP647">
            <v>0</v>
          </cell>
          <cell r="DQ647">
            <v>0</v>
          </cell>
          <cell r="DR647">
            <v>0</v>
          </cell>
          <cell r="DS647">
            <v>0</v>
          </cell>
          <cell r="DT647">
            <v>0</v>
          </cell>
          <cell r="DU647">
            <v>0</v>
          </cell>
          <cell r="DW647">
            <v>0</v>
          </cell>
          <cell r="DX647">
            <v>0</v>
          </cell>
          <cell r="DY647">
            <v>0</v>
          </cell>
          <cell r="DZ647">
            <v>0</v>
          </cell>
          <cell r="EA647">
            <v>0</v>
          </cell>
          <cell r="EB647">
            <v>0</v>
          </cell>
          <cell r="EC647">
            <v>0</v>
          </cell>
          <cell r="ED647">
            <v>0</v>
          </cell>
          <cell r="EE647">
            <v>0</v>
          </cell>
          <cell r="EF647">
            <v>0</v>
          </cell>
          <cell r="EG647">
            <v>0</v>
          </cell>
          <cell r="EH647">
            <v>0</v>
          </cell>
          <cell r="EI647">
            <v>0</v>
          </cell>
          <cell r="EK647">
            <v>0</v>
          </cell>
          <cell r="EL647">
            <v>0</v>
          </cell>
          <cell r="EM647">
            <v>0</v>
          </cell>
          <cell r="EN647">
            <v>0</v>
          </cell>
          <cell r="EO647">
            <v>0</v>
          </cell>
          <cell r="EP647">
            <v>0</v>
          </cell>
          <cell r="EQ647">
            <v>0</v>
          </cell>
          <cell r="ER647">
            <v>0</v>
          </cell>
          <cell r="ES647">
            <v>0</v>
          </cell>
          <cell r="ET647">
            <v>0</v>
          </cell>
          <cell r="EU647">
            <v>0</v>
          </cell>
          <cell r="EV647">
            <v>0</v>
          </cell>
          <cell r="EW647">
            <v>0</v>
          </cell>
          <cell r="EY647">
            <v>0</v>
          </cell>
          <cell r="EZ647">
            <v>8</v>
          </cell>
          <cell r="FA647">
            <v>0</v>
          </cell>
          <cell r="FB647">
            <v>0</v>
          </cell>
          <cell r="FC647">
            <v>8.6</v>
          </cell>
          <cell r="FD647">
            <v>0</v>
          </cell>
          <cell r="FE647">
            <v>0</v>
          </cell>
          <cell r="FF647">
            <v>0</v>
          </cell>
          <cell r="FH647">
            <v>0</v>
          </cell>
        </row>
        <row r="648">
          <cell r="B648">
            <v>9773</v>
          </cell>
          <cell r="C648" t="str">
            <v>21.08.2010</v>
          </cell>
          <cell r="D648" t="str">
            <v>Galande Nitin Ramesh</v>
          </cell>
          <cell r="F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  <cell r="BA648">
            <v>0</v>
          </cell>
          <cell r="BB648">
            <v>0</v>
          </cell>
          <cell r="BC648">
            <v>0</v>
          </cell>
          <cell r="BD648">
            <v>0</v>
          </cell>
          <cell r="BE648">
            <v>0</v>
          </cell>
          <cell r="BF648">
            <v>0</v>
          </cell>
          <cell r="BG648">
            <v>0</v>
          </cell>
          <cell r="BH648">
            <v>0</v>
          </cell>
          <cell r="BI648">
            <v>0</v>
          </cell>
          <cell r="BK648">
            <v>0</v>
          </cell>
          <cell r="BL648">
            <v>0</v>
          </cell>
          <cell r="BM648">
            <v>0</v>
          </cell>
          <cell r="BN648">
            <v>0</v>
          </cell>
          <cell r="BO648">
            <v>0</v>
          </cell>
          <cell r="BP648">
            <v>0</v>
          </cell>
          <cell r="BQ648">
            <v>0</v>
          </cell>
          <cell r="BR648">
            <v>0</v>
          </cell>
          <cell r="BS648">
            <v>0</v>
          </cell>
          <cell r="BU648">
            <v>0</v>
          </cell>
          <cell r="BV648">
            <v>0</v>
          </cell>
          <cell r="BW648">
            <v>0</v>
          </cell>
          <cell r="BX648">
            <v>0</v>
          </cell>
          <cell r="BY648">
            <v>0</v>
          </cell>
          <cell r="BZ648">
            <v>0</v>
          </cell>
          <cell r="CA648">
            <v>0</v>
          </cell>
          <cell r="CB648">
            <v>0</v>
          </cell>
          <cell r="CC648">
            <v>0</v>
          </cell>
          <cell r="CE648">
            <v>0</v>
          </cell>
          <cell r="CF648">
            <v>0</v>
          </cell>
          <cell r="CG648">
            <v>0</v>
          </cell>
          <cell r="CH648">
            <v>0</v>
          </cell>
          <cell r="CI648">
            <v>0</v>
          </cell>
          <cell r="CJ648">
            <v>0</v>
          </cell>
          <cell r="CK648">
            <v>0</v>
          </cell>
          <cell r="CL648">
            <v>0</v>
          </cell>
          <cell r="CM648">
            <v>0</v>
          </cell>
          <cell r="CO648">
            <v>0</v>
          </cell>
          <cell r="CP648">
            <v>0</v>
          </cell>
          <cell r="CQ648">
            <v>0</v>
          </cell>
          <cell r="CR648">
            <v>0</v>
          </cell>
          <cell r="CS648">
            <v>0</v>
          </cell>
          <cell r="CT648">
            <v>0</v>
          </cell>
          <cell r="CU648">
            <v>0</v>
          </cell>
          <cell r="CV648">
            <v>0</v>
          </cell>
          <cell r="CW648">
            <v>0</v>
          </cell>
          <cell r="CY648">
            <v>0</v>
          </cell>
          <cell r="CZ648">
            <v>0</v>
          </cell>
          <cell r="DA648">
            <v>0</v>
          </cell>
          <cell r="DB648">
            <v>0</v>
          </cell>
          <cell r="DC648">
            <v>0</v>
          </cell>
          <cell r="DD648">
            <v>0</v>
          </cell>
          <cell r="DE648">
            <v>0</v>
          </cell>
          <cell r="DF648">
            <v>0</v>
          </cell>
          <cell r="DG648">
            <v>0</v>
          </cell>
          <cell r="DI648">
            <v>0</v>
          </cell>
          <cell r="DJ648">
            <v>0</v>
          </cell>
          <cell r="DK648">
            <v>0</v>
          </cell>
          <cell r="DL648">
            <v>0</v>
          </cell>
          <cell r="DM648">
            <v>0</v>
          </cell>
          <cell r="DN648">
            <v>0</v>
          </cell>
          <cell r="DO648">
            <v>0</v>
          </cell>
          <cell r="DP648">
            <v>0</v>
          </cell>
          <cell r="DQ648">
            <v>0</v>
          </cell>
          <cell r="DR648">
            <v>0</v>
          </cell>
          <cell r="DS648">
            <v>0</v>
          </cell>
          <cell r="DT648">
            <v>0</v>
          </cell>
          <cell r="DU648">
            <v>0</v>
          </cell>
          <cell r="DW648">
            <v>0</v>
          </cell>
          <cell r="DX648">
            <v>0</v>
          </cell>
          <cell r="DY648">
            <v>0</v>
          </cell>
          <cell r="DZ648">
            <v>0</v>
          </cell>
          <cell r="EA648">
            <v>0</v>
          </cell>
          <cell r="EB648">
            <v>0</v>
          </cell>
          <cell r="EC648">
            <v>0</v>
          </cell>
          <cell r="ED648">
            <v>0</v>
          </cell>
          <cell r="EE648">
            <v>0</v>
          </cell>
          <cell r="EF648">
            <v>0</v>
          </cell>
          <cell r="EG648">
            <v>0</v>
          </cell>
          <cell r="EH648">
            <v>0</v>
          </cell>
          <cell r="EI648">
            <v>0</v>
          </cell>
          <cell r="EK648">
            <v>0</v>
          </cell>
          <cell r="EL648">
            <v>0</v>
          </cell>
          <cell r="EM648">
            <v>0</v>
          </cell>
          <cell r="EN648">
            <v>0</v>
          </cell>
          <cell r="EO648">
            <v>0</v>
          </cell>
          <cell r="EP648">
            <v>0</v>
          </cell>
          <cell r="EQ648">
            <v>0</v>
          </cell>
          <cell r="ER648">
            <v>0</v>
          </cell>
          <cell r="ES648">
            <v>0</v>
          </cell>
          <cell r="ET648">
            <v>0</v>
          </cell>
          <cell r="EU648">
            <v>0</v>
          </cell>
          <cell r="EV648">
            <v>0</v>
          </cell>
          <cell r="EW648">
            <v>0</v>
          </cell>
          <cell r="EY648">
            <v>0</v>
          </cell>
          <cell r="EZ648">
            <v>8</v>
          </cell>
          <cell r="FA648">
            <v>0</v>
          </cell>
          <cell r="FB648">
            <v>0</v>
          </cell>
          <cell r="FC648">
            <v>8.6</v>
          </cell>
          <cell r="FD648">
            <v>0</v>
          </cell>
          <cell r="FE648">
            <v>0</v>
          </cell>
          <cell r="FF648">
            <v>0</v>
          </cell>
          <cell r="FH648">
            <v>0</v>
          </cell>
        </row>
        <row r="649">
          <cell r="B649">
            <v>9775</v>
          </cell>
          <cell r="C649" t="str">
            <v>21.08.2010</v>
          </cell>
          <cell r="D649" t="str">
            <v>Baitade Shobha Hari</v>
          </cell>
          <cell r="F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0</v>
          </cell>
          <cell r="AX649">
            <v>0</v>
          </cell>
          <cell r="AY649">
            <v>0</v>
          </cell>
          <cell r="BA649">
            <v>0</v>
          </cell>
          <cell r="BB649">
            <v>0</v>
          </cell>
          <cell r="BC649">
            <v>0</v>
          </cell>
          <cell r="BD649">
            <v>0</v>
          </cell>
          <cell r="BE649">
            <v>0</v>
          </cell>
          <cell r="BF649">
            <v>0</v>
          </cell>
          <cell r="BG649">
            <v>0</v>
          </cell>
          <cell r="BH649">
            <v>0</v>
          </cell>
          <cell r="BI649">
            <v>0</v>
          </cell>
          <cell r="BK649">
            <v>0</v>
          </cell>
          <cell r="BL649">
            <v>0</v>
          </cell>
          <cell r="BM649">
            <v>0</v>
          </cell>
          <cell r="BN649">
            <v>0</v>
          </cell>
          <cell r="BO649">
            <v>0</v>
          </cell>
          <cell r="BP649">
            <v>0</v>
          </cell>
          <cell r="BQ649">
            <v>0</v>
          </cell>
          <cell r="BR649">
            <v>0</v>
          </cell>
          <cell r="BS649">
            <v>0</v>
          </cell>
          <cell r="BU649">
            <v>0</v>
          </cell>
          <cell r="BV649">
            <v>0</v>
          </cell>
          <cell r="BW649">
            <v>0</v>
          </cell>
          <cell r="BX649">
            <v>0</v>
          </cell>
          <cell r="BY649">
            <v>0</v>
          </cell>
          <cell r="BZ649">
            <v>0</v>
          </cell>
          <cell r="CA649">
            <v>0</v>
          </cell>
          <cell r="CB649">
            <v>0</v>
          </cell>
          <cell r="CC649">
            <v>0</v>
          </cell>
          <cell r="CE649">
            <v>0</v>
          </cell>
          <cell r="CF649">
            <v>0</v>
          </cell>
          <cell r="CG649">
            <v>0</v>
          </cell>
          <cell r="CH649">
            <v>0</v>
          </cell>
          <cell r="CI649">
            <v>0</v>
          </cell>
          <cell r="CJ649">
            <v>0</v>
          </cell>
          <cell r="CK649">
            <v>0</v>
          </cell>
          <cell r="CL649">
            <v>0</v>
          </cell>
          <cell r="CM649">
            <v>0</v>
          </cell>
          <cell r="CO649">
            <v>0</v>
          </cell>
          <cell r="CP649">
            <v>0</v>
          </cell>
          <cell r="CQ649">
            <v>0</v>
          </cell>
          <cell r="CR649">
            <v>0</v>
          </cell>
          <cell r="CS649">
            <v>0</v>
          </cell>
          <cell r="CT649">
            <v>0</v>
          </cell>
          <cell r="CU649">
            <v>0</v>
          </cell>
          <cell r="CV649">
            <v>0</v>
          </cell>
          <cell r="CW649">
            <v>0</v>
          </cell>
          <cell r="CY649">
            <v>0</v>
          </cell>
          <cell r="CZ649">
            <v>0</v>
          </cell>
          <cell r="DA649">
            <v>0</v>
          </cell>
          <cell r="DB649">
            <v>0</v>
          </cell>
          <cell r="DC649">
            <v>0</v>
          </cell>
          <cell r="DD649">
            <v>0</v>
          </cell>
          <cell r="DE649">
            <v>0</v>
          </cell>
          <cell r="DF649">
            <v>0</v>
          </cell>
          <cell r="DG649">
            <v>0</v>
          </cell>
          <cell r="DI649">
            <v>0</v>
          </cell>
          <cell r="DJ649">
            <v>0</v>
          </cell>
          <cell r="DK649">
            <v>0</v>
          </cell>
          <cell r="DL649">
            <v>0</v>
          </cell>
          <cell r="DM649">
            <v>0</v>
          </cell>
          <cell r="DN649">
            <v>0</v>
          </cell>
          <cell r="DO649">
            <v>0</v>
          </cell>
          <cell r="DP649">
            <v>0</v>
          </cell>
          <cell r="DQ649">
            <v>0</v>
          </cell>
          <cell r="DR649">
            <v>0</v>
          </cell>
          <cell r="DS649">
            <v>0</v>
          </cell>
          <cell r="DT649">
            <v>0</v>
          </cell>
          <cell r="DU649">
            <v>0</v>
          </cell>
          <cell r="DW649">
            <v>0</v>
          </cell>
          <cell r="DX649">
            <v>0</v>
          </cell>
          <cell r="DY649">
            <v>0</v>
          </cell>
          <cell r="DZ649">
            <v>0</v>
          </cell>
          <cell r="EA649">
            <v>0</v>
          </cell>
          <cell r="EB649">
            <v>0</v>
          </cell>
          <cell r="EC649">
            <v>0</v>
          </cell>
          <cell r="ED649">
            <v>0</v>
          </cell>
          <cell r="EE649">
            <v>0</v>
          </cell>
          <cell r="EF649">
            <v>0</v>
          </cell>
          <cell r="EG649">
            <v>0</v>
          </cell>
          <cell r="EH649">
            <v>0</v>
          </cell>
          <cell r="EI649">
            <v>0</v>
          </cell>
          <cell r="EK649">
            <v>0</v>
          </cell>
          <cell r="EL649">
            <v>0</v>
          </cell>
          <cell r="EM649">
            <v>0</v>
          </cell>
          <cell r="EN649">
            <v>0</v>
          </cell>
          <cell r="EO649">
            <v>0</v>
          </cell>
          <cell r="EP649">
            <v>0</v>
          </cell>
          <cell r="EQ649">
            <v>0</v>
          </cell>
          <cell r="ER649">
            <v>0</v>
          </cell>
          <cell r="ES649">
            <v>0</v>
          </cell>
          <cell r="ET649">
            <v>0</v>
          </cell>
          <cell r="EU649">
            <v>0</v>
          </cell>
          <cell r="EV649">
            <v>0</v>
          </cell>
          <cell r="EW649">
            <v>0</v>
          </cell>
          <cell r="EY649">
            <v>0</v>
          </cell>
          <cell r="EZ649">
            <v>8</v>
          </cell>
          <cell r="FA649">
            <v>0</v>
          </cell>
          <cell r="FB649">
            <v>0</v>
          </cell>
          <cell r="FC649">
            <v>8.6</v>
          </cell>
          <cell r="FD649">
            <v>0</v>
          </cell>
          <cell r="FE649">
            <v>0</v>
          </cell>
          <cell r="FF649">
            <v>0</v>
          </cell>
          <cell r="FH649">
            <v>0</v>
          </cell>
        </row>
        <row r="650">
          <cell r="B650">
            <v>9778</v>
          </cell>
          <cell r="C650" t="str">
            <v>21.08.2010</v>
          </cell>
          <cell r="D650" t="str">
            <v>Vidhate Kiran Ashok</v>
          </cell>
          <cell r="F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0</v>
          </cell>
          <cell r="BA650">
            <v>0</v>
          </cell>
          <cell r="BB650">
            <v>0</v>
          </cell>
          <cell r="BC650">
            <v>0</v>
          </cell>
          <cell r="BD650">
            <v>0</v>
          </cell>
          <cell r="BE650">
            <v>0</v>
          </cell>
          <cell r="BF650">
            <v>0</v>
          </cell>
          <cell r="BG650">
            <v>0</v>
          </cell>
          <cell r="BH650">
            <v>0</v>
          </cell>
          <cell r="BI650">
            <v>0</v>
          </cell>
          <cell r="BK650">
            <v>0</v>
          </cell>
          <cell r="BL650">
            <v>0</v>
          </cell>
          <cell r="BM650">
            <v>0</v>
          </cell>
          <cell r="BN650">
            <v>0</v>
          </cell>
          <cell r="BO650">
            <v>0</v>
          </cell>
          <cell r="BP650">
            <v>0</v>
          </cell>
          <cell r="BQ650">
            <v>0</v>
          </cell>
          <cell r="BR650">
            <v>0</v>
          </cell>
          <cell r="BS650">
            <v>0</v>
          </cell>
          <cell r="BU650">
            <v>0</v>
          </cell>
          <cell r="BV650">
            <v>0</v>
          </cell>
          <cell r="BW650">
            <v>0</v>
          </cell>
          <cell r="BX650">
            <v>0</v>
          </cell>
          <cell r="BY650">
            <v>0</v>
          </cell>
          <cell r="BZ650">
            <v>0</v>
          </cell>
          <cell r="CA650">
            <v>0</v>
          </cell>
          <cell r="CB650">
            <v>0</v>
          </cell>
          <cell r="CC650">
            <v>0</v>
          </cell>
          <cell r="CE650">
            <v>0</v>
          </cell>
          <cell r="CF650">
            <v>0</v>
          </cell>
          <cell r="CG650">
            <v>0</v>
          </cell>
          <cell r="CH650">
            <v>0</v>
          </cell>
          <cell r="CI650">
            <v>0</v>
          </cell>
          <cell r="CJ650">
            <v>0</v>
          </cell>
          <cell r="CK650">
            <v>0</v>
          </cell>
          <cell r="CL650">
            <v>0</v>
          </cell>
          <cell r="CM650">
            <v>0</v>
          </cell>
          <cell r="CO650">
            <v>0</v>
          </cell>
          <cell r="CP650">
            <v>0</v>
          </cell>
          <cell r="CQ650">
            <v>0</v>
          </cell>
          <cell r="CR650">
            <v>0</v>
          </cell>
          <cell r="CS650">
            <v>0</v>
          </cell>
          <cell r="CT650">
            <v>0</v>
          </cell>
          <cell r="CU650">
            <v>0</v>
          </cell>
          <cell r="CV650">
            <v>0</v>
          </cell>
          <cell r="CW650">
            <v>0</v>
          </cell>
          <cell r="CY650">
            <v>0</v>
          </cell>
          <cell r="CZ650">
            <v>0</v>
          </cell>
          <cell r="DA650">
            <v>0</v>
          </cell>
          <cell r="DB650">
            <v>0</v>
          </cell>
          <cell r="DC650">
            <v>0</v>
          </cell>
          <cell r="DD650">
            <v>0</v>
          </cell>
          <cell r="DE650">
            <v>0</v>
          </cell>
          <cell r="DF650">
            <v>0</v>
          </cell>
          <cell r="DG650">
            <v>0</v>
          </cell>
          <cell r="DI650">
            <v>0</v>
          </cell>
          <cell r="DJ650">
            <v>0</v>
          </cell>
          <cell r="DK650">
            <v>0</v>
          </cell>
          <cell r="DL650">
            <v>0</v>
          </cell>
          <cell r="DM650">
            <v>0</v>
          </cell>
          <cell r="DN650">
            <v>0</v>
          </cell>
          <cell r="DO650">
            <v>0</v>
          </cell>
          <cell r="DP650">
            <v>0</v>
          </cell>
          <cell r="DQ650">
            <v>0</v>
          </cell>
          <cell r="DR650">
            <v>0</v>
          </cell>
          <cell r="DS650">
            <v>0</v>
          </cell>
          <cell r="DT650">
            <v>0</v>
          </cell>
          <cell r="DU650">
            <v>0</v>
          </cell>
          <cell r="DW650">
            <v>0</v>
          </cell>
          <cell r="DX650">
            <v>0</v>
          </cell>
          <cell r="DY650">
            <v>0</v>
          </cell>
          <cell r="DZ650">
            <v>0</v>
          </cell>
          <cell r="EA650">
            <v>0</v>
          </cell>
          <cell r="EB650">
            <v>0</v>
          </cell>
          <cell r="EC650">
            <v>0</v>
          </cell>
          <cell r="ED650">
            <v>0</v>
          </cell>
          <cell r="EE650">
            <v>0</v>
          </cell>
          <cell r="EF650">
            <v>0</v>
          </cell>
          <cell r="EG650">
            <v>0</v>
          </cell>
          <cell r="EH650">
            <v>0</v>
          </cell>
          <cell r="EI650">
            <v>0</v>
          </cell>
          <cell r="EK650">
            <v>0</v>
          </cell>
          <cell r="EL650">
            <v>0</v>
          </cell>
          <cell r="EM650">
            <v>0</v>
          </cell>
          <cell r="EN650">
            <v>0</v>
          </cell>
          <cell r="EO650">
            <v>0</v>
          </cell>
          <cell r="EP650">
            <v>0</v>
          </cell>
          <cell r="EQ650">
            <v>0</v>
          </cell>
          <cell r="ER650">
            <v>0</v>
          </cell>
          <cell r="ES650">
            <v>0</v>
          </cell>
          <cell r="ET650">
            <v>0</v>
          </cell>
          <cell r="EU650">
            <v>0</v>
          </cell>
          <cell r="EV650">
            <v>0</v>
          </cell>
          <cell r="EW650">
            <v>0</v>
          </cell>
          <cell r="EY650">
            <v>0</v>
          </cell>
          <cell r="EZ650">
            <v>8</v>
          </cell>
          <cell r="FA650">
            <v>0</v>
          </cell>
          <cell r="FB650">
            <v>0</v>
          </cell>
          <cell r="FC650">
            <v>8.6</v>
          </cell>
          <cell r="FD650">
            <v>0</v>
          </cell>
          <cell r="FE650">
            <v>0</v>
          </cell>
          <cell r="FF650">
            <v>0</v>
          </cell>
          <cell r="FH650">
            <v>0</v>
          </cell>
        </row>
        <row r="651">
          <cell r="B651">
            <v>9779</v>
          </cell>
          <cell r="C651" t="str">
            <v>21.08.2010</v>
          </cell>
          <cell r="D651" t="str">
            <v>Walunj Yogesh Shrihari</v>
          </cell>
          <cell r="F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0</v>
          </cell>
          <cell r="AX651">
            <v>0</v>
          </cell>
          <cell r="AY651">
            <v>0</v>
          </cell>
          <cell r="BA651">
            <v>0</v>
          </cell>
          <cell r="BB651">
            <v>0</v>
          </cell>
          <cell r="BC651">
            <v>0</v>
          </cell>
          <cell r="BD651">
            <v>0</v>
          </cell>
          <cell r="BE651">
            <v>0</v>
          </cell>
          <cell r="BF651">
            <v>0</v>
          </cell>
          <cell r="BG651">
            <v>0</v>
          </cell>
          <cell r="BH651">
            <v>0</v>
          </cell>
          <cell r="BI651">
            <v>0</v>
          </cell>
          <cell r="BK651">
            <v>0</v>
          </cell>
          <cell r="BL651">
            <v>0</v>
          </cell>
          <cell r="BM651">
            <v>0</v>
          </cell>
          <cell r="BN651">
            <v>0</v>
          </cell>
          <cell r="BO651">
            <v>0</v>
          </cell>
          <cell r="BP651">
            <v>0</v>
          </cell>
          <cell r="BQ651">
            <v>0</v>
          </cell>
          <cell r="BR651">
            <v>0</v>
          </cell>
          <cell r="BS651">
            <v>0</v>
          </cell>
          <cell r="BU651">
            <v>0</v>
          </cell>
          <cell r="BV651">
            <v>0</v>
          </cell>
          <cell r="BW651">
            <v>0</v>
          </cell>
          <cell r="BX651">
            <v>0</v>
          </cell>
          <cell r="BY651">
            <v>0</v>
          </cell>
          <cell r="BZ651">
            <v>0</v>
          </cell>
          <cell r="CA651">
            <v>0</v>
          </cell>
          <cell r="CB651">
            <v>0</v>
          </cell>
          <cell r="CC651">
            <v>0</v>
          </cell>
          <cell r="CE651">
            <v>0</v>
          </cell>
          <cell r="CF651">
            <v>0</v>
          </cell>
          <cell r="CG651">
            <v>0</v>
          </cell>
          <cell r="CH651">
            <v>0</v>
          </cell>
          <cell r="CI651">
            <v>0</v>
          </cell>
          <cell r="CJ651">
            <v>0</v>
          </cell>
          <cell r="CK651">
            <v>0</v>
          </cell>
          <cell r="CL651">
            <v>0</v>
          </cell>
          <cell r="CM651">
            <v>0</v>
          </cell>
          <cell r="CO651">
            <v>0</v>
          </cell>
          <cell r="CP651">
            <v>0</v>
          </cell>
          <cell r="CQ651">
            <v>0</v>
          </cell>
          <cell r="CR651">
            <v>0</v>
          </cell>
          <cell r="CS651">
            <v>0</v>
          </cell>
          <cell r="CT651">
            <v>0</v>
          </cell>
          <cell r="CU651">
            <v>0</v>
          </cell>
          <cell r="CV651">
            <v>0</v>
          </cell>
          <cell r="CW651">
            <v>0</v>
          </cell>
          <cell r="CY651">
            <v>0</v>
          </cell>
          <cell r="CZ651">
            <v>0</v>
          </cell>
          <cell r="DA651">
            <v>0</v>
          </cell>
          <cell r="DB651">
            <v>0</v>
          </cell>
          <cell r="DC651">
            <v>0</v>
          </cell>
          <cell r="DD651">
            <v>0</v>
          </cell>
          <cell r="DE651">
            <v>0</v>
          </cell>
          <cell r="DF651">
            <v>0</v>
          </cell>
          <cell r="DG651">
            <v>0</v>
          </cell>
          <cell r="DI651">
            <v>0</v>
          </cell>
          <cell r="DJ651">
            <v>0</v>
          </cell>
          <cell r="DK651">
            <v>0</v>
          </cell>
          <cell r="DL651">
            <v>0</v>
          </cell>
          <cell r="DM651">
            <v>0</v>
          </cell>
          <cell r="DN651">
            <v>0</v>
          </cell>
          <cell r="DO651">
            <v>0</v>
          </cell>
          <cell r="DP651">
            <v>0</v>
          </cell>
          <cell r="DQ651">
            <v>0</v>
          </cell>
          <cell r="DR651">
            <v>0</v>
          </cell>
          <cell r="DS651">
            <v>0</v>
          </cell>
          <cell r="DT651">
            <v>0</v>
          </cell>
          <cell r="DU651">
            <v>0</v>
          </cell>
          <cell r="DW651">
            <v>0</v>
          </cell>
          <cell r="DX651">
            <v>0</v>
          </cell>
          <cell r="DY651">
            <v>0</v>
          </cell>
          <cell r="DZ651">
            <v>0</v>
          </cell>
          <cell r="EA651">
            <v>0</v>
          </cell>
          <cell r="EB651">
            <v>0</v>
          </cell>
          <cell r="EC651">
            <v>0</v>
          </cell>
          <cell r="ED651">
            <v>0</v>
          </cell>
          <cell r="EE651">
            <v>0</v>
          </cell>
          <cell r="EF651">
            <v>0</v>
          </cell>
          <cell r="EG651">
            <v>0</v>
          </cell>
          <cell r="EH651">
            <v>0</v>
          </cell>
          <cell r="EI651">
            <v>0</v>
          </cell>
          <cell r="EK651">
            <v>0</v>
          </cell>
          <cell r="EL651">
            <v>0</v>
          </cell>
          <cell r="EM651">
            <v>0</v>
          </cell>
          <cell r="EN651">
            <v>0</v>
          </cell>
          <cell r="EO651">
            <v>0</v>
          </cell>
          <cell r="EP651">
            <v>0</v>
          </cell>
          <cell r="EQ651">
            <v>0</v>
          </cell>
          <cell r="ER651">
            <v>0</v>
          </cell>
          <cell r="ES651">
            <v>0</v>
          </cell>
          <cell r="ET651">
            <v>0</v>
          </cell>
          <cell r="EU651">
            <v>0</v>
          </cell>
          <cell r="EV651">
            <v>0</v>
          </cell>
          <cell r="EW651">
            <v>0</v>
          </cell>
          <cell r="EY651">
            <v>0</v>
          </cell>
          <cell r="EZ651">
            <v>8</v>
          </cell>
          <cell r="FA651">
            <v>0</v>
          </cell>
          <cell r="FB651">
            <v>0</v>
          </cell>
          <cell r="FC651">
            <v>8.6</v>
          </cell>
          <cell r="FD651">
            <v>0</v>
          </cell>
          <cell r="FE651">
            <v>0</v>
          </cell>
          <cell r="FF651">
            <v>0</v>
          </cell>
          <cell r="FH651">
            <v>0</v>
          </cell>
        </row>
        <row r="652">
          <cell r="B652">
            <v>9797</v>
          </cell>
          <cell r="C652" t="str">
            <v>21.08.2010</v>
          </cell>
          <cell r="D652" t="str">
            <v>Indarkhe Shakuntala Rajendra</v>
          </cell>
          <cell r="F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0</v>
          </cell>
          <cell r="AL652">
            <v>0</v>
          </cell>
          <cell r="AM652">
            <v>0</v>
          </cell>
          <cell r="AN652">
            <v>0</v>
          </cell>
          <cell r="AO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0</v>
          </cell>
          <cell r="AX652">
            <v>0</v>
          </cell>
          <cell r="AY652">
            <v>0</v>
          </cell>
          <cell r="BA652">
            <v>0</v>
          </cell>
          <cell r="BB652">
            <v>0</v>
          </cell>
          <cell r="BC652">
            <v>0</v>
          </cell>
          <cell r="BD652">
            <v>0</v>
          </cell>
          <cell r="BE652">
            <v>0</v>
          </cell>
          <cell r="BF652">
            <v>0</v>
          </cell>
          <cell r="BG652">
            <v>0</v>
          </cell>
          <cell r="BH652">
            <v>0</v>
          </cell>
          <cell r="BI652">
            <v>0</v>
          </cell>
          <cell r="BK652">
            <v>0</v>
          </cell>
          <cell r="BL652">
            <v>0</v>
          </cell>
          <cell r="BM652">
            <v>0</v>
          </cell>
          <cell r="BN652">
            <v>0</v>
          </cell>
          <cell r="BO652">
            <v>0</v>
          </cell>
          <cell r="BP652">
            <v>0</v>
          </cell>
          <cell r="BQ652">
            <v>0</v>
          </cell>
          <cell r="BR652">
            <v>0</v>
          </cell>
          <cell r="BS652">
            <v>0</v>
          </cell>
          <cell r="BU652">
            <v>0</v>
          </cell>
          <cell r="BV652">
            <v>0</v>
          </cell>
          <cell r="BW652">
            <v>0</v>
          </cell>
          <cell r="BX652">
            <v>0</v>
          </cell>
          <cell r="BY652">
            <v>0</v>
          </cell>
          <cell r="BZ652">
            <v>0</v>
          </cell>
          <cell r="CA652">
            <v>0</v>
          </cell>
          <cell r="CB652">
            <v>0</v>
          </cell>
          <cell r="CC652">
            <v>0</v>
          </cell>
          <cell r="CE652">
            <v>0</v>
          </cell>
          <cell r="CF652">
            <v>0</v>
          </cell>
          <cell r="CG652">
            <v>0</v>
          </cell>
          <cell r="CH652">
            <v>0</v>
          </cell>
          <cell r="CI652">
            <v>0</v>
          </cell>
          <cell r="CJ652">
            <v>0</v>
          </cell>
          <cell r="CK652">
            <v>0</v>
          </cell>
          <cell r="CL652">
            <v>0</v>
          </cell>
          <cell r="CM652">
            <v>0</v>
          </cell>
          <cell r="CO652">
            <v>0</v>
          </cell>
          <cell r="CP652">
            <v>0</v>
          </cell>
          <cell r="CQ652">
            <v>0</v>
          </cell>
          <cell r="CR652">
            <v>0</v>
          </cell>
          <cell r="CS652">
            <v>0</v>
          </cell>
          <cell r="CT652">
            <v>0</v>
          </cell>
          <cell r="CU652">
            <v>0</v>
          </cell>
          <cell r="CV652">
            <v>0</v>
          </cell>
          <cell r="CW652">
            <v>0</v>
          </cell>
          <cell r="CY652">
            <v>0</v>
          </cell>
          <cell r="CZ652">
            <v>0</v>
          </cell>
          <cell r="DA652">
            <v>0</v>
          </cell>
          <cell r="DB652">
            <v>0</v>
          </cell>
          <cell r="DC652">
            <v>0</v>
          </cell>
          <cell r="DD652">
            <v>0</v>
          </cell>
          <cell r="DE652">
            <v>0</v>
          </cell>
          <cell r="DF652">
            <v>0</v>
          </cell>
          <cell r="DG652">
            <v>0</v>
          </cell>
          <cell r="DI652">
            <v>0</v>
          </cell>
          <cell r="DJ652">
            <v>0</v>
          </cell>
          <cell r="DK652">
            <v>0</v>
          </cell>
          <cell r="DL652">
            <v>0</v>
          </cell>
          <cell r="DM652">
            <v>0</v>
          </cell>
          <cell r="DN652">
            <v>0</v>
          </cell>
          <cell r="DO652">
            <v>0</v>
          </cell>
          <cell r="DP652">
            <v>0</v>
          </cell>
          <cell r="DQ652">
            <v>0</v>
          </cell>
          <cell r="DR652">
            <v>0</v>
          </cell>
          <cell r="DS652">
            <v>0</v>
          </cell>
          <cell r="DT652">
            <v>0</v>
          </cell>
          <cell r="DU652">
            <v>0</v>
          </cell>
          <cell r="DW652">
            <v>0</v>
          </cell>
          <cell r="DX652">
            <v>0</v>
          </cell>
          <cell r="DY652">
            <v>0</v>
          </cell>
          <cell r="DZ652">
            <v>0</v>
          </cell>
          <cell r="EA652">
            <v>0</v>
          </cell>
          <cell r="EB652">
            <v>0</v>
          </cell>
          <cell r="EC652">
            <v>0</v>
          </cell>
          <cell r="ED652">
            <v>0</v>
          </cell>
          <cell r="EE652">
            <v>0</v>
          </cell>
          <cell r="EF652">
            <v>0</v>
          </cell>
          <cell r="EG652">
            <v>0</v>
          </cell>
          <cell r="EH652">
            <v>0</v>
          </cell>
          <cell r="EI652">
            <v>0</v>
          </cell>
          <cell r="EK652">
            <v>0</v>
          </cell>
          <cell r="EL652">
            <v>0</v>
          </cell>
          <cell r="EM652">
            <v>0</v>
          </cell>
          <cell r="EN652">
            <v>0</v>
          </cell>
          <cell r="EO652">
            <v>0</v>
          </cell>
          <cell r="EP652">
            <v>0</v>
          </cell>
          <cell r="EQ652">
            <v>0</v>
          </cell>
          <cell r="ER652">
            <v>0</v>
          </cell>
          <cell r="ES652">
            <v>0</v>
          </cell>
          <cell r="ET652">
            <v>0</v>
          </cell>
          <cell r="EU652">
            <v>0</v>
          </cell>
          <cell r="EV652">
            <v>0</v>
          </cell>
          <cell r="EW652">
            <v>0</v>
          </cell>
          <cell r="EY652">
            <v>0</v>
          </cell>
          <cell r="EZ652">
            <v>8</v>
          </cell>
          <cell r="FA652">
            <v>0</v>
          </cell>
          <cell r="FB652">
            <v>0</v>
          </cell>
          <cell r="FC652">
            <v>8.6</v>
          </cell>
          <cell r="FD652">
            <v>0</v>
          </cell>
          <cell r="FE652">
            <v>0</v>
          </cell>
          <cell r="FF652">
            <v>0</v>
          </cell>
          <cell r="FH652">
            <v>0</v>
          </cell>
        </row>
        <row r="653">
          <cell r="B653">
            <v>9798</v>
          </cell>
          <cell r="C653" t="str">
            <v>21.08.2010</v>
          </cell>
          <cell r="D653" t="str">
            <v>Dhakane Jitendra Devidas</v>
          </cell>
          <cell r="F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BA653">
            <v>0</v>
          </cell>
          <cell r="BB653">
            <v>0</v>
          </cell>
          <cell r="BC653">
            <v>0</v>
          </cell>
          <cell r="BD653">
            <v>0</v>
          </cell>
          <cell r="BE653">
            <v>0</v>
          </cell>
          <cell r="BF653">
            <v>0</v>
          </cell>
          <cell r="BG653">
            <v>0</v>
          </cell>
          <cell r="BH653">
            <v>0</v>
          </cell>
          <cell r="BI653">
            <v>0</v>
          </cell>
          <cell r="BK653">
            <v>0</v>
          </cell>
          <cell r="BL653">
            <v>0</v>
          </cell>
          <cell r="BM653">
            <v>0</v>
          </cell>
          <cell r="BN653">
            <v>0</v>
          </cell>
          <cell r="BO653">
            <v>0</v>
          </cell>
          <cell r="BP653">
            <v>0</v>
          </cell>
          <cell r="BQ653">
            <v>0</v>
          </cell>
          <cell r="BR653">
            <v>0</v>
          </cell>
          <cell r="BS653">
            <v>0</v>
          </cell>
          <cell r="BU653">
            <v>0</v>
          </cell>
          <cell r="BV653">
            <v>0</v>
          </cell>
          <cell r="BW653">
            <v>0</v>
          </cell>
          <cell r="BX653">
            <v>0</v>
          </cell>
          <cell r="BY653">
            <v>0</v>
          </cell>
          <cell r="BZ653">
            <v>0</v>
          </cell>
          <cell r="CA653">
            <v>0</v>
          </cell>
          <cell r="CB653">
            <v>0</v>
          </cell>
          <cell r="CC653">
            <v>0</v>
          </cell>
          <cell r="CE653">
            <v>0</v>
          </cell>
          <cell r="CF653">
            <v>0</v>
          </cell>
          <cell r="CG653">
            <v>0</v>
          </cell>
          <cell r="CH653">
            <v>0</v>
          </cell>
          <cell r="CI653">
            <v>0</v>
          </cell>
          <cell r="CJ653">
            <v>0</v>
          </cell>
          <cell r="CK653">
            <v>0</v>
          </cell>
          <cell r="CL653">
            <v>0</v>
          </cell>
          <cell r="CM653">
            <v>0</v>
          </cell>
          <cell r="CO653">
            <v>0</v>
          </cell>
          <cell r="CP653">
            <v>0</v>
          </cell>
          <cell r="CQ653">
            <v>0</v>
          </cell>
          <cell r="CR653">
            <v>0</v>
          </cell>
          <cell r="CS653">
            <v>0</v>
          </cell>
          <cell r="CT653">
            <v>0</v>
          </cell>
          <cell r="CU653">
            <v>0</v>
          </cell>
          <cell r="CV653">
            <v>0</v>
          </cell>
          <cell r="CW653">
            <v>0</v>
          </cell>
          <cell r="CY653">
            <v>0</v>
          </cell>
          <cell r="CZ653">
            <v>0</v>
          </cell>
          <cell r="DA653">
            <v>0</v>
          </cell>
          <cell r="DB653">
            <v>0</v>
          </cell>
          <cell r="DC653">
            <v>0</v>
          </cell>
          <cell r="DD653">
            <v>0</v>
          </cell>
          <cell r="DE653">
            <v>0</v>
          </cell>
          <cell r="DF653">
            <v>0</v>
          </cell>
          <cell r="DG653">
            <v>0</v>
          </cell>
          <cell r="DI653">
            <v>0</v>
          </cell>
          <cell r="DJ653">
            <v>0</v>
          </cell>
          <cell r="DK653">
            <v>0</v>
          </cell>
          <cell r="DL653">
            <v>0</v>
          </cell>
          <cell r="DM653">
            <v>0</v>
          </cell>
          <cell r="DN653">
            <v>0</v>
          </cell>
          <cell r="DO653">
            <v>0</v>
          </cell>
          <cell r="DP653">
            <v>0</v>
          </cell>
          <cell r="DQ653">
            <v>0</v>
          </cell>
          <cell r="DR653">
            <v>0</v>
          </cell>
          <cell r="DS653">
            <v>0</v>
          </cell>
          <cell r="DT653">
            <v>0</v>
          </cell>
          <cell r="DU653">
            <v>0</v>
          </cell>
          <cell r="DW653">
            <v>0</v>
          </cell>
          <cell r="DX653">
            <v>0</v>
          </cell>
          <cell r="DY653">
            <v>0</v>
          </cell>
          <cell r="DZ653">
            <v>0</v>
          </cell>
          <cell r="EA653">
            <v>0</v>
          </cell>
          <cell r="EB653">
            <v>0</v>
          </cell>
          <cell r="EC653">
            <v>0</v>
          </cell>
          <cell r="ED653">
            <v>0</v>
          </cell>
          <cell r="EE653">
            <v>0</v>
          </cell>
          <cell r="EF653">
            <v>0</v>
          </cell>
          <cell r="EG653">
            <v>0</v>
          </cell>
          <cell r="EH653">
            <v>0</v>
          </cell>
          <cell r="EI653">
            <v>0</v>
          </cell>
          <cell r="EK653">
            <v>0</v>
          </cell>
          <cell r="EL653">
            <v>0</v>
          </cell>
          <cell r="EM653">
            <v>0</v>
          </cell>
          <cell r="EN653">
            <v>0</v>
          </cell>
          <cell r="EO653">
            <v>0</v>
          </cell>
          <cell r="EP653">
            <v>0</v>
          </cell>
          <cell r="EQ653">
            <v>0</v>
          </cell>
          <cell r="ER653">
            <v>0</v>
          </cell>
          <cell r="ES653">
            <v>0</v>
          </cell>
          <cell r="ET653">
            <v>0</v>
          </cell>
          <cell r="EU653">
            <v>0</v>
          </cell>
          <cell r="EV653">
            <v>0</v>
          </cell>
          <cell r="EW653">
            <v>0</v>
          </cell>
          <cell r="EY653">
            <v>0</v>
          </cell>
          <cell r="EZ653">
            <v>8</v>
          </cell>
          <cell r="FA653">
            <v>0</v>
          </cell>
          <cell r="FB653">
            <v>0</v>
          </cell>
          <cell r="FC653">
            <v>8.6</v>
          </cell>
          <cell r="FD653">
            <v>0</v>
          </cell>
          <cell r="FE653">
            <v>0</v>
          </cell>
          <cell r="FF653">
            <v>0</v>
          </cell>
          <cell r="FH653">
            <v>0</v>
          </cell>
        </row>
        <row r="654">
          <cell r="B654">
            <v>9799</v>
          </cell>
          <cell r="C654" t="str">
            <v>21.08.2010</v>
          </cell>
          <cell r="D654" t="str">
            <v>Khode Vijay Somnath</v>
          </cell>
          <cell r="F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0</v>
          </cell>
          <cell r="AK654">
            <v>0</v>
          </cell>
          <cell r="AL654">
            <v>0</v>
          </cell>
          <cell r="AM654">
            <v>0</v>
          </cell>
          <cell r="AN654">
            <v>0</v>
          </cell>
          <cell r="AO654">
            <v>0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BA654">
            <v>0</v>
          </cell>
          <cell r="BB654">
            <v>0</v>
          </cell>
          <cell r="BC654">
            <v>0</v>
          </cell>
          <cell r="BD654">
            <v>0</v>
          </cell>
          <cell r="BE654">
            <v>0</v>
          </cell>
          <cell r="BF654">
            <v>0</v>
          </cell>
          <cell r="BG654">
            <v>0</v>
          </cell>
          <cell r="BH654">
            <v>0</v>
          </cell>
          <cell r="BI654">
            <v>0</v>
          </cell>
          <cell r="BK654">
            <v>0</v>
          </cell>
          <cell r="BL654">
            <v>0</v>
          </cell>
          <cell r="BM654">
            <v>0</v>
          </cell>
          <cell r="BN654">
            <v>0</v>
          </cell>
          <cell r="BO654">
            <v>0</v>
          </cell>
          <cell r="BP654">
            <v>0</v>
          </cell>
          <cell r="BQ654">
            <v>0</v>
          </cell>
          <cell r="BR654">
            <v>0</v>
          </cell>
          <cell r="BS654">
            <v>0</v>
          </cell>
          <cell r="BU654">
            <v>0</v>
          </cell>
          <cell r="BV654">
            <v>0</v>
          </cell>
          <cell r="BW654">
            <v>0</v>
          </cell>
          <cell r="BX654">
            <v>0</v>
          </cell>
          <cell r="BY654">
            <v>0</v>
          </cell>
          <cell r="BZ654">
            <v>0</v>
          </cell>
          <cell r="CA654">
            <v>0</v>
          </cell>
          <cell r="CB654">
            <v>0</v>
          </cell>
          <cell r="CC654">
            <v>0</v>
          </cell>
          <cell r="CE654">
            <v>0</v>
          </cell>
          <cell r="CF654">
            <v>0</v>
          </cell>
          <cell r="CG654">
            <v>0</v>
          </cell>
          <cell r="CH654">
            <v>0</v>
          </cell>
          <cell r="CI654">
            <v>0</v>
          </cell>
          <cell r="CJ654">
            <v>0</v>
          </cell>
          <cell r="CK654">
            <v>0</v>
          </cell>
          <cell r="CL654">
            <v>0</v>
          </cell>
          <cell r="CM654">
            <v>0</v>
          </cell>
          <cell r="CO654">
            <v>0</v>
          </cell>
          <cell r="CP654">
            <v>0</v>
          </cell>
          <cell r="CQ654">
            <v>0</v>
          </cell>
          <cell r="CR654">
            <v>0</v>
          </cell>
          <cell r="CS654">
            <v>0</v>
          </cell>
          <cell r="CT654">
            <v>0</v>
          </cell>
          <cell r="CU654">
            <v>0</v>
          </cell>
          <cell r="CV654">
            <v>0</v>
          </cell>
          <cell r="CW654">
            <v>0</v>
          </cell>
          <cell r="CY654">
            <v>0</v>
          </cell>
          <cell r="CZ654">
            <v>0</v>
          </cell>
          <cell r="DA654">
            <v>0</v>
          </cell>
          <cell r="DB654">
            <v>0</v>
          </cell>
          <cell r="DC654">
            <v>0</v>
          </cell>
          <cell r="DD654">
            <v>0</v>
          </cell>
          <cell r="DE654">
            <v>0</v>
          </cell>
          <cell r="DF654">
            <v>0</v>
          </cell>
          <cell r="DG654">
            <v>0</v>
          </cell>
          <cell r="DI654">
            <v>0</v>
          </cell>
          <cell r="DJ654">
            <v>0</v>
          </cell>
          <cell r="DK654">
            <v>0</v>
          </cell>
          <cell r="DL654">
            <v>0</v>
          </cell>
          <cell r="DM654">
            <v>0</v>
          </cell>
          <cell r="DN654">
            <v>0</v>
          </cell>
          <cell r="DO654">
            <v>0</v>
          </cell>
          <cell r="DP654">
            <v>0</v>
          </cell>
          <cell r="DQ654">
            <v>0</v>
          </cell>
          <cell r="DR654">
            <v>0</v>
          </cell>
          <cell r="DS654">
            <v>0</v>
          </cell>
          <cell r="DT654">
            <v>0</v>
          </cell>
          <cell r="DU654">
            <v>0</v>
          </cell>
          <cell r="DW654">
            <v>0</v>
          </cell>
          <cell r="DX654">
            <v>0</v>
          </cell>
          <cell r="DY654">
            <v>0</v>
          </cell>
          <cell r="DZ654">
            <v>0</v>
          </cell>
          <cell r="EA654">
            <v>0</v>
          </cell>
          <cell r="EB654">
            <v>0</v>
          </cell>
          <cell r="EC654">
            <v>0</v>
          </cell>
          <cell r="ED654">
            <v>0</v>
          </cell>
          <cell r="EE654">
            <v>0</v>
          </cell>
          <cell r="EF654">
            <v>0</v>
          </cell>
          <cell r="EG654">
            <v>0</v>
          </cell>
          <cell r="EH654">
            <v>0</v>
          </cell>
          <cell r="EI654">
            <v>0</v>
          </cell>
          <cell r="EK654">
            <v>0</v>
          </cell>
          <cell r="EL654">
            <v>0</v>
          </cell>
          <cell r="EM654">
            <v>0</v>
          </cell>
          <cell r="EN654">
            <v>0</v>
          </cell>
          <cell r="EO654">
            <v>0</v>
          </cell>
          <cell r="EP654">
            <v>0</v>
          </cell>
          <cell r="EQ654">
            <v>0</v>
          </cell>
          <cell r="ER654">
            <v>0</v>
          </cell>
          <cell r="ES654">
            <v>0</v>
          </cell>
          <cell r="ET654">
            <v>0</v>
          </cell>
          <cell r="EU654">
            <v>0</v>
          </cell>
          <cell r="EV654">
            <v>0</v>
          </cell>
          <cell r="EW654">
            <v>0</v>
          </cell>
          <cell r="EY654">
            <v>0</v>
          </cell>
          <cell r="EZ654">
            <v>8</v>
          </cell>
          <cell r="FA654">
            <v>0</v>
          </cell>
          <cell r="FB654">
            <v>0</v>
          </cell>
          <cell r="FC654">
            <v>8.6</v>
          </cell>
          <cell r="FD654">
            <v>0</v>
          </cell>
          <cell r="FE654">
            <v>0</v>
          </cell>
          <cell r="FF654">
            <v>0</v>
          </cell>
          <cell r="FH654">
            <v>0</v>
          </cell>
        </row>
        <row r="655">
          <cell r="B655">
            <v>9800</v>
          </cell>
          <cell r="C655" t="str">
            <v>21.08.2010</v>
          </cell>
          <cell r="D655" t="str">
            <v>Malvadkar Rameshwar Vijay</v>
          </cell>
          <cell r="F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BA655">
            <v>0</v>
          </cell>
          <cell r="BB655">
            <v>0</v>
          </cell>
          <cell r="BC655">
            <v>0</v>
          </cell>
          <cell r="BD655">
            <v>0</v>
          </cell>
          <cell r="BE655">
            <v>0</v>
          </cell>
          <cell r="BF655">
            <v>0</v>
          </cell>
          <cell r="BG655">
            <v>0</v>
          </cell>
          <cell r="BH655">
            <v>0</v>
          </cell>
          <cell r="BI655">
            <v>0</v>
          </cell>
          <cell r="BK655">
            <v>0</v>
          </cell>
          <cell r="BL655">
            <v>0</v>
          </cell>
          <cell r="BM655">
            <v>0</v>
          </cell>
          <cell r="BN655">
            <v>0</v>
          </cell>
          <cell r="BO655">
            <v>0</v>
          </cell>
          <cell r="BP655">
            <v>0</v>
          </cell>
          <cell r="BQ655">
            <v>0</v>
          </cell>
          <cell r="BR655">
            <v>0</v>
          </cell>
          <cell r="BS655">
            <v>0</v>
          </cell>
          <cell r="BU655">
            <v>0</v>
          </cell>
          <cell r="BV655">
            <v>0</v>
          </cell>
          <cell r="BW655">
            <v>0</v>
          </cell>
          <cell r="BX655">
            <v>0</v>
          </cell>
          <cell r="BY655">
            <v>0</v>
          </cell>
          <cell r="BZ655">
            <v>0</v>
          </cell>
          <cell r="CA655">
            <v>0</v>
          </cell>
          <cell r="CB655">
            <v>0</v>
          </cell>
          <cell r="CC655">
            <v>0</v>
          </cell>
          <cell r="CE655">
            <v>0</v>
          </cell>
          <cell r="CF655">
            <v>0</v>
          </cell>
          <cell r="CG655">
            <v>0</v>
          </cell>
          <cell r="CH655">
            <v>0</v>
          </cell>
          <cell r="CI655">
            <v>0</v>
          </cell>
          <cell r="CJ655">
            <v>0</v>
          </cell>
          <cell r="CK655">
            <v>0</v>
          </cell>
          <cell r="CL655">
            <v>0</v>
          </cell>
          <cell r="CM655">
            <v>0</v>
          </cell>
          <cell r="CO655">
            <v>0</v>
          </cell>
          <cell r="CP655">
            <v>0</v>
          </cell>
          <cell r="CQ655">
            <v>0</v>
          </cell>
          <cell r="CR655">
            <v>0</v>
          </cell>
          <cell r="CS655">
            <v>0</v>
          </cell>
          <cell r="CT655">
            <v>0</v>
          </cell>
          <cell r="CU655">
            <v>0</v>
          </cell>
          <cell r="CV655">
            <v>0</v>
          </cell>
          <cell r="CW655">
            <v>0</v>
          </cell>
          <cell r="CY655">
            <v>0</v>
          </cell>
          <cell r="CZ655">
            <v>0</v>
          </cell>
          <cell r="DA655">
            <v>0</v>
          </cell>
          <cell r="DB655">
            <v>0</v>
          </cell>
          <cell r="DC655">
            <v>0</v>
          </cell>
          <cell r="DD655">
            <v>0</v>
          </cell>
          <cell r="DE655">
            <v>0</v>
          </cell>
          <cell r="DF655">
            <v>0</v>
          </cell>
          <cell r="DG655">
            <v>0</v>
          </cell>
          <cell r="DI655">
            <v>0</v>
          </cell>
          <cell r="DJ655">
            <v>0</v>
          </cell>
          <cell r="DK655">
            <v>0</v>
          </cell>
          <cell r="DL655">
            <v>0</v>
          </cell>
          <cell r="DM655">
            <v>0</v>
          </cell>
          <cell r="DN655">
            <v>0</v>
          </cell>
          <cell r="DO655">
            <v>0</v>
          </cell>
          <cell r="DP655">
            <v>0</v>
          </cell>
          <cell r="DQ655">
            <v>0</v>
          </cell>
          <cell r="DR655">
            <v>0</v>
          </cell>
          <cell r="DS655">
            <v>0</v>
          </cell>
          <cell r="DT655">
            <v>0</v>
          </cell>
          <cell r="DU655">
            <v>0</v>
          </cell>
          <cell r="DW655">
            <v>0</v>
          </cell>
          <cell r="DX655">
            <v>0</v>
          </cell>
          <cell r="DY655">
            <v>0</v>
          </cell>
          <cell r="DZ655">
            <v>0</v>
          </cell>
          <cell r="EA655">
            <v>0</v>
          </cell>
          <cell r="EB655">
            <v>0</v>
          </cell>
          <cell r="EC655">
            <v>0</v>
          </cell>
          <cell r="ED655">
            <v>0</v>
          </cell>
          <cell r="EE655">
            <v>0</v>
          </cell>
          <cell r="EF655">
            <v>0</v>
          </cell>
          <cell r="EG655">
            <v>0</v>
          </cell>
          <cell r="EH655">
            <v>0</v>
          </cell>
          <cell r="EI655">
            <v>0</v>
          </cell>
          <cell r="EK655">
            <v>0</v>
          </cell>
          <cell r="EL655">
            <v>0</v>
          </cell>
          <cell r="EM655">
            <v>0</v>
          </cell>
          <cell r="EN655">
            <v>0</v>
          </cell>
          <cell r="EO655">
            <v>0</v>
          </cell>
          <cell r="EP655">
            <v>0</v>
          </cell>
          <cell r="EQ655">
            <v>0</v>
          </cell>
          <cell r="ER655">
            <v>0</v>
          </cell>
          <cell r="ES655">
            <v>0</v>
          </cell>
          <cell r="ET655">
            <v>0</v>
          </cell>
          <cell r="EU655">
            <v>0</v>
          </cell>
          <cell r="EV655">
            <v>0</v>
          </cell>
          <cell r="EW655">
            <v>0</v>
          </cell>
          <cell r="EY655">
            <v>0</v>
          </cell>
          <cell r="EZ655">
            <v>8</v>
          </cell>
          <cell r="FA655">
            <v>0</v>
          </cell>
          <cell r="FB655">
            <v>0</v>
          </cell>
          <cell r="FC655">
            <v>8.6</v>
          </cell>
          <cell r="FD655">
            <v>0</v>
          </cell>
          <cell r="FE655">
            <v>0</v>
          </cell>
          <cell r="FF655">
            <v>0</v>
          </cell>
          <cell r="FH655">
            <v>0</v>
          </cell>
        </row>
        <row r="656">
          <cell r="B656">
            <v>9802</v>
          </cell>
          <cell r="C656" t="str">
            <v>21.08.2010</v>
          </cell>
          <cell r="D656" t="str">
            <v>Chandramore Vishwas Prakash</v>
          </cell>
          <cell r="F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G656">
            <v>0</v>
          </cell>
          <cell r="AH656">
            <v>0</v>
          </cell>
          <cell r="AI656">
            <v>0</v>
          </cell>
          <cell r="AJ656">
            <v>0</v>
          </cell>
          <cell r="AK656">
            <v>0</v>
          </cell>
          <cell r="AL656">
            <v>0</v>
          </cell>
          <cell r="AM656">
            <v>0</v>
          </cell>
          <cell r="AN656">
            <v>0</v>
          </cell>
          <cell r="AO656">
            <v>0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  <cell r="AU656">
            <v>0</v>
          </cell>
          <cell r="AV656">
            <v>0</v>
          </cell>
          <cell r="AW656">
            <v>0</v>
          </cell>
          <cell r="AX656">
            <v>0</v>
          </cell>
          <cell r="AY656">
            <v>0</v>
          </cell>
          <cell r="BA656">
            <v>0</v>
          </cell>
          <cell r="BB656">
            <v>0</v>
          </cell>
          <cell r="BC656">
            <v>0</v>
          </cell>
          <cell r="BD656">
            <v>0</v>
          </cell>
          <cell r="BE656">
            <v>0</v>
          </cell>
          <cell r="BF656">
            <v>0</v>
          </cell>
          <cell r="BG656">
            <v>0</v>
          </cell>
          <cell r="BH656">
            <v>0</v>
          </cell>
          <cell r="BI656">
            <v>0</v>
          </cell>
          <cell r="BK656">
            <v>0</v>
          </cell>
          <cell r="BL656">
            <v>0</v>
          </cell>
          <cell r="BM656">
            <v>0</v>
          </cell>
          <cell r="BN656">
            <v>0</v>
          </cell>
          <cell r="BO656">
            <v>0</v>
          </cell>
          <cell r="BP656">
            <v>0</v>
          </cell>
          <cell r="BQ656">
            <v>0</v>
          </cell>
          <cell r="BR656">
            <v>0</v>
          </cell>
          <cell r="BS656">
            <v>0</v>
          </cell>
          <cell r="BU656">
            <v>0</v>
          </cell>
          <cell r="BV656">
            <v>0</v>
          </cell>
          <cell r="BW656">
            <v>0</v>
          </cell>
          <cell r="BX656">
            <v>0</v>
          </cell>
          <cell r="BY656">
            <v>0</v>
          </cell>
          <cell r="BZ656">
            <v>0</v>
          </cell>
          <cell r="CA656">
            <v>0</v>
          </cell>
          <cell r="CB656">
            <v>0</v>
          </cell>
          <cell r="CC656">
            <v>0</v>
          </cell>
          <cell r="CE656">
            <v>0</v>
          </cell>
          <cell r="CF656">
            <v>0</v>
          </cell>
          <cell r="CG656">
            <v>0</v>
          </cell>
          <cell r="CH656">
            <v>0</v>
          </cell>
          <cell r="CI656">
            <v>0</v>
          </cell>
          <cell r="CJ656">
            <v>0</v>
          </cell>
          <cell r="CK656">
            <v>0</v>
          </cell>
          <cell r="CL656">
            <v>0</v>
          </cell>
          <cell r="CM656">
            <v>0</v>
          </cell>
          <cell r="CO656">
            <v>0</v>
          </cell>
          <cell r="CP656">
            <v>0</v>
          </cell>
          <cell r="CQ656">
            <v>0</v>
          </cell>
          <cell r="CR656">
            <v>0</v>
          </cell>
          <cell r="CS656">
            <v>0</v>
          </cell>
          <cell r="CT656">
            <v>0</v>
          </cell>
          <cell r="CU656">
            <v>0</v>
          </cell>
          <cell r="CV656">
            <v>0</v>
          </cell>
          <cell r="CW656">
            <v>0</v>
          </cell>
          <cell r="CY656">
            <v>0</v>
          </cell>
          <cell r="CZ656">
            <v>0</v>
          </cell>
          <cell r="DA656">
            <v>0</v>
          </cell>
          <cell r="DB656">
            <v>0</v>
          </cell>
          <cell r="DC656">
            <v>0</v>
          </cell>
          <cell r="DD656">
            <v>0</v>
          </cell>
          <cell r="DE656">
            <v>0</v>
          </cell>
          <cell r="DF656">
            <v>0</v>
          </cell>
          <cell r="DG656">
            <v>0</v>
          </cell>
          <cell r="DI656">
            <v>0</v>
          </cell>
          <cell r="DJ656">
            <v>0</v>
          </cell>
          <cell r="DK656">
            <v>0</v>
          </cell>
          <cell r="DL656">
            <v>0</v>
          </cell>
          <cell r="DM656">
            <v>0</v>
          </cell>
          <cell r="DN656">
            <v>0</v>
          </cell>
          <cell r="DO656">
            <v>0</v>
          </cell>
          <cell r="DP656">
            <v>0</v>
          </cell>
          <cell r="DQ656">
            <v>0</v>
          </cell>
          <cell r="DR656">
            <v>0</v>
          </cell>
          <cell r="DS656">
            <v>0</v>
          </cell>
          <cell r="DT656">
            <v>0</v>
          </cell>
          <cell r="DU656">
            <v>0</v>
          </cell>
          <cell r="DW656">
            <v>0</v>
          </cell>
          <cell r="DX656">
            <v>0</v>
          </cell>
          <cell r="DY656">
            <v>0</v>
          </cell>
          <cell r="DZ656">
            <v>0</v>
          </cell>
          <cell r="EA656">
            <v>0</v>
          </cell>
          <cell r="EB656">
            <v>0</v>
          </cell>
          <cell r="EC656">
            <v>0</v>
          </cell>
          <cell r="ED656">
            <v>0</v>
          </cell>
          <cell r="EE656">
            <v>0</v>
          </cell>
          <cell r="EF656">
            <v>0</v>
          </cell>
          <cell r="EG656">
            <v>0</v>
          </cell>
          <cell r="EH656">
            <v>0</v>
          </cell>
          <cell r="EI656">
            <v>0</v>
          </cell>
          <cell r="EK656">
            <v>0</v>
          </cell>
          <cell r="EL656">
            <v>0</v>
          </cell>
          <cell r="EM656">
            <v>0</v>
          </cell>
          <cell r="EN656">
            <v>0</v>
          </cell>
          <cell r="EO656">
            <v>0</v>
          </cell>
          <cell r="EP656">
            <v>0</v>
          </cell>
          <cell r="EQ656">
            <v>0</v>
          </cell>
          <cell r="ER656">
            <v>0</v>
          </cell>
          <cell r="ES656">
            <v>0</v>
          </cell>
          <cell r="ET656">
            <v>0</v>
          </cell>
          <cell r="EU656">
            <v>0</v>
          </cell>
          <cell r="EV656">
            <v>0</v>
          </cell>
          <cell r="EW656">
            <v>0</v>
          </cell>
          <cell r="EY656">
            <v>0</v>
          </cell>
          <cell r="EZ656">
            <v>8</v>
          </cell>
          <cell r="FA656">
            <v>0</v>
          </cell>
          <cell r="FB656">
            <v>0</v>
          </cell>
          <cell r="FC656">
            <v>8.6</v>
          </cell>
          <cell r="FD656">
            <v>0</v>
          </cell>
          <cell r="FE656">
            <v>0</v>
          </cell>
          <cell r="FF656">
            <v>0</v>
          </cell>
          <cell r="FH656">
            <v>0</v>
          </cell>
        </row>
        <row r="657">
          <cell r="B657">
            <v>9803</v>
          </cell>
          <cell r="C657" t="str">
            <v>21.08.2010</v>
          </cell>
          <cell r="D657" t="str">
            <v>Pawar Sangita Shankar</v>
          </cell>
          <cell r="F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G657">
            <v>0</v>
          </cell>
          <cell r="AH657">
            <v>0</v>
          </cell>
          <cell r="AI657">
            <v>0</v>
          </cell>
          <cell r="AJ657">
            <v>0</v>
          </cell>
          <cell r="AK657">
            <v>0</v>
          </cell>
          <cell r="AL657">
            <v>0</v>
          </cell>
          <cell r="AM657">
            <v>0</v>
          </cell>
          <cell r="AN657">
            <v>0</v>
          </cell>
          <cell r="AO657">
            <v>0</v>
          </cell>
          <cell r="AQ657">
            <v>0</v>
          </cell>
          <cell r="AR657">
            <v>0</v>
          </cell>
          <cell r="AS657">
            <v>0</v>
          </cell>
          <cell r="AT657">
            <v>0</v>
          </cell>
          <cell r="AU657">
            <v>0</v>
          </cell>
          <cell r="AV657">
            <v>0</v>
          </cell>
          <cell r="AW657">
            <v>0</v>
          </cell>
          <cell r="AX657">
            <v>0</v>
          </cell>
          <cell r="AY657">
            <v>0</v>
          </cell>
          <cell r="BA657">
            <v>0</v>
          </cell>
          <cell r="BB657">
            <v>0</v>
          </cell>
          <cell r="BC657">
            <v>0</v>
          </cell>
          <cell r="BD657">
            <v>0</v>
          </cell>
          <cell r="BE657">
            <v>0</v>
          </cell>
          <cell r="BF657">
            <v>0</v>
          </cell>
          <cell r="BG657">
            <v>0</v>
          </cell>
          <cell r="BH657">
            <v>0</v>
          </cell>
          <cell r="BI657">
            <v>0</v>
          </cell>
          <cell r="BK657">
            <v>0</v>
          </cell>
          <cell r="BL657">
            <v>0</v>
          </cell>
          <cell r="BM657">
            <v>0</v>
          </cell>
          <cell r="BN657">
            <v>0</v>
          </cell>
          <cell r="BO657">
            <v>0</v>
          </cell>
          <cell r="BP657">
            <v>0</v>
          </cell>
          <cell r="BQ657">
            <v>0</v>
          </cell>
          <cell r="BR657">
            <v>0</v>
          </cell>
          <cell r="BS657">
            <v>0</v>
          </cell>
          <cell r="BU657">
            <v>0</v>
          </cell>
          <cell r="BV657">
            <v>0</v>
          </cell>
          <cell r="BW657">
            <v>0</v>
          </cell>
          <cell r="BX657">
            <v>0</v>
          </cell>
          <cell r="BY657">
            <v>0</v>
          </cell>
          <cell r="BZ657">
            <v>0</v>
          </cell>
          <cell r="CA657">
            <v>0</v>
          </cell>
          <cell r="CB657">
            <v>0</v>
          </cell>
          <cell r="CC657">
            <v>0</v>
          </cell>
          <cell r="CE657">
            <v>0</v>
          </cell>
          <cell r="CF657">
            <v>0</v>
          </cell>
          <cell r="CG657">
            <v>0</v>
          </cell>
          <cell r="CH657">
            <v>0</v>
          </cell>
          <cell r="CI657">
            <v>0</v>
          </cell>
          <cell r="CJ657">
            <v>0</v>
          </cell>
          <cell r="CK657">
            <v>0</v>
          </cell>
          <cell r="CL657">
            <v>0</v>
          </cell>
          <cell r="CM657">
            <v>0</v>
          </cell>
          <cell r="CO657">
            <v>0</v>
          </cell>
          <cell r="CP657">
            <v>0</v>
          </cell>
          <cell r="CQ657">
            <v>0</v>
          </cell>
          <cell r="CR657">
            <v>0</v>
          </cell>
          <cell r="CS657">
            <v>0</v>
          </cell>
          <cell r="CT657">
            <v>0</v>
          </cell>
          <cell r="CU657">
            <v>0</v>
          </cell>
          <cell r="CV657">
            <v>0</v>
          </cell>
          <cell r="CW657">
            <v>0</v>
          </cell>
          <cell r="CY657">
            <v>0</v>
          </cell>
          <cell r="CZ657">
            <v>0</v>
          </cell>
          <cell r="DA657">
            <v>0</v>
          </cell>
          <cell r="DB657">
            <v>0</v>
          </cell>
          <cell r="DC657">
            <v>0</v>
          </cell>
          <cell r="DD657">
            <v>0</v>
          </cell>
          <cell r="DE657">
            <v>0</v>
          </cell>
          <cell r="DF657">
            <v>0</v>
          </cell>
          <cell r="DG657">
            <v>0</v>
          </cell>
          <cell r="DI657">
            <v>0</v>
          </cell>
          <cell r="DJ657">
            <v>0</v>
          </cell>
          <cell r="DK657">
            <v>0</v>
          </cell>
          <cell r="DL657">
            <v>0</v>
          </cell>
          <cell r="DM657">
            <v>0</v>
          </cell>
          <cell r="DN657">
            <v>0</v>
          </cell>
          <cell r="DO657">
            <v>0</v>
          </cell>
          <cell r="DP657">
            <v>0</v>
          </cell>
          <cell r="DQ657">
            <v>0</v>
          </cell>
          <cell r="DR657">
            <v>0</v>
          </cell>
          <cell r="DS657">
            <v>0</v>
          </cell>
          <cell r="DT657">
            <v>0</v>
          </cell>
          <cell r="DU657">
            <v>0</v>
          </cell>
          <cell r="DW657">
            <v>0</v>
          </cell>
          <cell r="DX657">
            <v>0</v>
          </cell>
          <cell r="DY657">
            <v>0</v>
          </cell>
          <cell r="DZ657">
            <v>0</v>
          </cell>
          <cell r="EA657">
            <v>0</v>
          </cell>
          <cell r="EB657">
            <v>0</v>
          </cell>
          <cell r="EC657">
            <v>0</v>
          </cell>
          <cell r="ED657">
            <v>0</v>
          </cell>
          <cell r="EE657">
            <v>0</v>
          </cell>
          <cell r="EF657">
            <v>0</v>
          </cell>
          <cell r="EG657">
            <v>0</v>
          </cell>
          <cell r="EH657">
            <v>0</v>
          </cell>
          <cell r="EI657">
            <v>0</v>
          </cell>
          <cell r="EK657">
            <v>0</v>
          </cell>
          <cell r="EL657">
            <v>0</v>
          </cell>
          <cell r="EM657">
            <v>0</v>
          </cell>
          <cell r="EN657">
            <v>0</v>
          </cell>
          <cell r="EO657">
            <v>0</v>
          </cell>
          <cell r="EP657">
            <v>0</v>
          </cell>
          <cell r="EQ657">
            <v>0</v>
          </cell>
          <cell r="ER657">
            <v>0</v>
          </cell>
          <cell r="ES657">
            <v>0</v>
          </cell>
          <cell r="ET657">
            <v>0</v>
          </cell>
          <cell r="EU657">
            <v>0</v>
          </cell>
          <cell r="EV657">
            <v>0</v>
          </cell>
          <cell r="EW657">
            <v>0</v>
          </cell>
          <cell r="EY657">
            <v>0</v>
          </cell>
          <cell r="EZ657">
            <v>8</v>
          </cell>
          <cell r="FA657">
            <v>0</v>
          </cell>
          <cell r="FB657">
            <v>0</v>
          </cell>
          <cell r="FC657">
            <v>8.6</v>
          </cell>
          <cell r="FD657">
            <v>0</v>
          </cell>
          <cell r="FE657">
            <v>0</v>
          </cell>
          <cell r="FF657">
            <v>0</v>
          </cell>
          <cell r="FH657">
            <v>0</v>
          </cell>
        </row>
        <row r="658">
          <cell r="B658">
            <v>9806</v>
          </cell>
          <cell r="C658" t="str">
            <v>21.08.2010</v>
          </cell>
          <cell r="D658" t="str">
            <v>Rathod Chaya Dipak</v>
          </cell>
          <cell r="F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G658">
            <v>0</v>
          </cell>
          <cell r="AH658">
            <v>0</v>
          </cell>
          <cell r="AI658">
            <v>0</v>
          </cell>
          <cell r="AJ658">
            <v>0</v>
          </cell>
          <cell r="AK658">
            <v>0</v>
          </cell>
          <cell r="AL658">
            <v>0</v>
          </cell>
          <cell r="AM658">
            <v>0</v>
          </cell>
          <cell r="AN658">
            <v>0</v>
          </cell>
          <cell r="AO658">
            <v>0</v>
          </cell>
          <cell r="AQ658">
            <v>0</v>
          </cell>
          <cell r="AR658">
            <v>0</v>
          </cell>
          <cell r="AS658">
            <v>0</v>
          </cell>
          <cell r="AT658">
            <v>0</v>
          </cell>
          <cell r="AU658">
            <v>0</v>
          </cell>
          <cell r="AV658">
            <v>0</v>
          </cell>
          <cell r="AW658">
            <v>0</v>
          </cell>
          <cell r="AX658">
            <v>0</v>
          </cell>
          <cell r="AY658">
            <v>0</v>
          </cell>
          <cell r="BA658">
            <v>0</v>
          </cell>
          <cell r="BB658">
            <v>0</v>
          </cell>
          <cell r="BC658">
            <v>0</v>
          </cell>
          <cell r="BD658">
            <v>0</v>
          </cell>
          <cell r="BE658">
            <v>0</v>
          </cell>
          <cell r="BF658">
            <v>0</v>
          </cell>
          <cell r="BG658">
            <v>0</v>
          </cell>
          <cell r="BH658">
            <v>0</v>
          </cell>
          <cell r="BI658">
            <v>0</v>
          </cell>
          <cell r="BK658">
            <v>0</v>
          </cell>
          <cell r="BL658">
            <v>0</v>
          </cell>
          <cell r="BM658">
            <v>0</v>
          </cell>
          <cell r="BN658">
            <v>0</v>
          </cell>
          <cell r="BO658">
            <v>0</v>
          </cell>
          <cell r="BP658">
            <v>0</v>
          </cell>
          <cell r="BQ658">
            <v>0</v>
          </cell>
          <cell r="BR658">
            <v>0</v>
          </cell>
          <cell r="BS658">
            <v>0</v>
          </cell>
          <cell r="BU658">
            <v>0</v>
          </cell>
          <cell r="BV658">
            <v>0</v>
          </cell>
          <cell r="BW658">
            <v>0</v>
          </cell>
          <cell r="BX658">
            <v>0</v>
          </cell>
          <cell r="BY658">
            <v>0</v>
          </cell>
          <cell r="BZ658">
            <v>0</v>
          </cell>
          <cell r="CA658">
            <v>0</v>
          </cell>
          <cell r="CB658">
            <v>0</v>
          </cell>
          <cell r="CC658">
            <v>0</v>
          </cell>
          <cell r="CE658">
            <v>0</v>
          </cell>
          <cell r="CF658">
            <v>0</v>
          </cell>
          <cell r="CG658">
            <v>0</v>
          </cell>
          <cell r="CH658">
            <v>0</v>
          </cell>
          <cell r="CI658">
            <v>0</v>
          </cell>
          <cell r="CJ658">
            <v>0</v>
          </cell>
          <cell r="CK658">
            <v>0</v>
          </cell>
          <cell r="CL658">
            <v>0</v>
          </cell>
          <cell r="CM658">
            <v>0</v>
          </cell>
          <cell r="CO658">
            <v>0</v>
          </cell>
          <cell r="CP658">
            <v>0</v>
          </cell>
          <cell r="CQ658">
            <v>0</v>
          </cell>
          <cell r="CR658">
            <v>0</v>
          </cell>
          <cell r="CS658">
            <v>0</v>
          </cell>
          <cell r="CT658">
            <v>0</v>
          </cell>
          <cell r="CU658">
            <v>0</v>
          </cell>
          <cell r="CV658">
            <v>0</v>
          </cell>
          <cell r="CW658">
            <v>0</v>
          </cell>
          <cell r="CY658">
            <v>0</v>
          </cell>
          <cell r="CZ658">
            <v>0</v>
          </cell>
          <cell r="DA658">
            <v>0</v>
          </cell>
          <cell r="DB658">
            <v>0</v>
          </cell>
          <cell r="DC658">
            <v>0</v>
          </cell>
          <cell r="DD658">
            <v>0</v>
          </cell>
          <cell r="DE658">
            <v>0</v>
          </cell>
          <cell r="DF658">
            <v>0</v>
          </cell>
          <cell r="DG658">
            <v>0</v>
          </cell>
          <cell r="DI658">
            <v>0</v>
          </cell>
          <cell r="DJ658">
            <v>0</v>
          </cell>
          <cell r="DK658">
            <v>0</v>
          </cell>
          <cell r="DL658">
            <v>0</v>
          </cell>
          <cell r="DM658">
            <v>0</v>
          </cell>
          <cell r="DN658">
            <v>0</v>
          </cell>
          <cell r="DO658">
            <v>0</v>
          </cell>
          <cell r="DP658">
            <v>0</v>
          </cell>
          <cell r="DQ658">
            <v>0</v>
          </cell>
          <cell r="DR658">
            <v>0</v>
          </cell>
          <cell r="DS658">
            <v>0</v>
          </cell>
          <cell r="DT658">
            <v>0</v>
          </cell>
          <cell r="DU658">
            <v>0</v>
          </cell>
          <cell r="DW658">
            <v>0</v>
          </cell>
          <cell r="DX658">
            <v>0</v>
          </cell>
          <cell r="DY658">
            <v>0</v>
          </cell>
          <cell r="DZ658">
            <v>0</v>
          </cell>
          <cell r="EA658">
            <v>0</v>
          </cell>
          <cell r="EB658">
            <v>0</v>
          </cell>
          <cell r="EC658">
            <v>0</v>
          </cell>
          <cell r="ED658">
            <v>0</v>
          </cell>
          <cell r="EE658">
            <v>0</v>
          </cell>
          <cell r="EF658">
            <v>0</v>
          </cell>
          <cell r="EG658">
            <v>0</v>
          </cell>
          <cell r="EH658">
            <v>0</v>
          </cell>
          <cell r="EI658">
            <v>0</v>
          </cell>
          <cell r="EK658">
            <v>0</v>
          </cell>
          <cell r="EL658">
            <v>0</v>
          </cell>
          <cell r="EM658">
            <v>0</v>
          </cell>
          <cell r="EN658">
            <v>0</v>
          </cell>
          <cell r="EO658">
            <v>0</v>
          </cell>
          <cell r="EP658">
            <v>0</v>
          </cell>
          <cell r="EQ658">
            <v>0</v>
          </cell>
          <cell r="ER658">
            <v>0</v>
          </cell>
          <cell r="ES658">
            <v>0</v>
          </cell>
          <cell r="ET658">
            <v>0</v>
          </cell>
          <cell r="EU658">
            <v>0</v>
          </cell>
          <cell r="EV658">
            <v>0</v>
          </cell>
          <cell r="EW658">
            <v>0</v>
          </cell>
          <cell r="EY658">
            <v>0</v>
          </cell>
          <cell r="EZ658">
            <v>8</v>
          </cell>
          <cell r="FA658">
            <v>0</v>
          </cell>
          <cell r="FB658">
            <v>0</v>
          </cell>
          <cell r="FC658">
            <v>8.6</v>
          </cell>
          <cell r="FD658">
            <v>0</v>
          </cell>
          <cell r="FE658">
            <v>0</v>
          </cell>
          <cell r="FF658">
            <v>0</v>
          </cell>
          <cell r="FH658">
            <v>0</v>
          </cell>
        </row>
        <row r="659">
          <cell r="B659">
            <v>9808</v>
          </cell>
          <cell r="C659" t="str">
            <v>21.08.2010</v>
          </cell>
          <cell r="D659" t="str">
            <v>Shindikar Kavita Bajarang</v>
          </cell>
          <cell r="F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G659">
            <v>0</v>
          </cell>
          <cell r="AH659">
            <v>0</v>
          </cell>
          <cell r="AI659">
            <v>0</v>
          </cell>
          <cell r="AJ659">
            <v>0</v>
          </cell>
          <cell r="AK659">
            <v>0</v>
          </cell>
          <cell r="AL659">
            <v>0</v>
          </cell>
          <cell r="AM659">
            <v>0</v>
          </cell>
          <cell r="AN659">
            <v>0</v>
          </cell>
          <cell r="AO659">
            <v>0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  <cell r="AU659">
            <v>0</v>
          </cell>
          <cell r="AV659">
            <v>0</v>
          </cell>
          <cell r="AW659">
            <v>0</v>
          </cell>
          <cell r="AX659">
            <v>0</v>
          </cell>
          <cell r="AY659">
            <v>0</v>
          </cell>
          <cell r="BA659">
            <v>0</v>
          </cell>
          <cell r="BB659">
            <v>0</v>
          </cell>
          <cell r="BC659">
            <v>0</v>
          </cell>
          <cell r="BD659">
            <v>0</v>
          </cell>
          <cell r="BE659">
            <v>0</v>
          </cell>
          <cell r="BF659">
            <v>0</v>
          </cell>
          <cell r="BG659">
            <v>0</v>
          </cell>
          <cell r="BH659">
            <v>0</v>
          </cell>
          <cell r="BI659">
            <v>0</v>
          </cell>
          <cell r="BK659">
            <v>0</v>
          </cell>
          <cell r="BL659">
            <v>0</v>
          </cell>
          <cell r="BM659">
            <v>0</v>
          </cell>
          <cell r="BN659">
            <v>0</v>
          </cell>
          <cell r="BO659">
            <v>0</v>
          </cell>
          <cell r="BP659">
            <v>0</v>
          </cell>
          <cell r="BQ659">
            <v>0</v>
          </cell>
          <cell r="BR659">
            <v>0</v>
          </cell>
          <cell r="BS659">
            <v>0</v>
          </cell>
          <cell r="BU659">
            <v>0</v>
          </cell>
          <cell r="BV659">
            <v>0</v>
          </cell>
          <cell r="BW659">
            <v>0</v>
          </cell>
          <cell r="BX659">
            <v>0</v>
          </cell>
          <cell r="BY659">
            <v>0</v>
          </cell>
          <cell r="BZ659">
            <v>0</v>
          </cell>
          <cell r="CA659">
            <v>0</v>
          </cell>
          <cell r="CB659">
            <v>0</v>
          </cell>
          <cell r="CC659">
            <v>0</v>
          </cell>
          <cell r="CE659">
            <v>0</v>
          </cell>
          <cell r="CF659">
            <v>0</v>
          </cell>
          <cell r="CG659">
            <v>0</v>
          </cell>
          <cell r="CH659">
            <v>0</v>
          </cell>
          <cell r="CI659">
            <v>0</v>
          </cell>
          <cell r="CJ659">
            <v>0</v>
          </cell>
          <cell r="CK659">
            <v>0</v>
          </cell>
          <cell r="CL659">
            <v>0</v>
          </cell>
          <cell r="CM659">
            <v>0</v>
          </cell>
          <cell r="CO659">
            <v>0</v>
          </cell>
          <cell r="CP659">
            <v>0</v>
          </cell>
          <cell r="CQ659">
            <v>0</v>
          </cell>
          <cell r="CR659">
            <v>0</v>
          </cell>
          <cell r="CS659">
            <v>0</v>
          </cell>
          <cell r="CT659">
            <v>0</v>
          </cell>
          <cell r="CU659">
            <v>0</v>
          </cell>
          <cell r="CV659">
            <v>0</v>
          </cell>
          <cell r="CW659">
            <v>0</v>
          </cell>
          <cell r="CY659">
            <v>0</v>
          </cell>
          <cell r="CZ659">
            <v>0</v>
          </cell>
          <cell r="DA659">
            <v>0</v>
          </cell>
          <cell r="DB659">
            <v>0</v>
          </cell>
          <cell r="DC659">
            <v>0</v>
          </cell>
          <cell r="DD659">
            <v>0</v>
          </cell>
          <cell r="DE659">
            <v>0</v>
          </cell>
          <cell r="DF659">
            <v>0</v>
          </cell>
          <cell r="DG659">
            <v>0</v>
          </cell>
          <cell r="DI659">
            <v>0</v>
          </cell>
          <cell r="DJ659">
            <v>0</v>
          </cell>
          <cell r="DK659">
            <v>0</v>
          </cell>
          <cell r="DL659">
            <v>0</v>
          </cell>
          <cell r="DM659">
            <v>0</v>
          </cell>
          <cell r="DN659">
            <v>0</v>
          </cell>
          <cell r="DO659">
            <v>0</v>
          </cell>
          <cell r="DP659">
            <v>0</v>
          </cell>
          <cell r="DQ659">
            <v>0</v>
          </cell>
          <cell r="DR659">
            <v>0</v>
          </cell>
          <cell r="DS659">
            <v>0</v>
          </cell>
          <cell r="DT659">
            <v>0</v>
          </cell>
          <cell r="DU659">
            <v>0</v>
          </cell>
          <cell r="DW659">
            <v>0</v>
          </cell>
          <cell r="DX659">
            <v>0</v>
          </cell>
          <cell r="DY659">
            <v>0</v>
          </cell>
          <cell r="DZ659">
            <v>0</v>
          </cell>
          <cell r="EA659">
            <v>0</v>
          </cell>
          <cell r="EB659">
            <v>0</v>
          </cell>
          <cell r="EC659">
            <v>0</v>
          </cell>
          <cell r="ED659">
            <v>0</v>
          </cell>
          <cell r="EE659">
            <v>0</v>
          </cell>
          <cell r="EF659">
            <v>0</v>
          </cell>
          <cell r="EG659">
            <v>0</v>
          </cell>
          <cell r="EH659">
            <v>0</v>
          </cell>
          <cell r="EI659">
            <v>0</v>
          </cell>
          <cell r="EK659">
            <v>0</v>
          </cell>
          <cell r="EL659">
            <v>0</v>
          </cell>
          <cell r="EM659">
            <v>0</v>
          </cell>
          <cell r="EN659">
            <v>0</v>
          </cell>
          <cell r="EO659">
            <v>0</v>
          </cell>
          <cell r="EP659">
            <v>0</v>
          </cell>
          <cell r="EQ659">
            <v>0</v>
          </cell>
          <cell r="ER659">
            <v>0</v>
          </cell>
          <cell r="ES659">
            <v>0</v>
          </cell>
          <cell r="ET659">
            <v>0</v>
          </cell>
          <cell r="EU659">
            <v>0</v>
          </cell>
          <cell r="EV659">
            <v>0</v>
          </cell>
          <cell r="EW659">
            <v>0</v>
          </cell>
          <cell r="EY659">
            <v>0</v>
          </cell>
          <cell r="EZ659">
            <v>8</v>
          </cell>
          <cell r="FA659">
            <v>0</v>
          </cell>
          <cell r="FB659">
            <v>0</v>
          </cell>
          <cell r="FC659">
            <v>8.6</v>
          </cell>
          <cell r="FD659">
            <v>0</v>
          </cell>
          <cell r="FE659">
            <v>0</v>
          </cell>
          <cell r="FF659">
            <v>0</v>
          </cell>
          <cell r="FH659">
            <v>0</v>
          </cell>
        </row>
        <row r="660">
          <cell r="B660">
            <v>9815</v>
          </cell>
          <cell r="C660" t="str">
            <v>21.08.2010</v>
          </cell>
          <cell r="D660" t="str">
            <v>Attar Sarfraj Abu</v>
          </cell>
          <cell r="F660">
            <v>0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G660">
            <v>0</v>
          </cell>
          <cell r="AH660">
            <v>0</v>
          </cell>
          <cell r="AI660">
            <v>0</v>
          </cell>
          <cell r="AJ660">
            <v>0</v>
          </cell>
          <cell r="AK660">
            <v>0</v>
          </cell>
          <cell r="AL660">
            <v>0</v>
          </cell>
          <cell r="AM660">
            <v>0</v>
          </cell>
          <cell r="AN660">
            <v>0</v>
          </cell>
          <cell r="AO660">
            <v>0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  <cell r="AU660">
            <v>0</v>
          </cell>
          <cell r="AV660">
            <v>0</v>
          </cell>
          <cell r="AW660">
            <v>0</v>
          </cell>
          <cell r="AX660">
            <v>0</v>
          </cell>
          <cell r="AY660">
            <v>0</v>
          </cell>
          <cell r="BA660">
            <v>0</v>
          </cell>
          <cell r="BB660">
            <v>0</v>
          </cell>
          <cell r="BC660">
            <v>0</v>
          </cell>
          <cell r="BD660">
            <v>0</v>
          </cell>
          <cell r="BE660">
            <v>0</v>
          </cell>
          <cell r="BF660">
            <v>0</v>
          </cell>
          <cell r="BG660">
            <v>0</v>
          </cell>
          <cell r="BH660">
            <v>0</v>
          </cell>
          <cell r="BI660">
            <v>0</v>
          </cell>
          <cell r="BK660">
            <v>0</v>
          </cell>
          <cell r="BL660">
            <v>0</v>
          </cell>
          <cell r="BM660">
            <v>0</v>
          </cell>
          <cell r="BN660">
            <v>0</v>
          </cell>
          <cell r="BO660">
            <v>0</v>
          </cell>
          <cell r="BP660">
            <v>0</v>
          </cell>
          <cell r="BQ660">
            <v>0</v>
          </cell>
          <cell r="BR660">
            <v>0</v>
          </cell>
          <cell r="BS660">
            <v>0</v>
          </cell>
          <cell r="BU660">
            <v>0</v>
          </cell>
          <cell r="BV660">
            <v>0</v>
          </cell>
          <cell r="BW660">
            <v>0</v>
          </cell>
          <cell r="BX660">
            <v>0</v>
          </cell>
          <cell r="BY660">
            <v>0</v>
          </cell>
          <cell r="BZ660">
            <v>0</v>
          </cell>
          <cell r="CA660">
            <v>0</v>
          </cell>
          <cell r="CB660">
            <v>0</v>
          </cell>
          <cell r="CC660">
            <v>0</v>
          </cell>
          <cell r="CE660">
            <v>0</v>
          </cell>
          <cell r="CF660">
            <v>0</v>
          </cell>
          <cell r="CG660">
            <v>0</v>
          </cell>
          <cell r="CH660">
            <v>0</v>
          </cell>
          <cell r="CI660">
            <v>0</v>
          </cell>
          <cell r="CJ660">
            <v>0</v>
          </cell>
          <cell r="CK660">
            <v>0</v>
          </cell>
          <cell r="CL660">
            <v>0</v>
          </cell>
          <cell r="CM660">
            <v>0</v>
          </cell>
          <cell r="CO660">
            <v>0</v>
          </cell>
          <cell r="CP660">
            <v>0</v>
          </cell>
          <cell r="CQ660">
            <v>0</v>
          </cell>
          <cell r="CR660">
            <v>0</v>
          </cell>
          <cell r="CS660">
            <v>0</v>
          </cell>
          <cell r="CT660">
            <v>0</v>
          </cell>
          <cell r="CU660">
            <v>0</v>
          </cell>
          <cell r="CV660">
            <v>0</v>
          </cell>
          <cell r="CW660">
            <v>0</v>
          </cell>
          <cell r="CY660">
            <v>0</v>
          </cell>
          <cell r="CZ660">
            <v>0</v>
          </cell>
          <cell r="DA660">
            <v>0</v>
          </cell>
          <cell r="DB660">
            <v>0</v>
          </cell>
          <cell r="DC660">
            <v>0</v>
          </cell>
          <cell r="DD660">
            <v>0</v>
          </cell>
          <cell r="DE660">
            <v>0</v>
          </cell>
          <cell r="DF660">
            <v>0</v>
          </cell>
          <cell r="DG660">
            <v>0</v>
          </cell>
          <cell r="DI660">
            <v>0</v>
          </cell>
          <cell r="DJ660">
            <v>0</v>
          </cell>
          <cell r="DK660">
            <v>0</v>
          </cell>
          <cell r="DL660">
            <v>0</v>
          </cell>
          <cell r="DM660">
            <v>0</v>
          </cell>
          <cell r="DN660">
            <v>0</v>
          </cell>
          <cell r="DO660">
            <v>0</v>
          </cell>
          <cell r="DP660">
            <v>0</v>
          </cell>
          <cell r="DQ660">
            <v>0</v>
          </cell>
          <cell r="DR660">
            <v>0</v>
          </cell>
          <cell r="DS660">
            <v>0</v>
          </cell>
          <cell r="DT660">
            <v>0</v>
          </cell>
          <cell r="DU660">
            <v>0</v>
          </cell>
          <cell r="DW660">
            <v>0</v>
          </cell>
          <cell r="DX660">
            <v>0</v>
          </cell>
          <cell r="DY660">
            <v>0</v>
          </cell>
          <cell r="DZ660">
            <v>0</v>
          </cell>
          <cell r="EA660">
            <v>0</v>
          </cell>
          <cell r="EB660">
            <v>0</v>
          </cell>
          <cell r="EC660">
            <v>0</v>
          </cell>
          <cell r="ED660">
            <v>0</v>
          </cell>
          <cell r="EE660">
            <v>0</v>
          </cell>
          <cell r="EF660">
            <v>0</v>
          </cell>
          <cell r="EG660">
            <v>0</v>
          </cell>
          <cell r="EH660">
            <v>0</v>
          </cell>
          <cell r="EI660">
            <v>0</v>
          </cell>
          <cell r="EK660">
            <v>0</v>
          </cell>
          <cell r="EL660">
            <v>0</v>
          </cell>
          <cell r="EM660">
            <v>0</v>
          </cell>
          <cell r="EN660">
            <v>0</v>
          </cell>
          <cell r="EO660">
            <v>0</v>
          </cell>
          <cell r="EP660">
            <v>0</v>
          </cell>
          <cell r="EQ660">
            <v>0</v>
          </cell>
          <cell r="ER660">
            <v>0</v>
          </cell>
          <cell r="ES660">
            <v>0</v>
          </cell>
          <cell r="ET660">
            <v>0</v>
          </cell>
          <cell r="EU660">
            <v>0</v>
          </cell>
          <cell r="EV660">
            <v>0</v>
          </cell>
          <cell r="EW660">
            <v>0</v>
          </cell>
          <cell r="EY660">
            <v>0</v>
          </cell>
          <cell r="EZ660">
            <v>8</v>
          </cell>
          <cell r="FA660">
            <v>0</v>
          </cell>
          <cell r="FB660">
            <v>0</v>
          </cell>
          <cell r="FC660">
            <v>8.6</v>
          </cell>
          <cell r="FD660">
            <v>0</v>
          </cell>
          <cell r="FE660">
            <v>0</v>
          </cell>
          <cell r="FF660">
            <v>0</v>
          </cell>
          <cell r="FH660">
            <v>0</v>
          </cell>
        </row>
        <row r="661">
          <cell r="B661">
            <v>9819</v>
          </cell>
          <cell r="C661" t="str">
            <v>21.08.2010</v>
          </cell>
          <cell r="D661" t="str">
            <v>Pagare Vaishali Kiran</v>
          </cell>
          <cell r="F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G661">
            <v>0</v>
          </cell>
          <cell r="AH661">
            <v>0</v>
          </cell>
          <cell r="AI661">
            <v>0</v>
          </cell>
          <cell r="AJ661">
            <v>0</v>
          </cell>
          <cell r="AK661">
            <v>0</v>
          </cell>
          <cell r="AL661">
            <v>0</v>
          </cell>
          <cell r="AM661">
            <v>0</v>
          </cell>
          <cell r="AN661">
            <v>0</v>
          </cell>
          <cell r="AO661">
            <v>0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  <cell r="AU661">
            <v>0</v>
          </cell>
          <cell r="AV661">
            <v>0</v>
          </cell>
          <cell r="AW661">
            <v>0</v>
          </cell>
          <cell r="AX661">
            <v>0</v>
          </cell>
          <cell r="AY661">
            <v>0</v>
          </cell>
          <cell r="BA661">
            <v>0</v>
          </cell>
          <cell r="BB661">
            <v>0</v>
          </cell>
          <cell r="BC661">
            <v>0</v>
          </cell>
          <cell r="BD661">
            <v>0</v>
          </cell>
          <cell r="BE661">
            <v>0</v>
          </cell>
          <cell r="BF661">
            <v>0</v>
          </cell>
          <cell r="BG661">
            <v>0</v>
          </cell>
          <cell r="BH661">
            <v>0</v>
          </cell>
          <cell r="BI661">
            <v>0</v>
          </cell>
          <cell r="BK661">
            <v>0</v>
          </cell>
          <cell r="BL661">
            <v>0</v>
          </cell>
          <cell r="BM661">
            <v>0</v>
          </cell>
          <cell r="BN661">
            <v>0</v>
          </cell>
          <cell r="BO661">
            <v>0</v>
          </cell>
          <cell r="BP661">
            <v>0</v>
          </cell>
          <cell r="BQ661">
            <v>0</v>
          </cell>
          <cell r="BR661">
            <v>0</v>
          </cell>
          <cell r="BS661">
            <v>0</v>
          </cell>
          <cell r="BU661">
            <v>0</v>
          </cell>
          <cell r="BV661">
            <v>0</v>
          </cell>
          <cell r="BW661">
            <v>0</v>
          </cell>
          <cell r="BX661">
            <v>0</v>
          </cell>
          <cell r="BY661">
            <v>0</v>
          </cell>
          <cell r="BZ661">
            <v>0</v>
          </cell>
          <cell r="CA661">
            <v>0</v>
          </cell>
          <cell r="CB661">
            <v>0</v>
          </cell>
          <cell r="CC661">
            <v>0</v>
          </cell>
          <cell r="CE661">
            <v>0</v>
          </cell>
          <cell r="CF661">
            <v>0</v>
          </cell>
          <cell r="CG661">
            <v>0</v>
          </cell>
          <cell r="CH661">
            <v>0</v>
          </cell>
          <cell r="CI661">
            <v>0</v>
          </cell>
          <cell r="CJ661">
            <v>0</v>
          </cell>
          <cell r="CK661">
            <v>0</v>
          </cell>
          <cell r="CL661">
            <v>0</v>
          </cell>
          <cell r="CM661">
            <v>0</v>
          </cell>
          <cell r="CO661">
            <v>0</v>
          </cell>
          <cell r="CP661">
            <v>0</v>
          </cell>
          <cell r="CQ661">
            <v>0</v>
          </cell>
          <cell r="CR661">
            <v>0</v>
          </cell>
          <cell r="CS661">
            <v>0</v>
          </cell>
          <cell r="CT661">
            <v>0</v>
          </cell>
          <cell r="CU661">
            <v>0</v>
          </cell>
          <cell r="CV661">
            <v>0</v>
          </cell>
          <cell r="CW661">
            <v>0</v>
          </cell>
          <cell r="CY661">
            <v>0</v>
          </cell>
          <cell r="CZ661">
            <v>0</v>
          </cell>
          <cell r="DA661">
            <v>0</v>
          </cell>
          <cell r="DB661">
            <v>0</v>
          </cell>
          <cell r="DC661">
            <v>0</v>
          </cell>
          <cell r="DD661">
            <v>0</v>
          </cell>
          <cell r="DE661">
            <v>0</v>
          </cell>
          <cell r="DF661">
            <v>0</v>
          </cell>
          <cell r="DG661">
            <v>0</v>
          </cell>
          <cell r="DI661">
            <v>0</v>
          </cell>
          <cell r="DJ661">
            <v>0</v>
          </cell>
          <cell r="DK661">
            <v>0</v>
          </cell>
          <cell r="DL661">
            <v>0</v>
          </cell>
          <cell r="DM661">
            <v>0</v>
          </cell>
          <cell r="DN661">
            <v>0</v>
          </cell>
          <cell r="DO661">
            <v>0</v>
          </cell>
          <cell r="DP661">
            <v>0</v>
          </cell>
          <cell r="DQ661">
            <v>0</v>
          </cell>
          <cell r="DR661">
            <v>0</v>
          </cell>
          <cell r="DS661">
            <v>0</v>
          </cell>
          <cell r="DT661">
            <v>0</v>
          </cell>
          <cell r="DU661">
            <v>0</v>
          </cell>
          <cell r="DW661">
            <v>0</v>
          </cell>
          <cell r="DX661">
            <v>0</v>
          </cell>
          <cell r="DY661">
            <v>0</v>
          </cell>
          <cell r="DZ661">
            <v>0</v>
          </cell>
          <cell r="EA661">
            <v>0</v>
          </cell>
          <cell r="EB661">
            <v>0</v>
          </cell>
          <cell r="EC661">
            <v>0</v>
          </cell>
          <cell r="ED661">
            <v>0</v>
          </cell>
          <cell r="EE661">
            <v>0</v>
          </cell>
          <cell r="EF661">
            <v>0</v>
          </cell>
          <cell r="EG661">
            <v>0</v>
          </cell>
          <cell r="EH661">
            <v>0</v>
          </cell>
          <cell r="EI661">
            <v>0</v>
          </cell>
          <cell r="EK661">
            <v>0</v>
          </cell>
          <cell r="EL661">
            <v>0</v>
          </cell>
          <cell r="EM661">
            <v>0</v>
          </cell>
          <cell r="EN661">
            <v>0</v>
          </cell>
          <cell r="EO661">
            <v>0</v>
          </cell>
          <cell r="EP661">
            <v>0</v>
          </cell>
          <cell r="EQ661">
            <v>0</v>
          </cell>
          <cell r="ER661">
            <v>0</v>
          </cell>
          <cell r="ES661">
            <v>0</v>
          </cell>
          <cell r="ET661">
            <v>0</v>
          </cell>
          <cell r="EU661">
            <v>0</v>
          </cell>
          <cell r="EV661">
            <v>0</v>
          </cell>
          <cell r="EW661">
            <v>0</v>
          </cell>
          <cell r="EY661">
            <v>0</v>
          </cell>
          <cell r="EZ661">
            <v>8</v>
          </cell>
          <cell r="FA661">
            <v>0</v>
          </cell>
          <cell r="FB661">
            <v>0</v>
          </cell>
          <cell r="FC661">
            <v>8.6</v>
          </cell>
          <cell r="FD661">
            <v>0</v>
          </cell>
          <cell r="FE661">
            <v>0</v>
          </cell>
          <cell r="FF661">
            <v>0</v>
          </cell>
          <cell r="FH661">
            <v>0</v>
          </cell>
        </row>
        <row r="662">
          <cell r="B662">
            <v>9820</v>
          </cell>
          <cell r="C662" t="str">
            <v>21.08.2010</v>
          </cell>
          <cell r="D662" t="str">
            <v>Tejale Rekha Sanjay</v>
          </cell>
          <cell r="F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0</v>
          </cell>
          <cell r="AL662">
            <v>0</v>
          </cell>
          <cell r="AM662">
            <v>0</v>
          </cell>
          <cell r="AN662">
            <v>0</v>
          </cell>
          <cell r="AO662">
            <v>0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  <cell r="AU662">
            <v>0</v>
          </cell>
          <cell r="AV662">
            <v>0</v>
          </cell>
          <cell r="AW662">
            <v>0</v>
          </cell>
          <cell r="AX662">
            <v>0</v>
          </cell>
          <cell r="AY662">
            <v>0</v>
          </cell>
          <cell r="BA662">
            <v>0</v>
          </cell>
          <cell r="BB662">
            <v>0</v>
          </cell>
          <cell r="BC662">
            <v>0</v>
          </cell>
          <cell r="BD662">
            <v>0</v>
          </cell>
          <cell r="BE662">
            <v>0</v>
          </cell>
          <cell r="BF662">
            <v>0</v>
          </cell>
          <cell r="BG662">
            <v>0</v>
          </cell>
          <cell r="BH662">
            <v>0</v>
          </cell>
          <cell r="BI662">
            <v>0</v>
          </cell>
          <cell r="BK662">
            <v>0</v>
          </cell>
          <cell r="BL662">
            <v>0</v>
          </cell>
          <cell r="BM662">
            <v>0</v>
          </cell>
          <cell r="BN662">
            <v>0</v>
          </cell>
          <cell r="BO662">
            <v>0</v>
          </cell>
          <cell r="BP662">
            <v>0</v>
          </cell>
          <cell r="BQ662">
            <v>0</v>
          </cell>
          <cell r="BR662">
            <v>0</v>
          </cell>
          <cell r="BS662">
            <v>0</v>
          </cell>
          <cell r="BU662">
            <v>0</v>
          </cell>
          <cell r="BV662">
            <v>0</v>
          </cell>
          <cell r="BW662">
            <v>0</v>
          </cell>
          <cell r="BX662">
            <v>0</v>
          </cell>
          <cell r="BY662">
            <v>0</v>
          </cell>
          <cell r="BZ662">
            <v>0</v>
          </cell>
          <cell r="CA662">
            <v>0</v>
          </cell>
          <cell r="CB662">
            <v>0</v>
          </cell>
          <cell r="CC662">
            <v>0</v>
          </cell>
          <cell r="CE662">
            <v>0</v>
          </cell>
          <cell r="CF662">
            <v>0</v>
          </cell>
          <cell r="CG662">
            <v>0</v>
          </cell>
          <cell r="CH662">
            <v>0</v>
          </cell>
          <cell r="CI662">
            <v>0</v>
          </cell>
          <cell r="CJ662">
            <v>0</v>
          </cell>
          <cell r="CK662">
            <v>0</v>
          </cell>
          <cell r="CL662">
            <v>0</v>
          </cell>
          <cell r="CM662">
            <v>0</v>
          </cell>
          <cell r="CO662">
            <v>0</v>
          </cell>
          <cell r="CP662">
            <v>0</v>
          </cell>
          <cell r="CQ662">
            <v>0</v>
          </cell>
          <cell r="CR662">
            <v>0</v>
          </cell>
          <cell r="CS662">
            <v>0</v>
          </cell>
          <cell r="CT662">
            <v>0</v>
          </cell>
          <cell r="CU662">
            <v>0</v>
          </cell>
          <cell r="CV662">
            <v>0</v>
          </cell>
          <cell r="CW662">
            <v>0</v>
          </cell>
          <cell r="CY662">
            <v>0</v>
          </cell>
          <cell r="CZ662">
            <v>0</v>
          </cell>
          <cell r="DA662">
            <v>0</v>
          </cell>
          <cell r="DB662">
            <v>0</v>
          </cell>
          <cell r="DC662">
            <v>0</v>
          </cell>
          <cell r="DD662">
            <v>0</v>
          </cell>
          <cell r="DE662">
            <v>0</v>
          </cell>
          <cell r="DF662">
            <v>0</v>
          </cell>
          <cell r="DG662">
            <v>0</v>
          </cell>
          <cell r="DI662">
            <v>0</v>
          </cell>
          <cell r="DJ662">
            <v>0</v>
          </cell>
          <cell r="DK662">
            <v>0</v>
          </cell>
          <cell r="DL662">
            <v>0</v>
          </cell>
          <cell r="DM662">
            <v>0</v>
          </cell>
          <cell r="DN662">
            <v>0</v>
          </cell>
          <cell r="DO662">
            <v>0</v>
          </cell>
          <cell r="DP662">
            <v>0</v>
          </cell>
          <cell r="DQ662">
            <v>0</v>
          </cell>
          <cell r="DR662">
            <v>0</v>
          </cell>
          <cell r="DS662">
            <v>0</v>
          </cell>
          <cell r="DT662">
            <v>0</v>
          </cell>
          <cell r="DU662">
            <v>0</v>
          </cell>
          <cell r="DW662">
            <v>0</v>
          </cell>
          <cell r="DX662">
            <v>0</v>
          </cell>
          <cell r="DY662">
            <v>0</v>
          </cell>
          <cell r="DZ662">
            <v>0</v>
          </cell>
          <cell r="EA662">
            <v>0</v>
          </cell>
          <cell r="EB662">
            <v>0</v>
          </cell>
          <cell r="EC662">
            <v>0</v>
          </cell>
          <cell r="ED662">
            <v>0</v>
          </cell>
          <cell r="EE662">
            <v>0</v>
          </cell>
          <cell r="EF662">
            <v>0</v>
          </cell>
          <cell r="EG662">
            <v>0</v>
          </cell>
          <cell r="EH662">
            <v>0</v>
          </cell>
          <cell r="EI662">
            <v>0</v>
          </cell>
          <cell r="EK662">
            <v>0</v>
          </cell>
          <cell r="EL662">
            <v>0</v>
          </cell>
          <cell r="EM662">
            <v>0</v>
          </cell>
          <cell r="EN662">
            <v>0</v>
          </cell>
          <cell r="EO662">
            <v>0</v>
          </cell>
          <cell r="EP662">
            <v>0</v>
          </cell>
          <cell r="EQ662">
            <v>0</v>
          </cell>
          <cell r="ER662">
            <v>0</v>
          </cell>
          <cell r="ES662">
            <v>0</v>
          </cell>
          <cell r="ET662">
            <v>0</v>
          </cell>
          <cell r="EU662">
            <v>0</v>
          </cell>
          <cell r="EV662">
            <v>0</v>
          </cell>
          <cell r="EW662">
            <v>0</v>
          </cell>
          <cell r="EY662">
            <v>0</v>
          </cell>
          <cell r="EZ662">
            <v>8</v>
          </cell>
          <cell r="FA662">
            <v>0</v>
          </cell>
          <cell r="FB662">
            <v>0</v>
          </cell>
          <cell r="FC662">
            <v>8.6</v>
          </cell>
          <cell r="FD662">
            <v>0</v>
          </cell>
          <cell r="FE662">
            <v>0</v>
          </cell>
          <cell r="FF662">
            <v>0</v>
          </cell>
          <cell r="FH662">
            <v>0</v>
          </cell>
        </row>
        <row r="663">
          <cell r="B663">
            <v>9821</v>
          </cell>
          <cell r="C663" t="str">
            <v>21.08.2010</v>
          </cell>
          <cell r="D663" t="str">
            <v>Bhalerao Seema Anil</v>
          </cell>
          <cell r="F663">
            <v>0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0</v>
          </cell>
          <cell r="AM663">
            <v>0</v>
          </cell>
          <cell r="AN663">
            <v>0</v>
          </cell>
          <cell r="AO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0</v>
          </cell>
          <cell r="AY663">
            <v>0</v>
          </cell>
          <cell r="BA663">
            <v>0</v>
          </cell>
          <cell r="BB663">
            <v>0</v>
          </cell>
          <cell r="BC663">
            <v>0</v>
          </cell>
          <cell r="BD663">
            <v>0</v>
          </cell>
          <cell r="BE663">
            <v>0</v>
          </cell>
          <cell r="BF663">
            <v>0</v>
          </cell>
          <cell r="BG663">
            <v>0</v>
          </cell>
          <cell r="BH663">
            <v>0</v>
          </cell>
          <cell r="BI663">
            <v>0</v>
          </cell>
          <cell r="BK663">
            <v>0</v>
          </cell>
          <cell r="BL663">
            <v>0</v>
          </cell>
          <cell r="BM663">
            <v>0</v>
          </cell>
          <cell r="BN663">
            <v>0</v>
          </cell>
          <cell r="BO663">
            <v>0</v>
          </cell>
          <cell r="BP663">
            <v>0</v>
          </cell>
          <cell r="BQ663">
            <v>0</v>
          </cell>
          <cell r="BR663">
            <v>0</v>
          </cell>
          <cell r="BS663">
            <v>0</v>
          </cell>
          <cell r="BU663">
            <v>0</v>
          </cell>
          <cell r="BV663">
            <v>0</v>
          </cell>
          <cell r="BW663">
            <v>0</v>
          </cell>
          <cell r="BX663">
            <v>0</v>
          </cell>
          <cell r="BY663">
            <v>0</v>
          </cell>
          <cell r="BZ663">
            <v>0</v>
          </cell>
          <cell r="CA663">
            <v>0</v>
          </cell>
          <cell r="CB663">
            <v>0</v>
          </cell>
          <cell r="CC663">
            <v>0</v>
          </cell>
          <cell r="CE663">
            <v>0</v>
          </cell>
          <cell r="CF663">
            <v>0</v>
          </cell>
          <cell r="CG663">
            <v>0</v>
          </cell>
          <cell r="CH663">
            <v>0</v>
          </cell>
          <cell r="CI663">
            <v>0</v>
          </cell>
          <cell r="CJ663">
            <v>0</v>
          </cell>
          <cell r="CK663">
            <v>0</v>
          </cell>
          <cell r="CL663">
            <v>0</v>
          </cell>
          <cell r="CM663">
            <v>0</v>
          </cell>
          <cell r="CO663">
            <v>0</v>
          </cell>
          <cell r="CP663">
            <v>0</v>
          </cell>
          <cell r="CQ663">
            <v>0</v>
          </cell>
          <cell r="CR663">
            <v>0</v>
          </cell>
          <cell r="CS663">
            <v>0</v>
          </cell>
          <cell r="CT663">
            <v>0</v>
          </cell>
          <cell r="CU663">
            <v>0</v>
          </cell>
          <cell r="CV663">
            <v>0</v>
          </cell>
          <cell r="CW663">
            <v>0</v>
          </cell>
          <cell r="CY663">
            <v>0</v>
          </cell>
          <cell r="CZ663">
            <v>0</v>
          </cell>
          <cell r="DA663">
            <v>0</v>
          </cell>
          <cell r="DB663">
            <v>0</v>
          </cell>
          <cell r="DC663">
            <v>0</v>
          </cell>
          <cell r="DD663">
            <v>0</v>
          </cell>
          <cell r="DE663">
            <v>0</v>
          </cell>
          <cell r="DF663">
            <v>0</v>
          </cell>
          <cell r="DG663">
            <v>0</v>
          </cell>
          <cell r="DI663">
            <v>0</v>
          </cell>
          <cell r="DJ663">
            <v>0</v>
          </cell>
          <cell r="DK663">
            <v>0</v>
          </cell>
          <cell r="DL663">
            <v>0</v>
          </cell>
          <cell r="DM663">
            <v>0</v>
          </cell>
          <cell r="DN663">
            <v>0</v>
          </cell>
          <cell r="DO663">
            <v>0</v>
          </cell>
          <cell r="DP663">
            <v>0</v>
          </cell>
          <cell r="DQ663">
            <v>0</v>
          </cell>
          <cell r="DR663">
            <v>0</v>
          </cell>
          <cell r="DS663">
            <v>0</v>
          </cell>
          <cell r="DT663">
            <v>0</v>
          </cell>
          <cell r="DU663">
            <v>0</v>
          </cell>
          <cell r="DW663">
            <v>0</v>
          </cell>
          <cell r="DX663">
            <v>0</v>
          </cell>
          <cell r="DY663">
            <v>0</v>
          </cell>
          <cell r="DZ663">
            <v>0</v>
          </cell>
          <cell r="EA663">
            <v>0</v>
          </cell>
          <cell r="EB663">
            <v>0</v>
          </cell>
          <cell r="EC663">
            <v>0</v>
          </cell>
          <cell r="ED663">
            <v>0</v>
          </cell>
          <cell r="EE663">
            <v>0</v>
          </cell>
          <cell r="EF663">
            <v>0</v>
          </cell>
          <cell r="EG663">
            <v>0</v>
          </cell>
          <cell r="EH663">
            <v>0</v>
          </cell>
          <cell r="EI663">
            <v>0</v>
          </cell>
          <cell r="EK663">
            <v>0</v>
          </cell>
          <cell r="EL663">
            <v>0</v>
          </cell>
          <cell r="EM663">
            <v>0</v>
          </cell>
          <cell r="EN663">
            <v>0</v>
          </cell>
          <cell r="EO663">
            <v>0</v>
          </cell>
          <cell r="EP663">
            <v>0</v>
          </cell>
          <cell r="EQ663">
            <v>0</v>
          </cell>
          <cell r="ER663">
            <v>0</v>
          </cell>
          <cell r="ES663">
            <v>0</v>
          </cell>
          <cell r="ET663">
            <v>0</v>
          </cell>
          <cell r="EU663">
            <v>0</v>
          </cell>
          <cell r="EV663">
            <v>0</v>
          </cell>
          <cell r="EW663">
            <v>0</v>
          </cell>
          <cell r="EY663">
            <v>0</v>
          </cell>
          <cell r="EZ663">
            <v>8</v>
          </cell>
          <cell r="FA663">
            <v>0</v>
          </cell>
          <cell r="FB663">
            <v>0</v>
          </cell>
          <cell r="FC663">
            <v>8.6</v>
          </cell>
          <cell r="FD663">
            <v>0</v>
          </cell>
          <cell r="FE663">
            <v>0</v>
          </cell>
          <cell r="FF663">
            <v>0</v>
          </cell>
          <cell r="FH663">
            <v>0</v>
          </cell>
        </row>
        <row r="664">
          <cell r="B664">
            <v>9822</v>
          </cell>
          <cell r="C664" t="str">
            <v>21.08.2010</v>
          </cell>
          <cell r="D664" t="str">
            <v>Agrawal Yogesh Mahendra</v>
          </cell>
          <cell r="F664">
            <v>0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G664">
            <v>0</v>
          </cell>
          <cell r="AH664">
            <v>0</v>
          </cell>
          <cell r="AI664">
            <v>0</v>
          </cell>
          <cell r="AJ664">
            <v>0</v>
          </cell>
          <cell r="AK664">
            <v>0</v>
          </cell>
          <cell r="AL664">
            <v>0</v>
          </cell>
          <cell r="AM664">
            <v>0</v>
          </cell>
          <cell r="AN664">
            <v>0</v>
          </cell>
          <cell r="AO664">
            <v>0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  <cell r="AU664">
            <v>0</v>
          </cell>
          <cell r="AV664">
            <v>0</v>
          </cell>
          <cell r="AW664">
            <v>0</v>
          </cell>
          <cell r="AX664">
            <v>0</v>
          </cell>
          <cell r="AY664">
            <v>0</v>
          </cell>
          <cell r="BA664">
            <v>0</v>
          </cell>
          <cell r="BB664">
            <v>0</v>
          </cell>
          <cell r="BC664">
            <v>0</v>
          </cell>
          <cell r="BD664">
            <v>0</v>
          </cell>
          <cell r="BE664">
            <v>0</v>
          </cell>
          <cell r="BF664">
            <v>0</v>
          </cell>
          <cell r="BG664">
            <v>0</v>
          </cell>
          <cell r="BH664">
            <v>0</v>
          </cell>
          <cell r="BI664">
            <v>0</v>
          </cell>
          <cell r="BK664">
            <v>0</v>
          </cell>
          <cell r="BL664">
            <v>0</v>
          </cell>
          <cell r="BM664">
            <v>0</v>
          </cell>
          <cell r="BN664">
            <v>0</v>
          </cell>
          <cell r="BO664">
            <v>0</v>
          </cell>
          <cell r="BP664">
            <v>0</v>
          </cell>
          <cell r="BQ664">
            <v>0</v>
          </cell>
          <cell r="BR664">
            <v>0</v>
          </cell>
          <cell r="BS664">
            <v>0</v>
          </cell>
          <cell r="BU664">
            <v>0</v>
          </cell>
          <cell r="BV664">
            <v>0</v>
          </cell>
          <cell r="BW664">
            <v>0</v>
          </cell>
          <cell r="BX664">
            <v>0</v>
          </cell>
          <cell r="BY664">
            <v>0</v>
          </cell>
          <cell r="BZ664">
            <v>0</v>
          </cell>
          <cell r="CA664">
            <v>0</v>
          </cell>
          <cell r="CB664">
            <v>0</v>
          </cell>
          <cell r="CC664">
            <v>0</v>
          </cell>
          <cell r="CE664">
            <v>0</v>
          </cell>
          <cell r="CF664">
            <v>0</v>
          </cell>
          <cell r="CG664">
            <v>0</v>
          </cell>
          <cell r="CH664">
            <v>0</v>
          </cell>
          <cell r="CI664">
            <v>0</v>
          </cell>
          <cell r="CJ664">
            <v>0</v>
          </cell>
          <cell r="CK664">
            <v>0</v>
          </cell>
          <cell r="CL664">
            <v>0</v>
          </cell>
          <cell r="CM664">
            <v>0</v>
          </cell>
          <cell r="CO664">
            <v>0</v>
          </cell>
          <cell r="CP664">
            <v>0</v>
          </cell>
          <cell r="CQ664">
            <v>0</v>
          </cell>
          <cell r="CR664">
            <v>0</v>
          </cell>
          <cell r="CS664">
            <v>0</v>
          </cell>
          <cell r="CT664">
            <v>0</v>
          </cell>
          <cell r="CU664">
            <v>0</v>
          </cell>
          <cell r="CV664">
            <v>0</v>
          </cell>
          <cell r="CW664">
            <v>0</v>
          </cell>
          <cell r="CY664">
            <v>0</v>
          </cell>
          <cell r="CZ664">
            <v>0</v>
          </cell>
          <cell r="DA664">
            <v>0</v>
          </cell>
          <cell r="DB664">
            <v>0</v>
          </cell>
          <cell r="DC664">
            <v>0</v>
          </cell>
          <cell r="DD664">
            <v>0</v>
          </cell>
          <cell r="DE664">
            <v>0</v>
          </cell>
          <cell r="DF664">
            <v>0</v>
          </cell>
          <cell r="DG664">
            <v>0</v>
          </cell>
          <cell r="DI664">
            <v>0</v>
          </cell>
          <cell r="DJ664">
            <v>0</v>
          </cell>
          <cell r="DK664">
            <v>0</v>
          </cell>
          <cell r="DL664">
            <v>0</v>
          </cell>
          <cell r="DM664">
            <v>0</v>
          </cell>
          <cell r="DN664">
            <v>0</v>
          </cell>
          <cell r="DO664">
            <v>0</v>
          </cell>
          <cell r="DP664">
            <v>0</v>
          </cell>
          <cell r="DQ664">
            <v>0</v>
          </cell>
          <cell r="DR664">
            <v>0</v>
          </cell>
          <cell r="DS664">
            <v>0</v>
          </cell>
          <cell r="DT664">
            <v>0</v>
          </cell>
          <cell r="DU664">
            <v>0</v>
          </cell>
          <cell r="DW664">
            <v>0</v>
          </cell>
          <cell r="DX664">
            <v>0</v>
          </cell>
          <cell r="DY664">
            <v>0</v>
          </cell>
          <cell r="DZ664">
            <v>0</v>
          </cell>
          <cell r="EA664">
            <v>0</v>
          </cell>
          <cell r="EB664">
            <v>0</v>
          </cell>
          <cell r="EC664">
            <v>0</v>
          </cell>
          <cell r="ED664">
            <v>0</v>
          </cell>
          <cell r="EE664">
            <v>0</v>
          </cell>
          <cell r="EF664">
            <v>0</v>
          </cell>
          <cell r="EG664">
            <v>0</v>
          </cell>
          <cell r="EH664">
            <v>0</v>
          </cell>
          <cell r="EI664">
            <v>0</v>
          </cell>
          <cell r="EK664">
            <v>0</v>
          </cell>
          <cell r="EL664">
            <v>0</v>
          </cell>
          <cell r="EM664">
            <v>0</v>
          </cell>
          <cell r="EN664">
            <v>0</v>
          </cell>
          <cell r="EO664">
            <v>0</v>
          </cell>
          <cell r="EP664">
            <v>0</v>
          </cell>
          <cell r="EQ664">
            <v>0</v>
          </cell>
          <cell r="ER664">
            <v>0</v>
          </cell>
          <cell r="ES664">
            <v>0</v>
          </cell>
          <cell r="ET664">
            <v>0</v>
          </cell>
          <cell r="EU664">
            <v>0</v>
          </cell>
          <cell r="EV664">
            <v>0</v>
          </cell>
          <cell r="EW664">
            <v>0</v>
          </cell>
          <cell r="EY664">
            <v>0</v>
          </cell>
          <cell r="EZ664">
            <v>8</v>
          </cell>
          <cell r="FA664">
            <v>0</v>
          </cell>
          <cell r="FB664">
            <v>0</v>
          </cell>
          <cell r="FC664">
            <v>8.6</v>
          </cell>
          <cell r="FD664">
            <v>0</v>
          </cell>
          <cell r="FE664">
            <v>0</v>
          </cell>
          <cell r="FF664">
            <v>0</v>
          </cell>
          <cell r="FH664">
            <v>0</v>
          </cell>
        </row>
        <row r="665">
          <cell r="B665">
            <v>9829</v>
          </cell>
          <cell r="C665" t="str">
            <v>21.08.2010</v>
          </cell>
          <cell r="D665" t="str">
            <v>Ghegadmal Savita Pramod</v>
          </cell>
          <cell r="F665">
            <v>0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G665">
            <v>0</v>
          </cell>
          <cell r="AH665">
            <v>0</v>
          </cell>
          <cell r="AI665">
            <v>0</v>
          </cell>
          <cell r="AJ665">
            <v>0</v>
          </cell>
          <cell r="AK665">
            <v>0</v>
          </cell>
          <cell r="AL665">
            <v>0</v>
          </cell>
          <cell r="AM665">
            <v>0</v>
          </cell>
          <cell r="AN665">
            <v>0</v>
          </cell>
          <cell r="AO665">
            <v>0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  <cell r="AU665">
            <v>0</v>
          </cell>
          <cell r="AV665">
            <v>0</v>
          </cell>
          <cell r="AW665">
            <v>0</v>
          </cell>
          <cell r="AX665">
            <v>0</v>
          </cell>
          <cell r="AY665">
            <v>0</v>
          </cell>
          <cell r="BA665">
            <v>0</v>
          </cell>
          <cell r="BB665">
            <v>0</v>
          </cell>
          <cell r="BC665">
            <v>0</v>
          </cell>
          <cell r="BD665">
            <v>0</v>
          </cell>
          <cell r="BE665">
            <v>0</v>
          </cell>
          <cell r="BF665">
            <v>0</v>
          </cell>
          <cell r="BG665">
            <v>0</v>
          </cell>
          <cell r="BH665">
            <v>0</v>
          </cell>
          <cell r="BI665">
            <v>0</v>
          </cell>
          <cell r="BK665">
            <v>0</v>
          </cell>
          <cell r="BL665">
            <v>0</v>
          </cell>
          <cell r="BM665">
            <v>0</v>
          </cell>
          <cell r="BN665">
            <v>0</v>
          </cell>
          <cell r="BO665">
            <v>0</v>
          </cell>
          <cell r="BP665">
            <v>0</v>
          </cell>
          <cell r="BQ665">
            <v>0</v>
          </cell>
          <cell r="BR665">
            <v>0</v>
          </cell>
          <cell r="BS665">
            <v>0</v>
          </cell>
          <cell r="BU665">
            <v>0</v>
          </cell>
          <cell r="BV665">
            <v>0</v>
          </cell>
          <cell r="BW665">
            <v>0</v>
          </cell>
          <cell r="BX665">
            <v>0</v>
          </cell>
          <cell r="BY665">
            <v>0</v>
          </cell>
          <cell r="BZ665">
            <v>0</v>
          </cell>
          <cell r="CA665">
            <v>0</v>
          </cell>
          <cell r="CB665">
            <v>0</v>
          </cell>
          <cell r="CC665">
            <v>0</v>
          </cell>
          <cell r="CE665">
            <v>0</v>
          </cell>
          <cell r="CF665">
            <v>0</v>
          </cell>
          <cell r="CG665">
            <v>0</v>
          </cell>
          <cell r="CH665">
            <v>0</v>
          </cell>
          <cell r="CI665">
            <v>0</v>
          </cell>
          <cell r="CJ665">
            <v>0</v>
          </cell>
          <cell r="CK665">
            <v>0</v>
          </cell>
          <cell r="CL665">
            <v>0</v>
          </cell>
          <cell r="CM665">
            <v>0</v>
          </cell>
          <cell r="CO665">
            <v>0</v>
          </cell>
          <cell r="CP665">
            <v>0</v>
          </cell>
          <cell r="CQ665">
            <v>0</v>
          </cell>
          <cell r="CR665">
            <v>0</v>
          </cell>
          <cell r="CS665">
            <v>0</v>
          </cell>
          <cell r="CT665">
            <v>0</v>
          </cell>
          <cell r="CU665">
            <v>0</v>
          </cell>
          <cell r="CV665">
            <v>0</v>
          </cell>
          <cell r="CW665">
            <v>0</v>
          </cell>
          <cell r="CY665">
            <v>0</v>
          </cell>
          <cell r="CZ665">
            <v>0</v>
          </cell>
          <cell r="DA665">
            <v>0</v>
          </cell>
          <cell r="DB665">
            <v>0</v>
          </cell>
          <cell r="DC665">
            <v>0</v>
          </cell>
          <cell r="DD665">
            <v>0</v>
          </cell>
          <cell r="DE665">
            <v>0</v>
          </cell>
          <cell r="DF665">
            <v>0</v>
          </cell>
          <cell r="DG665">
            <v>0</v>
          </cell>
          <cell r="DI665">
            <v>0</v>
          </cell>
          <cell r="DJ665">
            <v>0</v>
          </cell>
          <cell r="DK665">
            <v>0</v>
          </cell>
          <cell r="DL665">
            <v>0</v>
          </cell>
          <cell r="DM665">
            <v>0</v>
          </cell>
          <cell r="DN665">
            <v>0</v>
          </cell>
          <cell r="DO665">
            <v>0</v>
          </cell>
          <cell r="DP665">
            <v>0</v>
          </cell>
          <cell r="DQ665">
            <v>0</v>
          </cell>
          <cell r="DR665">
            <v>0</v>
          </cell>
          <cell r="DS665">
            <v>0</v>
          </cell>
          <cell r="DT665">
            <v>0</v>
          </cell>
          <cell r="DU665">
            <v>0</v>
          </cell>
          <cell r="DW665">
            <v>0</v>
          </cell>
          <cell r="DX665">
            <v>0</v>
          </cell>
          <cell r="DY665">
            <v>0</v>
          </cell>
          <cell r="DZ665">
            <v>0</v>
          </cell>
          <cell r="EA665">
            <v>0</v>
          </cell>
          <cell r="EB665">
            <v>0</v>
          </cell>
          <cell r="EC665">
            <v>0</v>
          </cell>
          <cell r="ED665">
            <v>0</v>
          </cell>
          <cell r="EE665">
            <v>0</v>
          </cell>
          <cell r="EF665">
            <v>0</v>
          </cell>
          <cell r="EG665">
            <v>0</v>
          </cell>
          <cell r="EH665">
            <v>0</v>
          </cell>
          <cell r="EI665">
            <v>0</v>
          </cell>
          <cell r="EK665">
            <v>0</v>
          </cell>
          <cell r="EL665">
            <v>0</v>
          </cell>
          <cell r="EM665">
            <v>0</v>
          </cell>
          <cell r="EN665">
            <v>0</v>
          </cell>
          <cell r="EO665">
            <v>0</v>
          </cell>
          <cell r="EP665">
            <v>0</v>
          </cell>
          <cell r="EQ665">
            <v>0</v>
          </cell>
          <cell r="ER665">
            <v>0</v>
          </cell>
          <cell r="ES665">
            <v>0</v>
          </cell>
          <cell r="ET665">
            <v>0</v>
          </cell>
          <cell r="EU665">
            <v>0</v>
          </cell>
          <cell r="EV665">
            <v>0</v>
          </cell>
          <cell r="EW665">
            <v>0</v>
          </cell>
          <cell r="EY665">
            <v>0</v>
          </cell>
          <cell r="EZ665">
            <v>8</v>
          </cell>
          <cell r="FA665">
            <v>0</v>
          </cell>
          <cell r="FB665">
            <v>0</v>
          </cell>
          <cell r="FC665">
            <v>8.6</v>
          </cell>
          <cell r="FD665">
            <v>0</v>
          </cell>
          <cell r="FE665">
            <v>0</v>
          </cell>
          <cell r="FF665">
            <v>0</v>
          </cell>
          <cell r="FH665">
            <v>0</v>
          </cell>
        </row>
        <row r="666">
          <cell r="B666">
            <v>9830</v>
          </cell>
          <cell r="C666" t="str">
            <v>21.08.2010</v>
          </cell>
          <cell r="D666" t="str">
            <v>Rokade Sangita Raju</v>
          </cell>
          <cell r="F666">
            <v>0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0</v>
          </cell>
          <cell r="AK666">
            <v>0</v>
          </cell>
          <cell r="AL666">
            <v>0</v>
          </cell>
          <cell r="AM666">
            <v>0</v>
          </cell>
          <cell r="AN666">
            <v>0</v>
          </cell>
          <cell r="AO666">
            <v>0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  <cell r="AU666">
            <v>0</v>
          </cell>
          <cell r="AV666">
            <v>0</v>
          </cell>
          <cell r="AW666">
            <v>0</v>
          </cell>
          <cell r="AX666">
            <v>0</v>
          </cell>
          <cell r="AY666">
            <v>0</v>
          </cell>
          <cell r="BA666">
            <v>0</v>
          </cell>
          <cell r="BB666">
            <v>0</v>
          </cell>
          <cell r="BC666">
            <v>0</v>
          </cell>
          <cell r="BD666">
            <v>0</v>
          </cell>
          <cell r="BE666">
            <v>0</v>
          </cell>
          <cell r="BF666">
            <v>0</v>
          </cell>
          <cell r="BG666">
            <v>0</v>
          </cell>
          <cell r="BH666">
            <v>0</v>
          </cell>
          <cell r="BI666">
            <v>0</v>
          </cell>
          <cell r="BK666">
            <v>0</v>
          </cell>
          <cell r="BL666">
            <v>0</v>
          </cell>
          <cell r="BM666">
            <v>0</v>
          </cell>
          <cell r="BN666">
            <v>0</v>
          </cell>
          <cell r="BO666">
            <v>0</v>
          </cell>
          <cell r="BP666">
            <v>0</v>
          </cell>
          <cell r="BQ666">
            <v>0</v>
          </cell>
          <cell r="BR666">
            <v>0</v>
          </cell>
          <cell r="BS666">
            <v>0</v>
          </cell>
          <cell r="BU666">
            <v>0</v>
          </cell>
          <cell r="BV666">
            <v>0</v>
          </cell>
          <cell r="BW666">
            <v>0</v>
          </cell>
          <cell r="BX666">
            <v>0</v>
          </cell>
          <cell r="BY666">
            <v>0</v>
          </cell>
          <cell r="BZ666">
            <v>0</v>
          </cell>
          <cell r="CA666">
            <v>0</v>
          </cell>
          <cell r="CB666">
            <v>0</v>
          </cell>
          <cell r="CC666">
            <v>0</v>
          </cell>
          <cell r="CE666">
            <v>0</v>
          </cell>
          <cell r="CF666">
            <v>0</v>
          </cell>
          <cell r="CG666">
            <v>0</v>
          </cell>
          <cell r="CH666">
            <v>0</v>
          </cell>
          <cell r="CI666">
            <v>0</v>
          </cell>
          <cell r="CJ666">
            <v>0</v>
          </cell>
          <cell r="CK666">
            <v>0</v>
          </cell>
          <cell r="CL666">
            <v>0</v>
          </cell>
          <cell r="CM666">
            <v>0</v>
          </cell>
          <cell r="CO666">
            <v>0</v>
          </cell>
          <cell r="CP666">
            <v>0</v>
          </cell>
          <cell r="CQ666">
            <v>0</v>
          </cell>
          <cell r="CR666">
            <v>0</v>
          </cell>
          <cell r="CS666">
            <v>0</v>
          </cell>
          <cell r="CT666">
            <v>0</v>
          </cell>
          <cell r="CU666">
            <v>0</v>
          </cell>
          <cell r="CV666">
            <v>0</v>
          </cell>
          <cell r="CW666">
            <v>0</v>
          </cell>
          <cell r="CY666">
            <v>0</v>
          </cell>
          <cell r="CZ666">
            <v>0</v>
          </cell>
          <cell r="DA666">
            <v>0</v>
          </cell>
          <cell r="DB666">
            <v>0</v>
          </cell>
          <cell r="DC666">
            <v>0</v>
          </cell>
          <cell r="DD666">
            <v>0</v>
          </cell>
          <cell r="DE666">
            <v>0</v>
          </cell>
          <cell r="DF666">
            <v>0</v>
          </cell>
          <cell r="DG666">
            <v>0</v>
          </cell>
          <cell r="DI666">
            <v>0</v>
          </cell>
          <cell r="DJ666">
            <v>0</v>
          </cell>
          <cell r="DK666">
            <v>0</v>
          </cell>
          <cell r="DL666">
            <v>0</v>
          </cell>
          <cell r="DM666">
            <v>0</v>
          </cell>
          <cell r="DN666">
            <v>0</v>
          </cell>
          <cell r="DO666">
            <v>0</v>
          </cell>
          <cell r="DP666">
            <v>0</v>
          </cell>
          <cell r="DQ666">
            <v>0</v>
          </cell>
          <cell r="DR666">
            <v>0</v>
          </cell>
          <cell r="DS666">
            <v>0</v>
          </cell>
          <cell r="DT666">
            <v>0</v>
          </cell>
          <cell r="DU666">
            <v>0</v>
          </cell>
          <cell r="DW666">
            <v>0</v>
          </cell>
          <cell r="DX666">
            <v>0</v>
          </cell>
          <cell r="DY666">
            <v>0</v>
          </cell>
          <cell r="DZ666">
            <v>0</v>
          </cell>
          <cell r="EA666">
            <v>0</v>
          </cell>
          <cell r="EB666">
            <v>0</v>
          </cell>
          <cell r="EC666">
            <v>0</v>
          </cell>
          <cell r="ED666">
            <v>0</v>
          </cell>
          <cell r="EE666">
            <v>0</v>
          </cell>
          <cell r="EF666">
            <v>0</v>
          </cell>
          <cell r="EG666">
            <v>0</v>
          </cell>
          <cell r="EH666">
            <v>0</v>
          </cell>
          <cell r="EI666">
            <v>0</v>
          </cell>
          <cell r="EK666">
            <v>0</v>
          </cell>
          <cell r="EL666">
            <v>0</v>
          </cell>
          <cell r="EM666">
            <v>0</v>
          </cell>
          <cell r="EN666">
            <v>0</v>
          </cell>
          <cell r="EO666">
            <v>0</v>
          </cell>
          <cell r="EP666">
            <v>0</v>
          </cell>
          <cell r="EQ666">
            <v>0</v>
          </cell>
          <cell r="ER666">
            <v>0</v>
          </cell>
          <cell r="ES666">
            <v>0</v>
          </cell>
          <cell r="ET666">
            <v>0</v>
          </cell>
          <cell r="EU666">
            <v>0</v>
          </cell>
          <cell r="EV666">
            <v>0</v>
          </cell>
          <cell r="EW666">
            <v>0</v>
          </cell>
          <cell r="EY666">
            <v>0</v>
          </cell>
          <cell r="EZ666">
            <v>8</v>
          </cell>
          <cell r="FA666">
            <v>0</v>
          </cell>
          <cell r="FB666">
            <v>0</v>
          </cell>
          <cell r="FC666">
            <v>8.6</v>
          </cell>
          <cell r="FD666">
            <v>0</v>
          </cell>
          <cell r="FE666">
            <v>0</v>
          </cell>
          <cell r="FF666">
            <v>0</v>
          </cell>
          <cell r="FH666">
            <v>0</v>
          </cell>
        </row>
        <row r="667">
          <cell r="B667">
            <v>9832</v>
          </cell>
          <cell r="C667" t="str">
            <v>21.08.2010</v>
          </cell>
          <cell r="D667" t="str">
            <v>Waghchaure Nitin Bajirao</v>
          </cell>
          <cell r="F667">
            <v>0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0</v>
          </cell>
          <cell r="AK667">
            <v>0</v>
          </cell>
          <cell r="AL667">
            <v>0</v>
          </cell>
          <cell r="AM667">
            <v>0</v>
          </cell>
          <cell r="AN667">
            <v>0</v>
          </cell>
          <cell r="AO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0</v>
          </cell>
          <cell r="AW667">
            <v>0</v>
          </cell>
          <cell r="AX667">
            <v>0</v>
          </cell>
          <cell r="AY667">
            <v>0</v>
          </cell>
          <cell r="BA667">
            <v>0</v>
          </cell>
          <cell r="BB667">
            <v>0</v>
          </cell>
          <cell r="BC667">
            <v>0</v>
          </cell>
          <cell r="BD667">
            <v>0</v>
          </cell>
          <cell r="BE667">
            <v>0</v>
          </cell>
          <cell r="BF667">
            <v>0</v>
          </cell>
          <cell r="BG667">
            <v>0</v>
          </cell>
          <cell r="BH667">
            <v>0</v>
          </cell>
          <cell r="BI667">
            <v>0</v>
          </cell>
          <cell r="BK667">
            <v>0</v>
          </cell>
          <cell r="BL667">
            <v>0</v>
          </cell>
          <cell r="BM667">
            <v>0</v>
          </cell>
          <cell r="BN667">
            <v>0</v>
          </cell>
          <cell r="BO667">
            <v>0</v>
          </cell>
          <cell r="BP667">
            <v>0</v>
          </cell>
          <cell r="BQ667">
            <v>0</v>
          </cell>
          <cell r="BR667">
            <v>0</v>
          </cell>
          <cell r="BS667">
            <v>0</v>
          </cell>
          <cell r="BU667">
            <v>0</v>
          </cell>
          <cell r="BV667">
            <v>0</v>
          </cell>
          <cell r="BW667">
            <v>0</v>
          </cell>
          <cell r="BX667">
            <v>0</v>
          </cell>
          <cell r="BY667">
            <v>0</v>
          </cell>
          <cell r="BZ667">
            <v>0</v>
          </cell>
          <cell r="CA667">
            <v>0</v>
          </cell>
          <cell r="CB667">
            <v>0</v>
          </cell>
          <cell r="CC667">
            <v>0</v>
          </cell>
          <cell r="CE667">
            <v>0</v>
          </cell>
          <cell r="CF667">
            <v>0</v>
          </cell>
          <cell r="CG667">
            <v>0</v>
          </cell>
          <cell r="CH667">
            <v>0</v>
          </cell>
          <cell r="CI667">
            <v>0</v>
          </cell>
          <cell r="CJ667">
            <v>0</v>
          </cell>
          <cell r="CK667">
            <v>0</v>
          </cell>
          <cell r="CL667">
            <v>0</v>
          </cell>
          <cell r="CM667">
            <v>0</v>
          </cell>
          <cell r="CO667">
            <v>0</v>
          </cell>
          <cell r="CP667">
            <v>0</v>
          </cell>
          <cell r="CQ667">
            <v>0</v>
          </cell>
          <cell r="CR667">
            <v>0</v>
          </cell>
          <cell r="CS667">
            <v>0</v>
          </cell>
          <cell r="CT667">
            <v>0</v>
          </cell>
          <cell r="CU667">
            <v>0</v>
          </cell>
          <cell r="CV667">
            <v>0</v>
          </cell>
          <cell r="CW667">
            <v>0</v>
          </cell>
          <cell r="CY667">
            <v>0</v>
          </cell>
          <cell r="CZ667">
            <v>0</v>
          </cell>
          <cell r="DA667">
            <v>0</v>
          </cell>
          <cell r="DB667">
            <v>0</v>
          </cell>
          <cell r="DC667">
            <v>0</v>
          </cell>
          <cell r="DD667">
            <v>0</v>
          </cell>
          <cell r="DE667">
            <v>0</v>
          </cell>
          <cell r="DF667">
            <v>0</v>
          </cell>
          <cell r="DG667">
            <v>0</v>
          </cell>
          <cell r="DI667">
            <v>0</v>
          </cell>
          <cell r="DJ667">
            <v>0</v>
          </cell>
          <cell r="DK667">
            <v>0</v>
          </cell>
          <cell r="DL667">
            <v>0</v>
          </cell>
          <cell r="DM667">
            <v>0</v>
          </cell>
          <cell r="DN667">
            <v>0</v>
          </cell>
          <cell r="DO667">
            <v>0</v>
          </cell>
          <cell r="DP667">
            <v>0</v>
          </cell>
          <cell r="DQ667">
            <v>0</v>
          </cell>
          <cell r="DR667">
            <v>0</v>
          </cell>
          <cell r="DS667">
            <v>0</v>
          </cell>
          <cell r="DT667">
            <v>0</v>
          </cell>
          <cell r="DU667">
            <v>0</v>
          </cell>
          <cell r="DW667">
            <v>0</v>
          </cell>
          <cell r="DX667">
            <v>0</v>
          </cell>
          <cell r="DY667">
            <v>0</v>
          </cell>
          <cell r="DZ667">
            <v>0</v>
          </cell>
          <cell r="EA667">
            <v>0</v>
          </cell>
          <cell r="EB667">
            <v>0</v>
          </cell>
          <cell r="EC667">
            <v>0</v>
          </cell>
          <cell r="ED667">
            <v>0</v>
          </cell>
          <cell r="EE667">
            <v>0</v>
          </cell>
          <cell r="EF667">
            <v>0</v>
          </cell>
          <cell r="EG667">
            <v>0</v>
          </cell>
          <cell r="EH667">
            <v>0</v>
          </cell>
          <cell r="EI667">
            <v>0</v>
          </cell>
          <cell r="EK667">
            <v>0</v>
          </cell>
          <cell r="EL667">
            <v>0</v>
          </cell>
          <cell r="EM667">
            <v>0</v>
          </cell>
          <cell r="EN667">
            <v>0</v>
          </cell>
          <cell r="EO667">
            <v>0</v>
          </cell>
          <cell r="EP667">
            <v>0</v>
          </cell>
          <cell r="EQ667">
            <v>0</v>
          </cell>
          <cell r="ER667">
            <v>0</v>
          </cell>
          <cell r="ES667">
            <v>0</v>
          </cell>
          <cell r="ET667">
            <v>0</v>
          </cell>
          <cell r="EU667">
            <v>0</v>
          </cell>
          <cell r="EV667">
            <v>0</v>
          </cell>
          <cell r="EW667">
            <v>0</v>
          </cell>
          <cell r="EY667">
            <v>0</v>
          </cell>
          <cell r="EZ667">
            <v>8</v>
          </cell>
          <cell r="FA667">
            <v>0</v>
          </cell>
          <cell r="FB667">
            <v>0</v>
          </cell>
          <cell r="FC667">
            <v>8.6</v>
          </cell>
          <cell r="FD667">
            <v>0</v>
          </cell>
          <cell r="FE667">
            <v>0</v>
          </cell>
          <cell r="FF667">
            <v>0</v>
          </cell>
          <cell r="FH667">
            <v>0</v>
          </cell>
        </row>
        <row r="668">
          <cell r="B668">
            <v>9834</v>
          </cell>
          <cell r="C668" t="str">
            <v>21.08.2010</v>
          </cell>
          <cell r="D668" t="str">
            <v>Kale Shila Sanjay</v>
          </cell>
          <cell r="F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G668">
            <v>0</v>
          </cell>
          <cell r="AH668">
            <v>0</v>
          </cell>
          <cell r="AI668">
            <v>0</v>
          </cell>
          <cell r="AJ668">
            <v>0</v>
          </cell>
          <cell r="AK668">
            <v>0</v>
          </cell>
          <cell r="AL668">
            <v>0</v>
          </cell>
          <cell r="AM668">
            <v>0</v>
          </cell>
          <cell r="AN668">
            <v>0</v>
          </cell>
          <cell r="AO668">
            <v>0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  <cell r="AU668">
            <v>0</v>
          </cell>
          <cell r="AV668">
            <v>0</v>
          </cell>
          <cell r="AW668">
            <v>0</v>
          </cell>
          <cell r="AX668">
            <v>0</v>
          </cell>
          <cell r="AY668">
            <v>0</v>
          </cell>
          <cell r="BA668">
            <v>0</v>
          </cell>
          <cell r="BB668">
            <v>0</v>
          </cell>
          <cell r="BC668">
            <v>0</v>
          </cell>
          <cell r="BD668">
            <v>0</v>
          </cell>
          <cell r="BE668">
            <v>0</v>
          </cell>
          <cell r="BF668">
            <v>0</v>
          </cell>
          <cell r="BG668">
            <v>0</v>
          </cell>
          <cell r="BH668">
            <v>0</v>
          </cell>
          <cell r="BI668">
            <v>0</v>
          </cell>
          <cell r="BK668">
            <v>0</v>
          </cell>
          <cell r="BL668">
            <v>0</v>
          </cell>
          <cell r="BM668">
            <v>0</v>
          </cell>
          <cell r="BN668">
            <v>0</v>
          </cell>
          <cell r="BO668">
            <v>0</v>
          </cell>
          <cell r="BP668">
            <v>0</v>
          </cell>
          <cell r="BQ668">
            <v>0</v>
          </cell>
          <cell r="BR668">
            <v>0</v>
          </cell>
          <cell r="BS668">
            <v>0</v>
          </cell>
          <cell r="BU668">
            <v>0</v>
          </cell>
          <cell r="BV668">
            <v>0</v>
          </cell>
          <cell r="BW668">
            <v>0</v>
          </cell>
          <cell r="BX668">
            <v>0</v>
          </cell>
          <cell r="BY668">
            <v>0</v>
          </cell>
          <cell r="BZ668">
            <v>0</v>
          </cell>
          <cell r="CA668">
            <v>0</v>
          </cell>
          <cell r="CB668">
            <v>0</v>
          </cell>
          <cell r="CC668">
            <v>0</v>
          </cell>
          <cell r="CE668">
            <v>0</v>
          </cell>
          <cell r="CF668">
            <v>0</v>
          </cell>
          <cell r="CG668">
            <v>0</v>
          </cell>
          <cell r="CH668">
            <v>0</v>
          </cell>
          <cell r="CI668">
            <v>0</v>
          </cell>
          <cell r="CJ668">
            <v>0</v>
          </cell>
          <cell r="CK668">
            <v>0</v>
          </cell>
          <cell r="CL668">
            <v>0</v>
          </cell>
          <cell r="CM668">
            <v>0</v>
          </cell>
          <cell r="CO668">
            <v>0</v>
          </cell>
          <cell r="CP668">
            <v>0</v>
          </cell>
          <cell r="CQ668">
            <v>0</v>
          </cell>
          <cell r="CR668">
            <v>0</v>
          </cell>
          <cell r="CS668">
            <v>0</v>
          </cell>
          <cell r="CT668">
            <v>0</v>
          </cell>
          <cell r="CU668">
            <v>0</v>
          </cell>
          <cell r="CV668">
            <v>0</v>
          </cell>
          <cell r="CW668">
            <v>0</v>
          </cell>
          <cell r="CY668">
            <v>0</v>
          </cell>
          <cell r="CZ668">
            <v>0</v>
          </cell>
          <cell r="DA668">
            <v>0</v>
          </cell>
          <cell r="DB668">
            <v>0</v>
          </cell>
          <cell r="DC668">
            <v>0</v>
          </cell>
          <cell r="DD668">
            <v>0</v>
          </cell>
          <cell r="DE668">
            <v>0</v>
          </cell>
          <cell r="DF668">
            <v>0</v>
          </cell>
          <cell r="DG668">
            <v>0</v>
          </cell>
          <cell r="DI668">
            <v>0</v>
          </cell>
          <cell r="DJ668">
            <v>0</v>
          </cell>
          <cell r="DK668">
            <v>0</v>
          </cell>
          <cell r="DL668">
            <v>0</v>
          </cell>
          <cell r="DM668">
            <v>0</v>
          </cell>
          <cell r="DN668">
            <v>0</v>
          </cell>
          <cell r="DO668">
            <v>0</v>
          </cell>
          <cell r="DP668">
            <v>0</v>
          </cell>
          <cell r="DQ668">
            <v>0</v>
          </cell>
          <cell r="DR668">
            <v>0</v>
          </cell>
          <cell r="DS668">
            <v>0</v>
          </cell>
          <cell r="DT668">
            <v>0</v>
          </cell>
          <cell r="DU668">
            <v>0</v>
          </cell>
          <cell r="DW668">
            <v>0</v>
          </cell>
          <cell r="DX668">
            <v>0</v>
          </cell>
          <cell r="DY668">
            <v>0</v>
          </cell>
          <cell r="DZ668">
            <v>0</v>
          </cell>
          <cell r="EA668">
            <v>0</v>
          </cell>
          <cell r="EB668">
            <v>0</v>
          </cell>
          <cell r="EC668">
            <v>0</v>
          </cell>
          <cell r="ED668">
            <v>0</v>
          </cell>
          <cell r="EE668">
            <v>0</v>
          </cell>
          <cell r="EF668">
            <v>0</v>
          </cell>
          <cell r="EG668">
            <v>0</v>
          </cell>
          <cell r="EH668">
            <v>0</v>
          </cell>
          <cell r="EI668">
            <v>0</v>
          </cell>
          <cell r="EK668">
            <v>0</v>
          </cell>
          <cell r="EL668">
            <v>0</v>
          </cell>
          <cell r="EM668">
            <v>0</v>
          </cell>
          <cell r="EN668">
            <v>0</v>
          </cell>
          <cell r="EO668">
            <v>0</v>
          </cell>
          <cell r="EP668">
            <v>0</v>
          </cell>
          <cell r="EQ668">
            <v>0</v>
          </cell>
          <cell r="ER668">
            <v>0</v>
          </cell>
          <cell r="ES668">
            <v>0</v>
          </cell>
          <cell r="ET668">
            <v>0</v>
          </cell>
          <cell r="EU668">
            <v>0</v>
          </cell>
          <cell r="EV668">
            <v>0</v>
          </cell>
          <cell r="EW668">
            <v>0</v>
          </cell>
          <cell r="EY668">
            <v>0</v>
          </cell>
          <cell r="EZ668">
            <v>8</v>
          </cell>
          <cell r="FA668">
            <v>0</v>
          </cell>
          <cell r="FB668">
            <v>0</v>
          </cell>
          <cell r="FC668">
            <v>8.6</v>
          </cell>
          <cell r="FD668">
            <v>0</v>
          </cell>
          <cell r="FE668">
            <v>0</v>
          </cell>
          <cell r="FF668">
            <v>0</v>
          </cell>
          <cell r="FH668">
            <v>0</v>
          </cell>
        </row>
        <row r="669">
          <cell r="B669">
            <v>9833</v>
          </cell>
          <cell r="C669" t="str">
            <v>23.08.2010</v>
          </cell>
          <cell r="D669" t="str">
            <v>Bhalerao Sarla Kacharu</v>
          </cell>
          <cell r="F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G669">
            <v>0</v>
          </cell>
          <cell r="AH669">
            <v>0</v>
          </cell>
          <cell r="AI669">
            <v>0</v>
          </cell>
          <cell r="AJ669">
            <v>0</v>
          </cell>
          <cell r="AK669">
            <v>0</v>
          </cell>
          <cell r="AL669">
            <v>0</v>
          </cell>
          <cell r="AM669">
            <v>0</v>
          </cell>
          <cell r="AN669">
            <v>0</v>
          </cell>
          <cell r="AO669">
            <v>0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  <cell r="AU669">
            <v>0</v>
          </cell>
          <cell r="AV669">
            <v>0</v>
          </cell>
          <cell r="AW669">
            <v>0</v>
          </cell>
          <cell r="AX669">
            <v>0</v>
          </cell>
          <cell r="AY669">
            <v>0</v>
          </cell>
          <cell r="BA669">
            <v>0</v>
          </cell>
          <cell r="BB669">
            <v>0</v>
          </cell>
          <cell r="BC669">
            <v>0</v>
          </cell>
          <cell r="BD669">
            <v>0</v>
          </cell>
          <cell r="BE669">
            <v>0</v>
          </cell>
          <cell r="BF669">
            <v>0</v>
          </cell>
          <cell r="BG669">
            <v>0</v>
          </cell>
          <cell r="BH669">
            <v>0</v>
          </cell>
          <cell r="BI669">
            <v>0</v>
          </cell>
          <cell r="BK669">
            <v>0</v>
          </cell>
          <cell r="BL669">
            <v>0</v>
          </cell>
          <cell r="BM669">
            <v>0</v>
          </cell>
          <cell r="BN669">
            <v>0</v>
          </cell>
          <cell r="BO669">
            <v>0</v>
          </cell>
          <cell r="BP669">
            <v>0</v>
          </cell>
          <cell r="BQ669">
            <v>0</v>
          </cell>
          <cell r="BR669">
            <v>0</v>
          </cell>
          <cell r="BS669">
            <v>0</v>
          </cell>
          <cell r="BU669">
            <v>0</v>
          </cell>
          <cell r="BV669">
            <v>0</v>
          </cell>
          <cell r="BW669">
            <v>0</v>
          </cell>
          <cell r="BX669">
            <v>0</v>
          </cell>
          <cell r="BY669">
            <v>0</v>
          </cell>
          <cell r="BZ669">
            <v>0</v>
          </cell>
          <cell r="CA669">
            <v>0</v>
          </cell>
          <cell r="CB669">
            <v>0</v>
          </cell>
          <cell r="CC669">
            <v>0</v>
          </cell>
          <cell r="CE669">
            <v>0</v>
          </cell>
          <cell r="CF669">
            <v>0</v>
          </cell>
          <cell r="CG669">
            <v>0</v>
          </cell>
          <cell r="CH669">
            <v>0</v>
          </cell>
          <cell r="CI669">
            <v>0</v>
          </cell>
          <cell r="CJ669">
            <v>0</v>
          </cell>
          <cell r="CK669">
            <v>0</v>
          </cell>
          <cell r="CL669">
            <v>0</v>
          </cell>
          <cell r="CM669">
            <v>0</v>
          </cell>
          <cell r="CO669">
            <v>0</v>
          </cell>
          <cell r="CP669">
            <v>0</v>
          </cell>
          <cell r="CQ669">
            <v>0</v>
          </cell>
          <cell r="CR669">
            <v>0</v>
          </cell>
          <cell r="CS669">
            <v>0</v>
          </cell>
          <cell r="CT669">
            <v>0</v>
          </cell>
          <cell r="CU669">
            <v>0</v>
          </cell>
          <cell r="CV669">
            <v>0</v>
          </cell>
          <cell r="CW669">
            <v>0</v>
          </cell>
          <cell r="CY669">
            <v>0</v>
          </cell>
          <cell r="CZ669">
            <v>0</v>
          </cell>
          <cell r="DA669">
            <v>0</v>
          </cell>
          <cell r="DB669">
            <v>0</v>
          </cell>
          <cell r="DC669">
            <v>0</v>
          </cell>
          <cell r="DD669">
            <v>0</v>
          </cell>
          <cell r="DE669">
            <v>0</v>
          </cell>
          <cell r="DF669">
            <v>0</v>
          </cell>
          <cell r="DG669">
            <v>0</v>
          </cell>
          <cell r="DI669">
            <v>0</v>
          </cell>
          <cell r="DJ669">
            <v>0</v>
          </cell>
          <cell r="DK669">
            <v>0</v>
          </cell>
          <cell r="DL669">
            <v>0</v>
          </cell>
          <cell r="DM669">
            <v>0</v>
          </cell>
          <cell r="DN669">
            <v>0</v>
          </cell>
          <cell r="DO669">
            <v>0</v>
          </cell>
          <cell r="DP669">
            <v>0</v>
          </cell>
          <cell r="DQ669">
            <v>0</v>
          </cell>
          <cell r="DR669">
            <v>0</v>
          </cell>
          <cell r="DS669">
            <v>0</v>
          </cell>
          <cell r="DT669">
            <v>0</v>
          </cell>
          <cell r="DU669">
            <v>0</v>
          </cell>
          <cell r="DW669">
            <v>0</v>
          </cell>
          <cell r="DX669">
            <v>0</v>
          </cell>
          <cell r="DY669">
            <v>0</v>
          </cell>
          <cell r="DZ669">
            <v>0</v>
          </cell>
          <cell r="EA669">
            <v>0</v>
          </cell>
          <cell r="EB669">
            <v>0</v>
          </cell>
          <cell r="EC669">
            <v>0</v>
          </cell>
          <cell r="ED669">
            <v>0</v>
          </cell>
          <cell r="EE669">
            <v>0</v>
          </cell>
          <cell r="EF669">
            <v>0</v>
          </cell>
          <cell r="EG669">
            <v>0</v>
          </cell>
          <cell r="EH669">
            <v>0</v>
          </cell>
          <cell r="EI669">
            <v>0</v>
          </cell>
          <cell r="EK669">
            <v>0</v>
          </cell>
          <cell r="EL669">
            <v>0</v>
          </cell>
          <cell r="EM669">
            <v>0</v>
          </cell>
          <cell r="EN669">
            <v>0</v>
          </cell>
          <cell r="EO669">
            <v>0</v>
          </cell>
          <cell r="EP669">
            <v>0</v>
          </cell>
          <cell r="EQ669">
            <v>0</v>
          </cell>
          <cell r="ER669">
            <v>0</v>
          </cell>
          <cell r="ES669">
            <v>0</v>
          </cell>
          <cell r="ET669">
            <v>0</v>
          </cell>
          <cell r="EU669">
            <v>0</v>
          </cell>
          <cell r="EV669">
            <v>0</v>
          </cell>
          <cell r="EW669">
            <v>0</v>
          </cell>
          <cell r="EY669">
            <v>0</v>
          </cell>
          <cell r="EZ669">
            <v>8</v>
          </cell>
          <cell r="FA669">
            <v>0</v>
          </cell>
          <cell r="FB669">
            <v>0</v>
          </cell>
          <cell r="FC669">
            <v>8.6</v>
          </cell>
          <cell r="FD669">
            <v>0</v>
          </cell>
          <cell r="FE669">
            <v>0</v>
          </cell>
          <cell r="FF669">
            <v>0</v>
          </cell>
          <cell r="FH669">
            <v>0</v>
          </cell>
        </row>
        <row r="670">
          <cell r="B670">
            <v>9741</v>
          </cell>
          <cell r="C670" t="str">
            <v>25.08.2010</v>
          </cell>
          <cell r="D670" t="str">
            <v>Gaikwad Anita Yakub</v>
          </cell>
          <cell r="F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G670">
            <v>0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0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BA670">
            <v>0</v>
          </cell>
          <cell r="BB670">
            <v>0</v>
          </cell>
          <cell r="BC670">
            <v>0</v>
          </cell>
          <cell r="BD670">
            <v>0</v>
          </cell>
          <cell r="BE670">
            <v>0</v>
          </cell>
          <cell r="BF670">
            <v>0</v>
          </cell>
          <cell r="BG670">
            <v>0</v>
          </cell>
          <cell r="BH670">
            <v>0</v>
          </cell>
          <cell r="BI670">
            <v>0</v>
          </cell>
          <cell r="BK670">
            <v>0</v>
          </cell>
          <cell r="BL670">
            <v>0</v>
          </cell>
          <cell r="BM670">
            <v>0</v>
          </cell>
          <cell r="BN670">
            <v>0</v>
          </cell>
          <cell r="BO670">
            <v>0</v>
          </cell>
          <cell r="BP670">
            <v>0</v>
          </cell>
          <cell r="BQ670">
            <v>0</v>
          </cell>
          <cell r="BR670">
            <v>0</v>
          </cell>
          <cell r="BS670">
            <v>0</v>
          </cell>
          <cell r="BU670">
            <v>0</v>
          </cell>
          <cell r="BV670">
            <v>0</v>
          </cell>
          <cell r="BW670">
            <v>0</v>
          </cell>
          <cell r="BX670">
            <v>0</v>
          </cell>
          <cell r="BY670">
            <v>0</v>
          </cell>
          <cell r="BZ670">
            <v>0</v>
          </cell>
          <cell r="CA670">
            <v>0</v>
          </cell>
          <cell r="CB670">
            <v>0</v>
          </cell>
          <cell r="CC670">
            <v>0</v>
          </cell>
          <cell r="CE670">
            <v>0</v>
          </cell>
          <cell r="CF670">
            <v>0</v>
          </cell>
          <cell r="CG670">
            <v>0</v>
          </cell>
          <cell r="CH670">
            <v>0</v>
          </cell>
          <cell r="CI670">
            <v>0</v>
          </cell>
          <cell r="CJ670">
            <v>0</v>
          </cell>
          <cell r="CK670">
            <v>0</v>
          </cell>
          <cell r="CL670">
            <v>0</v>
          </cell>
          <cell r="CM670">
            <v>0</v>
          </cell>
          <cell r="CO670">
            <v>0</v>
          </cell>
          <cell r="CP670">
            <v>0</v>
          </cell>
          <cell r="CQ670">
            <v>0</v>
          </cell>
          <cell r="CR670">
            <v>0</v>
          </cell>
          <cell r="CS670">
            <v>0</v>
          </cell>
          <cell r="CT670">
            <v>0</v>
          </cell>
          <cell r="CU670">
            <v>0</v>
          </cell>
          <cell r="CV670">
            <v>0</v>
          </cell>
          <cell r="CW670">
            <v>0</v>
          </cell>
          <cell r="CY670">
            <v>0</v>
          </cell>
          <cell r="CZ670">
            <v>0</v>
          </cell>
          <cell r="DA670">
            <v>0</v>
          </cell>
          <cell r="DB670">
            <v>0</v>
          </cell>
          <cell r="DC670">
            <v>0</v>
          </cell>
          <cell r="DD670">
            <v>0</v>
          </cell>
          <cell r="DE670">
            <v>0</v>
          </cell>
          <cell r="DF670">
            <v>0</v>
          </cell>
          <cell r="DG670">
            <v>0</v>
          </cell>
          <cell r="DI670">
            <v>0</v>
          </cell>
          <cell r="DJ670">
            <v>0</v>
          </cell>
          <cell r="DK670">
            <v>0</v>
          </cell>
          <cell r="DL670">
            <v>0</v>
          </cell>
          <cell r="DM670">
            <v>0</v>
          </cell>
          <cell r="DN670">
            <v>0</v>
          </cell>
          <cell r="DO670">
            <v>0</v>
          </cell>
          <cell r="DP670">
            <v>0</v>
          </cell>
          <cell r="DQ670">
            <v>0</v>
          </cell>
          <cell r="DR670">
            <v>0</v>
          </cell>
          <cell r="DS670">
            <v>0</v>
          </cell>
          <cell r="DT670">
            <v>0</v>
          </cell>
          <cell r="DU670">
            <v>0</v>
          </cell>
          <cell r="DW670">
            <v>0</v>
          </cell>
          <cell r="DX670">
            <v>0</v>
          </cell>
          <cell r="DY670">
            <v>0</v>
          </cell>
          <cell r="DZ670">
            <v>0</v>
          </cell>
          <cell r="EA670">
            <v>0</v>
          </cell>
          <cell r="EB670">
            <v>0</v>
          </cell>
          <cell r="EC670">
            <v>0</v>
          </cell>
          <cell r="ED670">
            <v>0</v>
          </cell>
          <cell r="EE670">
            <v>0</v>
          </cell>
          <cell r="EF670">
            <v>0</v>
          </cell>
          <cell r="EG670">
            <v>0</v>
          </cell>
          <cell r="EH670">
            <v>0</v>
          </cell>
          <cell r="EI670">
            <v>0</v>
          </cell>
          <cell r="EK670">
            <v>0</v>
          </cell>
          <cell r="EL670">
            <v>0</v>
          </cell>
          <cell r="EM670">
            <v>0</v>
          </cell>
          <cell r="EN670">
            <v>0</v>
          </cell>
          <cell r="EO670">
            <v>0</v>
          </cell>
          <cell r="EP670">
            <v>0</v>
          </cell>
          <cell r="EQ670">
            <v>0</v>
          </cell>
          <cell r="ER670">
            <v>0</v>
          </cell>
          <cell r="ES670">
            <v>0</v>
          </cell>
          <cell r="ET670">
            <v>0</v>
          </cell>
          <cell r="EU670">
            <v>0</v>
          </cell>
          <cell r="EV670">
            <v>0</v>
          </cell>
          <cell r="EW670">
            <v>0</v>
          </cell>
          <cell r="EY670">
            <v>0</v>
          </cell>
          <cell r="EZ670">
            <v>8</v>
          </cell>
          <cell r="FA670">
            <v>0</v>
          </cell>
          <cell r="FB670">
            <v>0</v>
          </cell>
          <cell r="FC670">
            <v>8.6</v>
          </cell>
          <cell r="FD670">
            <v>0</v>
          </cell>
          <cell r="FE670">
            <v>0</v>
          </cell>
          <cell r="FF670">
            <v>0</v>
          </cell>
          <cell r="FH670">
            <v>0</v>
          </cell>
        </row>
        <row r="671">
          <cell r="B671">
            <v>9742</v>
          </cell>
          <cell r="C671" t="str">
            <v>25.08.2010</v>
          </cell>
          <cell r="D671" t="str">
            <v>Mandave Rajesh Ramdas</v>
          </cell>
          <cell r="F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G671">
            <v>0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0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BA671">
            <v>0</v>
          </cell>
          <cell r="BB671">
            <v>0</v>
          </cell>
          <cell r="BC671">
            <v>0</v>
          </cell>
          <cell r="BD671">
            <v>0</v>
          </cell>
          <cell r="BE671">
            <v>0</v>
          </cell>
          <cell r="BF671">
            <v>0</v>
          </cell>
          <cell r="BG671">
            <v>0</v>
          </cell>
          <cell r="BH671">
            <v>0</v>
          </cell>
          <cell r="BI671">
            <v>0</v>
          </cell>
          <cell r="BK671">
            <v>0</v>
          </cell>
          <cell r="BL671">
            <v>0</v>
          </cell>
          <cell r="BM671">
            <v>0</v>
          </cell>
          <cell r="BN671">
            <v>0</v>
          </cell>
          <cell r="BO671">
            <v>0</v>
          </cell>
          <cell r="BP671">
            <v>0</v>
          </cell>
          <cell r="BQ671">
            <v>0</v>
          </cell>
          <cell r="BR671">
            <v>0</v>
          </cell>
          <cell r="BS671">
            <v>0</v>
          </cell>
          <cell r="BU671">
            <v>0</v>
          </cell>
          <cell r="BV671">
            <v>0</v>
          </cell>
          <cell r="BW671">
            <v>0</v>
          </cell>
          <cell r="BX671">
            <v>0</v>
          </cell>
          <cell r="BY671">
            <v>0</v>
          </cell>
          <cell r="BZ671">
            <v>0</v>
          </cell>
          <cell r="CA671">
            <v>0</v>
          </cell>
          <cell r="CB671">
            <v>0</v>
          </cell>
          <cell r="CC671">
            <v>0</v>
          </cell>
          <cell r="CE671">
            <v>0</v>
          </cell>
          <cell r="CF671">
            <v>0</v>
          </cell>
          <cell r="CG671">
            <v>0</v>
          </cell>
          <cell r="CH671">
            <v>0</v>
          </cell>
          <cell r="CI671">
            <v>0</v>
          </cell>
          <cell r="CJ671">
            <v>0</v>
          </cell>
          <cell r="CK671">
            <v>0</v>
          </cell>
          <cell r="CL671">
            <v>0</v>
          </cell>
          <cell r="CM671">
            <v>0</v>
          </cell>
          <cell r="CO671">
            <v>0</v>
          </cell>
          <cell r="CP671">
            <v>0</v>
          </cell>
          <cell r="CQ671">
            <v>0</v>
          </cell>
          <cell r="CR671">
            <v>0</v>
          </cell>
          <cell r="CS671">
            <v>0</v>
          </cell>
          <cell r="CT671">
            <v>0</v>
          </cell>
          <cell r="CU671">
            <v>0</v>
          </cell>
          <cell r="CV671">
            <v>0</v>
          </cell>
          <cell r="CW671">
            <v>0</v>
          </cell>
          <cell r="CY671">
            <v>0</v>
          </cell>
          <cell r="CZ671">
            <v>0</v>
          </cell>
          <cell r="DA671">
            <v>0</v>
          </cell>
          <cell r="DB671">
            <v>0</v>
          </cell>
          <cell r="DC671">
            <v>0</v>
          </cell>
          <cell r="DD671">
            <v>0</v>
          </cell>
          <cell r="DE671">
            <v>0</v>
          </cell>
          <cell r="DF671">
            <v>0</v>
          </cell>
          <cell r="DG671">
            <v>0</v>
          </cell>
          <cell r="DI671">
            <v>0</v>
          </cell>
          <cell r="DJ671">
            <v>0</v>
          </cell>
          <cell r="DK671">
            <v>0</v>
          </cell>
          <cell r="DL671">
            <v>0</v>
          </cell>
          <cell r="DM671">
            <v>0</v>
          </cell>
          <cell r="DN671">
            <v>0</v>
          </cell>
          <cell r="DO671">
            <v>0</v>
          </cell>
          <cell r="DP671">
            <v>0</v>
          </cell>
          <cell r="DQ671">
            <v>0</v>
          </cell>
          <cell r="DR671">
            <v>0</v>
          </cell>
          <cell r="DS671">
            <v>0</v>
          </cell>
          <cell r="DT671">
            <v>0</v>
          </cell>
          <cell r="DU671">
            <v>0</v>
          </cell>
          <cell r="DW671">
            <v>0</v>
          </cell>
          <cell r="DX671">
            <v>0</v>
          </cell>
          <cell r="DY671">
            <v>0</v>
          </cell>
          <cell r="DZ671">
            <v>0</v>
          </cell>
          <cell r="EA671">
            <v>0</v>
          </cell>
          <cell r="EB671">
            <v>0</v>
          </cell>
          <cell r="EC671">
            <v>0</v>
          </cell>
          <cell r="ED671">
            <v>0</v>
          </cell>
          <cell r="EE671">
            <v>0</v>
          </cell>
          <cell r="EF671">
            <v>0</v>
          </cell>
          <cell r="EG671">
            <v>0</v>
          </cell>
          <cell r="EH671">
            <v>0</v>
          </cell>
          <cell r="EI671">
            <v>0</v>
          </cell>
          <cell r="EK671">
            <v>0</v>
          </cell>
          <cell r="EL671">
            <v>0</v>
          </cell>
          <cell r="EM671">
            <v>0</v>
          </cell>
          <cell r="EN671">
            <v>0</v>
          </cell>
          <cell r="EO671">
            <v>0</v>
          </cell>
          <cell r="EP671">
            <v>0</v>
          </cell>
          <cell r="EQ671">
            <v>0</v>
          </cell>
          <cell r="ER671">
            <v>0</v>
          </cell>
          <cell r="ES671">
            <v>0</v>
          </cell>
          <cell r="ET671">
            <v>0</v>
          </cell>
          <cell r="EU671">
            <v>0</v>
          </cell>
          <cell r="EV671">
            <v>0</v>
          </cell>
          <cell r="EW671">
            <v>0</v>
          </cell>
          <cell r="EY671">
            <v>0</v>
          </cell>
          <cell r="EZ671">
            <v>8</v>
          </cell>
          <cell r="FA671">
            <v>0</v>
          </cell>
          <cell r="FB671">
            <v>0</v>
          </cell>
          <cell r="FC671">
            <v>8.6</v>
          </cell>
          <cell r="FD671">
            <v>0</v>
          </cell>
          <cell r="FE671">
            <v>0</v>
          </cell>
          <cell r="FF671">
            <v>0</v>
          </cell>
          <cell r="FH671">
            <v>0</v>
          </cell>
        </row>
        <row r="672">
          <cell r="B672">
            <v>9743</v>
          </cell>
          <cell r="C672" t="str">
            <v>25.08.2010</v>
          </cell>
          <cell r="D672" t="str">
            <v>Patil Vinayak Dilip</v>
          </cell>
          <cell r="F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0</v>
          </cell>
          <cell r="AM672">
            <v>0</v>
          </cell>
          <cell r="AN672">
            <v>0</v>
          </cell>
          <cell r="AO672">
            <v>0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0</v>
          </cell>
          <cell r="AY672">
            <v>0</v>
          </cell>
          <cell r="BA672">
            <v>0</v>
          </cell>
          <cell r="BB672">
            <v>0</v>
          </cell>
          <cell r="BC672">
            <v>0</v>
          </cell>
          <cell r="BD672">
            <v>0</v>
          </cell>
          <cell r="BE672">
            <v>0</v>
          </cell>
          <cell r="BF672">
            <v>0</v>
          </cell>
          <cell r="BG672">
            <v>0</v>
          </cell>
          <cell r="BH672">
            <v>0</v>
          </cell>
          <cell r="BI672">
            <v>0</v>
          </cell>
          <cell r="BK672">
            <v>0</v>
          </cell>
          <cell r="BL672">
            <v>0</v>
          </cell>
          <cell r="BM672">
            <v>0</v>
          </cell>
          <cell r="BN672">
            <v>0</v>
          </cell>
          <cell r="BO672">
            <v>0</v>
          </cell>
          <cell r="BP672">
            <v>0</v>
          </cell>
          <cell r="BQ672">
            <v>0</v>
          </cell>
          <cell r="BR672">
            <v>0</v>
          </cell>
          <cell r="BS672">
            <v>0</v>
          </cell>
          <cell r="BU672">
            <v>0</v>
          </cell>
          <cell r="BV672">
            <v>0</v>
          </cell>
          <cell r="BW672">
            <v>0</v>
          </cell>
          <cell r="BX672">
            <v>0</v>
          </cell>
          <cell r="BY672">
            <v>0</v>
          </cell>
          <cell r="BZ672">
            <v>0</v>
          </cell>
          <cell r="CA672">
            <v>0</v>
          </cell>
          <cell r="CB672">
            <v>0</v>
          </cell>
          <cell r="CC672">
            <v>0</v>
          </cell>
          <cell r="CE672">
            <v>0</v>
          </cell>
          <cell r="CF672">
            <v>0</v>
          </cell>
          <cell r="CG672">
            <v>0</v>
          </cell>
          <cell r="CH672">
            <v>0</v>
          </cell>
          <cell r="CI672">
            <v>0</v>
          </cell>
          <cell r="CJ672">
            <v>0</v>
          </cell>
          <cell r="CK672">
            <v>0</v>
          </cell>
          <cell r="CL672">
            <v>0</v>
          </cell>
          <cell r="CM672">
            <v>0</v>
          </cell>
          <cell r="CO672">
            <v>0</v>
          </cell>
          <cell r="CP672">
            <v>0</v>
          </cell>
          <cell r="CQ672">
            <v>0</v>
          </cell>
          <cell r="CR672">
            <v>0</v>
          </cell>
          <cell r="CS672">
            <v>0</v>
          </cell>
          <cell r="CT672">
            <v>0</v>
          </cell>
          <cell r="CU672">
            <v>0</v>
          </cell>
          <cell r="CV672">
            <v>0</v>
          </cell>
          <cell r="CW672">
            <v>0</v>
          </cell>
          <cell r="CY672">
            <v>0</v>
          </cell>
          <cell r="CZ672">
            <v>0</v>
          </cell>
          <cell r="DA672">
            <v>0</v>
          </cell>
          <cell r="DB672">
            <v>0</v>
          </cell>
          <cell r="DC672">
            <v>0</v>
          </cell>
          <cell r="DD672">
            <v>0</v>
          </cell>
          <cell r="DE672">
            <v>0</v>
          </cell>
          <cell r="DF672">
            <v>0</v>
          </cell>
          <cell r="DG672">
            <v>0</v>
          </cell>
          <cell r="DI672">
            <v>0</v>
          </cell>
          <cell r="DJ672">
            <v>0</v>
          </cell>
          <cell r="DK672">
            <v>0</v>
          </cell>
          <cell r="DL672">
            <v>0</v>
          </cell>
          <cell r="DM672">
            <v>0</v>
          </cell>
          <cell r="DN672">
            <v>0</v>
          </cell>
          <cell r="DO672">
            <v>0</v>
          </cell>
          <cell r="DP672">
            <v>0</v>
          </cell>
          <cell r="DQ672">
            <v>0</v>
          </cell>
          <cell r="DR672">
            <v>0</v>
          </cell>
          <cell r="DS672">
            <v>0</v>
          </cell>
          <cell r="DT672">
            <v>0</v>
          </cell>
          <cell r="DU672">
            <v>0</v>
          </cell>
          <cell r="DW672">
            <v>0</v>
          </cell>
          <cell r="DX672">
            <v>0</v>
          </cell>
          <cell r="DY672">
            <v>0</v>
          </cell>
          <cell r="DZ672">
            <v>0</v>
          </cell>
          <cell r="EA672">
            <v>0</v>
          </cell>
          <cell r="EB672">
            <v>0</v>
          </cell>
          <cell r="EC672">
            <v>0</v>
          </cell>
          <cell r="ED672">
            <v>0</v>
          </cell>
          <cell r="EE672">
            <v>0</v>
          </cell>
          <cell r="EF672">
            <v>0</v>
          </cell>
          <cell r="EG672">
            <v>0</v>
          </cell>
          <cell r="EH672">
            <v>0</v>
          </cell>
          <cell r="EI672">
            <v>0</v>
          </cell>
          <cell r="EK672">
            <v>0</v>
          </cell>
          <cell r="EL672">
            <v>0</v>
          </cell>
          <cell r="EM672">
            <v>0</v>
          </cell>
          <cell r="EN672">
            <v>0</v>
          </cell>
          <cell r="EO672">
            <v>0</v>
          </cell>
          <cell r="EP672">
            <v>0</v>
          </cell>
          <cell r="EQ672">
            <v>0</v>
          </cell>
          <cell r="ER672">
            <v>0</v>
          </cell>
          <cell r="ES672">
            <v>0</v>
          </cell>
          <cell r="ET672">
            <v>0</v>
          </cell>
          <cell r="EU672">
            <v>0</v>
          </cell>
          <cell r="EV672">
            <v>0</v>
          </cell>
          <cell r="EW672">
            <v>0</v>
          </cell>
          <cell r="EY672">
            <v>0</v>
          </cell>
          <cell r="EZ672">
            <v>8</v>
          </cell>
          <cell r="FA672">
            <v>0</v>
          </cell>
          <cell r="FB672">
            <v>0</v>
          </cell>
          <cell r="FC672">
            <v>8.6</v>
          </cell>
          <cell r="FD672">
            <v>0</v>
          </cell>
          <cell r="FE672">
            <v>0</v>
          </cell>
          <cell r="FF672">
            <v>0</v>
          </cell>
          <cell r="FH672">
            <v>0</v>
          </cell>
        </row>
        <row r="673">
          <cell r="B673">
            <v>9746</v>
          </cell>
          <cell r="C673" t="str">
            <v>25.08.2010</v>
          </cell>
          <cell r="D673" t="str">
            <v>Kansara Priydarshan Abhiram</v>
          </cell>
          <cell r="F673">
            <v>0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AL673">
            <v>0</v>
          </cell>
          <cell r="AM673">
            <v>0</v>
          </cell>
          <cell r="AN673">
            <v>0</v>
          </cell>
          <cell r="AO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  <cell r="BA673">
            <v>0</v>
          </cell>
          <cell r="BB673">
            <v>0</v>
          </cell>
          <cell r="BC673">
            <v>0</v>
          </cell>
          <cell r="BD673">
            <v>0</v>
          </cell>
          <cell r="BE673">
            <v>0</v>
          </cell>
          <cell r="BF673">
            <v>0</v>
          </cell>
          <cell r="BG673">
            <v>0</v>
          </cell>
          <cell r="BH673">
            <v>0</v>
          </cell>
          <cell r="BI673">
            <v>0</v>
          </cell>
          <cell r="BK673">
            <v>0</v>
          </cell>
          <cell r="BL673">
            <v>0</v>
          </cell>
          <cell r="BM673">
            <v>0</v>
          </cell>
          <cell r="BN673">
            <v>0</v>
          </cell>
          <cell r="BO673">
            <v>0</v>
          </cell>
          <cell r="BP673">
            <v>0</v>
          </cell>
          <cell r="BQ673">
            <v>0</v>
          </cell>
          <cell r="BR673">
            <v>0</v>
          </cell>
          <cell r="BS673">
            <v>0</v>
          </cell>
          <cell r="BU673">
            <v>0</v>
          </cell>
          <cell r="BV673">
            <v>0</v>
          </cell>
          <cell r="BW673">
            <v>0</v>
          </cell>
          <cell r="BX673">
            <v>0</v>
          </cell>
          <cell r="BY673">
            <v>0</v>
          </cell>
          <cell r="BZ673">
            <v>0</v>
          </cell>
          <cell r="CA673">
            <v>0</v>
          </cell>
          <cell r="CB673">
            <v>0</v>
          </cell>
          <cell r="CC673">
            <v>0</v>
          </cell>
          <cell r="CE673">
            <v>0</v>
          </cell>
          <cell r="CF673">
            <v>0</v>
          </cell>
          <cell r="CG673">
            <v>0</v>
          </cell>
          <cell r="CH673">
            <v>0</v>
          </cell>
          <cell r="CI673">
            <v>0</v>
          </cell>
          <cell r="CJ673">
            <v>0</v>
          </cell>
          <cell r="CK673">
            <v>0</v>
          </cell>
          <cell r="CL673">
            <v>0</v>
          </cell>
          <cell r="CM673">
            <v>0</v>
          </cell>
          <cell r="CO673">
            <v>0</v>
          </cell>
          <cell r="CP673">
            <v>0</v>
          </cell>
          <cell r="CQ673">
            <v>0</v>
          </cell>
          <cell r="CR673">
            <v>0</v>
          </cell>
          <cell r="CS673">
            <v>0</v>
          </cell>
          <cell r="CT673">
            <v>0</v>
          </cell>
          <cell r="CU673">
            <v>0</v>
          </cell>
          <cell r="CV673">
            <v>0</v>
          </cell>
          <cell r="CW673">
            <v>0</v>
          </cell>
          <cell r="CY673">
            <v>0</v>
          </cell>
          <cell r="CZ673">
            <v>0</v>
          </cell>
          <cell r="DA673">
            <v>0</v>
          </cell>
          <cell r="DB673">
            <v>0</v>
          </cell>
          <cell r="DC673">
            <v>0</v>
          </cell>
          <cell r="DD673">
            <v>0</v>
          </cell>
          <cell r="DE673">
            <v>0</v>
          </cell>
          <cell r="DF673">
            <v>0</v>
          </cell>
          <cell r="DG673">
            <v>0</v>
          </cell>
          <cell r="DI673">
            <v>0</v>
          </cell>
          <cell r="DJ673">
            <v>0</v>
          </cell>
          <cell r="DK673">
            <v>0</v>
          </cell>
          <cell r="DL673">
            <v>0</v>
          </cell>
          <cell r="DM673">
            <v>0</v>
          </cell>
          <cell r="DN673">
            <v>0</v>
          </cell>
          <cell r="DO673">
            <v>0</v>
          </cell>
          <cell r="DP673">
            <v>0</v>
          </cell>
          <cell r="DQ673">
            <v>0</v>
          </cell>
          <cell r="DR673">
            <v>0</v>
          </cell>
          <cell r="DS673">
            <v>0</v>
          </cell>
          <cell r="DT673">
            <v>0</v>
          </cell>
          <cell r="DU673">
            <v>0</v>
          </cell>
          <cell r="DW673">
            <v>0</v>
          </cell>
          <cell r="DX673">
            <v>0</v>
          </cell>
          <cell r="DY673">
            <v>0</v>
          </cell>
          <cell r="DZ673">
            <v>0</v>
          </cell>
          <cell r="EA673">
            <v>0</v>
          </cell>
          <cell r="EB673">
            <v>0</v>
          </cell>
          <cell r="EC673">
            <v>0</v>
          </cell>
          <cell r="ED673">
            <v>0</v>
          </cell>
          <cell r="EE673">
            <v>0</v>
          </cell>
          <cell r="EF673">
            <v>0</v>
          </cell>
          <cell r="EG673">
            <v>0</v>
          </cell>
          <cell r="EH673">
            <v>0</v>
          </cell>
          <cell r="EI673">
            <v>0</v>
          </cell>
          <cell r="EK673">
            <v>0</v>
          </cell>
          <cell r="EL673">
            <v>0</v>
          </cell>
          <cell r="EM673">
            <v>0</v>
          </cell>
          <cell r="EN673">
            <v>0</v>
          </cell>
          <cell r="EO673">
            <v>0</v>
          </cell>
          <cell r="EP673">
            <v>0</v>
          </cell>
          <cell r="EQ673">
            <v>0</v>
          </cell>
          <cell r="ER673">
            <v>0</v>
          </cell>
          <cell r="ES673">
            <v>0</v>
          </cell>
          <cell r="ET673">
            <v>0</v>
          </cell>
          <cell r="EU673">
            <v>0</v>
          </cell>
          <cell r="EV673">
            <v>0</v>
          </cell>
          <cell r="EW673">
            <v>0</v>
          </cell>
          <cell r="EY673">
            <v>0</v>
          </cell>
          <cell r="EZ673">
            <v>8</v>
          </cell>
          <cell r="FA673">
            <v>0</v>
          </cell>
          <cell r="FB673">
            <v>0</v>
          </cell>
          <cell r="FC673">
            <v>8.6</v>
          </cell>
          <cell r="FD673">
            <v>0</v>
          </cell>
          <cell r="FE673">
            <v>0</v>
          </cell>
          <cell r="FF673">
            <v>0</v>
          </cell>
          <cell r="FH673">
            <v>0</v>
          </cell>
        </row>
        <row r="674">
          <cell r="B674">
            <v>9747</v>
          </cell>
          <cell r="C674" t="str">
            <v>25.08.2010</v>
          </cell>
          <cell r="D674" t="str">
            <v>Kapse Ganesh Somnath</v>
          </cell>
          <cell r="F674">
            <v>0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G674">
            <v>0</v>
          </cell>
          <cell r="AH674">
            <v>0</v>
          </cell>
          <cell r="AI674">
            <v>0</v>
          </cell>
          <cell r="AJ674">
            <v>0</v>
          </cell>
          <cell r="AK674">
            <v>0</v>
          </cell>
          <cell r="AL674">
            <v>0</v>
          </cell>
          <cell r="AM674">
            <v>0</v>
          </cell>
          <cell r="AN674">
            <v>0</v>
          </cell>
          <cell r="AO674">
            <v>0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  <cell r="AU674">
            <v>0</v>
          </cell>
          <cell r="AV674">
            <v>0</v>
          </cell>
          <cell r="AW674">
            <v>0</v>
          </cell>
          <cell r="AX674">
            <v>0</v>
          </cell>
          <cell r="AY674">
            <v>0</v>
          </cell>
          <cell r="BA674">
            <v>0</v>
          </cell>
          <cell r="BB674">
            <v>0</v>
          </cell>
          <cell r="BC674">
            <v>0</v>
          </cell>
          <cell r="BD674">
            <v>0</v>
          </cell>
          <cell r="BE674">
            <v>0</v>
          </cell>
          <cell r="BF674">
            <v>0</v>
          </cell>
          <cell r="BG674">
            <v>0</v>
          </cell>
          <cell r="BH674">
            <v>0</v>
          </cell>
          <cell r="BI674">
            <v>0</v>
          </cell>
          <cell r="BK674">
            <v>0</v>
          </cell>
          <cell r="BL674">
            <v>0</v>
          </cell>
          <cell r="BM674">
            <v>0</v>
          </cell>
          <cell r="BN674">
            <v>0</v>
          </cell>
          <cell r="BO674">
            <v>0</v>
          </cell>
          <cell r="BP674">
            <v>0</v>
          </cell>
          <cell r="BQ674">
            <v>0</v>
          </cell>
          <cell r="BR674">
            <v>0</v>
          </cell>
          <cell r="BS674">
            <v>0</v>
          </cell>
          <cell r="BU674">
            <v>0</v>
          </cell>
          <cell r="BV674">
            <v>0</v>
          </cell>
          <cell r="BW674">
            <v>0</v>
          </cell>
          <cell r="BX674">
            <v>0</v>
          </cell>
          <cell r="BY674">
            <v>0</v>
          </cell>
          <cell r="BZ674">
            <v>0</v>
          </cell>
          <cell r="CA674">
            <v>0</v>
          </cell>
          <cell r="CB674">
            <v>0</v>
          </cell>
          <cell r="CC674">
            <v>0</v>
          </cell>
          <cell r="CE674">
            <v>0</v>
          </cell>
          <cell r="CF674">
            <v>0</v>
          </cell>
          <cell r="CG674">
            <v>0</v>
          </cell>
          <cell r="CH674">
            <v>0</v>
          </cell>
          <cell r="CI674">
            <v>0</v>
          </cell>
          <cell r="CJ674">
            <v>0</v>
          </cell>
          <cell r="CK674">
            <v>0</v>
          </cell>
          <cell r="CL674">
            <v>0</v>
          </cell>
          <cell r="CM674">
            <v>0</v>
          </cell>
          <cell r="CO674">
            <v>0</v>
          </cell>
          <cell r="CP674">
            <v>0</v>
          </cell>
          <cell r="CQ674">
            <v>0</v>
          </cell>
          <cell r="CR674">
            <v>0</v>
          </cell>
          <cell r="CS674">
            <v>0</v>
          </cell>
          <cell r="CT674">
            <v>0</v>
          </cell>
          <cell r="CU674">
            <v>0</v>
          </cell>
          <cell r="CV674">
            <v>0</v>
          </cell>
          <cell r="CW674">
            <v>0</v>
          </cell>
          <cell r="CY674">
            <v>0</v>
          </cell>
          <cell r="CZ674">
            <v>0</v>
          </cell>
          <cell r="DA674">
            <v>0</v>
          </cell>
          <cell r="DB674">
            <v>0</v>
          </cell>
          <cell r="DC674">
            <v>0</v>
          </cell>
          <cell r="DD674">
            <v>0</v>
          </cell>
          <cell r="DE674">
            <v>0</v>
          </cell>
          <cell r="DF674">
            <v>0</v>
          </cell>
          <cell r="DG674">
            <v>0</v>
          </cell>
          <cell r="DI674">
            <v>0</v>
          </cell>
          <cell r="DJ674">
            <v>0</v>
          </cell>
          <cell r="DK674">
            <v>0</v>
          </cell>
          <cell r="DL674">
            <v>0</v>
          </cell>
          <cell r="DM674">
            <v>0</v>
          </cell>
          <cell r="DN674">
            <v>0</v>
          </cell>
          <cell r="DO674">
            <v>0</v>
          </cell>
          <cell r="DP674">
            <v>0</v>
          </cell>
          <cell r="DQ674">
            <v>0</v>
          </cell>
          <cell r="DR674">
            <v>0</v>
          </cell>
          <cell r="DS674">
            <v>0</v>
          </cell>
          <cell r="DT674">
            <v>0</v>
          </cell>
          <cell r="DU674">
            <v>0</v>
          </cell>
          <cell r="DW674">
            <v>0</v>
          </cell>
          <cell r="DX674">
            <v>0</v>
          </cell>
          <cell r="DY674">
            <v>0</v>
          </cell>
          <cell r="DZ674">
            <v>0</v>
          </cell>
          <cell r="EA674">
            <v>0</v>
          </cell>
          <cell r="EB674">
            <v>0</v>
          </cell>
          <cell r="EC674">
            <v>0</v>
          </cell>
          <cell r="ED674">
            <v>0</v>
          </cell>
          <cell r="EE674">
            <v>0</v>
          </cell>
          <cell r="EF674">
            <v>0</v>
          </cell>
          <cell r="EG674">
            <v>0</v>
          </cell>
          <cell r="EH674">
            <v>0</v>
          </cell>
          <cell r="EI674">
            <v>0</v>
          </cell>
          <cell r="EK674">
            <v>0</v>
          </cell>
          <cell r="EL674">
            <v>0</v>
          </cell>
          <cell r="EM674">
            <v>0</v>
          </cell>
          <cell r="EN674">
            <v>0</v>
          </cell>
          <cell r="EO674">
            <v>0</v>
          </cell>
          <cell r="EP674">
            <v>0</v>
          </cell>
          <cell r="EQ674">
            <v>0</v>
          </cell>
          <cell r="ER674">
            <v>0</v>
          </cell>
          <cell r="ES674">
            <v>0</v>
          </cell>
          <cell r="ET674">
            <v>0</v>
          </cell>
          <cell r="EU674">
            <v>0</v>
          </cell>
          <cell r="EV674">
            <v>0</v>
          </cell>
          <cell r="EW674">
            <v>0</v>
          </cell>
          <cell r="EY674">
            <v>0</v>
          </cell>
          <cell r="EZ674">
            <v>8</v>
          </cell>
          <cell r="FA674">
            <v>0</v>
          </cell>
          <cell r="FB674">
            <v>0</v>
          </cell>
          <cell r="FC674">
            <v>8.6</v>
          </cell>
          <cell r="FD674">
            <v>0</v>
          </cell>
          <cell r="FE674">
            <v>0</v>
          </cell>
          <cell r="FF674">
            <v>0</v>
          </cell>
          <cell r="FH674">
            <v>0</v>
          </cell>
        </row>
        <row r="675">
          <cell r="B675">
            <v>9760</v>
          </cell>
          <cell r="C675" t="str">
            <v>25.08.2010</v>
          </cell>
          <cell r="D675" t="str">
            <v>Shendke Mayur Ulhas</v>
          </cell>
          <cell r="F675">
            <v>0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G675">
            <v>0</v>
          </cell>
          <cell r="AH675">
            <v>0</v>
          </cell>
          <cell r="AI675">
            <v>0</v>
          </cell>
          <cell r="AJ675">
            <v>0</v>
          </cell>
          <cell r="AK675">
            <v>0</v>
          </cell>
          <cell r="AL675">
            <v>0</v>
          </cell>
          <cell r="AM675">
            <v>0</v>
          </cell>
          <cell r="AN675">
            <v>0</v>
          </cell>
          <cell r="AO675">
            <v>0</v>
          </cell>
          <cell r="AQ675">
            <v>0</v>
          </cell>
          <cell r="AR675">
            <v>0</v>
          </cell>
          <cell r="AS675">
            <v>0</v>
          </cell>
          <cell r="AT675">
            <v>0</v>
          </cell>
          <cell r="AU675">
            <v>0</v>
          </cell>
          <cell r="AV675">
            <v>0</v>
          </cell>
          <cell r="AW675">
            <v>0</v>
          </cell>
          <cell r="AX675">
            <v>0</v>
          </cell>
          <cell r="AY675">
            <v>0</v>
          </cell>
          <cell r="BA675">
            <v>0</v>
          </cell>
          <cell r="BB675">
            <v>0</v>
          </cell>
          <cell r="BC675">
            <v>0</v>
          </cell>
          <cell r="BD675">
            <v>0</v>
          </cell>
          <cell r="BE675">
            <v>0</v>
          </cell>
          <cell r="BF675">
            <v>0</v>
          </cell>
          <cell r="BG675">
            <v>0</v>
          </cell>
          <cell r="BH675">
            <v>0</v>
          </cell>
          <cell r="BI675">
            <v>0</v>
          </cell>
          <cell r="BK675">
            <v>0</v>
          </cell>
          <cell r="BL675">
            <v>0</v>
          </cell>
          <cell r="BM675">
            <v>0</v>
          </cell>
          <cell r="BN675">
            <v>0</v>
          </cell>
          <cell r="BO675">
            <v>0</v>
          </cell>
          <cell r="BP675">
            <v>0</v>
          </cell>
          <cell r="BQ675">
            <v>0</v>
          </cell>
          <cell r="BR675">
            <v>0</v>
          </cell>
          <cell r="BS675">
            <v>0</v>
          </cell>
          <cell r="BU675">
            <v>0</v>
          </cell>
          <cell r="BV675">
            <v>0</v>
          </cell>
          <cell r="BW675">
            <v>0</v>
          </cell>
          <cell r="BX675">
            <v>0</v>
          </cell>
          <cell r="BY675">
            <v>0</v>
          </cell>
          <cell r="BZ675">
            <v>0</v>
          </cell>
          <cell r="CA675">
            <v>0</v>
          </cell>
          <cell r="CB675">
            <v>0</v>
          </cell>
          <cell r="CC675">
            <v>0</v>
          </cell>
          <cell r="CE675">
            <v>0</v>
          </cell>
          <cell r="CF675">
            <v>0</v>
          </cell>
          <cell r="CG675">
            <v>0</v>
          </cell>
          <cell r="CH675">
            <v>0</v>
          </cell>
          <cell r="CI675">
            <v>0</v>
          </cell>
          <cell r="CJ675">
            <v>0</v>
          </cell>
          <cell r="CK675">
            <v>0</v>
          </cell>
          <cell r="CL675">
            <v>0</v>
          </cell>
          <cell r="CM675">
            <v>0</v>
          </cell>
          <cell r="CO675">
            <v>0</v>
          </cell>
          <cell r="CP675">
            <v>0</v>
          </cell>
          <cell r="CQ675">
            <v>0</v>
          </cell>
          <cell r="CR675">
            <v>0</v>
          </cell>
          <cell r="CS675">
            <v>0</v>
          </cell>
          <cell r="CT675">
            <v>0</v>
          </cell>
          <cell r="CU675">
            <v>0</v>
          </cell>
          <cell r="CV675">
            <v>0</v>
          </cell>
          <cell r="CW675">
            <v>0</v>
          </cell>
          <cell r="CY675">
            <v>0</v>
          </cell>
          <cell r="CZ675">
            <v>0</v>
          </cell>
          <cell r="DA675">
            <v>0</v>
          </cell>
          <cell r="DB675">
            <v>0</v>
          </cell>
          <cell r="DC675">
            <v>0</v>
          </cell>
          <cell r="DD675">
            <v>0</v>
          </cell>
          <cell r="DE675">
            <v>0</v>
          </cell>
          <cell r="DF675">
            <v>0</v>
          </cell>
          <cell r="DG675">
            <v>0</v>
          </cell>
          <cell r="DI675">
            <v>0</v>
          </cell>
          <cell r="DJ675">
            <v>0</v>
          </cell>
          <cell r="DK675">
            <v>0</v>
          </cell>
          <cell r="DL675">
            <v>0</v>
          </cell>
          <cell r="DM675">
            <v>0</v>
          </cell>
          <cell r="DN675">
            <v>0</v>
          </cell>
          <cell r="DO675">
            <v>0</v>
          </cell>
          <cell r="DP675">
            <v>0</v>
          </cell>
          <cell r="DQ675">
            <v>0</v>
          </cell>
          <cell r="DR675">
            <v>0</v>
          </cell>
          <cell r="DS675">
            <v>0</v>
          </cell>
          <cell r="DT675">
            <v>0</v>
          </cell>
          <cell r="DU675">
            <v>0</v>
          </cell>
          <cell r="DW675">
            <v>0</v>
          </cell>
          <cell r="DX675">
            <v>0</v>
          </cell>
          <cell r="DY675">
            <v>0</v>
          </cell>
          <cell r="DZ675">
            <v>0</v>
          </cell>
          <cell r="EA675">
            <v>0</v>
          </cell>
          <cell r="EB675">
            <v>0</v>
          </cell>
          <cell r="EC675">
            <v>0</v>
          </cell>
          <cell r="ED675">
            <v>0</v>
          </cell>
          <cell r="EE675">
            <v>0</v>
          </cell>
          <cell r="EF675">
            <v>0</v>
          </cell>
          <cell r="EG675">
            <v>0</v>
          </cell>
          <cell r="EH675">
            <v>0</v>
          </cell>
          <cell r="EI675">
            <v>0</v>
          </cell>
          <cell r="EK675">
            <v>0</v>
          </cell>
          <cell r="EL675">
            <v>0</v>
          </cell>
          <cell r="EM675">
            <v>0</v>
          </cell>
          <cell r="EN675">
            <v>0</v>
          </cell>
          <cell r="EO675">
            <v>0</v>
          </cell>
          <cell r="EP675">
            <v>0</v>
          </cell>
          <cell r="EQ675">
            <v>0</v>
          </cell>
          <cell r="ER675">
            <v>0</v>
          </cell>
          <cell r="ES675">
            <v>0</v>
          </cell>
          <cell r="ET675">
            <v>0</v>
          </cell>
          <cell r="EU675">
            <v>0</v>
          </cell>
          <cell r="EV675">
            <v>0</v>
          </cell>
          <cell r="EW675">
            <v>0</v>
          </cell>
          <cell r="EY675">
            <v>0</v>
          </cell>
          <cell r="EZ675">
            <v>8</v>
          </cell>
          <cell r="FA675">
            <v>0</v>
          </cell>
          <cell r="FB675">
            <v>0</v>
          </cell>
          <cell r="FC675">
            <v>8.6</v>
          </cell>
          <cell r="FD675">
            <v>0</v>
          </cell>
          <cell r="FE675">
            <v>0</v>
          </cell>
          <cell r="FF675">
            <v>0</v>
          </cell>
          <cell r="FH675">
            <v>0</v>
          </cell>
        </row>
        <row r="676">
          <cell r="B676">
            <v>9761</v>
          </cell>
          <cell r="C676" t="str">
            <v>25.08.2010</v>
          </cell>
          <cell r="D676" t="str">
            <v>Sonawane Pankaj Vilas</v>
          </cell>
          <cell r="F676">
            <v>0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0</v>
          </cell>
          <cell r="AK676">
            <v>0</v>
          </cell>
          <cell r="AL676">
            <v>0</v>
          </cell>
          <cell r="AM676">
            <v>0</v>
          </cell>
          <cell r="AN676">
            <v>0</v>
          </cell>
          <cell r="AO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0</v>
          </cell>
          <cell r="AY676">
            <v>0</v>
          </cell>
          <cell r="BA676">
            <v>0</v>
          </cell>
          <cell r="BB676">
            <v>0</v>
          </cell>
          <cell r="BC676">
            <v>0</v>
          </cell>
          <cell r="BD676">
            <v>0</v>
          </cell>
          <cell r="BE676">
            <v>0</v>
          </cell>
          <cell r="BF676">
            <v>0</v>
          </cell>
          <cell r="BG676">
            <v>0</v>
          </cell>
          <cell r="BH676">
            <v>0</v>
          </cell>
          <cell r="BI676">
            <v>0</v>
          </cell>
          <cell r="BK676">
            <v>0</v>
          </cell>
          <cell r="BL676">
            <v>0</v>
          </cell>
          <cell r="BM676">
            <v>0</v>
          </cell>
          <cell r="BN676">
            <v>0</v>
          </cell>
          <cell r="BO676">
            <v>0</v>
          </cell>
          <cell r="BP676">
            <v>0</v>
          </cell>
          <cell r="BQ676">
            <v>0</v>
          </cell>
          <cell r="BR676">
            <v>0</v>
          </cell>
          <cell r="BS676">
            <v>0</v>
          </cell>
          <cell r="BU676">
            <v>0</v>
          </cell>
          <cell r="BV676">
            <v>0</v>
          </cell>
          <cell r="BW676">
            <v>0</v>
          </cell>
          <cell r="BX676">
            <v>0</v>
          </cell>
          <cell r="BY676">
            <v>0</v>
          </cell>
          <cell r="BZ676">
            <v>0</v>
          </cell>
          <cell r="CA676">
            <v>0</v>
          </cell>
          <cell r="CB676">
            <v>0</v>
          </cell>
          <cell r="CC676">
            <v>0</v>
          </cell>
          <cell r="CE676">
            <v>0</v>
          </cell>
          <cell r="CF676">
            <v>0</v>
          </cell>
          <cell r="CG676">
            <v>0</v>
          </cell>
          <cell r="CH676">
            <v>0</v>
          </cell>
          <cell r="CI676">
            <v>0</v>
          </cell>
          <cell r="CJ676">
            <v>0</v>
          </cell>
          <cell r="CK676">
            <v>0</v>
          </cell>
          <cell r="CL676">
            <v>0</v>
          </cell>
          <cell r="CM676">
            <v>0</v>
          </cell>
          <cell r="CO676">
            <v>0</v>
          </cell>
          <cell r="CP676">
            <v>0</v>
          </cell>
          <cell r="CQ676">
            <v>0</v>
          </cell>
          <cell r="CR676">
            <v>0</v>
          </cell>
          <cell r="CS676">
            <v>0</v>
          </cell>
          <cell r="CT676">
            <v>0</v>
          </cell>
          <cell r="CU676">
            <v>0</v>
          </cell>
          <cell r="CV676">
            <v>0</v>
          </cell>
          <cell r="CW676">
            <v>0</v>
          </cell>
          <cell r="CY676">
            <v>0</v>
          </cell>
          <cell r="CZ676">
            <v>0</v>
          </cell>
          <cell r="DA676">
            <v>0</v>
          </cell>
          <cell r="DB676">
            <v>0</v>
          </cell>
          <cell r="DC676">
            <v>0</v>
          </cell>
          <cell r="DD676">
            <v>0</v>
          </cell>
          <cell r="DE676">
            <v>0</v>
          </cell>
          <cell r="DF676">
            <v>0</v>
          </cell>
          <cell r="DG676">
            <v>0</v>
          </cell>
          <cell r="DI676">
            <v>0</v>
          </cell>
          <cell r="DJ676">
            <v>0</v>
          </cell>
          <cell r="DK676">
            <v>0</v>
          </cell>
          <cell r="DL676">
            <v>0</v>
          </cell>
          <cell r="DM676">
            <v>0</v>
          </cell>
          <cell r="DN676">
            <v>0</v>
          </cell>
          <cell r="DO676">
            <v>0</v>
          </cell>
          <cell r="DP676">
            <v>0</v>
          </cell>
          <cell r="DQ676">
            <v>0</v>
          </cell>
          <cell r="DR676">
            <v>0</v>
          </cell>
          <cell r="DS676">
            <v>0</v>
          </cell>
          <cell r="DT676">
            <v>0</v>
          </cell>
          <cell r="DU676">
            <v>0</v>
          </cell>
          <cell r="DW676">
            <v>0</v>
          </cell>
          <cell r="DX676">
            <v>0</v>
          </cell>
          <cell r="DY676">
            <v>0</v>
          </cell>
          <cell r="DZ676">
            <v>0</v>
          </cell>
          <cell r="EA676">
            <v>0</v>
          </cell>
          <cell r="EB676">
            <v>0</v>
          </cell>
          <cell r="EC676">
            <v>0</v>
          </cell>
          <cell r="ED676">
            <v>0</v>
          </cell>
          <cell r="EE676">
            <v>0</v>
          </cell>
          <cell r="EF676">
            <v>0</v>
          </cell>
          <cell r="EG676">
            <v>0</v>
          </cell>
          <cell r="EH676">
            <v>0</v>
          </cell>
          <cell r="EI676">
            <v>0</v>
          </cell>
          <cell r="EK676">
            <v>0</v>
          </cell>
          <cell r="EL676">
            <v>0</v>
          </cell>
          <cell r="EM676">
            <v>0</v>
          </cell>
          <cell r="EN676">
            <v>0</v>
          </cell>
          <cell r="EO676">
            <v>0</v>
          </cell>
          <cell r="EP676">
            <v>0</v>
          </cell>
          <cell r="EQ676">
            <v>0</v>
          </cell>
          <cell r="ER676">
            <v>0</v>
          </cell>
          <cell r="ES676">
            <v>0</v>
          </cell>
          <cell r="ET676">
            <v>0</v>
          </cell>
          <cell r="EU676">
            <v>0</v>
          </cell>
          <cell r="EV676">
            <v>0</v>
          </cell>
          <cell r="EW676">
            <v>0</v>
          </cell>
          <cell r="EY676">
            <v>0</v>
          </cell>
          <cell r="EZ676">
            <v>8</v>
          </cell>
          <cell r="FA676">
            <v>0</v>
          </cell>
          <cell r="FB676">
            <v>0</v>
          </cell>
          <cell r="FC676">
            <v>8.6</v>
          </cell>
          <cell r="FD676">
            <v>0</v>
          </cell>
          <cell r="FE676">
            <v>0</v>
          </cell>
          <cell r="FF676">
            <v>0</v>
          </cell>
          <cell r="FH676">
            <v>0</v>
          </cell>
        </row>
        <row r="677">
          <cell r="B677">
            <v>9776</v>
          </cell>
          <cell r="C677" t="str">
            <v>25.08.2010</v>
          </cell>
          <cell r="D677" t="str">
            <v>Patil ( Devkar) Hemant Trambak</v>
          </cell>
          <cell r="F677">
            <v>0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0</v>
          </cell>
          <cell r="AK677">
            <v>0</v>
          </cell>
          <cell r="AL677">
            <v>0</v>
          </cell>
          <cell r="AM677">
            <v>0</v>
          </cell>
          <cell r="AN677">
            <v>0</v>
          </cell>
          <cell r="AO677">
            <v>0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  <cell r="AU677">
            <v>0</v>
          </cell>
          <cell r="AV677">
            <v>0</v>
          </cell>
          <cell r="AW677">
            <v>0</v>
          </cell>
          <cell r="AX677">
            <v>0</v>
          </cell>
          <cell r="AY677">
            <v>0</v>
          </cell>
          <cell r="BA677">
            <v>0</v>
          </cell>
          <cell r="BB677">
            <v>0</v>
          </cell>
          <cell r="BC677">
            <v>0</v>
          </cell>
          <cell r="BD677">
            <v>0</v>
          </cell>
          <cell r="BE677">
            <v>0</v>
          </cell>
          <cell r="BF677">
            <v>0</v>
          </cell>
          <cell r="BG677">
            <v>0</v>
          </cell>
          <cell r="BH677">
            <v>0</v>
          </cell>
          <cell r="BI677">
            <v>0</v>
          </cell>
          <cell r="BK677">
            <v>0</v>
          </cell>
          <cell r="BL677">
            <v>0</v>
          </cell>
          <cell r="BM677">
            <v>0</v>
          </cell>
          <cell r="BN677">
            <v>0</v>
          </cell>
          <cell r="BO677">
            <v>0</v>
          </cell>
          <cell r="BP677">
            <v>0</v>
          </cell>
          <cell r="BQ677">
            <v>0</v>
          </cell>
          <cell r="BR677">
            <v>0</v>
          </cell>
          <cell r="BS677">
            <v>0</v>
          </cell>
          <cell r="BU677">
            <v>0</v>
          </cell>
          <cell r="BV677">
            <v>0</v>
          </cell>
          <cell r="BW677">
            <v>0</v>
          </cell>
          <cell r="BX677">
            <v>0</v>
          </cell>
          <cell r="BY677">
            <v>0</v>
          </cell>
          <cell r="BZ677">
            <v>0</v>
          </cell>
          <cell r="CA677">
            <v>0</v>
          </cell>
          <cell r="CB677">
            <v>0</v>
          </cell>
          <cell r="CC677">
            <v>0</v>
          </cell>
          <cell r="CE677">
            <v>0</v>
          </cell>
          <cell r="CF677">
            <v>0</v>
          </cell>
          <cell r="CG677">
            <v>0</v>
          </cell>
          <cell r="CH677">
            <v>0</v>
          </cell>
          <cell r="CI677">
            <v>0</v>
          </cell>
          <cell r="CJ677">
            <v>0</v>
          </cell>
          <cell r="CK677">
            <v>0</v>
          </cell>
          <cell r="CL677">
            <v>0</v>
          </cell>
          <cell r="CM677">
            <v>0</v>
          </cell>
          <cell r="CO677">
            <v>0</v>
          </cell>
          <cell r="CP677">
            <v>0</v>
          </cell>
          <cell r="CQ677">
            <v>0</v>
          </cell>
          <cell r="CR677">
            <v>0</v>
          </cell>
          <cell r="CS677">
            <v>0</v>
          </cell>
          <cell r="CT677">
            <v>0</v>
          </cell>
          <cell r="CU677">
            <v>0</v>
          </cell>
          <cell r="CV677">
            <v>0</v>
          </cell>
          <cell r="CW677">
            <v>0</v>
          </cell>
          <cell r="CY677">
            <v>0</v>
          </cell>
          <cell r="CZ677">
            <v>0</v>
          </cell>
          <cell r="DA677">
            <v>0</v>
          </cell>
          <cell r="DB677">
            <v>0</v>
          </cell>
          <cell r="DC677">
            <v>0</v>
          </cell>
          <cell r="DD677">
            <v>0</v>
          </cell>
          <cell r="DE677">
            <v>0</v>
          </cell>
          <cell r="DF677">
            <v>0</v>
          </cell>
          <cell r="DG677">
            <v>0</v>
          </cell>
          <cell r="DI677">
            <v>0</v>
          </cell>
          <cell r="DJ677">
            <v>0</v>
          </cell>
          <cell r="DK677">
            <v>0</v>
          </cell>
          <cell r="DL677">
            <v>0</v>
          </cell>
          <cell r="DM677">
            <v>0</v>
          </cell>
          <cell r="DN677">
            <v>0</v>
          </cell>
          <cell r="DO677">
            <v>0</v>
          </cell>
          <cell r="DP677">
            <v>0</v>
          </cell>
          <cell r="DQ677">
            <v>0</v>
          </cell>
          <cell r="DR677">
            <v>0</v>
          </cell>
          <cell r="DS677">
            <v>0</v>
          </cell>
          <cell r="DT677">
            <v>0</v>
          </cell>
          <cell r="DU677">
            <v>0</v>
          </cell>
          <cell r="DW677">
            <v>0</v>
          </cell>
          <cell r="DX677">
            <v>0</v>
          </cell>
          <cell r="DY677">
            <v>0</v>
          </cell>
          <cell r="DZ677">
            <v>0</v>
          </cell>
          <cell r="EA677">
            <v>0</v>
          </cell>
          <cell r="EB677">
            <v>0</v>
          </cell>
          <cell r="EC677">
            <v>0</v>
          </cell>
          <cell r="ED677">
            <v>0</v>
          </cell>
          <cell r="EE677">
            <v>0</v>
          </cell>
          <cell r="EF677">
            <v>0</v>
          </cell>
          <cell r="EG677">
            <v>0</v>
          </cell>
          <cell r="EH677">
            <v>0</v>
          </cell>
          <cell r="EI677">
            <v>0</v>
          </cell>
          <cell r="EK677">
            <v>0</v>
          </cell>
          <cell r="EL677">
            <v>0</v>
          </cell>
          <cell r="EM677">
            <v>0</v>
          </cell>
          <cell r="EN677">
            <v>0</v>
          </cell>
          <cell r="EO677">
            <v>0</v>
          </cell>
          <cell r="EP677">
            <v>0</v>
          </cell>
          <cell r="EQ677">
            <v>0</v>
          </cell>
          <cell r="ER677">
            <v>0</v>
          </cell>
          <cell r="ES677">
            <v>0</v>
          </cell>
          <cell r="ET677">
            <v>0</v>
          </cell>
          <cell r="EU677">
            <v>0</v>
          </cell>
          <cell r="EV677">
            <v>0</v>
          </cell>
          <cell r="EW677">
            <v>0</v>
          </cell>
          <cell r="EY677">
            <v>0</v>
          </cell>
          <cell r="EZ677">
            <v>8</v>
          </cell>
          <cell r="FA677">
            <v>0</v>
          </cell>
          <cell r="FB677">
            <v>0</v>
          </cell>
          <cell r="FC677">
            <v>8.6</v>
          </cell>
          <cell r="FD677">
            <v>0</v>
          </cell>
          <cell r="FE677">
            <v>0</v>
          </cell>
          <cell r="FF677">
            <v>0</v>
          </cell>
          <cell r="FH677">
            <v>0</v>
          </cell>
        </row>
        <row r="678">
          <cell r="B678">
            <v>9801</v>
          </cell>
          <cell r="C678" t="str">
            <v>25.08.2010</v>
          </cell>
          <cell r="D678" t="str">
            <v>Shaikh Sajid Chand</v>
          </cell>
          <cell r="F678">
            <v>0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0</v>
          </cell>
          <cell r="AK678">
            <v>0</v>
          </cell>
          <cell r="AL678">
            <v>0</v>
          </cell>
          <cell r="AM678">
            <v>0</v>
          </cell>
          <cell r="AN678">
            <v>0</v>
          </cell>
          <cell r="AO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0</v>
          </cell>
          <cell r="AW678">
            <v>0</v>
          </cell>
          <cell r="AX678">
            <v>0</v>
          </cell>
          <cell r="AY678">
            <v>0</v>
          </cell>
          <cell r="BA678">
            <v>0</v>
          </cell>
          <cell r="BB678">
            <v>0</v>
          </cell>
          <cell r="BC678">
            <v>0</v>
          </cell>
          <cell r="BD678">
            <v>0</v>
          </cell>
          <cell r="BE678">
            <v>0</v>
          </cell>
          <cell r="BF678">
            <v>0</v>
          </cell>
          <cell r="BG678">
            <v>0</v>
          </cell>
          <cell r="BH678">
            <v>0</v>
          </cell>
          <cell r="BI678">
            <v>0</v>
          </cell>
          <cell r="BK678">
            <v>0</v>
          </cell>
          <cell r="BL678">
            <v>0</v>
          </cell>
          <cell r="BM678">
            <v>0</v>
          </cell>
          <cell r="BN678">
            <v>0</v>
          </cell>
          <cell r="BO678">
            <v>0</v>
          </cell>
          <cell r="BP678">
            <v>0</v>
          </cell>
          <cell r="BQ678">
            <v>0</v>
          </cell>
          <cell r="BR678">
            <v>0</v>
          </cell>
          <cell r="BS678">
            <v>0</v>
          </cell>
          <cell r="BU678">
            <v>0</v>
          </cell>
          <cell r="BV678">
            <v>0</v>
          </cell>
          <cell r="BW678">
            <v>0</v>
          </cell>
          <cell r="BX678">
            <v>0</v>
          </cell>
          <cell r="BY678">
            <v>0</v>
          </cell>
          <cell r="BZ678">
            <v>0</v>
          </cell>
          <cell r="CA678">
            <v>0</v>
          </cell>
          <cell r="CB678">
            <v>0</v>
          </cell>
          <cell r="CC678">
            <v>0</v>
          </cell>
          <cell r="CE678">
            <v>0</v>
          </cell>
          <cell r="CF678">
            <v>0</v>
          </cell>
          <cell r="CG678">
            <v>0</v>
          </cell>
          <cell r="CH678">
            <v>0</v>
          </cell>
          <cell r="CI678">
            <v>0</v>
          </cell>
          <cell r="CJ678">
            <v>0</v>
          </cell>
          <cell r="CK678">
            <v>0</v>
          </cell>
          <cell r="CL678">
            <v>0</v>
          </cell>
          <cell r="CM678">
            <v>0</v>
          </cell>
          <cell r="CO678">
            <v>0</v>
          </cell>
          <cell r="CP678">
            <v>0</v>
          </cell>
          <cell r="CQ678">
            <v>0</v>
          </cell>
          <cell r="CR678">
            <v>0</v>
          </cell>
          <cell r="CS678">
            <v>0</v>
          </cell>
          <cell r="CT678">
            <v>0</v>
          </cell>
          <cell r="CU678">
            <v>0</v>
          </cell>
          <cell r="CV678">
            <v>0</v>
          </cell>
          <cell r="CW678">
            <v>0</v>
          </cell>
          <cell r="CY678">
            <v>0</v>
          </cell>
          <cell r="CZ678">
            <v>0</v>
          </cell>
          <cell r="DA678">
            <v>0</v>
          </cell>
          <cell r="DB678">
            <v>0</v>
          </cell>
          <cell r="DC678">
            <v>0</v>
          </cell>
          <cell r="DD678">
            <v>0</v>
          </cell>
          <cell r="DE678">
            <v>0</v>
          </cell>
          <cell r="DF678">
            <v>0</v>
          </cell>
          <cell r="DG678">
            <v>0</v>
          </cell>
          <cell r="DI678">
            <v>0</v>
          </cell>
          <cell r="DJ678">
            <v>0</v>
          </cell>
          <cell r="DK678">
            <v>0</v>
          </cell>
          <cell r="DL678">
            <v>0</v>
          </cell>
          <cell r="DM678">
            <v>0</v>
          </cell>
          <cell r="DN678">
            <v>0</v>
          </cell>
          <cell r="DO678">
            <v>0</v>
          </cell>
          <cell r="DP678">
            <v>0</v>
          </cell>
          <cell r="DQ678">
            <v>0</v>
          </cell>
          <cell r="DR678">
            <v>0</v>
          </cell>
          <cell r="DS678">
            <v>0</v>
          </cell>
          <cell r="DT678">
            <v>0</v>
          </cell>
          <cell r="DU678">
            <v>0</v>
          </cell>
          <cell r="DW678">
            <v>0</v>
          </cell>
          <cell r="DX678">
            <v>0</v>
          </cell>
          <cell r="DY678">
            <v>0</v>
          </cell>
          <cell r="DZ678">
            <v>0</v>
          </cell>
          <cell r="EA678">
            <v>0</v>
          </cell>
          <cell r="EB678">
            <v>0</v>
          </cell>
          <cell r="EC678">
            <v>0</v>
          </cell>
          <cell r="ED678">
            <v>0</v>
          </cell>
          <cell r="EE678">
            <v>0</v>
          </cell>
          <cell r="EF678">
            <v>0</v>
          </cell>
          <cell r="EG678">
            <v>0</v>
          </cell>
          <cell r="EH678">
            <v>0</v>
          </cell>
          <cell r="EI678">
            <v>0</v>
          </cell>
          <cell r="EK678">
            <v>0</v>
          </cell>
          <cell r="EL678">
            <v>0</v>
          </cell>
          <cell r="EM678">
            <v>0</v>
          </cell>
          <cell r="EN678">
            <v>0</v>
          </cell>
          <cell r="EO678">
            <v>0</v>
          </cell>
          <cell r="EP678">
            <v>0</v>
          </cell>
          <cell r="EQ678">
            <v>0</v>
          </cell>
          <cell r="ER678">
            <v>0</v>
          </cell>
          <cell r="ES678">
            <v>0</v>
          </cell>
          <cell r="ET678">
            <v>0</v>
          </cell>
          <cell r="EU678">
            <v>0</v>
          </cell>
          <cell r="EV678">
            <v>0</v>
          </cell>
          <cell r="EW678">
            <v>0</v>
          </cell>
          <cell r="EY678">
            <v>0</v>
          </cell>
          <cell r="EZ678">
            <v>8</v>
          </cell>
          <cell r="FA678">
            <v>0</v>
          </cell>
          <cell r="FB678">
            <v>0</v>
          </cell>
          <cell r="FC678">
            <v>8.6</v>
          </cell>
          <cell r="FD678">
            <v>0</v>
          </cell>
          <cell r="FE678">
            <v>0</v>
          </cell>
          <cell r="FF678">
            <v>0</v>
          </cell>
          <cell r="FH678">
            <v>0</v>
          </cell>
        </row>
        <row r="679">
          <cell r="B679">
            <v>9809</v>
          </cell>
          <cell r="C679" t="str">
            <v>25.08.2010</v>
          </cell>
          <cell r="D679" t="str">
            <v>Tungar Shilpa Vijay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0</v>
          </cell>
          <cell r="AK679">
            <v>0</v>
          </cell>
          <cell r="AL679">
            <v>0</v>
          </cell>
          <cell r="AM679">
            <v>0</v>
          </cell>
          <cell r="AN679">
            <v>0</v>
          </cell>
          <cell r="AO679">
            <v>0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  <cell r="AU679">
            <v>0</v>
          </cell>
          <cell r="AV679">
            <v>0</v>
          </cell>
          <cell r="AW679">
            <v>0</v>
          </cell>
          <cell r="AX679">
            <v>0</v>
          </cell>
          <cell r="AY679">
            <v>0</v>
          </cell>
          <cell r="BA679">
            <v>0</v>
          </cell>
          <cell r="BB679">
            <v>0</v>
          </cell>
          <cell r="BC679">
            <v>0</v>
          </cell>
          <cell r="BD679">
            <v>0</v>
          </cell>
          <cell r="BE679">
            <v>0</v>
          </cell>
          <cell r="BF679">
            <v>0</v>
          </cell>
          <cell r="BG679">
            <v>0</v>
          </cell>
          <cell r="BH679">
            <v>0</v>
          </cell>
          <cell r="BI679">
            <v>0</v>
          </cell>
          <cell r="BK679">
            <v>0</v>
          </cell>
          <cell r="BL679">
            <v>0</v>
          </cell>
          <cell r="BM679">
            <v>0</v>
          </cell>
          <cell r="BN679">
            <v>0</v>
          </cell>
          <cell r="BO679">
            <v>0</v>
          </cell>
          <cell r="BP679">
            <v>0</v>
          </cell>
          <cell r="BQ679">
            <v>0</v>
          </cell>
          <cell r="BR679">
            <v>0</v>
          </cell>
          <cell r="BS679">
            <v>0</v>
          </cell>
          <cell r="BU679">
            <v>0</v>
          </cell>
          <cell r="BV679">
            <v>0</v>
          </cell>
          <cell r="BW679">
            <v>0</v>
          </cell>
          <cell r="BX679">
            <v>0</v>
          </cell>
          <cell r="BY679">
            <v>0</v>
          </cell>
          <cell r="BZ679">
            <v>0</v>
          </cell>
          <cell r="CA679">
            <v>0</v>
          </cell>
          <cell r="CB679">
            <v>0</v>
          </cell>
          <cell r="CC679">
            <v>0</v>
          </cell>
          <cell r="CE679">
            <v>0</v>
          </cell>
          <cell r="CF679">
            <v>0</v>
          </cell>
          <cell r="CG679">
            <v>0</v>
          </cell>
          <cell r="CH679">
            <v>0</v>
          </cell>
          <cell r="CI679">
            <v>0</v>
          </cell>
          <cell r="CJ679">
            <v>0</v>
          </cell>
          <cell r="CK679">
            <v>0</v>
          </cell>
          <cell r="CL679">
            <v>0</v>
          </cell>
          <cell r="CM679">
            <v>0</v>
          </cell>
          <cell r="CO679">
            <v>0</v>
          </cell>
          <cell r="CP679">
            <v>0</v>
          </cell>
          <cell r="CQ679">
            <v>0</v>
          </cell>
          <cell r="CR679">
            <v>0</v>
          </cell>
          <cell r="CS679">
            <v>0</v>
          </cell>
          <cell r="CT679">
            <v>0</v>
          </cell>
          <cell r="CU679">
            <v>0</v>
          </cell>
          <cell r="CV679">
            <v>0</v>
          </cell>
          <cell r="CW679">
            <v>0</v>
          </cell>
          <cell r="CY679">
            <v>0</v>
          </cell>
          <cell r="CZ679">
            <v>0</v>
          </cell>
          <cell r="DA679">
            <v>0</v>
          </cell>
          <cell r="DB679">
            <v>0</v>
          </cell>
          <cell r="DC679">
            <v>0</v>
          </cell>
          <cell r="DD679">
            <v>0</v>
          </cell>
          <cell r="DE679">
            <v>0</v>
          </cell>
          <cell r="DF679">
            <v>0</v>
          </cell>
          <cell r="DG679">
            <v>0</v>
          </cell>
          <cell r="DI679">
            <v>0</v>
          </cell>
          <cell r="DJ679">
            <v>0</v>
          </cell>
          <cell r="DK679">
            <v>0</v>
          </cell>
          <cell r="DL679">
            <v>0</v>
          </cell>
          <cell r="DM679">
            <v>0</v>
          </cell>
          <cell r="DN679">
            <v>0</v>
          </cell>
          <cell r="DO679">
            <v>0</v>
          </cell>
          <cell r="DP679">
            <v>0</v>
          </cell>
          <cell r="DQ679">
            <v>0</v>
          </cell>
          <cell r="DR679">
            <v>0</v>
          </cell>
          <cell r="DS679">
            <v>0</v>
          </cell>
          <cell r="DT679">
            <v>0</v>
          </cell>
          <cell r="DU679">
            <v>0</v>
          </cell>
          <cell r="DW679">
            <v>0</v>
          </cell>
          <cell r="DX679">
            <v>0</v>
          </cell>
          <cell r="DY679">
            <v>0</v>
          </cell>
          <cell r="DZ679">
            <v>0</v>
          </cell>
          <cell r="EA679">
            <v>0</v>
          </cell>
          <cell r="EB679">
            <v>0</v>
          </cell>
          <cell r="EC679">
            <v>0</v>
          </cell>
          <cell r="ED679">
            <v>0</v>
          </cell>
          <cell r="EE679">
            <v>0</v>
          </cell>
          <cell r="EF679">
            <v>0</v>
          </cell>
          <cell r="EG679">
            <v>0</v>
          </cell>
          <cell r="EH679">
            <v>0</v>
          </cell>
          <cell r="EI679">
            <v>0</v>
          </cell>
          <cell r="EK679">
            <v>0</v>
          </cell>
          <cell r="EL679">
            <v>0</v>
          </cell>
          <cell r="EM679">
            <v>0</v>
          </cell>
          <cell r="EN679">
            <v>0</v>
          </cell>
          <cell r="EO679">
            <v>0</v>
          </cell>
          <cell r="EP679">
            <v>0</v>
          </cell>
          <cell r="EQ679">
            <v>0</v>
          </cell>
          <cell r="ER679">
            <v>0</v>
          </cell>
          <cell r="ES679">
            <v>0</v>
          </cell>
          <cell r="ET679">
            <v>0</v>
          </cell>
          <cell r="EU679">
            <v>0</v>
          </cell>
          <cell r="EV679">
            <v>0</v>
          </cell>
          <cell r="EW679">
            <v>0</v>
          </cell>
          <cell r="EY679">
            <v>0</v>
          </cell>
          <cell r="EZ679">
            <v>8</v>
          </cell>
          <cell r="FA679">
            <v>0</v>
          </cell>
          <cell r="FB679">
            <v>0</v>
          </cell>
          <cell r="FC679">
            <v>8.6</v>
          </cell>
          <cell r="FD679">
            <v>0</v>
          </cell>
          <cell r="FE679">
            <v>0</v>
          </cell>
          <cell r="FF679">
            <v>0</v>
          </cell>
          <cell r="FH679">
            <v>0</v>
          </cell>
        </row>
        <row r="680">
          <cell r="B680">
            <v>9816</v>
          </cell>
          <cell r="C680" t="str">
            <v>25.08.2010</v>
          </cell>
          <cell r="D680" t="str">
            <v>Gaikwad Prakash Kisan</v>
          </cell>
          <cell r="F680">
            <v>0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G680">
            <v>0</v>
          </cell>
          <cell r="AH680">
            <v>0</v>
          </cell>
          <cell r="AI680">
            <v>0</v>
          </cell>
          <cell r="AJ680">
            <v>0</v>
          </cell>
          <cell r="AK680">
            <v>0</v>
          </cell>
          <cell r="AL680">
            <v>0</v>
          </cell>
          <cell r="AM680">
            <v>0</v>
          </cell>
          <cell r="AN680">
            <v>0</v>
          </cell>
          <cell r="AO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  <cell r="AU680">
            <v>0</v>
          </cell>
          <cell r="AV680">
            <v>0</v>
          </cell>
          <cell r="AW680">
            <v>0</v>
          </cell>
          <cell r="AX680">
            <v>0</v>
          </cell>
          <cell r="AY680">
            <v>0</v>
          </cell>
          <cell r="BA680">
            <v>0</v>
          </cell>
          <cell r="BB680">
            <v>0</v>
          </cell>
          <cell r="BC680">
            <v>0</v>
          </cell>
          <cell r="BD680">
            <v>0</v>
          </cell>
          <cell r="BE680">
            <v>0</v>
          </cell>
          <cell r="BF680">
            <v>0</v>
          </cell>
          <cell r="BG680">
            <v>0</v>
          </cell>
          <cell r="BH680">
            <v>0</v>
          </cell>
          <cell r="BI680">
            <v>0</v>
          </cell>
          <cell r="BK680">
            <v>0</v>
          </cell>
          <cell r="BL680">
            <v>0</v>
          </cell>
          <cell r="BM680">
            <v>0</v>
          </cell>
          <cell r="BN680">
            <v>0</v>
          </cell>
          <cell r="BO680">
            <v>0</v>
          </cell>
          <cell r="BP680">
            <v>0</v>
          </cell>
          <cell r="BQ680">
            <v>0</v>
          </cell>
          <cell r="BR680">
            <v>0</v>
          </cell>
          <cell r="BS680">
            <v>0</v>
          </cell>
          <cell r="BU680">
            <v>0</v>
          </cell>
          <cell r="BV680">
            <v>0</v>
          </cell>
          <cell r="BW680">
            <v>0</v>
          </cell>
          <cell r="BX680">
            <v>0</v>
          </cell>
          <cell r="BY680">
            <v>0</v>
          </cell>
          <cell r="BZ680">
            <v>0</v>
          </cell>
          <cell r="CA680">
            <v>0</v>
          </cell>
          <cell r="CB680">
            <v>0</v>
          </cell>
          <cell r="CC680">
            <v>0</v>
          </cell>
          <cell r="CE680">
            <v>0</v>
          </cell>
          <cell r="CF680">
            <v>0</v>
          </cell>
          <cell r="CG680">
            <v>0</v>
          </cell>
          <cell r="CH680">
            <v>0</v>
          </cell>
          <cell r="CI680">
            <v>0</v>
          </cell>
          <cell r="CJ680">
            <v>0</v>
          </cell>
          <cell r="CK680">
            <v>0</v>
          </cell>
          <cell r="CL680">
            <v>0</v>
          </cell>
          <cell r="CM680">
            <v>0</v>
          </cell>
          <cell r="CO680">
            <v>0</v>
          </cell>
          <cell r="CP680">
            <v>0</v>
          </cell>
          <cell r="CQ680">
            <v>0</v>
          </cell>
          <cell r="CR680">
            <v>0</v>
          </cell>
          <cell r="CS680">
            <v>0</v>
          </cell>
          <cell r="CT680">
            <v>0</v>
          </cell>
          <cell r="CU680">
            <v>0</v>
          </cell>
          <cell r="CV680">
            <v>0</v>
          </cell>
          <cell r="CW680">
            <v>0</v>
          </cell>
          <cell r="CY680">
            <v>0</v>
          </cell>
          <cell r="CZ680">
            <v>0</v>
          </cell>
          <cell r="DA680">
            <v>0</v>
          </cell>
          <cell r="DB680">
            <v>0</v>
          </cell>
          <cell r="DC680">
            <v>0</v>
          </cell>
          <cell r="DD680">
            <v>0</v>
          </cell>
          <cell r="DE680">
            <v>0</v>
          </cell>
          <cell r="DF680">
            <v>0</v>
          </cell>
          <cell r="DG680">
            <v>0</v>
          </cell>
          <cell r="DI680">
            <v>0</v>
          </cell>
          <cell r="DJ680">
            <v>0</v>
          </cell>
          <cell r="DK680">
            <v>0</v>
          </cell>
          <cell r="DL680">
            <v>0</v>
          </cell>
          <cell r="DM680">
            <v>0</v>
          </cell>
          <cell r="DN680">
            <v>0</v>
          </cell>
          <cell r="DO680">
            <v>0</v>
          </cell>
          <cell r="DP680">
            <v>0</v>
          </cell>
          <cell r="DQ680">
            <v>0</v>
          </cell>
          <cell r="DR680">
            <v>0</v>
          </cell>
          <cell r="DS680">
            <v>0</v>
          </cell>
          <cell r="DT680">
            <v>0</v>
          </cell>
          <cell r="DU680">
            <v>0</v>
          </cell>
          <cell r="DW680">
            <v>0</v>
          </cell>
          <cell r="DX680">
            <v>0</v>
          </cell>
          <cell r="DY680">
            <v>0</v>
          </cell>
          <cell r="DZ680">
            <v>0</v>
          </cell>
          <cell r="EA680">
            <v>0</v>
          </cell>
          <cell r="EB680">
            <v>0</v>
          </cell>
          <cell r="EC680">
            <v>0</v>
          </cell>
          <cell r="ED680">
            <v>0</v>
          </cell>
          <cell r="EE680">
            <v>0</v>
          </cell>
          <cell r="EF680">
            <v>0</v>
          </cell>
          <cell r="EG680">
            <v>0</v>
          </cell>
          <cell r="EH680">
            <v>0</v>
          </cell>
          <cell r="EI680">
            <v>0</v>
          </cell>
          <cell r="EK680">
            <v>0</v>
          </cell>
          <cell r="EL680">
            <v>0</v>
          </cell>
          <cell r="EM680">
            <v>0</v>
          </cell>
          <cell r="EN680">
            <v>0</v>
          </cell>
          <cell r="EO680">
            <v>0</v>
          </cell>
          <cell r="EP680">
            <v>0</v>
          </cell>
          <cell r="EQ680">
            <v>0</v>
          </cell>
          <cell r="ER680">
            <v>0</v>
          </cell>
          <cell r="ES680">
            <v>0</v>
          </cell>
          <cell r="ET680">
            <v>0</v>
          </cell>
          <cell r="EU680">
            <v>0</v>
          </cell>
          <cell r="EV680">
            <v>0</v>
          </cell>
          <cell r="EW680">
            <v>0</v>
          </cell>
          <cell r="EY680">
            <v>0</v>
          </cell>
          <cell r="EZ680">
            <v>8</v>
          </cell>
          <cell r="FA680">
            <v>0</v>
          </cell>
          <cell r="FB680">
            <v>0</v>
          </cell>
          <cell r="FC680">
            <v>8.6</v>
          </cell>
          <cell r="FD680">
            <v>0</v>
          </cell>
          <cell r="FE680">
            <v>0</v>
          </cell>
          <cell r="FF680">
            <v>0</v>
          </cell>
          <cell r="FH680">
            <v>0</v>
          </cell>
        </row>
        <row r="681">
          <cell r="B681">
            <v>9777</v>
          </cell>
          <cell r="C681" t="str">
            <v>26.08.2010</v>
          </cell>
          <cell r="D681" t="str">
            <v>Shewale Sangita Sanjay</v>
          </cell>
          <cell r="F681">
            <v>0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G681">
            <v>0</v>
          </cell>
          <cell r="AH681">
            <v>0</v>
          </cell>
          <cell r="AI681">
            <v>0</v>
          </cell>
          <cell r="AJ681">
            <v>0</v>
          </cell>
          <cell r="AK681">
            <v>0</v>
          </cell>
          <cell r="AL681">
            <v>0</v>
          </cell>
          <cell r="AM681">
            <v>0</v>
          </cell>
          <cell r="AN681">
            <v>0</v>
          </cell>
          <cell r="AO681">
            <v>0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  <cell r="AU681">
            <v>0</v>
          </cell>
          <cell r="AV681">
            <v>0</v>
          </cell>
          <cell r="AW681">
            <v>0</v>
          </cell>
          <cell r="AX681">
            <v>0</v>
          </cell>
          <cell r="AY681">
            <v>0</v>
          </cell>
          <cell r="BA681">
            <v>0</v>
          </cell>
          <cell r="BB681">
            <v>0</v>
          </cell>
          <cell r="BC681">
            <v>0</v>
          </cell>
          <cell r="BD681">
            <v>0</v>
          </cell>
          <cell r="BE681">
            <v>0</v>
          </cell>
          <cell r="BF681">
            <v>0</v>
          </cell>
          <cell r="BG681">
            <v>0</v>
          </cell>
          <cell r="BH681">
            <v>0</v>
          </cell>
          <cell r="BI681">
            <v>0</v>
          </cell>
          <cell r="BK681">
            <v>0</v>
          </cell>
          <cell r="BL681">
            <v>0</v>
          </cell>
          <cell r="BM681">
            <v>0</v>
          </cell>
          <cell r="BN681">
            <v>0</v>
          </cell>
          <cell r="BO681">
            <v>0</v>
          </cell>
          <cell r="BP681">
            <v>0</v>
          </cell>
          <cell r="BQ681">
            <v>0</v>
          </cell>
          <cell r="BR681">
            <v>0</v>
          </cell>
          <cell r="BS681">
            <v>0</v>
          </cell>
          <cell r="BU681">
            <v>0</v>
          </cell>
          <cell r="BV681">
            <v>0</v>
          </cell>
          <cell r="BW681">
            <v>0</v>
          </cell>
          <cell r="BX681">
            <v>0</v>
          </cell>
          <cell r="BY681">
            <v>0</v>
          </cell>
          <cell r="BZ681">
            <v>0</v>
          </cell>
          <cell r="CA681">
            <v>0</v>
          </cell>
          <cell r="CB681">
            <v>0</v>
          </cell>
          <cell r="CC681">
            <v>0</v>
          </cell>
          <cell r="CE681">
            <v>0</v>
          </cell>
          <cell r="CF681">
            <v>0</v>
          </cell>
          <cell r="CG681">
            <v>0</v>
          </cell>
          <cell r="CH681">
            <v>0</v>
          </cell>
          <cell r="CI681">
            <v>0</v>
          </cell>
          <cell r="CJ681">
            <v>0</v>
          </cell>
          <cell r="CK681">
            <v>0</v>
          </cell>
          <cell r="CL681">
            <v>0</v>
          </cell>
          <cell r="CM681">
            <v>0</v>
          </cell>
          <cell r="CO681">
            <v>0</v>
          </cell>
          <cell r="CP681">
            <v>0</v>
          </cell>
          <cell r="CQ681">
            <v>0</v>
          </cell>
          <cell r="CR681">
            <v>0</v>
          </cell>
          <cell r="CS681">
            <v>0</v>
          </cell>
          <cell r="CT681">
            <v>0</v>
          </cell>
          <cell r="CU681">
            <v>0</v>
          </cell>
          <cell r="CV681">
            <v>0</v>
          </cell>
          <cell r="CW681">
            <v>0</v>
          </cell>
          <cell r="CY681">
            <v>0</v>
          </cell>
          <cell r="CZ681">
            <v>0</v>
          </cell>
          <cell r="DA681">
            <v>0</v>
          </cell>
          <cell r="DB681">
            <v>0</v>
          </cell>
          <cell r="DC681">
            <v>0</v>
          </cell>
          <cell r="DD681">
            <v>0</v>
          </cell>
          <cell r="DE681">
            <v>0</v>
          </cell>
          <cell r="DF681">
            <v>0</v>
          </cell>
          <cell r="DG681">
            <v>0</v>
          </cell>
          <cell r="DI681">
            <v>0</v>
          </cell>
          <cell r="DJ681">
            <v>0</v>
          </cell>
          <cell r="DK681">
            <v>0</v>
          </cell>
          <cell r="DL681">
            <v>0</v>
          </cell>
          <cell r="DM681">
            <v>0</v>
          </cell>
          <cell r="DN681">
            <v>0</v>
          </cell>
          <cell r="DO681">
            <v>0</v>
          </cell>
          <cell r="DP681">
            <v>0</v>
          </cell>
          <cell r="DQ681">
            <v>0</v>
          </cell>
          <cell r="DR681">
            <v>0</v>
          </cell>
          <cell r="DS681">
            <v>0</v>
          </cell>
          <cell r="DT681">
            <v>0</v>
          </cell>
          <cell r="DU681">
            <v>0</v>
          </cell>
          <cell r="DW681">
            <v>0</v>
          </cell>
          <cell r="DX681">
            <v>0</v>
          </cell>
          <cell r="DY681">
            <v>0</v>
          </cell>
          <cell r="DZ681">
            <v>0</v>
          </cell>
          <cell r="EA681">
            <v>0</v>
          </cell>
          <cell r="EB681">
            <v>0</v>
          </cell>
          <cell r="EC681">
            <v>0</v>
          </cell>
          <cell r="ED681">
            <v>0</v>
          </cell>
          <cell r="EE681">
            <v>0</v>
          </cell>
          <cell r="EF681">
            <v>0</v>
          </cell>
          <cell r="EG681">
            <v>0</v>
          </cell>
          <cell r="EH681">
            <v>0</v>
          </cell>
          <cell r="EI681">
            <v>0</v>
          </cell>
          <cell r="EK681">
            <v>0</v>
          </cell>
          <cell r="EL681">
            <v>0</v>
          </cell>
          <cell r="EM681">
            <v>0</v>
          </cell>
          <cell r="EN681">
            <v>0</v>
          </cell>
          <cell r="EO681">
            <v>0</v>
          </cell>
          <cell r="EP681">
            <v>0</v>
          </cell>
          <cell r="EQ681">
            <v>0</v>
          </cell>
          <cell r="ER681">
            <v>0</v>
          </cell>
          <cell r="ES681">
            <v>0</v>
          </cell>
          <cell r="ET681">
            <v>0</v>
          </cell>
          <cell r="EU681">
            <v>0</v>
          </cell>
          <cell r="EV681">
            <v>0</v>
          </cell>
          <cell r="EW681">
            <v>0</v>
          </cell>
          <cell r="EY681">
            <v>0</v>
          </cell>
          <cell r="EZ681">
            <v>8</v>
          </cell>
          <cell r="FA681">
            <v>0</v>
          </cell>
          <cell r="FB681">
            <v>0</v>
          </cell>
          <cell r="FC681">
            <v>8.6</v>
          </cell>
          <cell r="FD681">
            <v>0</v>
          </cell>
          <cell r="FE681">
            <v>0</v>
          </cell>
          <cell r="FF681">
            <v>0</v>
          </cell>
          <cell r="FH681">
            <v>0</v>
          </cell>
        </row>
        <row r="682">
          <cell r="B682">
            <v>9786</v>
          </cell>
          <cell r="C682" t="str">
            <v>04.09.2010</v>
          </cell>
          <cell r="D682" t="str">
            <v>Ahire Vishal Madhukar</v>
          </cell>
          <cell r="F682">
            <v>0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0</v>
          </cell>
          <cell r="AK682">
            <v>0</v>
          </cell>
          <cell r="AL682">
            <v>0</v>
          </cell>
          <cell r="AM682">
            <v>0</v>
          </cell>
          <cell r="AN682">
            <v>0</v>
          </cell>
          <cell r="AO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0</v>
          </cell>
          <cell r="AW682">
            <v>0</v>
          </cell>
          <cell r="AX682">
            <v>0</v>
          </cell>
          <cell r="AY682">
            <v>0</v>
          </cell>
          <cell r="BA682">
            <v>0</v>
          </cell>
          <cell r="BB682">
            <v>0</v>
          </cell>
          <cell r="BC682">
            <v>0</v>
          </cell>
          <cell r="BD682">
            <v>0</v>
          </cell>
          <cell r="BE682">
            <v>0</v>
          </cell>
          <cell r="BF682">
            <v>0</v>
          </cell>
          <cell r="BG682">
            <v>0</v>
          </cell>
          <cell r="BH682">
            <v>0</v>
          </cell>
          <cell r="BI682">
            <v>0</v>
          </cell>
          <cell r="BK682">
            <v>0</v>
          </cell>
          <cell r="BL682">
            <v>0</v>
          </cell>
          <cell r="BM682">
            <v>0</v>
          </cell>
          <cell r="BN682">
            <v>0</v>
          </cell>
          <cell r="BO682">
            <v>0</v>
          </cell>
          <cell r="BP682">
            <v>0</v>
          </cell>
          <cell r="BQ682">
            <v>0</v>
          </cell>
          <cell r="BR682">
            <v>0</v>
          </cell>
          <cell r="BS682">
            <v>0</v>
          </cell>
          <cell r="BU682">
            <v>0</v>
          </cell>
          <cell r="BV682">
            <v>0</v>
          </cell>
          <cell r="BW682">
            <v>0</v>
          </cell>
          <cell r="BX682">
            <v>0</v>
          </cell>
          <cell r="BY682">
            <v>0</v>
          </cell>
          <cell r="BZ682">
            <v>0</v>
          </cell>
          <cell r="CA682">
            <v>0</v>
          </cell>
          <cell r="CB682">
            <v>0</v>
          </cell>
          <cell r="CC682">
            <v>0</v>
          </cell>
          <cell r="CE682">
            <v>0</v>
          </cell>
          <cell r="CF682">
            <v>0</v>
          </cell>
          <cell r="CG682">
            <v>0</v>
          </cell>
          <cell r="CH682">
            <v>0</v>
          </cell>
          <cell r="CI682">
            <v>0</v>
          </cell>
          <cell r="CJ682">
            <v>0</v>
          </cell>
          <cell r="CK682">
            <v>0</v>
          </cell>
          <cell r="CL682">
            <v>0</v>
          </cell>
          <cell r="CM682">
            <v>0</v>
          </cell>
          <cell r="CO682">
            <v>0</v>
          </cell>
          <cell r="CP682">
            <v>0</v>
          </cell>
          <cell r="CQ682">
            <v>0</v>
          </cell>
          <cell r="CR682">
            <v>0</v>
          </cell>
          <cell r="CS682">
            <v>0</v>
          </cell>
          <cell r="CT682">
            <v>0</v>
          </cell>
          <cell r="CU682">
            <v>0</v>
          </cell>
          <cell r="CV682">
            <v>0</v>
          </cell>
          <cell r="CW682">
            <v>0</v>
          </cell>
          <cell r="CY682">
            <v>0</v>
          </cell>
          <cell r="CZ682">
            <v>0</v>
          </cell>
          <cell r="DA682">
            <v>0</v>
          </cell>
          <cell r="DB682">
            <v>0</v>
          </cell>
          <cell r="DC682">
            <v>0</v>
          </cell>
          <cell r="DD682">
            <v>0</v>
          </cell>
          <cell r="DE682">
            <v>0</v>
          </cell>
          <cell r="DF682">
            <v>0</v>
          </cell>
          <cell r="DG682">
            <v>0</v>
          </cell>
          <cell r="DI682">
            <v>0</v>
          </cell>
          <cell r="DJ682">
            <v>0</v>
          </cell>
          <cell r="DK682">
            <v>0</v>
          </cell>
          <cell r="DL682">
            <v>0</v>
          </cell>
          <cell r="DM682">
            <v>0</v>
          </cell>
          <cell r="DN682">
            <v>0</v>
          </cell>
          <cell r="DO682">
            <v>0</v>
          </cell>
          <cell r="DP682">
            <v>0</v>
          </cell>
          <cell r="DQ682">
            <v>0</v>
          </cell>
          <cell r="DR682">
            <v>0</v>
          </cell>
          <cell r="DS682">
            <v>0</v>
          </cell>
          <cell r="DT682">
            <v>0</v>
          </cell>
          <cell r="DU682">
            <v>0</v>
          </cell>
          <cell r="DW682">
            <v>0</v>
          </cell>
          <cell r="DX682">
            <v>0</v>
          </cell>
          <cell r="DY682">
            <v>0</v>
          </cell>
          <cell r="DZ682">
            <v>0</v>
          </cell>
          <cell r="EA682">
            <v>0</v>
          </cell>
          <cell r="EB682">
            <v>0</v>
          </cell>
          <cell r="EC682">
            <v>0</v>
          </cell>
          <cell r="ED682">
            <v>0</v>
          </cell>
          <cell r="EE682">
            <v>0</v>
          </cell>
          <cell r="EF682">
            <v>0</v>
          </cell>
          <cell r="EG682">
            <v>0</v>
          </cell>
          <cell r="EH682">
            <v>0</v>
          </cell>
          <cell r="EI682">
            <v>0</v>
          </cell>
          <cell r="EK682">
            <v>0</v>
          </cell>
          <cell r="EL682">
            <v>0</v>
          </cell>
          <cell r="EM682">
            <v>0</v>
          </cell>
          <cell r="EN682">
            <v>0</v>
          </cell>
          <cell r="EO682">
            <v>0</v>
          </cell>
          <cell r="EP682">
            <v>0</v>
          </cell>
          <cell r="EQ682">
            <v>0</v>
          </cell>
          <cell r="ER682">
            <v>0</v>
          </cell>
          <cell r="ES682">
            <v>0</v>
          </cell>
          <cell r="ET682">
            <v>0</v>
          </cell>
          <cell r="EU682">
            <v>0</v>
          </cell>
          <cell r="EV682">
            <v>0</v>
          </cell>
          <cell r="EW682">
            <v>0</v>
          </cell>
          <cell r="EY682">
            <v>0</v>
          </cell>
          <cell r="EZ682">
            <v>8</v>
          </cell>
          <cell r="FA682">
            <v>0</v>
          </cell>
          <cell r="FB682">
            <v>0</v>
          </cell>
          <cell r="FC682">
            <v>8.6</v>
          </cell>
          <cell r="FD682">
            <v>0</v>
          </cell>
          <cell r="FE682">
            <v>0</v>
          </cell>
          <cell r="FF682">
            <v>0</v>
          </cell>
          <cell r="FH682">
            <v>0</v>
          </cell>
        </row>
        <row r="683">
          <cell r="B683">
            <v>9783</v>
          </cell>
          <cell r="C683" t="str">
            <v>08.09.2010</v>
          </cell>
          <cell r="D683" t="str">
            <v>Chavan Rakesh Shivram</v>
          </cell>
          <cell r="F683">
            <v>0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0</v>
          </cell>
          <cell r="AK683">
            <v>0</v>
          </cell>
          <cell r="AL683">
            <v>0</v>
          </cell>
          <cell r="AM683">
            <v>0</v>
          </cell>
          <cell r="AN683">
            <v>0</v>
          </cell>
          <cell r="AO683">
            <v>0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0</v>
          </cell>
          <cell r="AW683">
            <v>0</v>
          </cell>
          <cell r="AX683">
            <v>0</v>
          </cell>
          <cell r="AY683">
            <v>0</v>
          </cell>
          <cell r="BA683">
            <v>0</v>
          </cell>
          <cell r="BB683">
            <v>0</v>
          </cell>
          <cell r="BC683">
            <v>0</v>
          </cell>
          <cell r="BD683">
            <v>0</v>
          </cell>
          <cell r="BE683">
            <v>0</v>
          </cell>
          <cell r="BF683">
            <v>0</v>
          </cell>
          <cell r="BG683">
            <v>0</v>
          </cell>
          <cell r="BH683">
            <v>0</v>
          </cell>
          <cell r="BI683">
            <v>0</v>
          </cell>
          <cell r="BK683">
            <v>0</v>
          </cell>
          <cell r="BL683">
            <v>0</v>
          </cell>
          <cell r="BM683">
            <v>0</v>
          </cell>
          <cell r="BN683">
            <v>0</v>
          </cell>
          <cell r="BO683">
            <v>0</v>
          </cell>
          <cell r="BP683">
            <v>0</v>
          </cell>
          <cell r="BQ683">
            <v>0</v>
          </cell>
          <cell r="BR683">
            <v>0</v>
          </cell>
          <cell r="BS683">
            <v>0</v>
          </cell>
          <cell r="BU683">
            <v>0</v>
          </cell>
          <cell r="BV683">
            <v>0</v>
          </cell>
          <cell r="BW683">
            <v>0</v>
          </cell>
          <cell r="BX683">
            <v>0</v>
          </cell>
          <cell r="BY683">
            <v>0</v>
          </cell>
          <cell r="BZ683">
            <v>0</v>
          </cell>
          <cell r="CA683">
            <v>0</v>
          </cell>
          <cell r="CB683">
            <v>0</v>
          </cell>
          <cell r="CC683">
            <v>0</v>
          </cell>
          <cell r="CE683">
            <v>0</v>
          </cell>
          <cell r="CF683">
            <v>0</v>
          </cell>
          <cell r="CG683">
            <v>0</v>
          </cell>
          <cell r="CH683">
            <v>0</v>
          </cell>
          <cell r="CI683">
            <v>0</v>
          </cell>
          <cell r="CJ683">
            <v>0</v>
          </cell>
          <cell r="CK683">
            <v>0</v>
          </cell>
          <cell r="CL683">
            <v>0</v>
          </cell>
          <cell r="CM683">
            <v>0</v>
          </cell>
          <cell r="CO683">
            <v>0</v>
          </cell>
          <cell r="CP683">
            <v>0</v>
          </cell>
          <cell r="CQ683">
            <v>0</v>
          </cell>
          <cell r="CR683">
            <v>0</v>
          </cell>
          <cell r="CS683">
            <v>0</v>
          </cell>
          <cell r="CT683">
            <v>0</v>
          </cell>
          <cell r="CU683">
            <v>0</v>
          </cell>
          <cell r="CV683">
            <v>0</v>
          </cell>
          <cell r="CW683">
            <v>0</v>
          </cell>
          <cell r="CY683">
            <v>0</v>
          </cell>
          <cell r="CZ683">
            <v>0</v>
          </cell>
          <cell r="DA683">
            <v>0</v>
          </cell>
          <cell r="DB683">
            <v>0</v>
          </cell>
          <cell r="DC683">
            <v>0</v>
          </cell>
          <cell r="DD683">
            <v>0</v>
          </cell>
          <cell r="DE683">
            <v>0</v>
          </cell>
          <cell r="DF683">
            <v>0</v>
          </cell>
          <cell r="DG683">
            <v>0</v>
          </cell>
          <cell r="DI683">
            <v>0</v>
          </cell>
          <cell r="DJ683">
            <v>0</v>
          </cell>
          <cell r="DK683">
            <v>0</v>
          </cell>
          <cell r="DL683">
            <v>0</v>
          </cell>
          <cell r="DM683">
            <v>0</v>
          </cell>
          <cell r="DN683">
            <v>0</v>
          </cell>
          <cell r="DO683">
            <v>0</v>
          </cell>
          <cell r="DP683">
            <v>0</v>
          </cell>
          <cell r="DQ683">
            <v>0</v>
          </cell>
          <cell r="DR683">
            <v>0</v>
          </cell>
          <cell r="DS683">
            <v>0</v>
          </cell>
          <cell r="DT683">
            <v>0</v>
          </cell>
          <cell r="DU683">
            <v>0</v>
          </cell>
          <cell r="DW683">
            <v>0</v>
          </cell>
          <cell r="DX683">
            <v>0</v>
          </cell>
          <cell r="DY683">
            <v>0</v>
          </cell>
          <cell r="DZ683">
            <v>0</v>
          </cell>
          <cell r="EA683">
            <v>0</v>
          </cell>
          <cell r="EB683">
            <v>0</v>
          </cell>
          <cell r="EC683">
            <v>0</v>
          </cell>
          <cell r="ED683">
            <v>0</v>
          </cell>
          <cell r="EE683">
            <v>0</v>
          </cell>
          <cell r="EF683">
            <v>0</v>
          </cell>
          <cell r="EG683">
            <v>0</v>
          </cell>
          <cell r="EH683">
            <v>0</v>
          </cell>
          <cell r="EI683">
            <v>0</v>
          </cell>
          <cell r="EK683">
            <v>0</v>
          </cell>
          <cell r="EL683">
            <v>0</v>
          </cell>
          <cell r="EM683">
            <v>0</v>
          </cell>
          <cell r="EN683">
            <v>0</v>
          </cell>
          <cell r="EO683">
            <v>0</v>
          </cell>
          <cell r="EP683">
            <v>0</v>
          </cell>
          <cell r="EQ683">
            <v>0</v>
          </cell>
          <cell r="ER683">
            <v>0</v>
          </cell>
          <cell r="ES683">
            <v>0</v>
          </cell>
          <cell r="ET683">
            <v>0</v>
          </cell>
          <cell r="EU683">
            <v>0</v>
          </cell>
          <cell r="EV683">
            <v>0</v>
          </cell>
          <cell r="EW683">
            <v>0</v>
          </cell>
          <cell r="EY683">
            <v>0</v>
          </cell>
          <cell r="EZ683">
            <v>8</v>
          </cell>
          <cell r="FA683">
            <v>0</v>
          </cell>
          <cell r="FB683">
            <v>0</v>
          </cell>
          <cell r="FC683">
            <v>8.6</v>
          </cell>
          <cell r="FD683">
            <v>0</v>
          </cell>
          <cell r="FE683">
            <v>0</v>
          </cell>
          <cell r="FF683">
            <v>0</v>
          </cell>
          <cell r="FH683">
            <v>0</v>
          </cell>
        </row>
        <row r="684">
          <cell r="B684">
            <v>9825</v>
          </cell>
          <cell r="C684" t="str">
            <v>09.09.2010</v>
          </cell>
          <cell r="D684" t="str">
            <v>Jadhav Mangala Ambadas</v>
          </cell>
          <cell r="F684">
            <v>0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0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0</v>
          </cell>
          <cell r="AY684">
            <v>0</v>
          </cell>
          <cell r="BA684">
            <v>0</v>
          </cell>
          <cell r="BB684">
            <v>0</v>
          </cell>
          <cell r="BC684">
            <v>0</v>
          </cell>
          <cell r="BD684">
            <v>0</v>
          </cell>
          <cell r="BE684">
            <v>0</v>
          </cell>
          <cell r="BF684">
            <v>0</v>
          </cell>
          <cell r="BG684">
            <v>0</v>
          </cell>
          <cell r="BH684">
            <v>0</v>
          </cell>
          <cell r="BI684">
            <v>0</v>
          </cell>
          <cell r="BK684">
            <v>0</v>
          </cell>
          <cell r="BL684">
            <v>0</v>
          </cell>
          <cell r="BM684">
            <v>0</v>
          </cell>
          <cell r="BN684">
            <v>0</v>
          </cell>
          <cell r="BO684">
            <v>0</v>
          </cell>
          <cell r="BP684">
            <v>0</v>
          </cell>
          <cell r="BQ684">
            <v>0</v>
          </cell>
          <cell r="BR684">
            <v>0</v>
          </cell>
          <cell r="BS684">
            <v>0</v>
          </cell>
          <cell r="BU684">
            <v>0</v>
          </cell>
          <cell r="BV684">
            <v>0</v>
          </cell>
          <cell r="BW684">
            <v>0</v>
          </cell>
          <cell r="BX684">
            <v>0</v>
          </cell>
          <cell r="BY684">
            <v>0</v>
          </cell>
          <cell r="BZ684">
            <v>0</v>
          </cell>
          <cell r="CA684">
            <v>0</v>
          </cell>
          <cell r="CB684">
            <v>0</v>
          </cell>
          <cell r="CC684">
            <v>0</v>
          </cell>
          <cell r="CE684">
            <v>0</v>
          </cell>
          <cell r="CF684">
            <v>0</v>
          </cell>
          <cell r="CG684">
            <v>0</v>
          </cell>
          <cell r="CH684">
            <v>0</v>
          </cell>
          <cell r="CI684">
            <v>0</v>
          </cell>
          <cell r="CJ684">
            <v>0</v>
          </cell>
          <cell r="CK684">
            <v>0</v>
          </cell>
          <cell r="CL684">
            <v>0</v>
          </cell>
          <cell r="CM684">
            <v>0</v>
          </cell>
          <cell r="CO684">
            <v>0</v>
          </cell>
          <cell r="CP684">
            <v>0</v>
          </cell>
          <cell r="CQ684">
            <v>0</v>
          </cell>
          <cell r="CR684">
            <v>0</v>
          </cell>
          <cell r="CS684">
            <v>0</v>
          </cell>
          <cell r="CT684">
            <v>0</v>
          </cell>
          <cell r="CU684">
            <v>0</v>
          </cell>
          <cell r="CV684">
            <v>0</v>
          </cell>
          <cell r="CW684">
            <v>0</v>
          </cell>
          <cell r="CY684">
            <v>0</v>
          </cell>
          <cell r="CZ684">
            <v>0</v>
          </cell>
          <cell r="DA684">
            <v>0</v>
          </cell>
          <cell r="DB684">
            <v>0</v>
          </cell>
          <cell r="DC684">
            <v>0</v>
          </cell>
          <cell r="DD684">
            <v>0</v>
          </cell>
          <cell r="DE684">
            <v>0</v>
          </cell>
          <cell r="DF684">
            <v>0</v>
          </cell>
          <cell r="DG684">
            <v>0</v>
          </cell>
          <cell r="DI684">
            <v>0</v>
          </cell>
          <cell r="DJ684">
            <v>0</v>
          </cell>
          <cell r="DK684">
            <v>0</v>
          </cell>
          <cell r="DL684">
            <v>0</v>
          </cell>
          <cell r="DM684">
            <v>0</v>
          </cell>
          <cell r="DN684">
            <v>0</v>
          </cell>
          <cell r="DO684">
            <v>0</v>
          </cell>
          <cell r="DP684">
            <v>0</v>
          </cell>
          <cell r="DQ684">
            <v>0</v>
          </cell>
          <cell r="DR684">
            <v>0</v>
          </cell>
          <cell r="DS684">
            <v>0</v>
          </cell>
          <cell r="DT684">
            <v>0</v>
          </cell>
          <cell r="DU684">
            <v>0</v>
          </cell>
          <cell r="DW684">
            <v>0</v>
          </cell>
          <cell r="DX684">
            <v>0</v>
          </cell>
          <cell r="DY684">
            <v>0</v>
          </cell>
          <cell r="DZ684">
            <v>0</v>
          </cell>
          <cell r="EA684">
            <v>0</v>
          </cell>
          <cell r="EB684">
            <v>0</v>
          </cell>
          <cell r="EC684">
            <v>0</v>
          </cell>
          <cell r="ED684">
            <v>0</v>
          </cell>
          <cell r="EE684">
            <v>0</v>
          </cell>
          <cell r="EF684">
            <v>0</v>
          </cell>
          <cell r="EG684">
            <v>0</v>
          </cell>
          <cell r="EH684">
            <v>0</v>
          </cell>
          <cell r="EI684">
            <v>0</v>
          </cell>
          <cell r="EK684">
            <v>0</v>
          </cell>
          <cell r="EL684">
            <v>0</v>
          </cell>
          <cell r="EM684">
            <v>0</v>
          </cell>
          <cell r="EN684">
            <v>0</v>
          </cell>
          <cell r="EO684">
            <v>0</v>
          </cell>
          <cell r="EP684">
            <v>0</v>
          </cell>
          <cell r="EQ684">
            <v>0</v>
          </cell>
          <cell r="ER684">
            <v>0</v>
          </cell>
          <cell r="ES684">
            <v>0</v>
          </cell>
          <cell r="ET684">
            <v>0</v>
          </cell>
          <cell r="EU684">
            <v>0</v>
          </cell>
          <cell r="EV684">
            <v>0</v>
          </cell>
          <cell r="EW684">
            <v>0</v>
          </cell>
          <cell r="EY684">
            <v>0</v>
          </cell>
          <cell r="EZ684">
            <v>8</v>
          </cell>
          <cell r="FA684">
            <v>0</v>
          </cell>
          <cell r="FB684">
            <v>0</v>
          </cell>
          <cell r="FC684">
            <v>8.6</v>
          </cell>
          <cell r="FD684">
            <v>0</v>
          </cell>
          <cell r="FE684">
            <v>0</v>
          </cell>
          <cell r="FF684">
            <v>0</v>
          </cell>
          <cell r="FH684">
            <v>0</v>
          </cell>
        </row>
        <row r="685">
          <cell r="B685">
            <v>9846</v>
          </cell>
          <cell r="C685" t="str">
            <v>09.09.2010</v>
          </cell>
          <cell r="D685" t="str">
            <v>Shiral Shital Yashwant</v>
          </cell>
          <cell r="F685">
            <v>0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BA685">
            <v>0</v>
          </cell>
          <cell r="BB685">
            <v>0</v>
          </cell>
          <cell r="BC685">
            <v>0</v>
          </cell>
          <cell r="BD685">
            <v>0</v>
          </cell>
          <cell r="BE685">
            <v>0</v>
          </cell>
          <cell r="BF685">
            <v>0</v>
          </cell>
          <cell r="BG685">
            <v>0</v>
          </cell>
          <cell r="BH685">
            <v>0</v>
          </cell>
          <cell r="BI685">
            <v>0</v>
          </cell>
          <cell r="BK685">
            <v>0</v>
          </cell>
          <cell r="BL685">
            <v>0</v>
          </cell>
          <cell r="BM685">
            <v>0</v>
          </cell>
          <cell r="BN685">
            <v>0</v>
          </cell>
          <cell r="BO685">
            <v>0</v>
          </cell>
          <cell r="BP685">
            <v>0</v>
          </cell>
          <cell r="BQ685">
            <v>0</v>
          </cell>
          <cell r="BR685">
            <v>0</v>
          </cell>
          <cell r="BS685">
            <v>0</v>
          </cell>
          <cell r="BU685">
            <v>0</v>
          </cell>
          <cell r="BV685">
            <v>0</v>
          </cell>
          <cell r="BW685">
            <v>0</v>
          </cell>
          <cell r="BX685">
            <v>0</v>
          </cell>
          <cell r="BY685">
            <v>0</v>
          </cell>
          <cell r="BZ685">
            <v>0</v>
          </cell>
          <cell r="CA685">
            <v>0</v>
          </cell>
          <cell r="CB685">
            <v>0</v>
          </cell>
          <cell r="CC685">
            <v>0</v>
          </cell>
          <cell r="CE685">
            <v>0</v>
          </cell>
          <cell r="CF685">
            <v>0</v>
          </cell>
          <cell r="CG685">
            <v>0</v>
          </cell>
          <cell r="CH685">
            <v>0</v>
          </cell>
          <cell r="CI685">
            <v>0</v>
          </cell>
          <cell r="CJ685">
            <v>0</v>
          </cell>
          <cell r="CK685">
            <v>0</v>
          </cell>
          <cell r="CL685">
            <v>0</v>
          </cell>
          <cell r="CM685">
            <v>0</v>
          </cell>
          <cell r="CO685">
            <v>0</v>
          </cell>
          <cell r="CP685">
            <v>0</v>
          </cell>
          <cell r="CQ685">
            <v>0</v>
          </cell>
          <cell r="CR685">
            <v>0</v>
          </cell>
          <cell r="CS685">
            <v>0</v>
          </cell>
          <cell r="CT685">
            <v>0</v>
          </cell>
          <cell r="CU685">
            <v>0</v>
          </cell>
          <cell r="CV685">
            <v>0</v>
          </cell>
          <cell r="CW685">
            <v>0</v>
          </cell>
          <cell r="CY685">
            <v>0</v>
          </cell>
          <cell r="CZ685">
            <v>0</v>
          </cell>
          <cell r="DA685">
            <v>0</v>
          </cell>
          <cell r="DB685">
            <v>0</v>
          </cell>
          <cell r="DC685">
            <v>0</v>
          </cell>
          <cell r="DD685">
            <v>0</v>
          </cell>
          <cell r="DE685">
            <v>0</v>
          </cell>
          <cell r="DF685">
            <v>0</v>
          </cell>
          <cell r="DG685">
            <v>0</v>
          </cell>
          <cell r="DI685">
            <v>0</v>
          </cell>
          <cell r="DJ685">
            <v>0</v>
          </cell>
          <cell r="DK685">
            <v>0</v>
          </cell>
          <cell r="DL685">
            <v>0</v>
          </cell>
          <cell r="DM685">
            <v>0</v>
          </cell>
          <cell r="DN685">
            <v>0</v>
          </cell>
          <cell r="DO685">
            <v>0</v>
          </cell>
          <cell r="DP685">
            <v>0</v>
          </cell>
          <cell r="DQ685">
            <v>0</v>
          </cell>
          <cell r="DR685">
            <v>0</v>
          </cell>
          <cell r="DS685">
            <v>0</v>
          </cell>
          <cell r="DT685">
            <v>0</v>
          </cell>
          <cell r="DU685">
            <v>0</v>
          </cell>
          <cell r="DW685">
            <v>0</v>
          </cell>
          <cell r="DX685">
            <v>0</v>
          </cell>
          <cell r="DY685">
            <v>0</v>
          </cell>
          <cell r="DZ685">
            <v>0</v>
          </cell>
          <cell r="EA685">
            <v>0</v>
          </cell>
          <cell r="EB685">
            <v>0</v>
          </cell>
          <cell r="EC685">
            <v>0</v>
          </cell>
          <cell r="ED685">
            <v>0</v>
          </cell>
          <cell r="EE685">
            <v>0</v>
          </cell>
          <cell r="EF685">
            <v>0</v>
          </cell>
          <cell r="EG685">
            <v>0</v>
          </cell>
          <cell r="EH685">
            <v>0</v>
          </cell>
          <cell r="EI685">
            <v>0</v>
          </cell>
          <cell r="EK685">
            <v>0</v>
          </cell>
          <cell r="EL685">
            <v>0</v>
          </cell>
          <cell r="EM685">
            <v>0</v>
          </cell>
          <cell r="EN685">
            <v>0</v>
          </cell>
          <cell r="EO685">
            <v>0</v>
          </cell>
          <cell r="EP685">
            <v>0</v>
          </cell>
          <cell r="EQ685">
            <v>0</v>
          </cell>
          <cell r="ER685">
            <v>0</v>
          </cell>
          <cell r="ES685">
            <v>0</v>
          </cell>
          <cell r="ET685">
            <v>0</v>
          </cell>
          <cell r="EU685">
            <v>0</v>
          </cell>
          <cell r="EV685">
            <v>0</v>
          </cell>
          <cell r="EW685">
            <v>0</v>
          </cell>
          <cell r="EY685">
            <v>0</v>
          </cell>
          <cell r="EZ685">
            <v>8</v>
          </cell>
          <cell r="FA685">
            <v>0</v>
          </cell>
          <cell r="FB685">
            <v>0</v>
          </cell>
          <cell r="FC685">
            <v>8.6</v>
          </cell>
          <cell r="FD685">
            <v>0</v>
          </cell>
          <cell r="FE685">
            <v>0</v>
          </cell>
          <cell r="FF685">
            <v>0</v>
          </cell>
          <cell r="FH685">
            <v>0</v>
          </cell>
        </row>
        <row r="686">
          <cell r="B686">
            <v>9824</v>
          </cell>
          <cell r="C686" t="str">
            <v>11.09.2010</v>
          </cell>
          <cell r="D686" t="str">
            <v>Rajguru Anita Nandkishore / (Jayashree)</v>
          </cell>
          <cell r="F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G686">
            <v>0</v>
          </cell>
          <cell r="AH686">
            <v>0</v>
          </cell>
          <cell r="AI686">
            <v>0</v>
          </cell>
          <cell r="AJ686">
            <v>0</v>
          </cell>
          <cell r="AK686">
            <v>0</v>
          </cell>
          <cell r="AL686">
            <v>0</v>
          </cell>
          <cell r="AM686">
            <v>0</v>
          </cell>
          <cell r="AN686">
            <v>0</v>
          </cell>
          <cell r="AO686">
            <v>0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  <cell r="AU686">
            <v>0</v>
          </cell>
          <cell r="AV686">
            <v>0</v>
          </cell>
          <cell r="AW686">
            <v>0</v>
          </cell>
          <cell r="AX686">
            <v>0</v>
          </cell>
          <cell r="AY686">
            <v>0</v>
          </cell>
          <cell r="BA686">
            <v>0</v>
          </cell>
          <cell r="BB686">
            <v>0</v>
          </cell>
          <cell r="BC686">
            <v>0</v>
          </cell>
          <cell r="BD686">
            <v>0</v>
          </cell>
          <cell r="BE686">
            <v>0</v>
          </cell>
          <cell r="BF686">
            <v>0</v>
          </cell>
          <cell r="BG686">
            <v>0</v>
          </cell>
          <cell r="BH686">
            <v>0</v>
          </cell>
          <cell r="BI686">
            <v>0</v>
          </cell>
          <cell r="BK686">
            <v>0</v>
          </cell>
          <cell r="BL686">
            <v>0</v>
          </cell>
          <cell r="BM686">
            <v>0</v>
          </cell>
          <cell r="BN686">
            <v>0</v>
          </cell>
          <cell r="BO686">
            <v>0</v>
          </cell>
          <cell r="BP686">
            <v>0</v>
          </cell>
          <cell r="BQ686">
            <v>0</v>
          </cell>
          <cell r="BR686">
            <v>0</v>
          </cell>
          <cell r="BS686">
            <v>0</v>
          </cell>
          <cell r="BU686">
            <v>0</v>
          </cell>
          <cell r="BV686">
            <v>0</v>
          </cell>
          <cell r="BW686">
            <v>0</v>
          </cell>
          <cell r="BX686">
            <v>0</v>
          </cell>
          <cell r="BY686">
            <v>0</v>
          </cell>
          <cell r="BZ686">
            <v>0</v>
          </cell>
          <cell r="CA686">
            <v>0</v>
          </cell>
          <cell r="CB686">
            <v>0</v>
          </cell>
          <cell r="CC686">
            <v>0</v>
          </cell>
          <cell r="CE686">
            <v>0</v>
          </cell>
          <cell r="CF686">
            <v>0</v>
          </cell>
          <cell r="CG686">
            <v>0</v>
          </cell>
          <cell r="CH686">
            <v>0</v>
          </cell>
          <cell r="CI686">
            <v>0</v>
          </cell>
          <cell r="CJ686">
            <v>0</v>
          </cell>
          <cell r="CK686">
            <v>0</v>
          </cell>
          <cell r="CL686">
            <v>0</v>
          </cell>
          <cell r="CM686">
            <v>0</v>
          </cell>
          <cell r="CO686">
            <v>0</v>
          </cell>
          <cell r="CP686">
            <v>0</v>
          </cell>
          <cell r="CQ686">
            <v>0</v>
          </cell>
          <cell r="CR686">
            <v>0</v>
          </cell>
          <cell r="CS686">
            <v>0</v>
          </cell>
          <cell r="CT686">
            <v>0</v>
          </cell>
          <cell r="CU686">
            <v>0</v>
          </cell>
          <cell r="CV686">
            <v>0</v>
          </cell>
          <cell r="CW686">
            <v>0</v>
          </cell>
          <cell r="CY686">
            <v>0</v>
          </cell>
          <cell r="CZ686">
            <v>0</v>
          </cell>
          <cell r="DA686">
            <v>0</v>
          </cell>
          <cell r="DB686">
            <v>0</v>
          </cell>
          <cell r="DC686">
            <v>0</v>
          </cell>
          <cell r="DD686">
            <v>0</v>
          </cell>
          <cell r="DE686">
            <v>0</v>
          </cell>
          <cell r="DF686">
            <v>0</v>
          </cell>
          <cell r="DG686">
            <v>0</v>
          </cell>
          <cell r="DI686">
            <v>0</v>
          </cell>
          <cell r="DJ686">
            <v>0</v>
          </cell>
          <cell r="DK686">
            <v>0</v>
          </cell>
          <cell r="DL686">
            <v>0</v>
          </cell>
          <cell r="DM686">
            <v>0</v>
          </cell>
          <cell r="DN686">
            <v>0</v>
          </cell>
          <cell r="DO686">
            <v>0</v>
          </cell>
          <cell r="DP686">
            <v>0</v>
          </cell>
          <cell r="DQ686">
            <v>0</v>
          </cell>
          <cell r="DR686">
            <v>0</v>
          </cell>
          <cell r="DS686">
            <v>0</v>
          </cell>
          <cell r="DT686">
            <v>0</v>
          </cell>
          <cell r="DU686">
            <v>0</v>
          </cell>
          <cell r="DW686">
            <v>0</v>
          </cell>
          <cell r="DX686">
            <v>0</v>
          </cell>
          <cell r="DY686">
            <v>0</v>
          </cell>
          <cell r="DZ686">
            <v>0</v>
          </cell>
          <cell r="EA686">
            <v>0</v>
          </cell>
          <cell r="EB686">
            <v>0</v>
          </cell>
          <cell r="EC686">
            <v>0</v>
          </cell>
          <cell r="ED686">
            <v>0</v>
          </cell>
          <cell r="EE686">
            <v>0</v>
          </cell>
          <cell r="EF686">
            <v>0</v>
          </cell>
          <cell r="EG686">
            <v>0</v>
          </cell>
          <cell r="EH686">
            <v>0</v>
          </cell>
          <cell r="EI686">
            <v>0</v>
          </cell>
          <cell r="EK686">
            <v>0</v>
          </cell>
          <cell r="EL686">
            <v>0</v>
          </cell>
          <cell r="EM686">
            <v>0</v>
          </cell>
          <cell r="EN686">
            <v>0</v>
          </cell>
          <cell r="EO686">
            <v>0</v>
          </cell>
          <cell r="EP686">
            <v>0</v>
          </cell>
          <cell r="EQ686">
            <v>0</v>
          </cell>
          <cell r="ER686">
            <v>0</v>
          </cell>
          <cell r="ES686">
            <v>0</v>
          </cell>
          <cell r="ET686">
            <v>0</v>
          </cell>
          <cell r="EU686">
            <v>0</v>
          </cell>
          <cell r="EV686">
            <v>0</v>
          </cell>
          <cell r="EW686">
            <v>0</v>
          </cell>
          <cell r="EY686">
            <v>0</v>
          </cell>
          <cell r="EZ686">
            <v>8</v>
          </cell>
          <cell r="FA686">
            <v>0</v>
          </cell>
          <cell r="FB686">
            <v>0</v>
          </cell>
          <cell r="FC686">
            <v>8.6</v>
          </cell>
          <cell r="FD686">
            <v>0</v>
          </cell>
          <cell r="FE686">
            <v>0</v>
          </cell>
          <cell r="FF686">
            <v>0</v>
          </cell>
          <cell r="FH686">
            <v>0</v>
          </cell>
        </row>
        <row r="687">
          <cell r="B687">
            <v>9811</v>
          </cell>
          <cell r="C687" t="str">
            <v>16.09.2010</v>
          </cell>
          <cell r="D687" t="str">
            <v>Bhalerao Ganesh Kisan</v>
          </cell>
          <cell r="F687">
            <v>0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G687">
            <v>0</v>
          </cell>
          <cell r="AH687">
            <v>0</v>
          </cell>
          <cell r="AI687">
            <v>0</v>
          </cell>
          <cell r="AJ687">
            <v>0</v>
          </cell>
          <cell r="AK687">
            <v>0</v>
          </cell>
          <cell r="AL687">
            <v>0</v>
          </cell>
          <cell r="AM687">
            <v>0</v>
          </cell>
          <cell r="AN687">
            <v>0</v>
          </cell>
          <cell r="AO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0</v>
          </cell>
          <cell r="AV687">
            <v>0</v>
          </cell>
          <cell r="AW687">
            <v>0</v>
          </cell>
          <cell r="AX687">
            <v>0</v>
          </cell>
          <cell r="AY687">
            <v>0</v>
          </cell>
          <cell r="BA687">
            <v>0</v>
          </cell>
          <cell r="BB687">
            <v>0</v>
          </cell>
          <cell r="BC687">
            <v>0</v>
          </cell>
          <cell r="BD687">
            <v>0</v>
          </cell>
          <cell r="BE687">
            <v>0</v>
          </cell>
          <cell r="BF687">
            <v>0</v>
          </cell>
          <cell r="BG687">
            <v>0</v>
          </cell>
          <cell r="BH687">
            <v>0</v>
          </cell>
          <cell r="BI687">
            <v>0</v>
          </cell>
          <cell r="BK687">
            <v>0</v>
          </cell>
          <cell r="BL687">
            <v>0</v>
          </cell>
          <cell r="BM687">
            <v>0</v>
          </cell>
          <cell r="BN687">
            <v>0</v>
          </cell>
          <cell r="BO687">
            <v>0</v>
          </cell>
          <cell r="BP687">
            <v>0</v>
          </cell>
          <cell r="BQ687">
            <v>0</v>
          </cell>
          <cell r="BR687">
            <v>0</v>
          </cell>
          <cell r="BS687">
            <v>0</v>
          </cell>
          <cell r="BU687">
            <v>0</v>
          </cell>
          <cell r="BV687">
            <v>0</v>
          </cell>
          <cell r="BW687">
            <v>0</v>
          </cell>
          <cell r="BX687">
            <v>0</v>
          </cell>
          <cell r="BY687">
            <v>0</v>
          </cell>
          <cell r="BZ687">
            <v>0</v>
          </cell>
          <cell r="CA687">
            <v>0</v>
          </cell>
          <cell r="CB687">
            <v>0</v>
          </cell>
          <cell r="CC687">
            <v>0</v>
          </cell>
          <cell r="CE687">
            <v>0</v>
          </cell>
          <cell r="CF687">
            <v>0</v>
          </cell>
          <cell r="CG687">
            <v>0</v>
          </cell>
          <cell r="CH687">
            <v>0</v>
          </cell>
          <cell r="CI687">
            <v>0</v>
          </cell>
          <cell r="CJ687">
            <v>0</v>
          </cell>
          <cell r="CK687">
            <v>0</v>
          </cell>
          <cell r="CL687">
            <v>0</v>
          </cell>
          <cell r="CM687">
            <v>0</v>
          </cell>
          <cell r="CO687">
            <v>0</v>
          </cell>
          <cell r="CP687">
            <v>0</v>
          </cell>
          <cell r="CQ687">
            <v>0</v>
          </cell>
          <cell r="CR687">
            <v>0</v>
          </cell>
          <cell r="CS687">
            <v>0</v>
          </cell>
          <cell r="CT687">
            <v>0</v>
          </cell>
          <cell r="CU687">
            <v>0</v>
          </cell>
          <cell r="CV687">
            <v>0</v>
          </cell>
          <cell r="CW687">
            <v>0</v>
          </cell>
          <cell r="CY687">
            <v>0</v>
          </cell>
          <cell r="CZ687">
            <v>0</v>
          </cell>
          <cell r="DA687">
            <v>0</v>
          </cell>
          <cell r="DB687">
            <v>0</v>
          </cell>
          <cell r="DC687">
            <v>0</v>
          </cell>
          <cell r="DD687">
            <v>0</v>
          </cell>
          <cell r="DE687">
            <v>0</v>
          </cell>
          <cell r="DF687">
            <v>0</v>
          </cell>
          <cell r="DG687">
            <v>0</v>
          </cell>
          <cell r="DI687">
            <v>0</v>
          </cell>
          <cell r="DJ687">
            <v>0</v>
          </cell>
          <cell r="DK687">
            <v>0</v>
          </cell>
          <cell r="DL687">
            <v>0</v>
          </cell>
          <cell r="DM687">
            <v>0</v>
          </cell>
          <cell r="DN687">
            <v>0</v>
          </cell>
          <cell r="DO687">
            <v>0</v>
          </cell>
          <cell r="DP687">
            <v>0</v>
          </cell>
          <cell r="DQ687">
            <v>0</v>
          </cell>
          <cell r="DR687">
            <v>0</v>
          </cell>
          <cell r="DS687">
            <v>0</v>
          </cell>
          <cell r="DT687">
            <v>0</v>
          </cell>
          <cell r="DU687">
            <v>0</v>
          </cell>
          <cell r="DW687">
            <v>0</v>
          </cell>
          <cell r="DX687">
            <v>0</v>
          </cell>
          <cell r="DY687">
            <v>0</v>
          </cell>
          <cell r="DZ687">
            <v>0</v>
          </cell>
          <cell r="EA687">
            <v>0</v>
          </cell>
          <cell r="EB687">
            <v>0</v>
          </cell>
          <cell r="EC687">
            <v>0</v>
          </cell>
          <cell r="ED687">
            <v>0</v>
          </cell>
          <cell r="EE687">
            <v>0</v>
          </cell>
          <cell r="EF687">
            <v>0</v>
          </cell>
          <cell r="EG687">
            <v>0</v>
          </cell>
          <cell r="EH687">
            <v>0</v>
          </cell>
          <cell r="EI687">
            <v>0</v>
          </cell>
          <cell r="EK687">
            <v>0</v>
          </cell>
          <cell r="EL687">
            <v>0</v>
          </cell>
          <cell r="EM687">
            <v>0</v>
          </cell>
          <cell r="EN687">
            <v>0</v>
          </cell>
          <cell r="EO687">
            <v>0</v>
          </cell>
          <cell r="EP687">
            <v>0</v>
          </cell>
          <cell r="EQ687">
            <v>0</v>
          </cell>
          <cell r="ER687">
            <v>0</v>
          </cell>
          <cell r="ES687">
            <v>0</v>
          </cell>
          <cell r="ET687">
            <v>0</v>
          </cell>
          <cell r="EU687">
            <v>0</v>
          </cell>
          <cell r="EV687">
            <v>0</v>
          </cell>
          <cell r="EW687">
            <v>0</v>
          </cell>
          <cell r="EY687">
            <v>0</v>
          </cell>
          <cell r="EZ687">
            <v>8</v>
          </cell>
          <cell r="FA687">
            <v>0</v>
          </cell>
          <cell r="FB687">
            <v>0</v>
          </cell>
          <cell r="FC687">
            <v>8.6</v>
          </cell>
          <cell r="FD687">
            <v>0</v>
          </cell>
          <cell r="FE687">
            <v>0</v>
          </cell>
          <cell r="FF687">
            <v>0</v>
          </cell>
          <cell r="FH687">
            <v>0</v>
          </cell>
        </row>
        <row r="688">
          <cell r="B688">
            <v>9784</v>
          </cell>
          <cell r="C688" t="str">
            <v>17.09.2010</v>
          </cell>
          <cell r="D688" t="str">
            <v>Shinde Mahindra Manohar</v>
          </cell>
          <cell r="F688">
            <v>0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0</v>
          </cell>
          <cell r="AM688">
            <v>0</v>
          </cell>
          <cell r="AN688">
            <v>0</v>
          </cell>
          <cell r="AO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0</v>
          </cell>
          <cell r="AY688">
            <v>0</v>
          </cell>
          <cell r="BA688">
            <v>0</v>
          </cell>
          <cell r="BB688">
            <v>0</v>
          </cell>
          <cell r="BC688">
            <v>0</v>
          </cell>
          <cell r="BD688">
            <v>0</v>
          </cell>
          <cell r="BE688">
            <v>0</v>
          </cell>
          <cell r="BF688">
            <v>0</v>
          </cell>
          <cell r="BG688">
            <v>0</v>
          </cell>
          <cell r="BH688">
            <v>0</v>
          </cell>
          <cell r="BI688">
            <v>0</v>
          </cell>
          <cell r="BK688">
            <v>0</v>
          </cell>
          <cell r="BL688">
            <v>0</v>
          </cell>
          <cell r="BM688">
            <v>0</v>
          </cell>
          <cell r="BN688">
            <v>0</v>
          </cell>
          <cell r="BO688">
            <v>0</v>
          </cell>
          <cell r="BP688">
            <v>0</v>
          </cell>
          <cell r="BQ688">
            <v>0</v>
          </cell>
          <cell r="BR688">
            <v>0</v>
          </cell>
          <cell r="BS688">
            <v>0</v>
          </cell>
          <cell r="BU688">
            <v>0</v>
          </cell>
          <cell r="BV688">
            <v>0</v>
          </cell>
          <cell r="BW688">
            <v>0</v>
          </cell>
          <cell r="BX688">
            <v>0</v>
          </cell>
          <cell r="BY688">
            <v>0</v>
          </cell>
          <cell r="BZ688">
            <v>0</v>
          </cell>
          <cell r="CA688">
            <v>0</v>
          </cell>
          <cell r="CB688">
            <v>0</v>
          </cell>
          <cell r="CC688">
            <v>0</v>
          </cell>
          <cell r="CE688">
            <v>0</v>
          </cell>
          <cell r="CF688">
            <v>0</v>
          </cell>
          <cell r="CG688">
            <v>0</v>
          </cell>
          <cell r="CH688">
            <v>0</v>
          </cell>
          <cell r="CI688">
            <v>0</v>
          </cell>
          <cell r="CJ688">
            <v>0</v>
          </cell>
          <cell r="CK688">
            <v>0</v>
          </cell>
          <cell r="CL688">
            <v>0</v>
          </cell>
          <cell r="CM688">
            <v>0</v>
          </cell>
          <cell r="CO688">
            <v>0</v>
          </cell>
          <cell r="CP688">
            <v>0</v>
          </cell>
          <cell r="CQ688">
            <v>0</v>
          </cell>
          <cell r="CR688">
            <v>0</v>
          </cell>
          <cell r="CS688">
            <v>0</v>
          </cell>
          <cell r="CT688">
            <v>0</v>
          </cell>
          <cell r="CU688">
            <v>0</v>
          </cell>
          <cell r="CV688">
            <v>0</v>
          </cell>
          <cell r="CW688">
            <v>0</v>
          </cell>
          <cell r="CY688">
            <v>0</v>
          </cell>
          <cell r="CZ688">
            <v>0</v>
          </cell>
          <cell r="DA688">
            <v>0</v>
          </cell>
          <cell r="DB688">
            <v>0</v>
          </cell>
          <cell r="DC688">
            <v>0</v>
          </cell>
          <cell r="DD688">
            <v>0</v>
          </cell>
          <cell r="DE688">
            <v>0</v>
          </cell>
          <cell r="DF688">
            <v>0</v>
          </cell>
          <cell r="DG688">
            <v>0</v>
          </cell>
          <cell r="DI688">
            <v>0</v>
          </cell>
          <cell r="DJ688">
            <v>0</v>
          </cell>
          <cell r="DK688">
            <v>0</v>
          </cell>
          <cell r="DL688">
            <v>0</v>
          </cell>
          <cell r="DM688">
            <v>0</v>
          </cell>
          <cell r="DN688">
            <v>0</v>
          </cell>
          <cell r="DO688">
            <v>0</v>
          </cell>
          <cell r="DP688">
            <v>0</v>
          </cell>
          <cell r="DQ688">
            <v>0</v>
          </cell>
          <cell r="DR688">
            <v>0</v>
          </cell>
          <cell r="DS688">
            <v>0</v>
          </cell>
          <cell r="DT688">
            <v>0</v>
          </cell>
          <cell r="DU688">
            <v>0</v>
          </cell>
          <cell r="DW688">
            <v>0</v>
          </cell>
          <cell r="DX688">
            <v>0</v>
          </cell>
          <cell r="DY688">
            <v>0</v>
          </cell>
          <cell r="DZ688">
            <v>0</v>
          </cell>
          <cell r="EA688">
            <v>0</v>
          </cell>
          <cell r="EB688">
            <v>0</v>
          </cell>
          <cell r="EC688">
            <v>0</v>
          </cell>
          <cell r="ED688">
            <v>0</v>
          </cell>
          <cell r="EE688">
            <v>0</v>
          </cell>
          <cell r="EF688">
            <v>0</v>
          </cell>
          <cell r="EG688">
            <v>0</v>
          </cell>
          <cell r="EH688">
            <v>0</v>
          </cell>
          <cell r="EI688">
            <v>0</v>
          </cell>
          <cell r="EK688">
            <v>0</v>
          </cell>
          <cell r="EL688">
            <v>0</v>
          </cell>
          <cell r="EM688">
            <v>0</v>
          </cell>
          <cell r="EN688">
            <v>0</v>
          </cell>
          <cell r="EO688">
            <v>0</v>
          </cell>
          <cell r="EP688">
            <v>0</v>
          </cell>
          <cell r="EQ688">
            <v>0</v>
          </cell>
          <cell r="ER688">
            <v>0</v>
          </cell>
          <cell r="ES688">
            <v>0</v>
          </cell>
          <cell r="ET688">
            <v>0</v>
          </cell>
          <cell r="EU688">
            <v>0</v>
          </cell>
          <cell r="EV688">
            <v>0</v>
          </cell>
          <cell r="EW688">
            <v>0</v>
          </cell>
          <cell r="EY688">
            <v>0</v>
          </cell>
          <cell r="EZ688">
            <v>8</v>
          </cell>
          <cell r="FA688">
            <v>0</v>
          </cell>
          <cell r="FB688">
            <v>0</v>
          </cell>
          <cell r="FC688">
            <v>8.6</v>
          </cell>
          <cell r="FD688">
            <v>0</v>
          </cell>
          <cell r="FE688">
            <v>0</v>
          </cell>
          <cell r="FF688">
            <v>0</v>
          </cell>
          <cell r="FH688">
            <v>0</v>
          </cell>
        </row>
        <row r="689">
          <cell r="B689">
            <v>9787</v>
          </cell>
          <cell r="C689" t="str">
            <v>21.09.2010</v>
          </cell>
          <cell r="D689" t="str">
            <v>Pawar Tushar Vasant</v>
          </cell>
          <cell r="F689">
            <v>0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0</v>
          </cell>
          <cell r="AM689">
            <v>0</v>
          </cell>
          <cell r="AN689">
            <v>0</v>
          </cell>
          <cell r="AO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0</v>
          </cell>
          <cell r="AY689">
            <v>0</v>
          </cell>
          <cell r="BA689">
            <v>0</v>
          </cell>
          <cell r="BB689">
            <v>0</v>
          </cell>
          <cell r="BC689">
            <v>0</v>
          </cell>
          <cell r="BD689">
            <v>0</v>
          </cell>
          <cell r="BE689">
            <v>0</v>
          </cell>
          <cell r="BF689">
            <v>0</v>
          </cell>
          <cell r="BG689">
            <v>0</v>
          </cell>
          <cell r="BH689">
            <v>0</v>
          </cell>
          <cell r="BI689">
            <v>0</v>
          </cell>
          <cell r="BK689">
            <v>0</v>
          </cell>
          <cell r="BL689">
            <v>0</v>
          </cell>
          <cell r="BM689">
            <v>0</v>
          </cell>
          <cell r="BN689">
            <v>0</v>
          </cell>
          <cell r="BO689">
            <v>0</v>
          </cell>
          <cell r="BP689">
            <v>0</v>
          </cell>
          <cell r="BQ689">
            <v>0</v>
          </cell>
          <cell r="BR689">
            <v>0</v>
          </cell>
          <cell r="BS689">
            <v>0</v>
          </cell>
          <cell r="BU689">
            <v>0</v>
          </cell>
          <cell r="BV689">
            <v>0</v>
          </cell>
          <cell r="BW689">
            <v>0</v>
          </cell>
          <cell r="BX689">
            <v>0</v>
          </cell>
          <cell r="BY689">
            <v>0</v>
          </cell>
          <cell r="BZ689">
            <v>0</v>
          </cell>
          <cell r="CA689">
            <v>0</v>
          </cell>
          <cell r="CB689">
            <v>0</v>
          </cell>
          <cell r="CC689">
            <v>0</v>
          </cell>
          <cell r="CE689">
            <v>0</v>
          </cell>
          <cell r="CF689">
            <v>0</v>
          </cell>
          <cell r="CG689">
            <v>0</v>
          </cell>
          <cell r="CH689">
            <v>0</v>
          </cell>
          <cell r="CI689">
            <v>0</v>
          </cell>
          <cell r="CJ689">
            <v>0</v>
          </cell>
          <cell r="CK689">
            <v>0</v>
          </cell>
          <cell r="CL689">
            <v>0</v>
          </cell>
          <cell r="CM689">
            <v>0</v>
          </cell>
          <cell r="CO689">
            <v>0</v>
          </cell>
          <cell r="CP689">
            <v>0</v>
          </cell>
          <cell r="CQ689">
            <v>0</v>
          </cell>
          <cell r="CR689">
            <v>0</v>
          </cell>
          <cell r="CS689">
            <v>0</v>
          </cell>
          <cell r="CT689">
            <v>0</v>
          </cell>
          <cell r="CU689">
            <v>0</v>
          </cell>
          <cell r="CV689">
            <v>0</v>
          </cell>
          <cell r="CW689">
            <v>0</v>
          </cell>
          <cell r="CY689">
            <v>0</v>
          </cell>
          <cell r="CZ689">
            <v>0</v>
          </cell>
          <cell r="DA689">
            <v>0</v>
          </cell>
          <cell r="DB689">
            <v>0</v>
          </cell>
          <cell r="DC689">
            <v>0</v>
          </cell>
          <cell r="DD689">
            <v>0</v>
          </cell>
          <cell r="DE689">
            <v>0</v>
          </cell>
          <cell r="DF689">
            <v>0</v>
          </cell>
          <cell r="DG689">
            <v>0</v>
          </cell>
          <cell r="DI689">
            <v>0</v>
          </cell>
          <cell r="DJ689">
            <v>0</v>
          </cell>
          <cell r="DK689">
            <v>0</v>
          </cell>
          <cell r="DL689">
            <v>0</v>
          </cell>
          <cell r="DM689">
            <v>0</v>
          </cell>
          <cell r="DN689">
            <v>0</v>
          </cell>
          <cell r="DO689">
            <v>0</v>
          </cell>
          <cell r="DP689">
            <v>0</v>
          </cell>
          <cell r="DQ689">
            <v>0</v>
          </cell>
          <cell r="DR689">
            <v>0</v>
          </cell>
          <cell r="DS689">
            <v>0</v>
          </cell>
          <cell r="DT689">
            <v>0</v>
          </cell>
          <cell r="DU689">
            <v>0</v>
          </cell>
          <cell r="DW689">
            <v>0</v>
          </cell>
          <cell r="DX689">
            <v>0</v>
          </cell>
          <cell r="DY689">
            <v>0</v>
          </cell>
          <cell r="DZ689">
            <v>0</v>
          </cell>
          <cell r="EA689">
            <v>0</v>
          </cell>
          <cell r="EB689">
            <v>0</v>
          </cell>
          <cell r="EC689">
            <v>0</v>
          </cell>
          <cell r="ED689">
            <v>0</v>
          </cell>
          <cell r="EE689">
            <v>0</v>
          </cell>
          <cell r="EF689">
            <v>0</v>
          </cell>
          <cell r="EG689">
            <v>0</v>
          </cell>
          <cell r="EH689">
            <v>0</v>
          </cell>
          <cell r="EI689">
            <v>0</v>
          </cell>
          <cell r="EK689">
            <v>0</v>
          </cell>
          <cell r="EL689">
            <v>0</v>
          </cell>
          <cell r="EM689">
            <v>0</v>
          </cell>
          <cell r="EN689">
            <v>0</v>
          </cell>
          <cell r="EO689">
            <v>0</v>
          </cell>
          <cell r="EP689">
            <v>0</v>
          </cell>
          <cell r="EQ689">
            <v>0</v>
          </cell>
          <cell r="ER689">
            <v>0</v>
          </cell>
          <cell r="ES689">
            <v>0</v>
          </cell>
          <cell r="ET689">
            <v>0</v>
          </cell>
          <cell r="EU689">
            <v>0</v>
          </cell>
          <cell r="EV689">
            <v>0</v>
          </cell>
          <cell r="EW689">
            <v>0</v>
          </cell>
          <cell r="EY689">
            <v>0</v>
          </cell>
          <cell r="EZ689">
            <v>8</v>
          </cell>
          <cell r="FA689">
            <v>0</v>
          </cell>
          <cell r="FB689">
            <v>0</v>
          </cell>
          <cell r="FC689">
            <v>8.6</v>
          </cell>
          <cell r="FD689">
            <v>0</v>
          </cell>
          <cell r="FE689">
            <v>0</v>
          </cell>
          <cell r="FF689">
            <v>0</v>
          </cell>
          <cell r="FH689">
            <v>0</v>
          </cell>
        </row>
        <row r="690">
          <cell r="B690">
            <v>9814</v>
          </cell>
          <cell r="C690" t="str">
            <v>21.09.2010</v>
          </cell>
          <cell r="D690" t="str">
            <v>Ramraje Ranjit Shankar</v>
          </cell>
          <cell r="F690">
            <v>0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0</v>
          </cell>
          <cell r="AM690">
            <v>0</v>
          </cell>
          <cell r="AN690">
            <v>0</v>
          </cell>
          <cell r="AO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0</v>
          </cell>
          <cell r="AY690">
            <v>0</v>
          </cell>
          <cell r="BA690">
            <v>0</v>
          </cell>
          <cell r="BB690">
            <v>0</v>
          </cell>
          <cell r="BC690">
            <v>0</v>
          </cell>
          <cell r="BD690">
            <v>0</v>
          </cell>
          <cell r="BE690">
            <v>0</v>
          </cell>
          <cell r="BF690">
            <v>0</v>
          </cell>
          <cell r="BG690">
            <v>0</v>
          </cell>
          <cell r="BH690">
            <v>0</v>
          </cell>
          <cell r="BI690">
            <v>0</v>
          </cell>
          <cell r="BK690">
            <v>0</v>
          </cell>
          <cell r="BL690">
            <v>0</v>
          </cell>
          <cell r="BM690">
            <v>0</v>
          </cell>
          <cell r="BN690">
            <v>0</v>
          </cell>
          <cell r="BO690">
            <v>0</v>
          </cell>
          <cell r="BP690">
            <v>0</v>
          </cell>
          <cell r="BQ690">
            <v>0</v>
          </cell>
          <cell r="BR690">
            <v>0</v>
          </cell>
          <cell r="BS690">
            <v>0</v>
          </cell>
          <cell r="BU690">
            <v>0</v>
          </cell>
          <cell r="BV690">
            <v>0</v>
          </cell>
          <cell r="BW690">
            <v>0</v>
          </cell>
          <cell r="BX690">
            <v>0</v>
          </cell>
          <cell r="BY690">
            <v>0</v>
          </cell>
          <cell r="BZ690">
            <v>0</v>
          </cell>
          <cell r="CA690">
            <v>0</v>
          </cell>
          <cell r="CB690">
            <v>0</v>
          </cell>
          <cell r="CC690">
            <v>0</v>
          </cell>
          <cell r="CE690">
            <v>0</v>
          </cell>
          <cell r="CF690">
            <v>0</v>
          </cell>
          <cell r="CG690">
            <v>0</v>
          </cell>
          <cell r="CH690">
            <v>0</v>
          </cell>
          <cell r="CI690">
            <v>0</v>
          </cell>
          <cell r="CJ690">
            <v>0</v>
          </cell>
          <cell r="CK690">
            <v>0</v>
          </cell>
          <cell r="CL690">
            <v>0</v>
          </cell>
          <cell r="CM690">
            <v>0</v>
          </cell>
          <cell r="CO690">
            <v>0</v>
          </cell>
          <cell r="CP690">
            <v>0</v>
          </cell>
          <cell r="CQ690">
            <v>0</v>
          </cell>
          <cell r="CR690">
            <v>0</v>
          </cell>
          <cell r="CS690">
            <v>0</v>
          </cell>
          <cell r="CT690">
            <v>0</v>
          </cell>
          <cell r="CU690">
            <v>0</v>
          </cell>
          <cell r="CV690">
            <v>0</v>
          </cell>
          <cell r="CW690">
            <v>0</v>
          </cell>
          <cell r="CY690">
            <v>0</v>
          </cell>
          <cell r="CZ690">
            <v>0</v>
          </cell>
          <cell r="DA690">
            <v>0</v>
          </cell>
          <cell r="DB690">
            <v>0</v>
          </cell>
          <cell r="DC690">
            <v>0</v>
          </cell>
          <cell r="DD690">
            <v>0</v>
          </cell>
          <cell r="DE690">
            <v>0</v>
          </cell>
          <cell r="DF690">
            <v>0</v>
          </cell>
          <cell r="DG690">
            <v>0</v>
          </cell>
          <cell r="DI690">
            <v>0</v>
          </cell>
          <cell r="DJ690">
            <v>0</v>
          </cell>
          <cell r="DK690">
            <v>0</v>
          </cell>
          <cell r="DL690">
            <v>0</v>
          </cell>
          <cell r="DM690">
            <v>0</v>
          </cell>
          <cell r="DN690">
            <v>0</v>
          </cell>
          <cell r="DO690">
            <v>0</v>
          </cell>
          <cell r="DP690">
            <v>0</v>
          </cell>
          <cell r="DQ690">
            <v>0</v>
          </cell>
          <cell r="DR690">
            <v>0</v>
          </cell>
          <cell r="DS690">
            <v>0</v>
          </cell>
          <cell r="DT690">
            <v>0</v>
          </cell>
          <cell r="DU690">
            <v>0</v>
          </cell>
          <cell r="DW690">
            <v>0</v>
          </cell>
          <cell r="DX690">
            <v>0</v>
          </cell>
          <cell r="DY690">
            <v>0</v>
          </cell>
          <cell r="DZ690">
            <v>0</v>
          </cell>
          <cell r="EA690">
            <v>0</v>
          </cell>
          <cell r="EB690">
            <v>0</v>
          </cell>
          <cell r="EC690">
            <v>0</v>
          </cell>
          <cell r="ED690">
            <v>0</v>
          </cell>
          <cell r="EE690">
            <v>0</v>
          </cell>
          <cell r="EF690">
            <v>0</v>
          </cell>
          <cell r="EG690">
            <v>0</v>
          </cell>
          <cell r="EH690">
            <v>0</v>
          </cell>
          <cell r="EI690">
            <v>0</v>
          </cell>
          <cell r="EK690">
            <v>0</v>
          </cell>
          <cell r="EL690">
            <v>0</v>
          </cell>
          <cell r="EM690">
            <v>0</v>
          </cell>
          <cell r="EN690">
            <v>0</v>
          </cell>
          <cell r="EO690">
            <v>0</v>
          </cell>
          <cell r="EP690">
            <v>0</v>
          </cell>
          <cell r="EQ690">
            <v>0</v>
          </cell>
          <cell r="ER690">
            <v>0</v>
          </cell>
          <cell r="ES690">
            <v>0</v>
          </cell>
          <cell r="ET690">
            <v>0</v>
          </cell>
          <cell r="EU690">
            <v>0</v>
          </cell>
          <cell r="EV690">
            <v>0</v>
          </cell>
          <cell r="EW690">
            <v>0</v>
          </cell>
          <cell r="EY690">
            <v>0</v>
          </cell>
          <cell r="EZ690">
            <v>8</v>
          </cell>
          <cell r="FA690">
            <v>0</v>
          </cell>
          <cell r="FB690">
            <v>0</v>
          </cell>
          <cell r="FC690">
            <v>8.6</v>
          </cell>
          <cell r="FD690">
            <v>0</v>
          </cell>
          <cell r="FE690">
            <v>0</v>
          </cell>
          <cell r="FF690">
            <v>0</v>
          </cell>
          <cell r="FH690">
            <v>0</v>
          </cell>
        </row>
        <row r="691">
          <cell r="B691">
            <v>9785</v>
          </cell>
          <cell r="C691" t="str">
            <v>24.09.2010</v>
          </cell>
          <cell r="D691" t="str">
            <v>Birhade Shubhangi Shankar</v>
          </cell>
          <cell r="F691">
            <v>0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0</v>
          </cell>
          <cell r="AM691">
            <v>0</v>
          </cell>
          <cell r="AN691">
            <v>0</v>
          </cell>
          <cell r="AO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0</v>
          </cell>
          <cell r="AY691">
            <v>0</v>
          </cell>
          <cell r="BA691">
            <v>0</v>
          </cell>
          <cell r="BB691">
            <v>0</v>
          </cell>
          <cell r="BC691">
            <v>0</v>
          </cell>
          <cell r="BD691">
            <v>0</v>
          </cell>
          <cell r="BE691">
            <v>0</v>
          </cell>
          <cell r="BF691">
            <v>0</v>
          </cell>
          <cell r="BG691">
            <v>0</v>
          </cell>
          <cell r="BH691">
            <v>0</v>
          </cell>
          <cell r="BI691">
            <v>0</v>
          </cell>
          <cell r="BK691">
            <v>0</v>
          </cell>
          <cell r="BL691">
            <v>0</v>
          </cell>
          <cell r="BM691">
            <v>0</v>
          </cell>
          <cell r="BN691">
            <v>0</v>
          </cell>
          <cell r="BO691">
            <v>0</v>
          </cell>
          <cell r="BP691">
            <v>0</v>
          </cell>
          <cell r="BQ691">
            <v>0</v>
          </cell>
          <cell r="BR691">
            <v>0</v>
          </cell>
          <cell r="BS691">
            <v>0</v>
          </cell>
          <cell r="BU691">
            <v>0</v>
          </cell>
          <cell r="BV691">
            <v>0</v>
          </cell>
          <cell r="BW691">
            <v>0</v>
          </cell>
          <cell r="BX691">
            <v>0</v>
          </cell>
          <cell r="BY691">
            <v>0</v>
          </cell>
          <cell r="BZ691">
            <v>0</v>
          </cell>
          <cell r="CA691">
            <v>0</v>
          </cell>
          <cell r="CB691">
            <v>0</v>
          </cell>
          <cell r="CC691">
            <v>0</v>
          </cell>
          <cell r="CE691">
            <v>0</v>
          </cell>
          <cell r="CF691">
            <v>0</v>
          </cell>
          <cell r="CG691">
            <v>0</v>
          </cell>
          <cell r="CH691">
            <v>0</v>
          </cell>
          <cell r="CI691">
            <v>0</v>
          </cell>
          <cell r="CJ691">
            <v>0</v>
          </cell>
          <cell r="CK691">
            <v>0</v>
          </cell>
          <cell r="CL691">
            <v>0</v>
          </cell>
          <cell r="CM691">
            <v>0</v>
          </cell>
          <cell r="CO691">
            <v>0</v>
          </cell>
          <cell r="CP691">
            <v>0</v>
          </cell>
          <cell r="CQ691">
            <v>0</v>
          </cell>
          <cell r="CR691">
            <v>0</v>
          </cell>
          <cell r="CS691">
            <v>0</v>
          </cell>
          <cell r="CT691">
            <v>0</v>
          </cell>
          <cell r="CU691">
            <v>0</v>
          </cell>
          <cell r="CV691">
            <v>0</v>
          </cell>
          <cell r="CW691">
            <v>0</v>
          </cell>
          <cell r="CY691">
            <v>0</v>
          </cell>
          <cell r="CZ691">
            <v>0</v>
          </cell>
          <cell r="DA691">
            <v>0</v>
          </cell>
          <cell r="DB691">
            <v>0</v>
          </cell>
          <cell r="DC691">
            <v>0</v>
          </cell>
          <cell r="DD691">
            <v>0</v>
          </cell>
          <cell r="DE691">
            <v>0</v>
          </cell>
          <cell r="DF691">
            <v>0</v>
          </cell>
          <cell r="DG691">
            <v>0</v>
          </cell>
          <cell r="DI691">
            <v>0</v>
          </cell>
          <cell r="DJ691">
            <v>0</v>
          </cell>
          <cell r="DK691">
            <v>0</v>
          </cell>
          <cell r="DL691">
            <v>0</v>
          </cell>
          <cell r="DM691">
            <v>0</v>
          </cell>
          <cell r="DN691">
            <v>0</v>
          </cell>
          <cell r="DO691">
            <v>0</v>
          </cell>
          <cell r="DP691">
            <v>0</v>
          </cell>
          <cell r="DQ691">
            <v>0</v>
          </cell>
          <cell r="DR691">
            <v>0</v>
          </cell>
          <cell r="DS691">
            <v>0</v>
          </cell>
          <cell r="DT691">
            <v>0</v>
          </cell>
          <cell r="DU691">
            <v>0</v>
          </cell>
          <cell r="DW691">
            <v>0</v>
          </cell>
          <cell r="DX691">
            <v>0</v>
          </cell>
          <cell r="DY691">
            <v>0</v>
          </cell>
          <cell r="DZ691">
            <v>0</v>
          </cell>
          <cell r="EA691">
            <v>0</v>
          </cell>
          <cell r="EB691">
            <v>0</v>
          </cell>
          <cell r="EC691">
            <v>0</v>
          </cell>
          <cell r="ED691">
            <v>0</v>
          </cell>
          <cell r="EE691">
            <v>0</v>
          </cell>
          <cell r="EF691">
            <v>0</v>
          </cell>
          <cell r="EG691">
            <v>0</v>
          </cell>
          <cell r="EH691">
            <v>0</v>
          </cell>
          <cell r="EI691">
            <v>0</v>
          </cell>
          <cell r="EK691">
            <v>0</v>
          </cell>
          <cell r="EL691">
            <v>0</v>
          </cell>
          <cell r="EM691">
            <v>0</v>
          </cell>
          <cell r="EN691">
            <v>0</v>
          </cell>
          <cell r="EO691">
            <v>0</v>
          </cell>
          <cell r="EP691">
            <v>0</v>
          </cell>
          <cell r="EQ691">
            <v>0</v>
          </cell>
          <cell r="ER691">
            <v>0</v>
          </cell>
          <cell r="ES691">
            <v>0</v>
          </cell>
          <cell r="ET691">
            <v>0</v>
          </cell>
          <cell r="EU691">
            <v>0</v>
          </cell>
          <cell r="EV691">
            <v>0</v>
          </cell>
          <cell r="EW691">
            <v>0</v>
          </cell>
          <cell r="EY691">
            <v>0</v>
          </cell>
          <cell r="EZ691">
            <v>8</v>
          </cell>
          <cell r="FA691">
            <v>0</v>
          </cell>
          <cell r="FB691">
            <v>0</v>
          </cell>
          <cell r="FC691">
            <v>8.6</v>
          </cell>
          <cell r="FD691">
            <v>0</v>
          </cell>
          <cell r="FE691">
            <v>0</v>
          </cell>
          <cell r="FF691">
            <v>0</v>
          </cell>
          <cell r="FH691">
            <v>0</v>
          </cell>
        </row>
        <row r="692">
          <cell r="B692">
            <v>9729</v>
          </cell>
          <cell r="C692" t="str">
            <v>02.10.2010</v>
          </cell>
          <cell r="D692" t="str">
            <v>Bagare Harish Suresh</v>
          </cell>
          <cell r="F692">
            <v>0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G692">
            <v>0</v>
          </cell>
          <cell r="AH692">
            <v>0</v>
          </cell>
          <cell r="AI692">
            <v>0</v>
          </cell>
          <cell r="AJ692">
            <v>0</v>
          </cell>
          <cell r="AK692">
            <v>0</v>
          </cell>
          <cell r="AL692">
            <v>0</v>
          </cell>
          <cell r="AM692">
            <v>0</v>
          </cell>
          <cell r="AN692">
            <v>0</v>
          </cell>
          <cell r="AO692">
            <v>0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  <cell r="AU692">
            <v>0</v>
          </cell>
          <cell r="AV692">
            <v>0</v>
          </cell>
          <cell r="AW692">
            <v>0</v>
          </cell>
          <cell r="AX692">
            <v>0</v>
          </cell>
          <cell r="AY692">
            <v>0</v>
          </cell>
          <cell r="BA692">
            <v>0</v>
          </cell>
          <cell r="BB692">
            <v>0</v>
          </cell>
          <cell r="BC692">
            <v>0</v>
          </cell>
          <cell r="BD692">
            <v>0</v>
          </cell>
          <cell r="BE692">
            <v>0</v>
          </cell>
          <cell r="BF692">
            <v>0</v>
          </cell>
          <cell r="BG692">
            <v>0</v>
          </cell>
          <cell r="BH692">
            <v>0</v>
          </cell>
          <cell r="BI692">
            <v>0</v>
          </cell>
          <cell r="BK692">
            <v>0</v>
          </cell>
          <cell r="BL692">
            <v>0</v>
          </cell>
          <cell r="BM692">
            <v>0</v>
          </cell>
          <cell r="BN692">
            <v>0</v>
          </cell>
          <cell r="BO692">
            <v>0</v>
          </cell>
          <cell r="BP692">
            <v>0</v>
          </cell>
          <cell r="BQ692">
            <v>0</v>
          </cell>
          <cell r="BR692">
            <v>0</v>
          </cell>
          <cell r="BS692">
            <v>0</v>
          </cell>
          <cell r="BU692">
            <v>0</v>
          </cell>
          <cell r="BV692">
            <v>0</v>
          </cell>
          <cell r="BW692">
            <v>0</v>
          </cell>
          <cell r="BX692">
            <v>0</v>
          </cell>
          <cell r="BY692">
            <v>0</v>
          </cell>
          <cell r="BZ692">
            <v>0</v>
          </cell>
          <cell r="CA692">
            <v>0</v>
          </cell>
          <cell r="CB692">
            <v>0</v>
          </cell>
          <cell r="CC692">
            <v>0</v>
          </cell>
          <cell r="CE692">
            <v>0</v>
          </cell>
          <cell r="CF692">
            <v>0</v>
          </cell>
          <cell r="CG692">
            <v>0</v>
          </cell>
          <cell r="CH692">
            <v>0</v>
          </cell>
          <cell r="CI692">
            <v>0</v>
          </cell>
          <cell r="CJ692">
            <v>0</v>
          </cell>
          <cell r="CK692">
            <v>0</v>
          </cell>
          <cell r="CL692">
            <v>0</v>
          </cell>
          <cell r="CM692">
            <v>0</v>
          </cell>
          <cell r="CO692">
            <v>0</v>
          </cell>
          <cell r="CP692">
            <v>0</v>
          </cell>
          <cell r="CQ692">
            <v>0</v>
          </cell>
          <cell r="CR692">
            <v>0</v>
          </cell>
          <cell r="CS692">
            <v>0</v>
          </cell>
          <cell r="CT692">
            <v>0</v>
          </cell>
          <cell r="CU692">
            <v>0</v>
          </cell>
          <cell r="CV692">
            <v>0</v>
          </cell>
          <cell r="CW692">
            <v>0</v>
          </cell>
          <cell r="CY692">
            <v>0</v>
          </cell>
          <cell r="CZ692">
            <v>0</v>
          </cell>
          <cell r="DA692">
            <v>0</v>
          </cell>
          <cell r="DB692">
            <v>0</v>
          </cell>
          <cell r="DC692">
            <v>0</v>
          </cell>
          <cell r="DD692">
            <v>0</v>
          </cell>
          <cell r="DE692">
            <v>0</v>
          </cell>
          <cell r="DF692">
            <v>0</v>
          </cell>
          <cell r="DG692">
            <v>0</v>
          </cell>
          <cell r="DI692">
            <v>0</v>
          </cell>
          <cell r="DJ692">
            <v>0</v>
          </cell>
          <cell r="DK692">
            <v>0</v>
          </cell>
          <cell r="DL692">
            <v>0</v>
          </cell>
          <cell r="DM692">
            <v>0</v>
          </cell>
          <cell r="DN692">
            <v>0</v>
          </cell>
          <cell r="DO692">
            <v>0</v>
          </cell>
          <cell r="DP692">
            <v>0</v>
          </cell>
          <cell r="DQ692">
            <v>0</v>
          </cell>
          <cell r="DR692">
            <v>0</v>
          </cell>
          <cell r="DS692">
            <v>0</v>
          </cell>
          <cell r="DT692">
            <v>0</v>
          </cell>
          <cell r="DU692">
            <v>0</v>
          </cell>
          <cell r="DW692">
            <v>0</v>
          </cell>
          <cell r="DX692">
            <v>0</v>
          </cell>
          <cell r="DY692">
            <v>0</v>
          </cell>
          <cell r="DZ692">
            <v>0</v>
          </cell>
          <cell r="EA692">
            <v>0</v>
          </cell>
          <cell r="EB692">
            <v>0</v>
          </cell>
          <cell r="EC692">
            <v>0</v>
          </cell>
          <cell r="ED692">
            <v>0</v>
          </cell>
          <cell r="EE692">
            <v>0</v>
          </cell>
          <cell r="EF692">
            <v>0</v>
          </cell>
          <cell r="EG692">
            <v>0</v>
          </cell>
          <cell r="EH692">
            <v>0</v>
          </cell>
          <cell r="EI692">
            <v>0</v>
          </cell>
          <cell r="EK692">
            <v>0</v>
          </cell>
          <cell r="EL692">
            <v>0</v>
          </cell>
          <cell r="EM692">
            <v>0</v>
          </cell>
          <cell r="EN692">
            <v>0</v>
          </cell>
          <cell r="EO692">
            <v>0</v>
          </cell>
          <cell r="EP692">
            <v>0</v>
          </cell>
          <cell r="EQ692">
            <v>0</v>
          </cell>
          <cell r="ER692">
            <v>0</v>
          </cell>
          <cell r="ES692">
            <v>0</v>
          </cell>
          <cell r="ET692">
            <v>0</v>
          </cell>
          <cell r="EU692">
            <v>0</v>
          </cell>
          <cell r="EV692">
            <v>0</v>
          </cell>
          <cell r="EW692">
            <v>0</v>
          </cell>
          <cell r="EY692">
            <v>0</v>
          </cell>
          <cell r="EZ692">
            <v>8</v>
          </cell>
          <cell r="FA692">
            <v>0</v>
          </cell>
          <cell r="FB692">
            <v>0</v>
          </cell>
          <cell r="FC692">
            <v>8.6</v>
          </cell>
          <cell r="FD692">
            <v>0</v>
          </cell>
          <cell r="FE692">
            <v>0</v>
          </cell>
          <cell r="FF692">
            <v>0</v>
          </cell>
          <cell r="FH692">
            <v>0</v>
          </cell>
        </row>
        <row r="693">
          <cell r="B693">
            <v>9812</v>
          </cell>
          <cell r="C693" t="str">
            <v>12.10.2010</v>
          </cell>
          <cell r="D693" t="str">
            <v>Jagtap Naresh Balu</v>
          </cell>
          <cell r="F693">
            <v>0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G693">
            <v>0</v>
          </cell>
          <cell r="AH693">
            <v>0</v>
          </cell>
          <cell r="AI693">
            <v>0</v>
          </cell>
          <cell r="AJ693">
            <v>0</v>
          </cell>
          <cell r="AK693">
            <v>0</v>
          </cell>
          <cell r="AL693">
            <v>0</v>
          </cell>
          <cell r="AM693">
            <v>0</v>
          </cell>
          <cell r="AN693">
            <v>0</v>
          </cell>
          <cell r="AO693">
            <v>0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  <cell r="AU693">
            <v>0</v>
          </cell>
          <cell r="AV693">
            <v>0</v>
          </cell>
          <cell r="AW693">
            <v>0</v>
          </cell>
          <cell r="AX693">
            <v>0</v>
          </cell>
          <cell r="AY693">
            <v>0</v>
          </cell>
          <cell r="BA693">
            <v>0</v>
          </cell>
          <cell r="BB693">
            <v>0</v>
          </cell>
          <cell r="BC693">
            <v>0</v>
          </cell>
          <cell r="BD693">
            <v>0</v>
          </cell>
          <cell r="BE693">
            <v>0</v>
          </cell>
          <cell r="BF693">
            <v>0</v>
          </cell>
          <cell r="BG693">
            <v>0</v>
          </cell>
          <cell r="BH693">
            <v>0</v>
          </cell>
          <cell r="BI693">
            <v>0</v>
          </cell>
          <cell r="BK693">
            <v>0</v>
          </cell>
          <cell r="BL693">
            <v>0</v>
          </cell>
          <cell r="BM693">
            <v>0</v>
          </cell>
          <cell r="BN693">
            <v>0</v>
          </cell>
          <cell r="BO693">
            <v>0</v>
          </cell>
          <cell r="BP693">
            <v>0</v>
          </cell>
          <cell r="BQ693">
            <v>0</v>
          </cell>
          <cell r="BR693">
            <v>0</v>
          </cell>
          <cell r="BS693">
            <v>0</v>
          </cell>
          <cell r="BU693">
            <v>0</v>
          </cell>
          <cell r="BV693">
            <v>0</v>
          </cell>
          <cell r="BW693">
            <v>0</v>
          </cell>
          <cell r="BX693">
            <v>0</v>
          </cell>
          <cell r="BY693">
            <v>0</v>
          </cell>
          <cell r="BZ693">
            <v>0</v>
          </cell>
          <cell r="CA693">
            <v>0</v>
          </cell>
          <cell r="CB693">
            <v>0</v>
          </cell>
          <cell r="CC693">
            <v>0</v>
          </cell>
          <cell r="CE693">
            <v>0</v>
          </cell>
          <cell r="CF693">
            <v>0</v>
          </cell>
          <cell r="CG693">
            <v>0</v>
          </cell>
          <cell r="CH693">
            <v>0</v>
          </cell>
          <cell r="CI693">
            <v>0</v>
          </cell>
          <cell r="CJ693">
            <v>0</v>
          </cell>
          <cell r="CK693">
            <v>0</v>
          </cell>
          <cell r="CL693">
            <v>0</v>
          </cell>
          <cell r="CM693">
            <v>0</v>
          </cell>
          <cell r="CO693">
            <v>0</v>
          </cell>
          <cell r="CP693">
            <v>0</v>
          </cell>
          <cell r="CQ693">
            <v>0</v>
          </cell>
          <cell r="CR693">
            <v>0</v>
          </cell>
          <cell r="CS693">
            <v>0</v>
          </cell>
          <cell r="CT693">
            <v>0</v>
          </cell>
          <cell r="CU693">
            <v>0</v>
          </cell>
          <cell r="CV693">
            <v>0</v>
          </cell>
          <cell r="CW693">
            <v>0</v>
          </cell>
          <cell r="CY693">
            <v>0</v>
          </cell>
          <cell r="CZ693">
            <v>0</v>
          </cell>
          <cell r="DA693">
            <v>0</v>
          </cell>
          <cell r="DB693">
            <v>0</v>
          </cell>
          <cell r="DC693">
            <v>0</v>
          </cell>
          <cell r="DD693">
            <v>0</v>
          </cell>
          <cell r="DE693">
            <v>0</v>
          </cell>
          <cell r="DF693">
            <v>0</v>
          </cell>
          <cell r="DG693">
            <v>0</v>
          </cell>
          <cell r="DI693">
            <v>0</v>
          </cell>
          <cell r="DJ693">
            <v>0</v>
          </cell>
          <cell r="DK693">
            <v>0</v>
          </cell>
          <cell r="DL693">
            <v>0</v>
          </cell>
          <cell r="DM693">
            <v>0</v>
          </cell>
          <cell r="DN693">
            <v>0</v>
          </cell>
          <cell r="DO693">
            <v>0</v>
          </cell>
          <cell r="DP693">
            <v>0</v>
          </cell>
          <cell r="DQ693">
            <v>0</v>
          </cell>
          <cell r="DR693">
            <v>0</v>
          </cell>
          <cell r="DS693">
            <v>0</v>
          </cell>
          <cell r="DT693">
            <v>0</v>
          </cell>
          <cell r="DU693">
            <v>0</v>
          </cell>
          <cell r="DW693">
            <v>0</v>
          </cell>
          <cell r="DX693">
            <v>0</v>
          </cell>
          <cell r="DY693">
            <v>0</v>
          </cell>
          <cell r="DZ693">
            <v>0</v>
          </cell>
          <cell r="EA693">
            <v>0</v>
          </cell>
          <cell r="EB693">
            <v>0</v>
          </cell>
          <cell r="EC693">
            <v>0</v>
          </cell>
          <cell r="ED693">
            <v>0</v>
          </cell>
          <cell r="EE693">
            <v>0</v>
          </cell>
          <cell r="EF693">
            <v>0</v>
          </cell>
          <cell r="EG693">
            <v>0</v>
          </cell>
          <cell r="EH693">
            <v>0</v>
          </cell>
          <cell r="EI693">
            <v>0</v>
          </cell>
          <cell r="EK693">
            <v>0</v>
          </cell>
          <cell r="EL693">
            <v>0</v>
          </cell>
          <cell r="EM693">
            <v>0</v>
          </cell>
          <cell r="EN693">
            <v>0</v>
          </cell>
          <cell r="EO693">
            <v>0</v>
          </cell>
          <cell r="EP693">
            <v>0</v>
          </cell>
          <cell r="EQ693">
            <v>0</v>
          </cell>
          <cell r="ER693">
            <v>0</v>
          </cell>
          <cell r="ES693">
            <v>0</v>
          </cell>
          <cell r="ET693">
            <v>0</v>
          </cell>
          <cell r="EU693">
            <v>0</v>
          </cell>
          <cell r="EV693">
            <v>0</v>
          </cell>
          <cell r="EW693">
            <v>0</v>
          </cell>
          <cell r="EY693">
            <v>0</v>
          </cell>
          <cell r="EZ693">
            <v>8</v>
          </cell>
          <cell r="FA693">
            <v>0</v>
          </cell>
          <cell r="FB693">
            <v>0</v>
          </cell>
          <cell r="FC693">
            <v>8.6</v>
          </cell>
          <cell r="FD693">
            <v>0</v>
          </cell>
          <cell r="FE693">
            <v>0</v>
          </cell>
          <cell r="FF693">
            <v>0</v>
          </cell>
          <cell r="FH693">
            <v>0</v>
          </cell>
        </row>
        <row r="694">
          <cell r="B694">
            <v>9805</v>
          </cell>
          <cell r="C694" t="str">
            <v>13.10.2010</v>
          </cell>
          <cell r="D694" t="str">
            <v>Waghile Prashant Rajendra</v>
          </cell>
          <cell r="F694">
            <v>0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0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BA694">
            <v>0</v>
          </cell>
          <cell r="BB694">
            <v>0</v>
          </cell>
          <cell r="BC694">
            <v>0</v>
          </cell>
          <cell r="BD694">
            <v>0</v>
          </cell>
          <cell r="BE694">
            <v>0</v>
          </cell>
          <cell r="BF694">
            <v>0</v>
          </cell>
          <cell r="BG694">
            <v>0</v>
          </cell>
          <cell r="BH694">
            <v>0</v>
          </cell>
          <cell r="BI694">
            <v>0</v>
          </cell>
          <cell r="BK694">
            <v>0</v>
          </cell>
          <cell r="BL694">
            <v>0</v>
          </cell>
          <cell r="BM694">
            <v>0</v>
          </cell>
          <cell r="BN694">
            <v>0</v>
          </cell>
          <cell r="BO694">
            <v>0</v>
          </cell>
          <cell r="BP694">
            <v>0</v>
          </cell>
          <cell r="BQ694">
            <v>0</v>
          </cell>
          <cell r="BR694">
            <v>0</v>
          </cell>
          <cell r="BS694">
            <v>0</v>
          </cell>
          <cell r="BU694">
            <v>0</v>
          </cell>
          <cell r="BV694">
            <v>0</v>
          </cell>
          <cell r="BW694">
            <v>0</v>
          </cell>
          <cell r="BX694">
            <v>0</v>
          </cell>
          <cell r="BY694">
            <v>0</v>
          </cell>
          <cell r="BZ694">
            <v>0</v>
          </cell>
          <cell r="CA694">
            <v>0</v>
          </cell>
          <cell r="CB694">
            <v>0</v>
          </cell>
          <cell r="CC694">
            <v>0</v>
          </cell>
          <cell r="CE694">
            <v>0</v>
          </cell>
          <cell r="CF694">
            <v>0</v>
          </cell>
          <cell r="CG694">
            <v>0</v>
          </cell>
          <cell r="CH694">
            <v>0</v>
          </cell>
          <cell r="CI694">
            <v>0</v>
          </cell>
          <cell r="CJ694">
            <v>0</v>
          </cell>
          <cell r="CK694">
            <v>0</v>
          </cell>
          <cell r="CL694">
            <v>0</v>
          </cell>
          <cell r="CM694">
            <v>0</v>
          </cell>
          <cell r="CO694">
            <v>0</v>
          </cell>
          <cell r="CP694">
            <v>0</v>
          </cell>
          <cell r="CQ694">
            <v>0</v>
          </cell>
          <cell r="CR694">
            <v>0</v>
          </cell>
          <cell r="CS694">
            <v>0</v>
          </cell>
          <cell r="CT694">
            <v>0</v>
          </cell>
          <cell r="CU694">
            <v>0</v>
          </cell>
          <cell r="CV694">
            <v>0</v>
          </cell>
          <cell r="CW694">
            <v>0</v>
          </cell>
          <cell r="CY694">
            <v>0</v>
          </cell>
          <cell r="CZ694">
            <v>0</v>
          </cell>
          <cell r="DA694">
            <v>0</v>
          </cell>
          <cell r="DB694">
            <v>0</v>
          </cell>
          <cell r="DC694">
            <v>0</v>
          </cell>
          <cell r="DD694">
            <v>0</v>
          </cell>
          <cell r="DE694">
            <v>0</v>
          </cell>
          <cell r="DF694">
            <v>0</v>
          </cell>
          <cell r="DG694">
            <v>0</v>
          </cell>
          <cell r="DI694">
            <v>0</v>
          </cell>
          <cell r="DJ694">
            <v>0</v>
          </cell>
          <cell r="DK694">
            <v>0</v>
          </cell>
          <cell r="DL694">
            <v>0</v>
          </cell>
          <cell r="DM694">
            <v>0</v>
          </cell>
          <cell r="DN694">
            <v>0</v>
          </cell>
          <cell r="DO694">
            <v>0</v>
          </cell>
          <cell r="DP694">
            <v>0</v>
          </cell>
          <cell r="DQ694">
            <v>0</v>
          </cell>
          <cell r="DR694">
            <v>0</v>
          </cell>
          <cell r="DS694">
            <v>0</v>
          </cell>
          <cell r="DT694">
            <v>0</v>
          </cell>
          <cell r="DU694">
            <v>0</v>
          </cell>
          <cell r="DW694">
            <v>0</v>
          </cell>
          <cell r="DX694">
            <v>0</v>
          </cell>
          <cell r="DY694">
            <v>0</v>
          </cell>
          <cell r="DZ694">
            <v>0</v>
          </cell>
          <cell r="EA694">
            <v>0</v>
          </cell>
          <cell r="EB694">
            <v>0</v>
          </cell>
          <cell r="EC694">
            <v>0</v>
          </cell>
          <cell r="ED694">
            <v>0</v>
          </cell>
          <cell r="EE694">
            <v>0</v>
          </cell>
          <cell r="EF694">
            <v>0</v>
          </cell>
          <cell r="EG694">
            <v>0</v>
          </cell>
          <cell r="EH694">
            <v>0</v>
          </cell>
          <cell r="EI694">
            <v>0</v>
          </cell>
          <cell r="EK694">
            <v>0</v>
          </cell>
          <cell r="EL694">
            <v>0</v>
          </cell>
          <cell r="EM694">
            <v>0</v>
          </cell>
          <cell r="EN694">
            <v>0</v>
          </cell>
          <cell r="EO694">
            <v>0</v>
          </cell>
          <cell r="EP694">
            <v>0</v>
          </cell>
          <cell r="EQ694">
            <v>0</v>
          </cell>
          <cell r="ER694">
            <v>0</v>
          </cell>
          <cell r="ES694">
            <v>0</v>
          </cell>
          <cell r="ET694">
            <v>0</v>
          </cell>
          <cell r="EU694">
            <v>0</v>
          </cell>
          <cell r="EV694">
            <v>0</v>
          </cell>
          <cell r="EW694">
            <v>0</v>
          </cell>
          <cell r="EY694">
            <v>0</v>
          </cell>
          <cell r="EZ694">
            <v>8</v>
          </cell>
          <cell r="FA694">
            <v>0</v>
          </cell>
          <cell r="FB694">
            <v>0</v>
          </cell>
          <cell r="FC694">
            <v>8.6</v>
          </cell>
          <cell r="FD694">
            <v>0</v>
          </cell>
          <cell r="FE694">
            <v>0</v>
          </cell>
          <cell r="FF694">
            <v>0</v>
          </cell>
          <cell r="FH694">
            <v>0</v>
          </cell>
        </row>
        <row r="695">
          <cell r="B695">
            <v>9835</v>
          </cell>
          <cell r="C695" t="str">
            <v>13.10.2010</v>
          </cell>
          <cell r="D695" t="str">
            <v>Dhavale Manoj Tulshiram</v>
          </cell>
          <cell r="F695">
            <v>0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BA695">
            <v>0</v>
          </cell>
          <cell r="BB695">
            <v>0</v>
          </cell>
          <cell r="BC695">
            <v>0</v>
          </cell>
          <cell r="BD695">
            <v>0</v>
          </cell>
          <cell r="BE695">
            <v>0</v>
          </cell>
          <cell r="BF695">
            <v>0</v>
          </cell>
          <cell r="BG695">
            <v>0</v>
          </cell>
          <cell r="BH695">
            <v>0</v>
          </cell>
          <cell r="BI695">
            <v>0</v>
          </cell>
          <cell r="BK695">
            <v>0</v>
          </cell>
          <cell r="BL695">
            <v>0</v>
          </cell>
          <cell r="BM695">
            <v>0</v>
          </cell>
          <cell r="BN695">
            <v>0</v>
          </cell>
          <cell r="BO695">
            <v>0</v>
          </cell>
          <cell r="BP695">
            <v>0</v>
          </cell>
          <cell r="BQ695">
            <v>0</v>
          </cell>
          <cell r="BR695">
            <v>0</v>
          </cell>
          <cell r="BS695">
            <v>0</v>
          </cell>
          <cell r="BU695">
            <v>0</v>
          </cell>
          <cell r="BV695">
            <v>0</v>
          </cell>
          <cell r="BW695">
            <v>0</v>
          </cell>
          <cell r="BX695">
            <v>0</v>
          </cell>
          <cell r="BY695">
            <v>0</v>
          </cell>
          <cell r="BZ695">
            <v>0</v>
          </cell>
          <cell r="CA695">
            <v>0</v>
          </cell>
          <cell r="CB695">
            <v>0</v>
          </cell>
          <cell r="CC695">
            <v>0</v>
          </cell>
          <cell r="CE695">
            <v>0</v>
          </cell>
          <cell r="CF695">
            <v>0</v>
          </cell>
          <cell r="CG695">
            <v>0</v>
          </cell>
          <cell r="CH695">
            <v>0</v>
          </cell>
          <cell r="CI695">
            <v>0</v>
          </cell>
          <cell r="CJ695">
            <v>0</v>
          </cell>
          <cell r="CK695">
            <v>0</v>
          </cell>
          <cell r="CL695">
            <v>0</v>
          </cell>
          <cell r="CM695">
            <v>0</v>
          </cell>
          <cell r="CO695">
            <v>0</v>
          </cell>
          <cell r="CP695">
            <v>0</v>
          </cell>
          <cell r="CQ695">
            <v>0</v>
          </cell>
          <cell r="CR695">
            <v>0</v>
          </cell>
          <cell r="CS695">
            <v>0</v>
          </cell>
          <cell r="CT695">
            <v>0</v>
          </cell>
          <cell r="CU695">
            <v>0</v>
          </cell>
          <cell r="CV695">
            <v>0</v>
          </cell>
          <cell r="CW695">
            <v>0</v>
          </cell>
          <cell r="CY695">
            <v>0</v>
          </cell>
          <cell r="CZ695">
            <v>0</v>
          </cell>
          <cell r="DA695">
            <v>0</v>
          </cell>
          <cell r="DB695">
            <v>0</v>
          </cell>
          <cell r="DC695">
            <v>0</v>
          </cell>
          <cell r="DD695">
            <v>0</v>
          </cell>
          <cell r="DE695">
            <v>0</v>
          </cell>
          <cell r="DF695">
            <v>0</v>
          </cell>
          <cell r="DG695">
            <v>0</v>
          </cell>
          <cell r="DI695">
            <v>0</v>
          </cell>
          <cell r="DJ695">
            <v>0</v>
          </cell>
          <cell r="DK695">
            <v>0</v>
          </cell>
          <cell r="DL695">
            <v>0</v>
          </cell>
          <cell r="DM695">
            <v>0</v>
          </cell>
          <cell r="DN695">
            <v>0</v>
          </cell>
          <cell r="DO695">
            <v>0</v>
          </cell>
          <cell r="DP695">
            <v>0</v>
          </cell>
          <cell r="DQ695">
            <v>0</v>
          </cell>
          <cell r="DR695">
            <v>0</v>
          </cell>
          <cell r="DS695">
            <v>0</v>
          </cell>
          <cell r="DT695">
            <v>0</v>
          </cell>
          <cell r="DU695">
            <v>0</v>
          </cell>
          <cell r="DW695">
            <v>0</v>
          </cell>
          <cell r="DX695">
            <v>0</v>
          </cell>
          <cell r="DY695">
            <v>0</v>
          </cell>
          <cell r="DZ695">
            <v>0</v>
          </cell>
          <cell r="EA695">
            <v>0</v>
          </cell>
          <cell r="EB695">
            <v>0</v>
          </cell>
          <cell r="EC695">
            <v>0</v>
          </cell>
          <cell r="ED695">
            <v>0</v>
          </cell>
          <cell r="EE695">
            <v>0</v>
          </cell>
          <cell r="EF695">
            <v>0</v>
          </cell>
          <cell r="EG695">
            <v>0</v>
          </cell>
          <cell r="EH695">
            <v>0</v>
          </cell>
          <cell r="EI695">
            <v>0</v>
          </cell>
          <cell r="EK695">
            <v>0</v>
          </cell>
          <cell r="EL695">
            <v>0</v>
          </cell>
          <cell r="EM695">
            <v>0</v>
          </cell>
          <cell r="EN695">
            <v>0</v>
          </cell>
          <cell r="EO695">
            <v>0</v>
          </cell>
          <cell r="EP695">
            <v>0</v>
          </cell>
          <cell r="EQ695">
            <v>0</v>
          </cell>
          <cell r="ER695">
            <v>0</v>
          </cell>
          <cell r="ES695">
            <v>0</v>
          </cell>
          <cell r="ET695">
            <v>0</v>
          </cell>
          <cell r="EU695">
            <v>0</v>
          </cell>
          <cell r="EV695">
            <v>0</v>
          </cell>
          <cell r="EW695">
            <v>0</v>
          </cell>
          <cell r="EY695">
            <v>0</v>
          </cell>
          <cell r="EZ695">
            <v>8</v>
          </cell>
          <cell r="FA695">
            <v>0</v>
          </cell>
          <cell r="FB695">
            <v>0</v>
          </cell>
          <cell r="FC695">
            <v>8.6</v>
          </cell>
          <cell r="FD695">
            <v>0</v>
          </cell>
          <cell r="FE695">
            <v>0</v>
          </cell>
          <cell r="FF695">
            <v>0</v>
          </cell>
          <cell r="FH695">
            <v>0</v>
          </cell>
        </row>
        <row r="696">
          <cell r="B696">
            <v>9842</v>
          </cell>
          <cell r="C696" t="str">
            <v>13.10.2010</v>
          </cell>
          <cell r="D696" t="str">
            <v>Ahire Vikram Devaram</v>
          </cell>
          <cell r="F696">
            <v>0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0</v>
          </cell>
          <cell r="AK696">
            <v>0</v>
          </cell>
          <cell r="AL696">
            <v>0</v>
          </cell>
          <cell r="AM696">
            <v>0</v>
          </cell>
          <cell r="AN696">
            <v>0</v>
          </cell>
          <cell r="AO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BA696">
            <v>0</v>
          </cell>
          <cell r="BB696">
            <v>0</v>
          </cell>
          <cell r="BC696">
            <v>0</v>
          </cell>
          <cell r="BD696">
            <v>0</v>
          </cell>
          <cell r="BE696">
            <v>0</v>
          </cell>
          <cell r="BF696">
            <v>0</v>
          </cell>
          <cell r="BG696">
            <v>0</v>
          </cell>
          <cell r="BH696">
            <v>0</v>
          </cell>
          <cell r="BI696">
            <v>0</v>
          </cell>
          <cell r="BK696">
            <v>0</v>
          </cell>
          <cell r="BL696">
            <v>0</v>
          </cell>
          <cell r="BM696">
            <v>0</v>
          </cell>
          <cell r="BN696">
            <v>0</v>
          </cell>
          <cell r="BO696">
            <v>0</v>
          </cell>
          <cell r="BP696">
            <v>0</v>
          </cell>
          <cell r="BQ696">
            <v>0</v>
          </cell>
          <cell r="BR696">
            <v>0</v>
          </cell>
          <cell r="BS696">
            <v>0</v>
          </cell>
          <cell r="BU696">
            <v>0</v>
          </cell>
          <cell r="BV696">
            <v>0</v>
          </cell>
          <cell r="BW696">
            <v>0</v>
          </cell>
          <cell r="BX696">
            <v>0</v>
          </cell>
          <cell r="BY696">
            <v>0</v>
          </cell>
          <cell r="BZ696">
            <v>0</v>
          </cell>
          <cell r="CA696">
            <v>0</v>
          </cell>
          <cell r="CB696">
            <v>0</v>
          </cell>
          <cell r="CC696">
            <v>0</v>
          </cell>
          <cell r="CE696">
            <v>0</v>
          </cell>
          <cell r="CF696">
            <v>0</v>
          </cell>
          <cell r="CG696">
            <v>0</v>
          </cell>
          <cell r="CH696">
            <v>0</v>
          </cell>
          <cell r="CI696">
            <v>0</v>
          </cell>
          <cell r="CJ696">
            <v>0</v>
          </cell>
          <cell r="CK696">
            <v>0</v>
          </cell>
          <cell r="CL696">
            <v>0</v>
          </cell>
          <cell r="CM696">
            <v>0</v>
          </cell>
          <cell r="CO696">
            <v>0</v>
          </cell>
          <cell r="CP696">
            <v>0</v>
          </cell>
          <cell r="CQ696">
            <v>0</v>
          </cell>
          <cell r="CR696">
            <v>0</v>
          </cell>
          <cell r="CS696">
            <v>0</v>
          </cell>
          <cell r="CT696">
            <v>0</v>
          </cell>
          <cell r="CU696">
            <v>0</v>
          </cell>
          <cell r="CV696">
            <v>0</v>
          </cell>
          <cell r="CW696">
            <v>0</v>
          </cell>
          <cell r="CY696">
            <v>0</v>
          </cell>
          <cell r="CZ696">
            <v>0</v>
          </cell>
          <cell r="DA696">
            <v>0</v>
          </cell>
          <cell r="DB696">
            <v>0</v>
          </cell>
          <cell r="DC696">
            <v>0</v>
          </cell>
          <cell r="DD696">
            <v>0</v>
          </cell>
          <cell r="DE696">
            <v>0</v>
          </cell>
          <cell r="DF696">
            <v>0</v>
          </cell>
          <cell r="DG696">
            <v>0</v>
          </cell>
          <cell r="DI696">
            <v>0</v>
          </cell>
          <cell r="DJ696">
            <v>0</v>
          </cell>
          <cell r="DK696">
            <v>0</v>
          </cell>
          <cell r="DL696">
            <v>0</v>
          </cell>
          <cell r="DM696">
            <v>0</v>
          </cell>
          <cell r="DN696">
            <v>0</v>
          </cell>
          <cell r="DO696">
            <v>0</v>
          </cell>
          <cell r="DP696">
            <v>0</v>
          </cell>
          <cell r="DQ696">
            <v>0</v>
          </cell>
          <cell r="DR696">
            <v>0</v>
          </cell>
          <cell r="DS696">
            <v>0</v>
          </cell>
          <cell r="DT696">
            <v>0</v>
          </cell>
          <cell r="DU696">
            <v>0</v>
          </cell>
          <cell r="DW696">
            <v>0</v>
          </cell>
          <cell r="DX696">
            <v>0</v>
          </cell>
          <cell r="DY696">
            <v>0</v>
          </cell>
          <cell r="DZ696">
            <v>0</v>
          </cell>
          <cell r="EA696">
            <v>0</v>
          </cell>
          <cell r="EB696">
            <v>0</v>
          </cell>
          <cell r="EC696">
            <v>0</v>
          </cell>
          <cell r="ED696">
            <v>0</v>
          </cell>
          <cell r="EE696">
            <v>0</v>
          </cell>
          <cell r="EF696">
            <v>0</v>
          </cell>
          <cell r="EG696">
            <v>0</v>
          </cell>
          <cell r="EH696">
            <v>0</v>
          </cell>
          <cell r="EI696">
            <v>0</v>
          </cell>
          <cell r="EK696">
            <v>0</v>
          </cell>
          <cell r="EL696">
            <v>0</v>
          </cell>
          <cell r="EM696">
            <v>0</v>
          </cell>
          <cell r="EN696">
            <v>0</v>
          </cell>
          <cell r="EO696">
            <v>0</v>
          </cell>
          <cell r="EP696">
            <v>0</v>
          </cell>
          <cell r="EQ696">
            <v>0</v>
          </cell>
          <cell r="ER696">
            <v>0</v>
          </cell>
          <cell r="ES696">
            <v>0</v>
          </cell>
          <cell r="ET696">
            <v>0</v>
          </cell>
          <cell r="EU696">
            <v>0</v>
          </cell>
          <cell r="EV696">
            <v>0</v>
          </cell>
          <cell r="EW696">
            <v>0</v>
          </cell>
          <cell r="EY696">
            <v>0</v>
          </cell>
          <cell r="EZ696">
            <v>8</v>
          </cell>
          <cell r="FA696">
            <v>0</v>
          </cell>
          <cell r="FB696">
            <v>0</v>
          </cell>
          <cell r="FC696">
            <v>8.6</v>
          </cell>
          <cell r="FD696">
            <v>0</v>
          </cell>
          <cell r="FE696">
            <v>0</v>
          </cell>
          <cell r="FF696">
            <v>0</v>
          </cell>
          <cell r="FH696">
            <v>0</v>
          </cell>
        </row>
        <row r="697">
          <cell r="B697">
            <v>9823</v>
          </cell>
          <cell r="C697" t="str">
            <v>14.10.2010</v>
          </cell>
          <cell r="D697" t="str">
            <v>Sonawane Nisha Sanjay</v>
          </cell>
          <cell r="F697">
            <v>0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G697">
            <v>0</v>
          </cell>
          <cell r="AH697">
            <v>0</v>
          </cell>
          <cell r="AI697">
            <v>0</v>
          </cell>
          <cell r="AJ697">
            <v>0</v>
          </cell>
          <cell r="AK697">
            <v>0</v>
          </cell>
          <cell r="AL697">
            <v>0</v>
          </cell>
          <cell r="AM697">
            <v>0</v>
          </cell>
          <cell r="AN697">
            <v>0</v>
          </cell>
          <cell r="AO697">
            <v>0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  <cell r="AU697">
            <v>0</v>
          </cell>
          <cell r="AV697">
            <v>0</v>
          </cell>
          <cell r="AW697">
            <v>0</v>
          </cell>
          <cell r="AX697">
            <v>0</v>
          </cell>
          <cell r="AY697">
            <v>0</v>
          </cell>
          <cell r="BA697">
            <v>0</v>
          </cell>
          <cell r="BB697">
            <v>0</v>
          </cell>
          <cell r="BC697">
            <v>0</v>
          </cell>
          <cell r="BD697">
            <v>0</v>
          </cell>
          <cell r="BE697">
            <v>0</v>
          </cell>
          <cell r="BF697">
            <v>0</v>
          </cell>
          <cell r="BG697">
            <v>0</v>
          </cell>
          <cell r="BH697">
            <v>0</v>
          </cell>
          <cell r="BI697">
            <v>0</v>
          </cell>
          <cell r="BK697">
            <v>0</v>
          </cell>
          <cell r="BL697">
            <v>0</v>
          </cell>
          <cell r="BM697">
            <v>0</v>
          </cell>
          <cell r="BN697">
            <v>0</v>
          </cell>
          <cell r="BO697">
            <v>0</v>
          </cell>
          <cell r="BP697">
            <v>0</v>
          </cell>
          <cell r="BQ697">
            <v>0</v>
          </cell>
          <cell r="BR697">
            <v>0</v>
          </cell>
          <cell r="BS697">
            <v>0</v>
          </cell>
          <cell r="BU697">
            <v>0</v>
          </cell>
          <cell r="BV697">
            <v>0</v>
          </cell>
          <cell r="BW697">
            <v>0</v>
          </cell>
          <cell r="BX697">
            <v>0</v>
          </cell>
          <cell r="BY697">
            <v>0</v>
          </cell>
          <cell r="BZ697">
            <v>0</v>
          </cell>
          <cell r="CA697">
            <v>0</v>
          </cell>
          <cell r="CB697">
            <v>0</v>
          </cell>
          <cell r="CC697">
            <v>0</v>
          </cell>
          <cell r="CE697">
            <v>0</v>
          </cell>
          <cell r="CF697">
            <v>0</v>
          </cell>
          <cell r="CG697">
            <v>0</v>
          </cell>
          <cell r="CH697">
            <v>0</v>
          </cell>
          <cell r="CI697">
            <v>0</v>
          </cell>
          <cell r="CJ697">
            <v>0</v>
          </cell>
          <cell r="CK697">
            <v>0</v>
          </cell>
          <cell r="CL697">
            <v>0</v>
          </cell>
          <cell r="CM697">
            <v>0</v>
          </cell>
          <cell r="CO697">
            <v>0</v>
          </cell>
          <cell r="CP697">
            <v>0</v>
          </cell>
          <cell r="CQ697">
            <v>0</v>
          </cell>
          <cell r="CR697">
            <v>0</v>
          </cell>
          <cell r="CS697">
            <v>0</v>
          </cell>
          <cell r="CT697">
            <v>0</v>
          </cell>
          <cell r="CU697">
            <v>0</v>
          </cell>
          <cell r="CV697">
            <v>0</v>
          </cell>
          <cell r="CW697">
            <v>0</v>
          </cell>
          <cell r="CY697">
            <v>0</v>
          </cell>
          <cell r="CZ697">
            <v>0</v>
          </cell>
          <cell r="DA697">
            <v>0</v>
          </cell>
          <cell r="DB697">
            <v>0</v>
          </cell>
          <cell r="DC697">
            <v>0</v>
          </cell>
          <cell r="DD697">
            <v>0</v>
          </cell>
          <cell r="DE697">
            <v>0</v>
          </cell>
          <cell r="DF697">
            <v>0</v>
          </cell>
          <cell r="DG697">
            <v>0</v>
          </cell>
          <cell r="DI697">
            <v>0</v>
          </cell>
          <cell r="DJ697">
            <v>0</v>
          </cell>
          <cell r="DK697">
            <v>0</v>
          </cell>
          <cell r="DL697">
            <v>0</v>
          </cell>
          <cell r="DM697">
            <v>0</v>
          </cell>
          <cell r="DN697">
            <v>0</v>
          </cell>
          <cell r="DO697">
            <v>0</v>
          </cell>
          <cell r="DP697">
            <v>0</v>
          </cell>
          <cell r="DQ697">
            <v>0</v>
          </cell>
          <cell r="DR697">
            <v>0</v>
          </cell>
          <cell r="DS697">
            <v>0</v>
          </cell>
          <cell r="DT697">
            <v>0</v>
          </cell>
          <cell r="DU697">
            <v>0</v>
          </cell>
          <cell r="DW697">
            <v>0</v>
          </cell>
          <cell r="DX697">
            <v>0</v>
          </cell>
          <cell r="DY697">
            <v>0</v>
          </cell>
          <cell r="DZ697">
            <v>0</v>
          </cell>
          <cell r="EA697">
            <v>0</v>
          </cell>
          <cell r="EB697">
            <v>0</v>
          </cell>
          <cell r="EC697">
            <v>0</v>
          </cell>
          <cell r="ED697">
            <v>0</v>
          </cell>
          <cell r="EE697">
            <v>0</v>
          </cell>
          <cell r="EF697">
            <v>0</v>
          </cell>
          <cell r="EG697">
            <v>0</v>
          </cell>
          <cell r="EH697">
            <v>0</v>
          </cell>
          <cell r="EI697">
            <v>0</v>
          </cell>
          <cell r="EK697">
            <v>0</v>
          </cell>
          <cell r="EL697">
            <v>0</v>
          </cell>
          <cell r="EM697">
            <v>0</v>
          </cell>
          <cell r="EN697">
            <v>0</v>
          </cell>
          <cell r="EO697">
            <v>0</v>
          </cell>
          <cell r="EP697">
            <v>0</v>
          </cell>
          <cell r="EQ697">
            <v>0</v>
          </cell>
          <cell r="ER697">
            <v>0</v>
          </cell>
          <cell r="ES697">
            <v>0</v>
          </cell>
          <cell r="ET697">
            <v>0</v>
          </cell>
          <cell r="EU697">
            <v>0</v>
          </cell>
          <cell r="EV697">
            <v>0</v>
          </cell>
          <cell r="EW697">
            <v>0</v>
          </cell>
          <cell r="EY697">
            <v>0</v>
          </cell>
          <cell r="EZ697">
            <v>8</v>
          </cell>
          <cell r="FA697">
            <v>0</v>
          </cell>
          <cell r="FB697">
            <v>0</v>
          </cell>
          <cell r="FC697">
            <v>8.6</v>
          </cell>
          <cell r="FD697">
            <v>0</v>
          </cell>
          <cell r="FE697">
            <v>0</v>
          </cell>
          <cell r="FF697">
            <v>0</v>
          </cell>
          <cell r="FH697">
            <v>0</v>
          </cell>
        </row>
        <row r="698">
          <cell r="B698">
            <v>9828</v>
          </cell>
          <cell r="C698" t="str">
            <v>15.10.2010</v>
          </cell>
          <cell r="D698" t="str">
            <v>Shinde Jagdish Arun</v>
          </cell>
          <cell r="F698">
            <v>0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G698">
            <v>0</v>
          </cell>
          <cell r="AH698">
            <v>0</v>
          </cell>
          <cell r="AI698">
            <v>0</v>
          </cell>
          <cell r="AJ698">
            <v>0</v>
          </cell>
          <cell r="AK698">
            <v>0</v>
          </cell>
          <cell r="AL698">
            <v>0</v>
          </cell>
          <cell r="AM698">
            <v>0</v>
          </cell>
          <cell r="AN698">
            <v>0</v>
          </cell>
          <cell r="AO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  <cell r="BA698">
            <v>0</v>
          </cell>
          <cell r="BB698">
            <v>0</v>
          </cell>
          <cell r="BC698">
            <v>0</v>
          </cell>
          <cell r="BD698">
            <v>0</v>
          </cell>
          <cell r="BE698">
            <v>0</v>
          </cell>
          <cell r="BF698">
            <v>0</v>
          </cell>
          <cell r="BG698">
            <v>0</v>
          </cell>
          <cell r="BH698">
            <v>0</v>
          </cell>
          <cell r="BI698">
            <v>0</v>
          </cell>
          <cell r="BK698">
            <v>0</v>
          </cell>
          <cell r="BL698">
            <v>0</v>
          </cell>
          <cell r="BM698">
            <v>0</v>
          </cell>
          <cell r="BN698">
            <v>0</v>
          </cell>
          <cell r="BO698">
            <v>0</v>
          </cell>
          <cell r="BP698">
            <v>0</v>
          </cell>
          <cell r="BQ698">
            <v>0</v>
          </cell>
          <cell r="BR698">
            <v>0</v>
          </cell>
          <cell r="BS698">
            <v>0</v>
          </cell>
          <cell r="BU698">
            <v>0</v>
          </cell>
          <cell r="BV698">
            <v>0</v>
          </cell>
          <cell r="BW698">
            <v>0</v>
          </cell>
          <cell r="BX698">
            <v>0</v>
          </cell>
          <cell r="BY698">
            <v>0</v>
          </cell>
          <cell r="BZ698">
            <v>0</v>
          </cell>
          <cell r="CA698">
            <v>0</v>
          </cell>
          <cell r="CB698">
            <v>0</v>
          </cell>
          <cell r="CC698">
            <v>0</v>
          </cell>
          <cell r="CE698">
            <v>0</v>
          </cell>
          <cell r="CF698">
            <v>0</v>
          </cell>
          <cell r="CG698">
            <v>0</v>
          </cell>
          <cell r="CH698">
            <v>0</v>
          </cell>
          <cell r="CI698">
            <v>0</v>
          </cell>
          <cell r="CJ698">
            <v>0</v>
          </cell>
          <cell r="CK698">
            <v>0</v>
          </cell>
          <cell r="CL698">
            <v>0</v>
          </cell>
          <cell r="CM698">
            <v>0</v>
          </cell>
          <cell r="CO698">
            <v>0</v>
          </cell>
          <cell r="CP698">
            <v>0</v>
          </cell>
          <cell r="CQ698">
            <v>0</v>
          </cell>
          <cell r="CR698">
            <v>0</v>
          </cell>
          <cell r="CS698">
            <v>0</v>
          </cell>
          <cell r="CT698">
            <v>0</v>
          </cell>
          <cell r="CU698">
            <v>0</v>
          </cell>
          <cell r="CV698">
            <v>0</v>
          </cell>
          <cell r="CW698">
            <v>0</v>
          </cell>
          <cell r="CY698">
            <v>0</v>
          </cell>
          <cell r="CZ698">
            <v>0</v>
          </cell>
          <cell r="DA698">
            <v>0</v>
          </cell>
          <cell r="DB698">
            <v>0</v>
          </cell>
          <cell r="DC698">
            <v>0</v>
          </cell>
          <cell r="DD698">
            <v>0</v>
          </cell>
          <cell r="DE698">
            <v>0</v>
          </cell>
          <cell r="DF698">
            <v>0</v>
          </cell>
          <cell r="DG698">
            <v>0</v>
          </cell>
          <cell r="DI698">
            <v>0</v>
          </cell>
          <cell r="DJ698">
            <v>0</v>
          </cell>
          <cell r="DK698">
            <v>0</v>
          </cell>
          <cell r="DL698">
            <v>0</v>
          </cell>
          <cell r="DM698">
            <v>0</v>
          </cell>
          <cell r="DN698">
            <v>0</v>
          </cell>
          <cell r="DO698">
            <v>0</v>
          </cell>
          <cell r="DP698">
            <v>0</v>
          </cell>
          <cell r="DQ698">
            <v>0</v>
          </cell>
          <cell r="DR698">
            <v>0</v>
          </cell>
          <cell r="DS698">
            <v>0</v>
          </cell>
          <cell r="DT698">
            <v>0</v>
          </cell>
          <cell r="DU698">
            <v>0</v>
          </cell>
          <cell r="DW698">
            <v>0</v>
          </cell>
          <cell r="DX698">
            <v>0</v>
          </cell>
          <cell r="DY698">
            <v>0</v>
          </cell>
          <cell r="DZ698">
            <v>0</v>
          </cell>
          <cell r="EA698">
            <v>0</v>
          </cell>
          <cell r="EB698">
            <v>0</v>
          </cell>
          <cell r="EC698">
            <v>0</v>
          </cell>
          <cell r="ED698">
            <v>0</v>
          </cell>
          <cell r="EE698">
            <v>0</v>
          </cell>
          <cell r="EF698">
            <v>0</v>
          </cell>
          <cell r="EG698">
            <v>0</v>
          </cell>
          <cell r="EH698">
            <v>0</v>
          </cell>
          <cell r="EI698">
            <v>0</v>
          </cell>
          <cell r="EK698">
            <v>0</v>
          </cell>
          <cell r="EL698">
            <v>0</v>
          </cell>
          <cell r="EM698">
            <v>0</v>
          </cell>
          <cell r="EN698">
            <v>0</v>
          </cell>
          <cell r="EO698">
            <v>0</v>
          </cell>
          <cell r="EP698">
            <v>0</v>
          </cell>
          <cell r="EQ698">
            <v>0</v>
          </cell>
          <cell r="ER698">
            <v>0</v>
          </cell>
          <cell r="ES698">
            <v>0</v>
          </cell>
          <cell r="ET698">
            <v>0</v>
          </cell>
          <cell r="EU698">
            <v>0</v>
          </cell>
          <cell r="EV698">
            <v>0</v>
          </cell>
          <cell r="EW698">
            <v>0</v>
          </cell>
          <cell r="EY698">
            <v>0</v>
          </cell>
          <cell r="EZ698">
            <v>8</v>
          </cell>
          <cell r="FA698">
            <v>0</v>
          </cell>
          <cell r="FB698">
            <v>0</v>
          </cell>
          <cell r="FC698">
            <v>8.6</v>
          </cell>
          <cell r="FD698">
            <v>0</v>
          </cell>
          <cell r="FE698">
            <v>0</v>
          </cell>
          <cell r="FF698">
            <v>0</v>
          </cell>
          <cell r="FH698">
            <v>0</v>
          </cell>
        </row>
        <row r="699">
          <cell r="B699">
            <v>9836</v>
          </cell>
          <cell r="C699" t="str">
            <v>04.12.2010</v>
          </cell>
          <cell r="D699" t="str">
            <v>Gohil Shakuntala Balu</v>
          </cell>
          <cell r="F699">
            <v>0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G699">
            <v>0</v>
          </cell>
          <cell r="AH699">
            <v>0</v>
          </cell>
          <cell r="AI699">
            <v>0</v>
          </cell>
          <cell r="AJ699">
            <v>0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  <cell r="AU699">
            <v>0</v>
          </cell>
          <cell r="AV699">
            <v>0</v>
          </cell>
          <cell r="AW699">
            <v>0</v>
          </cell>
          <cell r="AX699">
            <v>0</v>
          </cell>
          <cell r="AY699">
            <v>0</v>
          </cell>
          <cell r="BA699">
            <v>0</v>
          </cell>
          <cell r="BB699">
            <v>0</v>
          </cell>
          <cell r="BC699">
            <v>0</v>
          </cell>
          <cell r="BD699">
            <v>0</v>
          </cell>
          <cell r="BE699">
            <v>0</v>
          </cell>
          <cell r="BF699">
            <v>0</v>
          </cell>
          <cell r="BG699">
            <v>0</v>
          </cell>
          <cell r="BH699">
            <v>0</v>
          </cell>
          <cell r="BI699">
            <v>0</v>
          </cell>
          <cell r="BK699">
            <v>0</v>
          </cell>
          <cell r="BL699">
            <v>0</v>
          </cell>
          <cell r="BM699">
            <v>0</v>
          </cell>
          <cell r="BN699">
            <v>0</v>
          </cell>
          <cell r="BO699">
            <v>0</v>
          </cell>
          <cell r="BP699">
            <v>0</v>
          </cell>
          <cell r="BQ699">
            <v>0</v>
          </cell>
          <cell r="BR699">
            <v>0</v>
          </cell>
          <cell r="BS699">
            <v>0</v>
          </cell>
          <cell r="BU699">
            <v>0</v>
          </cell>
          <cell r="BV699">
            <v>0</v>
          </cell>
          <cell r="BW699">
            <v>0</v>
          </cell>
          <cell r="BX699">
            <v>0</v>
          </cell>
          <cell r="BY699">
            <v>0</v>
          </cell>
          <cell r="BZ699">
            <v>0</v>
          </cell>
          <cell r="CA699">
            <v>0</v>
          </cell>
          <cell r="CB699">
            <v>0</v>
          </cell>
          <cell r="CC699">
            <v>0</v>
          </cell>
          <cell r="CE699">
            <v>0</v>
          </cell>
          <cell r="CF699">
            <v>0</v>
          </cell>
          <cell r="CG699">
            <v>0</v>
          </cell>
          <cell r="CH699">
            <v>0</v>
          </cell>
          <cell r="CI699">
            <v>0</v>
          </cell>
          <cell r="CJ699">
            <v>0</v>
          </cell>
          <cell r="CK699">
            <v>0</v>
          </cell>
          <cell r="CL699">
            <v>0</v>
          </cell>
          <cell r="CM699">
            <v>0</v>
          </cell>
          <cell r="CO699">
            <v>0</v>
          </cell>
          <cell r="CP699">
            <v>0</v>
          </cell>
          <cell r="CQ699">
            <v>0</v>
          </cell>
          <cell r="CR699">
            <v>0</v>
          </cell>
          <cell r="CS699">
            <v>0</v>
          </cell>
          <cell r="CT699">
            <v>0</v>
          </cell>
          <cell r="CU699">
            <v>0</v>
          </cell>
          <cell r="CV699">
            <v>0</v>
          </cell>
          <cell r="CW699">
            <v>0</v>
          </cell>
          <cell r="CY699">
            <v>0</v>
          </cell>
          <cell r="CZ699">
            <v>0</v>
          </cell>
          <cell r="DA699">
            <v>0</v>
          </cell>
          <cell r="DB699">
            <v>0</v>
          </cell>
          <cell r="DC699">
            <v>0</v>
          </cell>
          <cell r="DD699">
            <v>0</v>
          </cell>
          <cell r="DE699">
            <v>0</v>
          </cell>
          <cell r="DF699">
            <v>0</v>
          </cell>
          <cell r="DG699">
            <v>0</v>
          </cell>
          <cell r="DI699">
            <v>0</v>
          </cell>
          <cell r="DJ699">
            <v>0</v>
          </cell>
          <cell r="DK699">
            <v>0</v>
          </cell>
          <cell r="DL699">
            <v>0</v>
          </cell>
          <cell r="DM699">
            <v>0</v>
          </cell>
          <cell r="DN699">
            <v>0</v>
          </cell>
          <cell r="DO699">
            <v>0</v>
          </cell>
          <cell r="DP699">
            <v>0</v>
          </cell>
          <cell r="DQ699">
            <v>0</v>
          </cell>
          <cell r="DR699">
            <v>0</v>
          </cell>
          <cell r="DS699">
            <v>0</v>
          </cell>
          <cell r="DT699">
            <v>0</v>
          </cell>
          <cell r="DU699">
            <v>0</v>
          </cell>
          <cell r="DW699">
            <v>0</v>
          </cell>
          <cell r="DX699">
            <v>0</v>
          </cell>
          <cell r="DY699">
            <v>0</v>
          </cell>
          <cell r="DZ699">
            <v>0</v>
          </cell>
          <cell r="EA699">
            <v>0</v>
          </cell>
          <cell r="EB699">
            <v>0</v>
          </cell>
          <cell r="EC699">
            <v>0</v>
          </cell>
          <cell r="ED699">
            <v>0</v>
          </cell>
          <cell r="EE699">
            <v>0</v>
          </cell>
          <cell r="EF699">
            <v>0</v>
          </cell>
          <cell r="EG699">
            <v>0</v>
          </cell>
          <cell r="EH699">
            <v>0</v>
          </cell>
          <cell r="EI699">
            <v>0</v>
          </cell>
          <cell r="EK699">
            <v>0</v>
          </cell>
          <cell r="EL699">
            <v>0</v>
          </cell>
          <cell r="EM699">
            <v>0</v>
          </cell>
          <cell r="EN699">
            <v>0</v>
          </cell>
          <cell r="EO699">
            <v>0</v>
          </cell>
          <cell r="EP699">
            <v>0</v>
          </cell>
          <cell r="EQ699">
            <v>0</v>
          </cell>
          <cell r="ER699">
            <v>0</v>
          </cell>
          <cell r="ES699">
            <v>0</v>
          </cell>
          <cell r="ET699">
            <v>0</v>
          </cell>
          <cell r="EU699">
            <v>0</v>
          </cell>
          <cell r="EV699">
            <v>0</v>
          </cell>
          <cell r="EW699">
            <v>0</v>
          </cell>
          <cell r="EY699">
            <v>0</v>
          </cell>
          <cell r="EZ699">
            <v>8</v>
          </cell>
          <cell r="FA699">
            <v>0</v>
          </cell>
          <cell r="FB699">
            <v>0</v>
          </cell>
          <cell r="FC699">
            <v>8.6</v>
          </cell>
          <cell r="FD699">
            <v>0</v>
          </cell>
          <cell r="FE699">
            <v>0</v>
          </cell>
          <cell r="FF699">
            <v>0</v>
          </cell>
          <cell r="FH699">
            <v>0</v>
          </cell>
        </row>
        <row r="700">
          <cell r="B700">
            <v>9839</v>
          </cell>
          <cell r="C700" t="str">
            <v>07.12.2010</v>
          </cell>
          <cell r="D700" t="str">
            <v>Dambale Vikram Fakirrao</v>
          </cell>
          <cell r="F700">
            <v>0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G700">
            <v>0</v>
          </cell>
          <cell r="AH700">
            <v>0</v>
          </cell>
          <cell r="AI700">
            <v>0</v>
          </cell>
          <cell r="AJ700">
            <v>0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  <cell r="AU700">
            <v>0</v>
          </cell>
          <cell r="AV700">
            <v>0</v>
          </cell>
          <cell r="AW700">
            <v>0</v>
          </cell>
          <cell r="AX700">
            <v>0</v>
          </cell>
          <cell r="AY700">
            <v>0</v>
          </cell>
          <cell r="BA700">
            <v>0</v>
          </cell>
          <cell r="BB700">
            <v>0</v>
          </cell>
          <cell r="BC700">
            <v>0</v>
          </cell>
          <cell r="BD700">
            <v>0</v>
          </cell>
          <cell r="BE700">
            <v>0</v>
          </cell>
          <cell r="BF700">
            <v>0</v>
          </cell>
          <cell r="BG700">
            <v>0</v>
          </cell>
          <cell r="BH700">
            <v>0</v>
          </cell>
          <cell r="BI700">
            <v>0</v>
          </cell>
          <cell r="BK700">
            <v>0</v>
          </cell>
          <cell r="BL700">
            <v>0</v>
          </cell>
          <cell r="BM700">
            <v>0</v>
          </cell>
          <cell r="BN700">
            <v>0</v>
          </cell>
          <cell r="BO700">
            <v>0</v>
          </cell>
          <cell r="BP700">
            <v>0</v>
          </cell>
          <cell r="BQ700">
            <v>0</v>
          </cell>
          <cell r="BR700">
            <v>0</v>
          </cell>
          <cell r="BS700">
            <v>0</v>
          </cell>
          <cell r="BU700">
            <v>0</v>
          </cell>
          <cell r="BV700">
            <v>0</v>
          </cell>
          <cell r="BW700">
            <v>0</v>
          </cell>
          <cell r="BX700">
            <v>0</v>
          </cell>
          <cell r="BY700">
            <v>0</v>
          </cell>
          <cell r="BZ700">
            <v>0</v>
          </cell>
          <cell r="CA700">
            <v>0</v>
          </cell>
          <cell r="CB700">
            <v>0</v>
          </cell>
          <cell r="CC700">
            <v>0</v>
          </cell>
          <cell r="CE700">
            <v>0</v>
          </cell>
          <cell r="CF700">
            <v>0</v>
          </cell>
          <cell r="CG700">
            <v>0</v>
          </cell>
          <cell r="CH700">
            <v>0</v>
          </cell>
          <cell r="CI700">
            <v>0</v>
          </cell>
          <cell r="CJ700">
            <v>0</v>
          </cell>
          <cell r="CK700">
            <v>0</v>
          </cell>
          <cell r="CL700">
            <v>0</v>
          </cell>
          <cell r="CM700">
            <v>0</v>
          </cell>
          <cell r="CO700">
            <v>0</v>
          </cell>
          <cell r="CP700">
            <v>0</v>
          </cell>
          <cell r="CQ700">
            <v>0</v>
          </cell>
          <cell r="CR700">
            <v>0</v>
          </cell>
          <cell r="CS700">
            <v>0</v>
          </cell>
          <cell r="CT700">
            <v>0</v>
          </cell>
          <cell r="CU700">
            <v>0</v>
          </cell>
          <cell r="CV700">
            <v>0</v>
          </cell>
          <cell r="CW700">
            <v>0</v>
          </cell>
          <cell r="CY700">
            <v>0</v>
          </cell>
          <cell r="CZ700">
            <v>0</v>
          </cell>
          <cell r="DA700">
            <v>0</v>
          </cell>
          <cell r="DB700">
            <v>0</v>
          </cell>
          <cell r="DC700">
            <v>0</v>
          </cell>
          <cell r="DD700">
            <v>0</v>
          </cell>
          <cell r="DE700">
            <v>0</v>
          </cell>
          <cell r="DF700">
            <v>0</v>
          </cell>
          <cell r="DG700">
            <v>0</v>
          </cell>
          <cell r="DI700">
            <v>0</v>
          </cell>
          <cell r="DJ700">
            <v>0</v>
          </cell>
          <cell r="DK700">
            <v>0</v>
          </cell>
          <cell r="DL700">
            <v>0</v>
          </cell>
          <cell r="DM700">
            <v>0</v>
          </cell>
          <cell r="DN700">
            <v>0</v>
          </cell>
          <cell r="DO700">
            <v>0</v>
          </cell>
          <cell r="DP700">
            <v>0</v>
          </cell>
          <cell r="DQ700">
            <v>0</v>
          </cell>
          <cell r="DR700">
            <v>0</v>
          </cell>
          <cell r="DS700">
            <v>0</v>
          </cell>
          <cell r="DT700">
            <v>0</v>
          </cell>
          <cell r="DU700">
            <v>0</v>
          </cell>
          <cell r="DW700">
            <v>0</v>
          </cell>
          <cell r="DX700">
            <v>0</v>
          </cell>
          <cell r="DY700">
            <v>0</v>
          </cell>
          <cell r="DZ700">
            <v>0</v>
          </cell>
          <cell r="EA700">
            <v>0</v>
          </cell>
          <cell r="EB700">
            <v>0</v>
          </cell>
          <cell r="EC700">
            <v>0</v>
          </cell>
          <cell r="ED700">
            <v>0</v>
          </cell>
          <cell r="EE700">
            <v>0</v>
          </cell>
          <cell r="EF700">
            <v>0</v>
          </cell>
          <cell r="EG700">
            <v>0</v>
          </cell>
          <cell r="EH700">
            <v>0</v>
          </cell>
          <cell r="EI700">
            <v>0</v>
          </cell>
          <cell r="EK700">
            <v>0</v>
          </cell>
          <cell r="EL700">
            <v>0</v>
          </cell>
          <cell r="EM700">
            <v>0</v>
          </cell>
          <cell r="EN700">
            <v>0</v>
          </cell>
          <cell r="EO700">
            <v>0</v>
          </cell>
          <cell r="EP700">
            <v>0</v>
          </cell>
          <cell r="EQ700">
            <v>0</v>
          </cell>
          <cell r="ER700">
            <v>0</v>
          </cell>
          <cell r="ES700">
            <v>0</v>
          </cell>
          <cell r="ET700">
            <v>0</v>
          </cell>
          <cell r="EU700">
            <v>0</v>
          </cell>
          <cell r="EV700">
            <v>0</v>
          </cell>
          <cell r="EW700">
            <v>0</v>
          </cell>
          <cell r="EY700">
            <v>0</v>
          </cell>
          <cell r="EZ700">
            <v>8</v>
          </cell>
          <cell r="FA700">
            <v>0</v>
          </cell>
          <cell r="FB700">
            <v>0</v>
          </cell>
          <cell r="FC700">
            <v>8.6</v>
          </cell>
          <cell r="FD700">
            <v>0</v>
          </cell>
          <cell r="FE700">
            <v>0</v>
          </cell>
          <cell r="FF700">
            <v>0</v>
          </cell>
          <cell r="FH700">
            <v>0</v>
          </cell>
        </row>
        <row r="701">
          <cell r="B701">
            <v>9853</v>
          </cell>
          <cell r="C701" t="str">
            <v>07.12.2010</v>
          </cell>
          <cell r="D701" t="str">
            <v>Dalod Anita Suresh</v>
          </cell>
          <cell r="F701">
            <v>0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0</v>
          </cell>
          <cell r="AM701">
            <v>0</v>
          </cell>
          <cell r="AN701">
            <v>0</v>
          </cell>
          <cell r="AO701">
            <v>0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0</v>
          </cell>
          <cell r="AY701">
            <v>0</v>
          </cell>
          <cell r="BA701">
            <v>0</v>
          </cell>
          <cell r="BB701">
            <v>0</v>
          </cell>
          <cell r="BC701">
            <v>0</v>
          </cell>
          <cell r="BD701">
            <v>0</v>
          </cell>
          <cell r="BE701">
            <v>0</v>
          </cell>
          <cell r="BF701">
            <v>0</v>
          </cell>
          <cell r="BG701">
            <v>0</v>
          </cell>
          <cell r="BH701">
            <v>0</v>
          </cell>
          <cell r="BI701">
            <v>0</v>
          </cell>
          <cell r="BK701">
            <v>0</v>
          </cell>
          <cell r="BL701">
            <v>0</v>
          </cell>
          <cell r="BM701">
            <v>0</v>
          </cell>
          <cell r="BN701">
            <v>0</v>
          </cell>
          <cell r="BO701">
            <v>0</v>
          </cell>
          <cell r="BP701">
            <v>0</v>
          </cell>
          <cell r="BQ701">
            <v>0</v>
          </cell>
          <cell r="BR701">
            <v>0</v>
          </cell>
          <cell r="BS701">
            <v>0</v>
          </cell>
          <cell r="BU701">
            <v>0</v>
          </cell>
          <cell r="BV701">
            <v>0</v>
          </cell>
          <cell r="BW701">
            <v>0</v>
          </cell>
          <cell r="BX701">
            <v>0</v>
          </cell>
          <cell r="BY701">
            <v>0</v>
          </cell>
          <cell r="BZ701">
            <v>0</v>
          </cell>
          <cell r="CA701">
            <v>0</v>
          </cell>
          <cell r="CB701">
            <v>0</v>
          </cell>
          <cell r="CC701">
            <v>0</v>
          </cell>
          <cell r="CE701">
            <v>0</v>
          </cell>
          <cell r="CF701">
            <v>0</v>
          </cell>
          <cell r="CG701">
            <v>0</v>
          </cell>
          <cell r="CH701">
            <v>0</v>
          </cell>
          <cell r="CI701">
            <v>0</v>
          </cell>
          <cell r="CJ701">
            <v>0</v>
          </cell>
          <cell r="CK701">
            <v>0</v>
          </cell>
          <cell r="CL701">
            <v>0</v>
          </cell>
          <cell r="CM701">
            <v>0</v>
          </cell>
          <cell r="CO701">
            <v>0</v>
          </cell>
          <cell r="CP701">
            <v>0</v>
          </cell>
          <cell r="CQ701">
            <v>0</v>
          </cell>
          <cell r="CR701">
            <v>0</v>
          </cell>
          <cell r="CS701">
            <v>0</v>
          </cell>
          <cell r="CT701">
            <v>0</v>
          </cell>
          <cell r="CU701">
            <v>0</v>
          </cell>
          <cell r="CV701">
            <v>0</v>
          </cell>
          <cell r="CW701">
            <v>0</v>
          </cell>
          <cell r="CY701">
            <v>0</v>
          </cell>
          <cell r="CZ701">
            <v>0</v>
          </cell>
          <cell r="DA701">
            <v>0</v>
          </cell>
          <cell r="DB701">
            <v>0</v>
          </cell>
          <cell r="DC701">
            <v>0</v>
          </cell>
          <cell r="DD701">
            <v>0</v>
          </cell>
          <cell r="DE701">
            <v>0</v>
          </cell>
          <cell r="DF701">
            <v>0</v>
          </cell>
          <cell r="DG701">
            <v>0</v>
          </cell>
          <cell r="DI701">
            <v>0</v>
          </cell>
          <cell r="DJ701">
            <v>0</v>
          </cell>
          <cell r="DK701">
            <v>0</v>
          </cell>
          <cell r="DL701">
            <v>0</v>
          </cell>
          <cell r="DM701">
            <v>0</v>
          </cell>
          <cell r="DN701">
            <v>0</v>
          </cell>
          <cell r="DO701">
            <v>0</v>
          </cell>
          <cell r="DP701">
            <v>0</v>
          </cell>
          <cell r="DQ701">
            <v>0</v>
          </cell>
          <cell r="DR701">
            <v>0</v>
          </cell>
          <cell r="DS701">
            <v>0</v>
          </cell>
          <cell r="DT701">
            <v>0</v>
          </cell>
          <cell r="DU701">
            <v>0</v>
          </cell>
          <cell r="DW701">
            <v>0</v>
          </cell>
          <cell r="DX701">
            <v>0</v>
          </cell>
          <cell r="DY701">
            <v>0</v>
          </cell>
          <cell r="DZ701">
            <v>0</v>
          </cell>
          <cell r="EA701">
            <v>0</v>
          </cell>
          <cell r="EB701">
            <v>0</v>
          </cell>
          <cell r="EC701">
            <v>0</v>
          </cell>
          <cell r="ED701">
            <v>0</v>
          </cell>
          <cell r="EE701">
            <v>0</v>
          </cell>
          <cell r="EF701">
            <v>0</v>
          </cell>
          <cell r="EG701">
            <v>0</v>
          </cell>
          <cell r="EH701">
            <v>0</v>
          </cell>
          <cell r="EI701">
            <v>0</v>
          </cell>
          <cell r="EK701">
            <v>0</v>
          </cell>
          <cell r="EL701">
            <v>0</v>
          </cell>
          <cell r="EM701">
            <v>0</v>
          </cell>
          <cell r="EN701">
            <v>0</v>
          </cell>
          <cell r="EO701">
            <v>0</v>
          </cell>
          <cell r="EP701">
            <v>0</v>
          </cell>
          <cell r="EQ701">
            <v>0</v>
          </cell>
          <cell r="ER701">
            <v>0</v>
          </cell>
          <cell r="ES701">
            <v>0</v>
          </cell>
          <cell r="ET701">
            <v>0</v>
          </cell>
          <cell r="EU701">
            <v>0</v>
          </cell>
          <cell r="EV701">
            <v>0</v>
          </cell>
          <cell r="EW701">
            <v>0</v>
          </cell>
          <cell r="EY701">
            <v>0</v>
          </cell>
          <cell r="EZ701">
            <v>8</v>
          </cell>
          <cell r="FA701">
            <v>0</v>
          </cell>
          <cell r="FB701">
            <v>0</v>
          </cell>
          <cell r="FC701">
            <v>8.6</v>
          </cell>
          <cell r="FD701">
            <v>0</v>
          </cell>
          <cell r="FE701">
            <v>0</v>
          </cell>
          <cell r="FF701">
            <v>0</v>
          </cell>
          <cell r="FH701">
            <v>0</v>
          </cell>
        </row>
        <row r="702">
          <cell r="B702">
            <v>9837</v>
          </cell>
          <cell r="C702" t="str">
            <v>09.12.2010</v>
          </cell>
          <cell r="D702" t="str">
            <v>Lakariya Prashant Vijay</v>
          </cell>
          <cell r="F702">
            <v>0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0</v>
          </cell>
          <cell r="AY702">
            <v>0</v>
          </cell>
          <cell r="BA702">
            <v>0</v>
          </cell>
          <cell r="BB702">
            <v>0</v>
          </cell>
          <cell r="BC702">
            <v>0</v>
          </cell>
          <cell r="BD702">
            <v>0</v>
          </cell>
          <cell r="BE702">
            <v>0</v>
          </cell>
          <cell r="BF702">
            <v>0</v>
          </cell>
          <cell r="BG702">
            <v>0</v>
          </cell>
          <cell r="BH702">
            <v>0</v>
          </cell>
          <cell r="BI702">
            <v>0</v>
          </cell>
          <cell r="BK702">
            <v>0</v>
          </cell>
          <cell r="BL702">
            <v>0</v>
          </cell>
          <cell r="BM702">
            <v>0</v>
          </cell>
          <cell r="BN702">
            <v>0</v>
          </cell>
          <cell r="BO702">
            <v>0</v>
          </cell>
          <cell r="BP702">
            <v>0</v>
          </cell>
          <cell r="BQ702">
            <v>0</v>
          </cell>
          <cell r="BR702">
            <v>0</v>
          </cell>
          <cell r="BS702">
            <v>0</v>
          </cell>
          <cell r="BU702">
            <v>0</v>
          </cell>
          <cell r="BV702">
            <v>0</v>
          </cell>
          <cell r="BW702">
            <v>0</v>
          </cell>
          <cell r="BX702">
            <v>0</v>
          </cell>
          <cell r="BY702">
            <v>0</v>
          </cell>
          <cell r="BZ702">
            <v>0</v>
          </cell>
          <cell r="CA702">
            <v>0</v>
          </cell>
          <cell r="CB702">
            <v>0</v>
          </cell>
          <cell r="CC702">
            <v>0</v>
          </cell>
          <cell r="CE702">
            <v>0</v>
          </cell>
          <cell r="CF702">
            <v>0</v>
          </cell>
          <cell r="CG702">
            <v>0</v>
          </cell>
          <cell r="CH702">
            <v>0</v>
          </cell>
          <cell r="CI702">
            <v>0</v>
          </cell>
          <cell r="CJ702">
            <v>0</v>
          </cell>
          <cell r="CK702">
            <v>0</v>
          </cell>
          <cell r="CL702">
            <v>0</v>
          </cell>
          <cell r="CM702">
            <v>0</v>
          </cell>
          <cell r="CO702">
            <v>0</v>
          </cell>
          <cell r="CP702">
            <v>0</v>
          </cell>
          <cell r="CQ702">
            <v>0</v>
          </cell>
          <cell r="CR702">
            <v>0</v>
          </cell>
          <cell r="CS702">
            <v>0</v>
          </cell>
          <cell r="CT702">
            <v>0</v>
          </cell>
          <cell r="CU702">
            <v>0</v>
          </cell>
          <cell r="CV702">
            <v>0</v>
          </cell>
          <cell r="CW702">
            <v>0</v>
          </cell>
          <cell r="CY702">
            <v>0</v>
          </cell>
          <cell r="CZ702">
            <v>0</v>
          </cell>
          <cell r="DA702">
            <v>0</v>
          </cell>
          <cell r="DB702">
            <v>0</v>
          </cell>
          <cell r="DC702">
            <v>0</v>
          </cell>
          <cell r="DD702">
            <v>0</v>
          </cell>
          <cell r="DE702">
            <v>0</v>
          </cell>
          <cell r="DF702">
            <v>0</v>
          </cell>
          <cell r="DG702">
            <v>0</v>
          </cell>
          <cell r="DI702">
            <v>0</v>
          </cell>
          <cell r="DJ702">
            <v>0</v>
          </cell>
          <cell r="DK702">
            <v>0</v>
          </cell>
          <cell r="DL702">
            <v>0</v>
          </cell>
          <cell r="DM702">
            <v>0</v>
          </cell>
          <cell r="DN702">
            <v>0</v>
          </cell>
          <cell r="DO702">
            <v>0</v>
          </cell>
          <cell r="DP702">
            <v>0</v>
          </cell>
          <cell r="DQ702">
            <v>0</v>
          </cell>
          <cell r="DR702">
            <v>0</v>
          </cell>
          <cell r="DS702">
            <v>0</v>
          </cell>
          <cell r="DT702">
            <v>0</v>
          </cell>
          <cell r="DU702">
            <v>0</v>
          </cell>
          <cell r="DW702">
            <v>0</v>
          </cell>
          <cell r="DX702">
            <v>0</v>
          </cell>
          <cell r="DY702">
            <v>0</v>
          </cell>
          <cell r="DZ702">
            <v>0</v>
          </cell>
          <cell r="EA702">
            <v>0</v>
          </cell>
          <cell r="EB702">
            <v>0</v>
          </cell>
          <cell r="EC702">
            <v>0</v>
          </cell>
          <cell r="ED702">
            <v>0</v>
          </cell>
          <cell r="EE702">
            <v>0</v>
          </cell>
          <cell r="EF702">
            <v>0</v>
          </cell>
          <cell r="EG702">
            <v>0</v>
          </cell>
          <cell r="EH702">
            <v>0</v>
          </cell>
          <cell r="EI702">
            <v>0</v>
          </cell>
          <cell r="EK702">
            <v>0</v>
          </cell>
          <cell r="EL702">
            <v>0</v>
          </cell>
          <cell r="EM702">
            <v>0</v>
          </cell>
          <cell r="EN702">
            <v>0</v>
          </cell>
          <cell r="EO702">
            <v>0</v>
          </cell>
          <cell r="EP702">
            <v>0</v>
          </cell>
          <cell r="EQ702">
            <v>0</v>
          </cell>
          <cell r="ER702">
            <v>0</v>
          </cell>
          <cell r="ES702">
            <v>0</v>
          </cell>
          <cell r="ET702">
            <v>0</v>
          </cell>
          <cell r="EU702">
            <v>0</v>
          </cell>
          <cell r="EV702">
            <v>0</v>
          </cell>
          <cell r="EW702">
            <v>0</v>
          </cell>
          <cell r="EY702">
            <v>0</v>
          </cell>
          <cell r="EZ702">
            <v>8</v>
          </cell>
          <cell r="FA702">
            <v>0</v>
          </cell>
          <cell r="FB702">
            <v>0</v>
          </cell>
          <cell r="FC702">
            <v>8.6</v>
          </cell>
          <cell r="FD702">
            <v>0</v>
          </cell>
          <cell r="FE702">
            <v>0</v>
          </cell>
          <cell r="FF702">
            <v>0</v>
          </cell>
          <cell r="FH702">
            <v>0</v>
          </cell>
        </row>
        <row r="703">
          <cell r="B703">
            <v>9838</v>
          </cell>
          <cell r="C703" t="str">
            <v>10.12.2010</v>
          </cell>
          <cell r="D703" t="str">
            <v>Kale Sandip Arun</v>
          </cell>
          <cell r="F703">
            <v>0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BA703">
            <v>0</v>
          </cell>
          <cell r="BB703">
            <v>0</v>
          </cell>
          <cell r="BC703">
            <v>0</v>
          </cell>
          <cell r="BD703">
            <v>0</v>
          </cell>
          <cell r="BE703">
            <v>0</v>
          </cell>
          <cell r="BF703">
            <v>0</v>
          </cell>
          <cell r="BG703">
            <v>0</v>
          </cell>
          <cell r="BH703">
            <v>0</v>
          </cell>
          <cell r="BI703">
            <v>0</v>
          </cell>
          <cell r="BK703">
            <v>0</v>
          </cell>
          <cell r="BL703">
            <v>0</v>
          </cell>
          <cell r="BM703">
            <v>0</v>
          </cell>
          <cell r="BN703">
            <v>0</v>
          </cell>
          <cell r="BO703">
            <v>0</v>
          </cell>
          <cell r="BP703">
            <v>0</v>
          </cell>
          <cell r="BQ703">
            <v>0</v>
          </cell>
          <cell r="BR703">
            <v>0</v>
          </cell>
          <cell r="BS703">
            <v>0</v>
          </cell>
          <cell r="BU703">
            <v>0</v>
          </cell>
          <cell r="BV703">
            <v>0</v>
          </cell>
          <cell r="BW703">
            <v>0</v>
          </cell>
          <cell r="BX703">
            <v>0</v>
          </cell>
          <cell r="BY703">
            <v>0</v>
          </cell>
          <cell r="BZ703">
            <v>0</v>
          </cell>
          <cell r="CA703">
            <v>0</v>
          </cell>
          <cell r="CB703">
            <v>0</v>
          </cell>
          <cell r="CC703">
            <v>0</v>
          </cell>
          <cell r="CE703">
            <v>0</v>
          </cell>
          <cell r="CF703">
            <v>0</v>
          </cell>
          <cell r="CG703">
            <v>0</v>
          </cell>
          <cell r="CH703">
            <v>0</v>
          </cell>
          <cell r="CI703">
            <v>0</v>
          </cell>
          <cell r="CJ703">
            <v>0</v>
          </cell>
          <cell r="CK703">
            <v>0</v>
          </cell>
          <cell r="CL703">
            <v>0</v>
          </cell>
          <cell r="CM703">
            <v>0</v>
          </cell>
          <cell r="CO703">
            <v>0</v>
          </cell>
          <cell r="CP703">
            <v>0</v>
          </cell>
          <cell r="CQ703">
            <v>0</v>
          </cell>
          <cell r="CR703">
            <v>0</v>
          </cell>
          <cell r="CS703">
            <v>0</v>
          </cell>
          <cell r="CT703">
            <v>0</v>
          </cell>
          <cell r="CU703">
            <v>0</v>
          </cell>
          <cell r="CV703">
            <v>0</v>
          </cell>
          <cell r="CW703">
            <v>0</v>
          </cell>
          <cell r="CY703">
            <v>0</v>
          </cell>
          <cell r="CZ703">
            <v>0</v>
          </cell>
          <cell r="DA703">
            <v>0</v>
          </cell>
          <cell r="DB703">
            <v>0</v>
          </cell>
          <cell r="DC703">
            <v>0</v>
          </cell>
          <cell r="DD703">
            <v>0</v>
          </cell>
          <cell r="DE703">
            <v>0</v>
          </cell>
          <cell r="DF703">
            <v>0</v>
          </cell>
          <cell r="DG703">
            <v>0</v>
          </cell>
          <cell r="DI703">
            <v>0</v>
          </cell>
          <cell r="DJ703">
            <v>0</v>
          </cell>
          <cell r="DK703">
            <v>0</v>
          </cell>
          <cell r="DL703">
            <v>0</v>
          </cell>
          <cell r="DM703">
            <v>0</v>
          </cell>
          <cell r="DN703">
            <v>0</v>
          </cell>
          <cell r="DO703">
            <v>0</v>
          </cell>
          <cell r="DP703">
            <v>0</v>
          </cell>
          <cell r="DQ703">
            <v>0</v>
          </cell>
          <cell r="DR703">
            <v>0</v>
          </cell>
          <cell r="DS703">
            <v>0</v>
          </cell>
          <cell r="DT703">
            <v>0</v>
          </cell>
          <cell r="DU703">
            <v>0</v>
          </cell>
          <cell r="DW703">
            <v>0</v>
          </cell>
          <cell r="DX703">
            <v>0</v>
          </cell>
          <cell r="DY703">
            <v>0</v>
          </cell>
          <cell r="DZ703">
            <v>0</v>
          </cell>
          <cell r="EA703">
            <v>0</v>
          </cell>
          <cell r="EB703">
            <v>0</v>
          </cell>
          <cell r="EC703">
            <v>0</v>
          </cell>
          <cell r="ED703">
            <v>0</v>
          </cell>
          <cell r="EE703">
            <v>0</v>
          </cell>
          <cell r="EF703">
            <v>0</v>
          </cell>
          <cell r="EG703">
            <v>0</v>
          </cell>
          <cell r="EH703">
            <v>0</v>
          </cell>
          <cell r="EI703">
            <v>0</v>
          </cell>
          <cell r="EK703">
            <v>0</v>
          </cell>
          <cell r="EL703">
            <v>0</v>
          </cell>
          <cell r="EM703">
            <v>0</v>
          </cell>
          <cell r="EN703">
            <v>0</v>
          </cell>
          <cell r="EO703">
            <v>0</v>
          </cell>
          <cell r="EP703">
            <v>0</v>
          </cell>
          <cell r="EQ703">
            <v>0</v>
          </cell>
          <cell r="ER703">
            <v>0</v>
          </cell>
          <cell r="ES703">
            <v>0</v>
          </cell>
          <cell r="ET703">
            <v>0</v>
          </cell>
          <cell r="EU703">
            <v>0</v>
          </cell>
          <cell r="EV703">
            <v>0</v>
          </cell>
          <cell r="EW703">
            <v>0</v>
          </cell>
          <cell r="EY703">
            <v>0</v>
          </cell>
          <cell r="EZ703">
            <v>8</v>
          </cell>
          <cell r="FA703">
            <v>0</v>
          </cell>
          <cell r="FB703">
            <v>0</v>
          </cell>
          <cell r="FC703">
            <v>8.6</v>
          </cell>
          <cell r="FD703">
            <v>0</v>
          </cell>
          <cell r="FE703">
            <v>0</v>
          </cell>
          <cell r="FF703">
            <v>0</v>
          </cell>
          <cell r="FH703">
            <v>0</v>
          </cell>
        </row>
        <row r="704">
          <cell r="B704">
            <v>9843</v>
          </cell>
          <cell r="C704" t="str">
            <v>10.12.2010</v>
          </cell>
          <cell r="D704" t="str">
            <v>Shelke (Patil) Raju Dinkar</v>
          </cell>
          <cell r="F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G704">
            <v>0</v>
          </cell>
          <cell r="AH704">
            <v>0</v>
          </cell>
          <cell r="AI704">
            <v>0</v>
          </cell>
          <cell r="AJ704">
            <v>0</v>
          </cell>
          <cell r="AK704">
            <v>0</v>
          </cell>
          <cell r="AL704">
            <v>0</v>
          </cell>
          <cell r="AM704">
            <v>0</v>
          </cell>
          <cell r="AN704">
            <v>0</v>
          </cell>
          <cell r="AO704">
            <v>0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  <cell r="AU704">
            <v>0</v>
          </cell>
          <cell r="AV704">
            <v>0</v>
          </cell>
          <cell r="AW704">
            <v>0</v>
          </cell>
          <cell r="AX704">
            <v>0</v>
          </cell>
          <cell r="AY704">
            <v>0</v>
          </cell>
          <cell r="BA704">
            <v>0</v>
          </cell>
          <cell r="BB704">
            <v>0</v>
          </cell>
          <cell r="BC704">
            <v>0</v>
          </cell>
          <cell r="BD704">
            <v>0</v>
          </cell>
          <cell r="BE704">
            <v>0</v>
          </cell>
          <cell r="BF704">
            <v>0</v>
          </cell>
          <cell r="BG704">
            <v>0</v>
          </cell>
          <cell r="BH704">
            <v>0</v>
          </cell>
          <cell r="BI704">
            <v>0</v>
          </cell>
          <cell r="BK704">
            <v>0</v>
          </cell>
          <cell r="BL704">
            <v>0</v>
          </cell>
          <cell r="BM704">
            <v>0</v>
          </cell>
          <cell r="BN704">
            <v>0</v>
          </cell>
          <cell r="BO704">
            <v>0</v>
          </cell>
          <cell r="BP704">
            <v>0</v>
          </cell>
          <cell r="BQ704">
            <v>0</v>
          </cell>
          <cell r="BR704">
            <v>0</v>
          </cell>
          <cell r="BS704">
            <v>0</v>
          </cell>
          <cell r="BU704">
            <v>0</v>
          </cell>
          <cell r="BV704">
            <v>0</v>
          </cell>
          <cell r="BW704">
            <v>0</v>
          </cell>
          <cell r="BX704">
            <v>0</v>
          </cell>
          <cell r="BY704">
            <v>0</v>
          </cell>
          <cell r="BZ704">
            <v>0</v>
          </cell>
          <cell r="CA704">
            <v>0</v>
          </cell>
          <cell r="CB704">
            <v>0</v>
          </cell>
          <cell r="CC704">
            <v>0</v>
          </cell>
          <cell r="CE704">
            <v>0</v>
          </cell>
          <cell r="CF704">
            <v>0</v>
          </cell>
          <cell r="CG704">
            <v>0</v>
          </cell>
          <cell r="CH704">
            <v>0</v>
          </cell>
          <cell r="CI704">
            <v>0</v>
          </cell>
          <cell r="CJ704">
            <v>0</v>
          </cell>
          <cell r="CK704">
            <v>0</v>
          </cell>
          <cell r="CL704">
            <v>0</v>
          </cell>
          <cell r="CM704">
            <v>0</v>
          </cell>
          <cell r="CO704">
            <v>0</v>
          </cell>
          <cell r="CP704">
            <v>0</v>
          </cell>
          <cell r="CQ704">
            <v>0</v>
          </cell>
          <cell r="CR704">
            <v>0</v>
          </cell>
          <cell r="CS704">
            <v>0</v>
          </cell>
          <cell r="CT704">
            <v>0</v>
          </cell>
          <cell r="CU704">
            <v>0</v>
          </cell>
          <cell r="CV704">
            <v>0</v>
          </cell>
          <cell r="CW704">
            <v>0</v>
          </cell>
          <cell r="CY704">
            <v>0</v>
          </cell>
          <cell r="CZ704">
            <v>0</v>
          </cell>
          <cell r="DA704">
            <v>0</v>
          </cell>
          <cell r="DB704">
            <v>0</v>
          </cell>
          <cell r="DC704">
            <v>0</v>
          </cell>
          <cell r="DD704">
            <v>0</v>
          </cell>
          <cell r="DE704">
            <v>0</v>
          </cell>
          <cell r="DF704">
            <v>0</v>
          </cell>
          <cell r="DG704">
            <v>0</v>
          </cell>
          <cell r="DI704">
            <v>0</v>
          </cell>
          <cell r="DJ704">
            <v>0</v>
          </cell>
          <cell r="DK704">
            <v>0</v>
          </cell>
          <cell r="DL704">
            <v>0</v>
          </cell>
          <cell r="DM704">
            <v>0</v>
          </cell>
          <cell r="DN704">
            <v>0</v>
          </cell>
          <cell r="DO704">
            <v>0</v>
          </cell>
          <cell r="DP704">
            <v>0</v>
          </cell>
          <cell r="DQ704">
            <v>0</v>
          </cell>
          <cell r="DR704">
            <v>0</v>
          </cell>
          <cell r="DS704">
            <v>0</v>
          </cell>
          <cell r="DT704">
            <v>0</v>
          </cell>
          <cell r="DU704">
            <v>0</v>
          </cell>
          <cell r="DW704">
            <v>0</v>
          </cell>
          <cell r="DX704">
            <v>0</v>
          </cell>
          <cell r="DY704">
            <v>0</v>
          </cell>
          <cell r="DZ704">
            <v>0</v>
          </cell>
          <cell r="EA704">
            <v>0</v>
          </cell>
          <cell r="EB704">
            <v>0</v>
          </cell>
          <cell r="EC704">
            <v>0</v>
          </cell>
          <cell r="ED704">
            <v>0</v>
          </cell>
          <cell r="EE704">
            <v>0</v>
          </cell>
          <cell r="EF704">
            <v>0</v>
          </cell>
          <cell r="EG704">
            <v>0</v>
          </cell>
          <cell r="EH704">
            <v>0</v>
          </cell>
          <cell r="EI704">
            <v>0</v>
          </cell>
          <cell r="EK704">
            <v>0</v>
          </cell>
          <cell r="EL704">
            <v>0</v>
          </cell>
          <cell r="EM704">
            <v>0</v>
          </cell>
          <cell r="EN704">
            <v>0</v>
          </cell>
          <cell r="EO704">
            <v>0</v>
          </cell>
          <cell r="EP704">
            <v>0</v>
          </cell>
          <cell r="EQ704">
            <v>0</v>
          </cell>
          <cell r="ER704">
            <v>0</v>
          </cell>
          <cell r="ES704">
            <v>0</v>
          </cell>
          <cell r="ET704">
            <v>0</v>
          </cell>
          <cell r="EU704">
            <v>0</v>
          </cell>
          <cell r="EV704">
            <v>0</v>
          </cell>
          <cell r="EW704">
            <v>0</v>
          </cell>
          <cell r="EY704">
            <v>0</v>
          </cell>
          <cell r="EZ704">
            <v>8</v>
          </cell>
          <cell r="FA704">
            <v>0</v>
          </cell>
          <cell r="FB704">
            <v>0</v>
          </cell>
          <cell r="FC704">
            <v>8.6</v>
          </cell>
          <cell r="FD704">
            <v>0</v>
          </cell>
          <cell r="FE704">
            <v>0</v>
          </cell>
          <cell r="FF704">
            <v>0</v>
          </cell>
          <cell r="FH704">
            <v>0</v>
          </cell>
        </row>
        <row r="705">
          <cell r="B705">
            <v>9826</v>
          </cell>
          <cell r="C705" t="str">
            <v>13.12.2010</v>
          </cell>
          <cell r="D705" t="str">
            <v>Maru Anil Madhav</v>
          </cell>
          <cell r="F705">
            <v>0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G705">
            <v>0</v>
          </cell>
          <cell r="AH705">
            <v>0</v>
          </cell>
          <cell r="AI705">
            <v>0</v>
          </cell>
          <cell r="AJ705">
            <v>0</v>
          </cell>
          <cell r="AK705">
            <v>0</v>
          </cell>
          <cell r="AL705">
            <v>0</v>
          </cell>
          <cell r="AM705">
            <v>0</v>
          </cell>
          <cell r="AN705">
            <v>0</v>
          </cell>
          <cell r="AO705">
            <v>0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  <cell r="AU705">
            <v>0</v>
          </cell>
          <cell r="AV705">
            <v>0</v>
          </cell>
          <cell r="AW705">
            <v>0</v>
          </cell>
          <cell r="AX705">
            <v>0</v>
          </cell>
          <cell r="AY705">
            <v>0</v>
          </cell>
          <cell r="BA705">
            <v>0</v>
          </cell>
          <cell r="BB705">
            <v>0</v>
          </cell>
          <cell r="BC705">
            <v>0</v>
          </cell>
          <cell r="BD705">
            <v>0</v>
          </cell>
          <cell r="BE705">
            <v>0</v>
          </cell>
          <cell r="BF705">
            <v>0</v>
          </cell>
          <cell r="BG705">
            <v>0</v>
          </cell>
          <cell r="BH705">
            <v>0</v>
          </cell>
          <cell r="BI705">
            <v>0</v>
          </cell>
          <cell r="BK705">
            <v>0</v>
          </cell>
          <cell r="BL705">
            <v>0</v>
          </cell>
          <cell r="BM705">
            <v>0</v>
          </cell>
          <cell r="BN705">
            <v>0</v>
          </cell>
          <cell r="BO705">
            <v>0</v>
          </cell>
          <cell r="BP705">
            <v>0</v>
          </cell>
          <cell r="BQ705">
            <v>0</v>
          </cell>
          <cell r="BR705">
            <v>0</v>
          </cell>
          <cell r="BS705">
            <v>0</v>
          </cell>
          <cell r="BU705">
            <v>0</v>
          </cell>
          <cell r="BV705">
            <v>0</v>
          </cell>
          <cell r="BW705">
            <v>0</v>
          </cell>
          <cell r="BX705">
            <v>0</v>
          </cell>
          <cell r="BY705">
            <v>0</v>
          </cell>
          <cell r="BZ705">
            <v>0</v>
          </cell>
          <cell r="CA705">
            <v>0</v>
          </cell>
          <cell r="CB705">
            <v>0</v>
          </cell>
          <cell r="CC705">
            <v>0</v>
          </cell>
          <cell r="CE705">
            <v>0</v>
          </cell>
          <cell r="CF705">
            <v>0</v>
          </cell>
          <cell r="CG705">
            <v>0</v>
          </cell>
          <cell r="CH705">
            <v>0</v>
          </cell>
          <cell r="CI705">
            <v>0</v>
          </cell>
          <cell r="CJ705">
            <v>0</v>
          </cell>
          <cell r="CK705">
            <v>0</v>
          </cell>
          <cell r="CL705">
            <v>0</v>
          </cell>
          <cell r="CM705">
            <v>0</v>
          </cell>
          <cell r="CO705">
            <v>0</v>
          </cell>
          <cell r="CP705">
            <v>0</v>
          </cell>
          <cell r="CQ705">
            <v>0</v>
          </cell>
          <cell r="CR705">
            <v>0</v>
          </cell>
          <cell r="CS705">
            <v>0</v>
          </cell>
          <cell r="CT705">
            <v>0</v>
          </cell>
          <cell r="CU705">
            <v>0</v>
          </cell>
          <cell r="CV705">
            <v>0</v>
          </cell>
          <cell r="CW705">
            <v>0</v>
          </cell>
          <cell r="CY705">
            <v>0</v>
          </cell>
          <cell r="CZ705">
            <v>0</v>
          </cell>
          <cell r="DA705">
            <v>0</v>
          </cell>
          <cell r="DB705">
            <v>0</v>
          </cell>
          <cell r="DC705">
            <v>0</v>
          </cell>
          <cell r="DD705">
            <v>0</v>
          </cell>
          <cell r="DE705">
            <v>0</v>
          </cell>
          <cell r="DF705">
            <v>0</v>
          </cell>
          <cell r="DG705">
            <v>0</v>
          </cell>
          <cell r="DI705">
            <v>0</v>
          </cell>
          <cell r="DJ705">
            <v>0</v>
          </cell>
          <cell r="DK705">
            <v>0</v>
          </cell>
          <cell r="DL705">
            <v>0</v>
          </cell>
          <cell r="DM705">
            <v>0</v>
          </cell>
          <cell r="DN705">
            <v>0</v>
          </cell>
          <cell r="DO705">
            <v>0</v>
          </cell>
          <cell r="DP705">
            <v>0</v>
          </cell>
          <cell r="DQ705">
            <v>0</v>
          </cell>
          <cell r="DR705">
            <v>0</v>
          </cell>
          <cell r="DS705">
            <v>0</v>
          </cell>
          <cell r="DT705">
            <v>0</v>
          </cell>
          <cell r="DU705">
            <v>0</v>
          </cell>
          <cell r="DW705">
            <v>0</v>
          </cell>
          <cell r="DX705">
            <v>0</v>
          </cell>
          <cell r="DY705">
            <v>0</v>
          </cell>
          <cell r="DZ705">
            <v>0</v>
          </cell>
          <cell r="EA705">
            <v>0</v>
          </cell>
          <cell r="EB705">
            <v>0</v>
          </cell>
          <cell r="EC705">
            <v>0</v>
          </cell>
          <cell r="ED705">
            <v>0</v>
          </cell>
          <cell r="EE705">
            <v>0</v>
          </cell>
          <cell r="EF705">
            <v>0</v>
          </cell>
          <cell r="EG705">
            <v>0</v>
          </cell>
          <cell r="EH705">
            <v>0</v>
          </cell>
          <cell r="EI705">
            <v>0</v>
          </cell>
          <cell r="EK705">
            <v>0</v>
          </cell>
          <cell r="EL705">
            <v>0</v>
          </cell>
          <cell r="EM705">
            <v>0</v>
          </cell>
          <cell r="EN705">
            <v>0</v>
          </cell>
          <cell r="EO705">
            <v>0</v>
          </cell>
          <cell r="EP705">
            <v>0</v>
          </cell>
          <cell r="EQ705">
            <v>0</v>
          </cell>
          <cell r="ER705">
            <v>0</v>
          </cell>
          <cell r="ES705">
            <v>0</v>
          </cell>
          <cell r="ET705">
            <v>0</v>
          </cell>
          <cell r="EU705">
            <v>0</v>
          </cell>
          <cell r="EV705">
            <v>0</v>
          </cell>
          <cell r="EW705">
            <v>0</v>
          </cell>
          <cell r="EY705">
            <v>0</v>
          </cell>
          <cell r="EZ705">
            <v>8</v>
          </cell>
          <cell r="FA705">
            <v>0</v>
          </cell>
          <cell r="FB705">
            <v>0</v>
          </cell>
          <cell r="FC705">
            <v>8.6</v>
          </cell>
          <cell r="FD705">
            <v>0</v>
          </cell>
          <cell r="FE705">
            <v>0</v>
          </cell>
          <cell r="FF705">
            <v>0</v>
          </cell>
          <cell r="FH705">
            <v>0</v>
          </cell>
        </row>
        <row r="706">
          <cell r="B706">
            <v>9847</v>
          </cell>
          <cell r="C706" t="str">
            <v>13.12.2010</v>
          </cell>
          <cell r="D706" t="str">
            <v>Galot Mala Harvindar</v>
          </cell>
          <cell r="F706">
            <v>0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G706">
            <v>0</v>
          </cell>
          <cell r="AH706">
            <v>0</v>
          </cell>
          <cell r="AI706">
            <v>0</v>
          </cell>
          <cell r="AJ706">
            <v>0</v>
          </cell>
          <cell r="AK706">
            <v>0</v>
          </cell>
          <cell r="AL706">
            <v>0</v>
          </cell>
          <cell r="AM706">
            <v>0</v>
          </cell>
          <cell r="AN706">
            <v>0</v>
          </cell>
          <cell r="AO706">
            <v>0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BA706">
            <v>0</v>
          </cell>
          <cell r="BB706">
            <v>0</v>
          </cell>
          <cell r="BC706">
            <v>0</v>
          </cell>
          <cell r="BD706">
            <v>0</v>
          </cell>
          <cell r="BE706">
            <v>0</v>
          </cell>
          <cell r="BF706">
            <v>0</v>
          </cell>
          <cell r="BG706">
            <v>0</v>
          </cell>
          <cell r="BH706">
            <v>0</v>
          </cell>
          <cell r="BI706">
            <v>0</v>
          </cell>
          <cell r="BK706">
            <v>0</v>
          </cell>
          <cell r="BL706">
            <v>0</v>
          </cell>
          <cell r="BM706">
            <v>0</v>
          </cell>
          <cell r="BN706">
            <v>0</v>
          </cell>
          <cell r="BO706">
            <v>0</v>
          </cell>
          <cell r="BP706">
            <v>0</v>
          </cell>
          <cell r="BQ706">
            <v>0</v>
          </cell>
          <cell r="BR706">
            <v>0</v>
          </cell>
          <cell r="BS706">
            <v>0</v>
          </cell>
          <cell r="BU706">
            <v>0</v>
          </cell>
          <cell r="BV706">
            <v>0</v>
          </cell>
          <cell r="BW706">
            <v>0</v>
          </cell>
          <cell r="BX706">
            <v>0</v>
          </cell>
          <cell r="BY706">
            <v>0</v>
          </cell>
          <cell r="BZ706">
            <v>0</v>
          </cell>
          <cell r="CA706">
            <v>0</v>
          </cell>
          <cell r="CB706">
            <v>0</v>
          </cell>
          <cell r="CC706">
            <v>0</v>
          </cell>
          <cell r="CE706">
            <v>0</v>
          </cell>
          <cell r="CF706">
            <v>0</v>
          </cell>
          <cell r="CG706">
            <v>0</v>
          </cell>
          <cell r="CH706">
            <v>0</v>
          </cell>
          <cell r="CI706">
            <v>0</v>
          </cell>
          <cell r="CJ706">
            <v>0</v>
          </cell>
          <cell r="CK706">
            <v>0</v>
          </cell>
          <cell r="CL706">
            <v>0</v>
          </cell>
          <cell r="CM706">
            <v>0</v>
          </cell>
          <cell r="CO706">
            <v>0</v>
          </cell>
          <cell r="CP706">
            <v>0</v>
          </cell>
          <cell r="CQ706">
            <v>0</v>
          </cell>
          <cell r="CR706">
            <v>0</v>
          </cell>
          <cell r="CS706">
            <v>0</v>
          </cell>
          <cell r="CT706">
            <v>0</v>
          </cell>
          <cell r="CU706">
            <v>0</v>
          </cell>
          <cell r="CV706">
            <v>0</v>
          </cell>
          <cell r="CW706">
            <v>0</v>
          </cell>
          <cell r="CY706">
            <v>0</v>
          </cell>
          <cell r="CZ706">
            <v>0</v>
          </cell>
          <cell r="DA706">
            <v>0</v>
          </cell>
          <cell r="DB706">
            <v>0</v>
          </cell>
          <cell r="DC706">
            <v>0</v>
          </cell>
          <cell r="DD706">
            <v>0</v>
          </cell>
          <cell r="DE706">
            <v>0</v>
          </cell>
          <cell r="DF706">
            <v>0</v>
          </cell>
          <cell r="DG706">
            <v>0</v>
          </cell>
          <cell r="DI706">
            <v>0</v>
          </cell>
          <cell r="DJ706">
            <v>0</v>
          </cell>
          <cell r="DK706">
            <v>0</v>
          </cell>
          <cell r="DL706">
            <v>0</v>
          </cell>
          <cell r="DM706">
            <v>0</v>
          </cell>
          <cell r="DN706">
            <v>0</v>
          </cell>
          <cell r="DO706">
            <v>0</v>
          </cell>
          <cell r="DP706">
            <v>0</v>
          </cell>
          <cell r="DQ706">
            <v>0</v>
          </cell>
          <cell r="DR706">
            <v>0</v>
          </cell>
          <cell r="DS706">
            <v>0</v>
          </cell>
          <cell r="DT706">
            <v>0</v>
          </cell>
          <cell r="DU706">
            <v>0</v>
          </cell>
          <cell r="DW706">
            <v>0</v>
          </cell>
          <cell r="DX706">
            <v>0</v>
          </cell>
          <cell r="DY706">
            <v>0</v>
          </cell>
          <cell r="DZ706">
            <v>0</v>
          </cell>
          <cell r="EA706">
            <v>0</v>
          </cell>
          <cell r="EB706">
            <v>0</v>
          </cell>
          <cell r="EC706">
            <v>0</v>
          </cell>
          <cell r="ED706">
            <v>0</v>
          </cell>
          <cell r="EE706">
            <v>0</v>
          </cell>
          <cell r="EF706">
            <v>0</v>
          </cell>
          <cell r="EG706">
            <v>0</v>
          </cell>
          <cell r="EH706">
            <v>0</v>
          </cell>
          <cell r="EI706">
            <v>0</v>
          </cell>
          <cell r="EK706">
            <v>0</v>
          </cell>
          <cell r="EL706">
            <v>0</v>
          </cell>
          <cell r="EM706">
            <v>0</v>
          </cell>
          <cell r="EN706">
            <v>0</v>
          </cell>
          <cell r="EO706">
            <v>0</v>
          </cell>
          <cell r="EP706">
            <v>0</v>
          </cell>
          <cell r="EQ706">
            <v>0</v>
          </cell>
          <cell r="ER706">
            <v>0</v>
          </cell>
          <cell r="ES706">
            <v>0</v>
          </cell>
          <cell r="ET706">
            <v>0</v>
          </cell>
          <cell r="EU706">
            <v>0</v>
          </cell>
          <cell r="EV706">
            <v>0</v>
          </cell>
          <cell r="EW706">
            <v>0</v>
          </cell>
          <cell r="EY706">
            <v>0</v>
          </cell>
          <cell r="EZ706">
            <v>8</v>
          </cell>
          <cell r="FA706">
            <v>0</v>
          </cell>
          <cell r="FB706">
            <v>0</v>
          </cell>
          <cell r="FC706">
            <v>8.6</v>
          </cell>
          <cell r="FD706">
            <v>0</v>
          </cell>
          <cell r="FE706">
            <v>0</v>
          </cell>
          <cell r="FF706">
            <v>0</v>
          </cell>
          <cell r="FH706">
            <v>0</v>
          </cell>
        </row>
        <row r="707">
          <cell r="B707">
            <v>9827</v>
          </cell>
          <cell r="C707" t="str">
            <v>14.12.2010</v>
          </cell>
          <cell r="D707" t="str">
            <v>Maru Sachin Arjun</v>
          </cell>
          <cell r="F707">
            <v>0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G707">
            <v>0</v>
          </cell>
          <cell r="AH707">
            <v>0</v>
          </cell>
          <cell r="AI707">
            <v>0</v>
          </cell>
          <cell r="AJ707">
            <v>0</v>
          </cell>
          <cell r="AK707">
            <v>0</v>
          </cell>
          <cell r="AL707">
            <v>0</v>
          </cell>
          <cell r="AM707">
            <v>0</v>
          </cell>
          <cell r="AN707">
            <v>0</v>
          </cell>
          <cell r="AO707">
            <v>0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  <cell r="AU707">
            <v>0</v>
          </cell>
          <cell r="AV707">
            <v>0</v>
          </cell>
          <cell r="AW707">
            <v>0</v>
          </cell>
          <cell r="AX707">
            <v>0</v>
          </cell>
          <cell r="AY707">
            <v>0</v>
          </cell>
          <cell r="BA707">
            <v>0</v>
          </cell>
          <cell r="BB707">
            <v>0</v>
          </cell>
          <cell r="BC707">
            <v>0</v>
          </cell>
          <cell r="BD707">
            <v>0</v>
          </cell>
          <cell r="BE707">
            <v>0</v>
          </cell>
          <cell r="BF707">
            <v>0</v>
          </cell>
          <cell r="BG707">
            <v>0</v>
          </cell>
          <cell r="BH707">
            <v>0</v>
          </cell>
          <cell r="BI707">
            <v>0</v>
          </cell>
          <cell r="BK707">
            <v>0</v>
          </cell>
          <cell r="BL707">
            <v>0</v>
          </cell>
          <cell r="BM707">
            <v>0</v>
          </cell>
          <cell r="BN707">
            <v>0</v>
          </cell>
          <cell r="BO707">
            <v>0</v>
          </cell>
          <cell r="BP707">
            <v>0</v>
          </cell>
          <cell r="BQ707">
            <v>0</v>
          </cell>
          <cell r="BR707">
            <v>0</v>
          </cell>
          <cell r="BS707">
            <v>0</v>
          </cell>
          <cell r="BU707">
            <v>0</v>
          </cell>
          <cell r="BV707">
            <v>0</v>
          </cell>
          <cell r="BW707">
            <v>0</v>
          </cell>
          <cell r="BX707">
            <v>0</v>
          </cell>
          <cell r="BY707">
            <v>0</v>
          </cell>
          <cell r="BZ707">
            <v>0</v>
          </cell>
          <cell r="CA707">
            <v>0</v>
          </cell>
          <cell r="CB707">
            <v>0</v>
          </cell>
          <cell r="CC707">
            <v>0</v>
          </cell>
          <cell r="CE707">
            <v>0</v>
          </cell>
          <cell r="CF707">
            <v>0</v>
          </cell>
          <cell r="CG707">
            <v>0</v>
          </cell>
          <cell r="CH707">
            <v>0</v>
          </cell>
          <cell r="CI707">
            <v>0</v>
          </cell>
          <cell r="CJ707">
            <v>0</v>
          </cell>
          <cell r="CK707">
            <v>0</v>
          </cell>
          <cell r="CL707">
            <v>0</v>
          </cell>
          <cell r="CM707">
            <v>0</v>
          </cell>
          <cell r="CO707">
            <v>0</v>
          </cell>
          <cell r="CP707">
            <v>0</v>
          </cell>
          <cell r="CQ707">
            <v>0</v>
          </cell>
          <cell r="CR707">
            <v>0</v>
          </cell>
          <cell r="CS707">
            <v>0</v>
          </cell>
          <cell r="CT707">
            <v>0</v>
          </cell>
          <cell r="CU707">
            <v>0</v>
          </cell>
          <cell r="CV707">
            <v>0</v>
          </cell>
          <cell r="CW707">
            <v>0</v>
          </cell>
          <cell r="CY707">
            <v>0</v>
          </cell>
          <cell r="CZ707">
            <v>0</v>
          </cell>
          <cell r="DA707">
            <v>0</v>
          </cell>
          <cell r="DB707">
            <v>0</v>
          </cell>
          <cell r="DC707">
            <v>0</v>
          </cell>
          <cell r="DD707">
            <v>0</v>
          </cell>
          <cell r="DE707">
            <v>0</v>
          </cell>
          <cell r="DF707">
            <v>0</v>
          </cell>
          <cell r="DG707">
            <v>0</v>
          </cell>
          <cell r="DI707">
            <v>0</v>
          </cell>
          <cell r="DJ707">
            <v>0</v>
          </cell>
          <cell r="DK707">
            <v>0</v>
          </cell>
          <cell r="DL707">
            <v>0</v>
          </cell>
          <cell r="DM707">
            <v>0</v>
          </cell>
          <cell r="DN707">
            <v>0</v>
          </cell>
          <cell r="DO707">
            <v>0</v>
          </cell>
          <cell r="DP707">
            <v>0</v>
          </cell>
          <cell r="DQ707">
            <v>0</v>
          </cell>
          <cell r="DR707">
            <v>0</v>
          </cell>
          <cell r="DS707">
            <v>0</v>
          </cell>
          <cell r="DT707">
            <v>0</v>
          </cell>
          <cell r="DU707">
            <v>0</v>
          </cell>
          <cell r="DW707">
            <v>0</v>
          </cell>
          <cell r="DX707">
            <v>0</v>
          </cell>
          <cell r="DY707">
            <v>0</v>
          </cell>
          <cell r="DZ707">
            <v>0</v>
          </cell>
          <cell r="EA707">
            <v>0</v>
          </cell>
          <cell r="EB707">
            <v>0</v>
          </cell>
          <cell r="EC707">
            <v>0</v>
          </cell>
          <cell r="ED707">
            <v>0</v>
          </cell>
          <cell r="EE707">
            <v>0</v>
          </cell>
          <cell r="EF707">
            <v>0</v>
          </cell>
          <cell r="EG707">
            <v>0</v>
          </cell>
          <cell r="EH707">
            <v>0</v>
          </cell>
          <cell r="EI707">
            <v>0</v>
          </cell>
          <cell r="EK707">
            <v>0</v>
          </cell>
          <cell r="EL707">
            <v>0</v>
          </cell>
          <cell r="EM707">
            <v>0</v>
          </cell>
          <cell r="EN707">
            <v>0</v>
          </cell>
          <cell r="EO707">
            <v>0</v>
          </cell>
          <cell r="EP707">
            <v>0</v>
          </cell>
          <cell r="EQ707">
            <v>0</v>
          </cell>
          <cell r="ER707">
            <v>0</v>
          </cell>
          <cell r="ES707">
            <v>0</v>
          </cell>
          <cell r="ET707">
            <v>0</v>
          </cell>
          <cell r="EU707">
            <v>0</v>
          </cell>
          <cell r="EV707">
            <v>0</v>
          </cell>
          <cell r="EW707">
            <v>0</v>
          </cell>
          <cell r="EY707">
            <v>0</v>
          </cell>
          <cell r="EZ707">
            <v>8</v>
          </cell>
          <cell r="FA707">
            <v>0</v>
          </cell>
          <cell r="FB707">
            <v>0</v>
          </cell>
          <cell r="FC707">
            <v>8.6</v>
          </cell>
          <cell r="FD707">
            <v>0</v>
          </cell>
          <cell r="FE707">
            <v>0</v>
          </cell>
          <cell r="FF707">
            <v>0</v>
          </cell>
          <cell r="FH707">
            <v>0</v>
          </cell>
        </row>
        <row r="708">
          <cell r="B708">
            <v>9841</v>
          </cell>
          <cell r="C708" t="str">
            <v>15.12.2010</v>
          </cell>
          <cell r="D708" t="str">
            <v>Jadhav Vikas Popat</v>
          </cell>
          <cell r="F708">
            <v>0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G708">
            <v>0</v>
          </cell>
          <cell r="AH708">
            <v>0</v>
          </cell>
          <cell r="AI708">
            <v>0</v>
          </cell>
          <cell r="AJ708">
            <v>0</v>
          </cell>
          <cell r="AK708">
            <v>0</v>
          </cell>
          <cell r="AL708">
            <v>0</v>
          </cell>
          <cell r="AM708">
            <v>0</v>
          </cell>
          <cell r="AN708">
            <v>0</v>
          </cell>
          <cell r="AO708">
            <v>0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BA708">
            <v>0</v>
          </cell>
          <cell r="BB708">
            <v>0</v>
          </cell>
          <cell r="BC708">
            <v>0</v>
          </cell>
          <cell r="BD708">
            <v>0</v>
          </cell>
          <cell r="BE708">
            <v>0</v>
          </cell>
          <cell r="BF708">
            <v>0</v>
          </cell>
          <cell r="BG708">
            <v>0</v>
          </cell>
          <cell r="BH708">
            <v>0</v>
          </cell>
          <cell r="BI708">
            <v>0</v>
          </cell>
          <cell r="BK708">
            <v>0</v>
          </cell>
          <cell r="BL708">
            <v>0</v>
          </cell>
          <cell r="BM708">
            <v>0</v>
          </cell>
          <cell r="BN708">
            <v>0</v>
          </cell>
          <cell r="BO708">
            <v>0</v>
          </cell>
          <cell r="BP708">
            <v>0</v>
          </cell>
          <cell r="BQ708">
            <v>0</v>
          </cell>
          <cell r="BR708">
            <v>0</v>
          </cell>
          <cell r="BS708">
            <v>0</v>
          </cell>
          <cell r="BU708">
            <v>0</v>
          </cell>
          <cell r="BV708">
            <v>0</v>
          </cell>
          <cell r="BW708">
            <v>0</v>
          </cell>
          <cell r="BX708">
            <v>0</v>
          </cell>
          <cell r="BY708">
            <v>0</v>
          </cell>
          <cell r="BZ708">
            <v>0</v>
          </cell>
          <cell r="CA708">
            <v>0</v>
          </cell>
          <cell r="CB708">
            <v>0</v>
          </cell>
          <cell r="CC708">
            <v>0</v>
          </cell>
          <cell r="CE708">
            <v>0</v>
          </cell>
          <cell r="CF708">
            <v>0</v>
          </cell>
          <cell r="CG708">
            <v>0</v>
          </cell>
          <cell r="CH708">
            <v>0</v>
          </cell>
          <cell r="CI708">
            <v>0</v>
          </cell>
          <cell r="CJ708">
            <v>0</v>
          </cell>
          <cell r="CK708">
            <v>0</v>
          </cell>
          <cell r="CL708">
            <v>0</v>
          </cell>
          <cell r="CM708">
            <v>0</v>
          </cell>
          <cell r="CO708">
            <v>0</v>
          </cell>
          <cell r="CP708">
            <v>0</v>
          </cell>
          <cell r="CQ708">
            <v>0</v>
          </cell>
          <cell r="CR708">
            <v>0</v>
          </cell>
          <cell r="CS708">
            <v>0</v>
          </cell>
          <cell r="CT708">
            <v>0</v>
          </cell>
          <cell r="CU708">
            <v>0</v>
          </cell>
          <cell r="CV708">
            <v>0</v>
          </cell>
          <cell r="CW708">
            <v>0</v>
          </cell>
          <cell r="CY708">
            <v>0</v>
          </cell>
          <cell r="CZ708">
            <v>0</v>
          </cell>
          <cell r="DA708">
            <v>0</v>
          </cell>
          <cell r="DB708">
            <v>0</v>
          </cell>
          <cell r="DC708">
            <v>0</v>
          </cell>
          <cell r="DD708">
            <v>0</v>
          </cell>
          <cell r="DE708">
            <v>0</v>
          </cell>
          <cell r="DF708">
            <v>0</v>
          </cell>
          <cell r="DG708">
            <v>0</v>
          </cell>
          <cell r="DI708">
            <v>0</v>
          </cell>
          <cell r="DJ708">
            <v>0</v>
          </cell>
          <cell r="DK708">
            <v>0</v>
          </cell>
          <cell r="DL708">
            <v>0</v>
          </cell>
          <cell r="DM708">
            <v>0</v>
          </cell>
          <cell r="DN708">
            <v>0</v>
          </cell>
          <cell r="DO708">
            <v>0</v>
          </cell>
          <cell r="DP708">
            <v>0</v>
          </cell>
          <cell r="DQ708">
            <v>0</v>
          </cell>
          <cell r="DR708">
            <v>0</v>
          </cell>
          <cell r="DS708">
            <v>0</v>
          </cell>
          <cell r="DT708">
            <v>0</v>
          </cell>
          <cell r="DU708">
            <v>0</v>
          </cell>
          <cell r="DW708">
            <v>0</v>
          </cell>
          <cell r="DX708">
            <v>0</v>
          </cell>
          <cell r="DY708">
            <v>0</v>
          </cell>
          <cell r="DZ708">
            <v>0</v>
          </cell>
          <cell r="EA708">
            <v>0</v>
          </cell>
          <cell r="EB708">
            <v>0</v>
          </cell>
          <cell r="EC708">
            <v>0</v>
          </cell>
          <cell r="ED708">
            <v>0</v>
          </cell>
          <cell r="EE708">
            <v>0</v>
          </cell>
          <cell r="EF708">
            <v>0</v>
          </cell>
          <cell r="EG708">
            <v>0</v>
          </cell>
          <cell r="EH708">
            <v>0</v>
          </cell>
          <cell r="EI708">
            <v>0</v>
          </cell>
          <cell r="EK708">
            <v>0</v>
          </cell>
          <cell r="EL708">
            <v>0</v>
          </cell>
          <cell r="EM708">
            <v>0</v>
          </cell>
          <cell r="EN708">
            <v>0</v>
          </cell>
          <cell r="EO708">
            <v>0</v>
          </cell>
          <cell r="EP708">
            <v>0</v>
          </cell>
          <cell r="EQ708">
            <v>0</v>
          </cell>
          <cell r="ER708">
            <v>0</v>
          </cell>
          <cell r="ES708">
            <v>0</v>
          </cell>
          <cell r="ET708">
            <v>0</v>
          </cell>
          <cell r="EU708">
            <v>0</v>
          </cell>
          <cell r="EV708">
            <v>0</v>
          </cell>
          <cell r="EW708">
            <v>0</v>
          </cell>
          <cell r="EY708">
            <v>0</v>
          </cell>
          <cell r="EZ708">
            <v>8</v>
          </cell>
          <cell r="FA708">
            <v>0</v>
          </cell>
          <cell r="FB708">
            <v>0</v>
          </cell>
          <cell r="FC708">
            <v>8.6</v>
          </cell>
          <cell r="FD708">
            <v>0</v>
          </cell>
          <cell r="FE708">
            <v>0</v>
          </cell>
          <cell r="FF708">
            <v>0</v>
          </cell>
          <cell r="FH708">
            <v>0</v>
          </cell>
        </row>
        <row r="709">
          <cell r="B709">
            <v>9850</v>
          </cell>
          <cell r="C709" t="str">
            <v>15.12.2010</v>
          </cell>
          <cell r="D709" t="str">
            <v>Pardeshi Dipali Pramod</v>
          </cell>
          <cell r="F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BA709">
            <v>0</v>
          </cell>
          <cell r="BB709">
            <v>0</v>
          </cell>
          <cell r="BC709">
            <v>0</v>
          </cell>
          <cell r="BD709">
            <v>0</v>
          </cell>
          <cell r="BE709">
            <v>0</v>
          </cell>
          <cell r="BF709">
            <v>0</v>
          </cell>
          <cell r="BG709">
            <v>0</v>
          </cell>
          <cell r="BH709">
            <v>0</v>
          </cell>
          <cell r="BI709">
            <v>0</v>
          </cell>
          <cell r="BK709">
            <v>0</v>
          </cell>
          <cell r="BL709">
            <v>0</v>
          </cell>
          <cell r="BM709">
            <v>0</v>
          </cell>
          <cell r="BN709">
            <v>0</v>
          </cell>
          <cell r="BO709">
            <v>0</v>
          </cell>
          <cell r="BP709">
            <v>0</v>
          </cell>
          <cell r="BQ709">
            <v>0</v>
          </cell>
          <cell r="BR709">
            <v>0</v>
          </cell>
          <cell r="BS709">
            <v>0</v>
          </cell>
          <cell r="BU709">
            <v>0</v>
          </cell>
          <cell r="BV709">
            <v>0</v>
          </cell>
          <cell r="BW709">
            <v>0</v>
          </cell>
          <cell r="BX709">
            <v>0</v>
          </cell>
          <cell r="BY709">
            <v>0</v>
          </cell>
          <cell r="BZ709">
            <v>0</v>
          </cell>
          <cell r="CA709">
            <v>0</v>
          </cell>
          <cell r="CB709">
            <v>0</v>
          </cell>
          <cell r="CC709">
            <v>0</v>
          </cell>
          <cell r="CE709">
            <v>0</v>
          </cell>
          <cell r="CF709">
            <v>0</v>
          </cell>
          <cell r="CG709">
            <v>0</v>
          </cell>
          <cell r="CH709">
            <v>0</v>
          </cell>
          <cell r="CI709">
            <v>0</v>
          </cell>
          <cell r="CJ709">
            <v>0</v>
          </cell>
          <cell r="CK709">
            <v>0</v>
          </cell>
          <cell r="CL709">
            <v>0</v>
          </cell>
          <cell r="CM709">
            <v>0</v>
          </cell>
          <cell r="CO709">
            <v>0</v>
          </cell>
          <cell r="CP709">
            <v>0</v>
          </cell>
          <cell r="CQ709">
            <v>0</v>
          </cell>
          <cell r="CR709">
            <v>0</v>
          </cell>
          <cell r="CS709">
            <v>0</v>
          </cell>
          <cell r="CT709">
            <v>0</v>
          </cell>
          <cell r="CU709">
            <v>0</v>
          </cell>
          <cell r="CV709">
            <v>0</v>
          </cell>
          <cell r="CW709">
            <v>0</v>
          </cell>
          <cell r="CY709">
            <v>0</v>
          </cell>
          <cell r="CZ709">
            <v>0</v>
          </cell>
          <cell r="DA709">
            <v>0</v>
          </cell>
          <cell r="DB709">
            <v>0</v>
          </cell>
          <cell r="DC709">
            <v>0</v>
          </cell>
          <cell r="DD709">
            <v>0</v>
          </cell>
          <cell r="DE709">
            <v>0</v>
          </cell>
          <cell r="DF709">
            <v>0</v>
          </cell>
          <cell r="DG709">
            <v>0</v>
          </cell>
          <cell r="DI709">
            <v>0</v>
          </cell>
          <cell r="DJ709">
            <v>0</v>
          </cell>
          <cell r="DK709">
            <v>0</v>
          </cell>
          <cell r="DL709">
            <v>0</v>
          </cell>
          <cell r="DM709">
            <v>0</v>
          </cell>
          <cell r="DN709">
            <v>0</v>
          </cell>
          <cell r="DO709">
            <v>0</v>
          </cell>
          <cell r="DP709">
            <v>0</v>
          </cell>
          <cell r="DQ709">
            <v>0</v>
          </cell>
          <cell r="DR709">
            <v>0</v>
          </cell>
          <cell r="DS709">
            <v>0</v>
          </cell>
          <cell r="DT709">
            <v>0</v>
          </cell>
          <cell r="DU709">
            <v>0</v>
          </cell>
          <cell r="DW709">
            <v>0</v>
          </cell>
          <cell r="DX709">
            <v>0</v>
          </cell>
          <cell r="DY709">
            <v>0</v>
          </cell>
          <cell r="DZ709">
            <v>0</v>
          </cell>
          <cell r="EA709">
            <v>0</v>
          </cell>
          <cell r="EB709">
            <v>0</v>
          </cell>
          <cell r="EC709">
            <v>0</v>
          </cell>
          <cell r="ED709">
            <v>0</v>
          </cell>
          <cell r="EE709">
            <v>0</v>
          </cell>
          <cell r="EF709">
            <v>0</v>
          </cell>
          <cell r="EG709">
            <v>0</v>
          </cell>
          <cell r="EH709">
            <v>0</v>
          </cell>
          <cell r="EI709">
            <v>0</v>
          </cell>
          <cell r="EK709">
            <v>0</v>
          </cell>
          <cell r="EL709">
            <v>0</v>
          </cell>
          <cell r="EM709">
            <v>0</v>
          </cell>
          <cell r="EN709">
            <v>0</v>
          </cell>
          <cell r="EO709">
            <v>0</v>
          </cell>
          <cell r="EP709">
            <v>0</v>
          </cell>
          <cell r="EQ709">
            <v>0</v>
          </cell>
          <cell r="ER709">
            <v>0</v>
          </cell>
          <cell r="ES709">
            <v>0</v>
          </cell>
          <cell r="ET709">
            <v>0</v>
          </cell>
          <cell r="EU709">
            <v>0</v>
          </cell>
          <cell r="EV709">
            <v>0</v>
          </cell>
          <cell r="EW709">
            <v>0</v>
          </cell>
          <cell r="EY709">
            <v>0</v>
          </cell>
          <cell r="EZ709">
            <v>8</v>
          </cell>
          <cell r="FA709">
            <v>0</v>
          </cell>
          <cell r="FB709">
            <v>0</v>
          </cell>
          <cell r="FC709">
            <v>8.6</v>
          </cell>
          <cell r="FD709">
            <v>0</v>
          </cell>
          <cell r="FE709">
            <v>0</v>
          </cell>
          <cell r="FF709">
            <v>0</v>
          </cell>
          <cell r="FH709">
            <v>0</v>
          </cell>
        </row>
        <row r="710">
          <cell r="B710">
            <v>9844</v>
          </cell>
          <cell r="C710" t="str">
            <v>17.12.2010</v>
          </cell>
          <cell r="D710" t="str">
            <v>Nikam Jayashree Anand</v>
          </cell>
          <cell r="F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G710">
            <v>0</v>
          </cell>
          <cell r="AH710">
            <v>0</v>
          </cell>
          <cell r="AI710">
            <v>0</v>
          </cell>
          <cell r="AJ710">
            <v>0</v>
          </cell>
          <cell r="AK710">
            <v>0</v>
          </cell>
          <cell r="AL710">
            <v>0</v>
          </cell>
          <cell r="AM710">
            <v>0</v>
          </cell>
          <cell r="AN710">
            <v>0</v>
          </cell>
          <cell r="AO710">
            <v>0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  <cell r="AY710">
            <v>0</v>
          </cell>
          <cell r="BA710">
            <v>0</v>
          </cell>
          <cell r="BB710">
            <v>0</v>
          </cell>
          <cell r="BC710">
            <v>0</v>
          </cell>
          <cell r="BD710">
            <v>0</v>
          </cell>
          <cell r="BE710">
            <v>0</v>
          </cell>
          <cell r="BF710">
            <v>0</v>
          </cell>
          <cell r="BG710">
            <v>0</v>
          </cell>
          <cell r="BH710">
            <v>0</v>
          </cell>
          <cell r="BI710">
            <v>0</v>
          </cell>
          <cell r="BK710">
            <v>0</v>
          </cell>
          <cell r="BL710">
            <v>0</v>
          </cell>
          <cell r="BM710">
            <v>0</v>
          </cell>
          <cell r="BN710">
            <v>0</v>
          </cell>
          <cell r="BO710">
            <v>0</v>
          </cell>
          <cell r="BP710">
            <v>0</v>
          </cell>
          <cell r="BQ710">
            <v>0</v>
          </cell>
          <cell r="BR710">
            <v>0</v>
          </cell>
          <cell r="BS710">
            <v>0</v>
          </cell>
          <cell r="BU710">
            <v>0</v>
          </cell>
          <cell r="BV710">
            <v>0</v>
          </cell>
          <cell r="BW710">
            <v>0</v>
          </cell>
          <cell r="BX710">
            <v>0</v>
          </cell>
          <cell r="BY710">
            <v>0</v>
          </cell>
          <cell r="BZ710">
            <v>0</v>
          </cell>
          <cell r="CA710">
            <v>0</v>
          </cell>
          <cell r="CB710">
            <v>0</v>
          </cell>
          <cell r="CC710">
            <v>0</v>
          </cell>
          <cell r="CE710">
            <v>0</v>
          </cell>
          <cell r="CF710">
            <v>0</v>
          </cell>
          <cell r="CG710">
            <v>0</v>
          </cell>
          <cell r="CH710">
            <v>0</v>
          </cell>
          <cell r="CI710">
            <v>0</v>
          </cell>
          <cell r="CJ710">
            <v>0</v>
          </cell>
          <cell r="CK710">
            <v>0</v>
          </cell>
          <cell r="CL710">
            <v>0</v>
          </cell>
          <cell r="CM710">
            <v>0</v>
          </cell>
          <cell r="CO710">
            <v>0</v>
          </cell>
          <cell r="CP710">
            <v>0</v>
          </cell>
          <cell r="CQ710">
            <v>0</v>
          </cell>
          <cell r="CR710">
            <v>0</v>
          </cell>
          <cell r="CS710">
            <v>0</v>
          </cell>
          <cell r="CT710">
            <v>0</v>
          </cell>
          <cell r="CU710">
            <v>0</v>
          </cell>
          <cell r="CV710">
            <v>0</v>
          </cell>
          <cell r="CW710">
            <v>0</v>
          </cell>
          <cell r="CY710">
            <v>0</v>
          </cell>
          <cell r="CZ710">
            <v>0</v>
          </cell>
          <cell r="DA710">
            <v>0</v>
          </cell>
          <cell r="DB710">
            <v>0</v>
          </cell>
          <cell r="DC710">
            <v>0</v>
          </cell>
          <cell r="DD710">
            <v>0</v>
          </cell>
          <cell r="DE710">
            <v>0</v>
          </cell>
          <cell r="DF710">
            <v>0</v>
          </cell>
          <cell r="DG710">
            <v>0</v>
          </cell>
          <cell r="DI710">
            <v>0</v>
          </cell>
          <cell r="DJ710">
            <v>0</v>
          </cell>
          <cell r="DK710">
            <v>0</v>
          </cell>
          <cell r="DL710">
            <v>0</v>
          </cell>
          <cell r="DM710">
            <v>0</v>
          </cell>
          <cell r="DN710">
            <v>0</v>
          </cell>
          <cell r="DO710">
            <v>0</v>
          </cell>
          <cell r="DP710">
            <v>0</v>
          </cell>
          <cell r="DQ710">
            <v>0</v>
          </cell>
          <cell r="DR710">
            <v>0</v>
          </cell>
          <cell r="DS710">
            <v>0</v>
          </cell>
          <cell r="DT710">
            <v>0</v>
          </cell>
          <cell r="DU710">
            <v>0</v>
          </cell>
          <cell r="DW710">
            <v>0</v>
          </cell>
          <cell r="DX710">
            <v>0</v>
          </cell>
          <cell r="DY710">
            <v>0</v>
          </cell>
          <cell r="DZ710">
            <v>0</v>
          </cell>
          <cell r="EA710">
            <v>0</v>
          </cell>
          <cell r="EB710">
            <v>0</v>
          </cell>
          <cell r="EC710">
            <v>0</v>
          </cell>
          <cell r="ED710">
            <v>0</v>
          </cell>
          <cell r="EE710">
            <v>0</v>
          </cell>
          <cell r="EF710">
            <v>0</v>
          </cell>
          <cell r="EG710">
            <v>0</v>
          </cell>
          <cell r="EH710">
            <v>0</v>
          </cell>
          <cell r="EI710">
            <v>0</v>
          </cell>
          <cell r="EK710">
            <v>0</v>
          </cell>
          <cell r="EL710">
            <v>0</v>
          </cell>
          <cell r="EM710">
            <v>0</v>
          </cell>
          <cell r="EN710">
            <v>0</v>
          </cell>
          <cell r="EO710">
            <v>0</v>
          </cell>
          <cell r="EP710">
            <v>0</v>
          </cell>
          <cell r="EQ710">
            <v>0</v>
          </cell>
          <cell r="ER710">
            <v>0</v>
          </cell>
          <cell r="ES710">
            <v>0</v>
          </cell>
          <cell r="ET710">
            <v>0</v>
          </cell>
          <cell r="EU710">
            <v>0</v>
          </cell>
          <cell r="EV710">
            <v>0</v>
          </cell>
          <cell r="EW710">
            <v>0</v>
          </cell>
          <cell r="EY710">
            <v>0</v>
          </cell>
          <cell r="EZ710">
            <v>8</v>
          </cell>
          <cell r="FA710">
            <v>0</v>
          </cell>
          <cell r="FB710">
            <v>0</v>
          </cell>
          <cell r="FC710">
            <v>8.6</v>
          </cell>
          <cell r="FD710">
            <v>0</v>
          </cell>
          <cell r="FE710">
            <v>0</v>
          </cell>
          <cell r="FF710">
            <v>0</v>
          </cell>
          <cell r="FH710">
            <v>0</v>
          </cell>
        </row>
        <row r="711">
          <cell r="B711">
            <v>10151</v>
          </cell>
          <cell r="C711" t="str">
            <v>18.12.2010</v>
          </cell>
          <cell r="D711" t="str">
            <v>Desai Sangita Santosh</v>
          </cell>
          <cell r="F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G711">
            <v>0</v>
          </cell>
          <cell r="AH711">
            <v>0</v>
          </cell>
          <cell r="AI711">
            <v>0</v>
          </cell>
          <cell r="AJ711">
            <v>0</v>
          </cell>
          <cell r="AK711">
            <v>0</v>
          </cell>
          <cell r="AL711">
            <v>0</v>
          </cell>
          <cell r="AM711">
            <v>0</v>
          </cell>
          <cell r="AN711">
            <v>0</v>
          </cell>
          <cell r="AO711">
            <v>0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  <cell r="BA711">
            <v>0</v>
          </cell>
          <cell r="BB711">
            <v>0</v>
          </cell>
          <cell r="BC711">
            <v>0</v>
          </cell>
          <cell r="BD711">
            <v>0</v>
          </cell>
          <cell r="BE711">
            <v>0</v>
          </cell>
          <cell r="BF711">
            <v>0</v>
          </cell>
          <cell r="BG711">
            <v>0</v>
          </cell>
          <cell r="BH711">
            <v>0</v>
          </cell>
          <cell r="BI711">
            <v>0</v>
          </cell>
          <cell r="BK711">
            <v>0</v>
          </cell>
          <cell r="BL711">
            <v>0</v>
          </cell>
          <cell r="BM711">
            <v>0</v>
          </cell>
          <cell r="BN711">
            <v>0</v>
          </cell>
          <cell r="BO711">
            <v>0</v>
          </cell>
          <cell r="BP711">
            <v>0</v>
          </cell>
          <cell r="BQ711">
            <v>0</v>
          </cell>
          <cell r="BR711">
            <v>0</v>
          </cell>
          <cell r="BS711">
            <v>0</v>
          </cell>
          <cell r="BU711">
            <v>0</v>
          </cell>
          <cell r="BV711">
            <v>0</v>
          </cell>
          <cell r="BW711">
            <v>0</v>
          </cell>
          <cell r="BX711">
            <v>0</v>
          </cell>
          <cell r="BY711">
            <v>0</v>
          </cell>
          <cell r="BZ711">
            <v>0</v>
          </cell>
          <cell r="CA711">
            <v>0</v>
          </cell>
          <cell r="CB711">
            <v>0</v>
          </cell>
          <cell r="CC711">
            <v>0</v>
          </cell>
          <cell r="CE711">
            <v>0</v>
          </cell>
          <cell r="CF711">
            <v>0</v>
          </cell>
          <cell r="CG711">
            <v>0</v>
          </cell>
          <cell r="CH711">
            <v>0</v>
          </cell>
          <cell r="CI711">
            <v>0</v>
          </cell>
          <cell r="CJ711">
            <v>0</v>
          </cell>
          <cell r="CK711">
            <v>0</v>
          </cell>
          <cell r="CL711">
            <v>0</v>
          </cell>
          <cell r="CM711">
            <v>0</v>
          </cell>
          <cell r="CO711">
            <v>0</v>
          </cell>
          <cell r="CP711">
            <v>0</v>
          </cell>
          <cell r="CQ711">
            <v>0</v>
          </cell>
          <cell r="CR711">
            <v>0</v>
          </cell>
          <cell r="CS711">
            <v>0</v>
          </cell>
          <cell r="CT711">
            <v>0</v>
          </cell>
          <cell r="CU711">
            <v>0</v>
          </cell>
          <cell r="CV711">
            <v>0</v>
          </cell>
          <cell r="CW711">
            <v>0</v>
          </cell>
          <cell r="CY711">
            <v>0</v>
          </cell>
          <cell r="CZ711">
            <v>0</v>
          </cell>
          <cell r="DA711">
            <v>0</v>
          </cell>
          <cell r="DB711">
            <v>0</v>
          </cell>
          <cell r="DC711">
            <v>0</v>
          </cell>
          <cell r="DD711">
            <v>0</v>
          </cell>
          <cell r="DE711">
            <v>0</v>
          </cell>
          <cell r="DF711">
            <v>0</v>
          </cell>
          <cell r="DG711">
            <v>0</v>
          </cell>
          <cell r="DI711">
            <v>0</v>
          </cell>
          <cell r="DJ711">
            <v>0</v>
          </cell>
          <cell r="DK711">
            <v>0</v>
          </cell>
          <cell r="DL711">
            <v>0</v>
          </cell>
          <cell r="DM711">
            <v>0</v>
          </cell>
          <cell r="DN711">
            <v>0</v>
          </cell>
          <cell r="DO711">
            <v>0</v>
          </cell>
          <cell r="DP711">
            <v>0</v>
          </cell>
          <cell r="DQ711">
            <v>0</v>
          </cell>
          <cell r="DR711">
            <v>0</v>
          </cell>
          <cell r="DS711">
            <v>0</v>
          </cell>
          <cell r="DT711">
            <v>0</v>
          </cell>
          <cell r="DU711">
            <v>0</v>
          </cell>
          <cell r="DW711">
            <v>0</v>
          </cell>
          <cell r="DX711">
            <v>0</v>
          </cell>
          <cell r="DY711">
            <v>0</v>
          </cell>
          <cell r="DZ711">
            <v>0</v>
          </cell>
          <cell r="EA711">
            <v>0</v>
          </cell>
          <cell r="EB711">
            <v>0</v>
          </cell>
          <cell r="EC711">
            <v>0</v>
          </cell>
          <cell r="ED711">
            <v>0</v>
          </cell>
          <cell r="EE711">
            <v>0</v>
          </cell>
          <cell r="EF711">
            <v>0</v>
          </cell>
          <cell r="EG711">
            <v>0</v>
          </cell>
          <cell r="EH711">
            <v>0</v>
          </cell>
          <cell r="EI711">
            <v>0</v>
          </cell>
          <cell r="EK711">
            <v>0</v>
          </cell>
          <cell r="EL711">
            <v>0</v>
          </cell>
          <cell r="EM711">
            <v>0</v>
          </cell>
          <cell r="EN711">
            <v>0</v>
          </cell>
          <cell r="EO711">
            <v>0</v>
          </cell>
          <cell r="EP711">
            <v>0</v>
          </cell>
          <cell r="EQ711">
            <v>0</v>
          </cell>
          <cell r="ER711">
            <v>0</v>
          </cell>
          <cell r="ES711">
            <v>0</v>
          </cell>
          <cell r="ET711">
            <v>0</v>
          </cell>
          <cell r="EU711">
            <v>0</v>
          </cell>
          <cell r="EV711">
            <v>0</v>
          </cell>
          <cell r="EW711">
            <v>0</v>
          </cell>
          <cell r="EY711">
            <v>0</v>
          </cell>
          <cell r="EZ711">
            <v>8</v>
          </cell>
          <cell r="FA711">
            <v>0</v>
          </cell>
          <cell r="FB711">
            <v>0</v>
          </cell>
          <cell r="FC711">
            <v>8.6</v>
          </cell>
          <cell r="FD711">
            <v>0</v>
          </cell>
          <cell r="FE711">
            <v>0</v>
          </cell>
          <cell r="FF711">
            <v>0</v>
          </cell>
          <cell r="FH711">
            <v>0</v>
          </cell>
        </row>
        <row r="712">
          <cell r="B712">
            <v>9852</v>
          </cell>
          <cell r="C712" t="str">
            <v>22.12.2010</v>
          </cell>
          <cell r="D712" t="str">
            <v>Maru Mahindra Pravin</v>
          </cell>
          <cell r="F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G712">
            <v>0</v>
          </cell>
          <cell r="AH712">
            <v>0</v>
          </cell>
          <cell r="AI712">
            <v>0</v>
          </cell>
          <cell r="AJ712">
            <v>0</v>
          </cell>
          <cell r="AK712">
            <v>0</v>
          </cell>
          <cell r="AL712">
            <v>0</v>
          </cell>
          <cell r="AM712">
            <v>0</v>
          </cell>
          <cell r="AN712">
            <v>0</v>
          </cell>
          <cell r="AO712">
            <v>0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  <cell r="AU712">
            <v>0</v>
          </cell>
          <cell r="AV712">
            <v>0</v>
          </cell>
          <cell r="AW712">
            <v>0</v>
          </cell>
          <cell r="AX712">
            <v>0</v>
          </cell>
          <cell r="AY712">
            <v>0</v>
          </cell>
          <cell r="BA712">
            <v>0</v>
          </cell>
          <cell r="BB712">
            <v>0</v>
          </cell>
          <cell r="BC712">
            <v>0</v>
          </cell>
          <cell r="BD712">
            <v>0</v>
          </cell>
          <cell r="BE712">
            <v>0</v>
          </cell>
          <cell r="BF712">
            <v>0</v>
          </cell>
          <cell r="BG712">
            <v>0</v>
          </cell>
          <cell r="BH712">
            <v>0</v>
          </cell>
          <cell r="BI712">
            <v>0</v>
          </cell>
          <cell r="BK712">
            <v>0</v>
          </cell>
          <cell r="BL712">
            <v>0</v>
          </cell>
          <cell r="BM712">
            <v>0</v>
          </cell>
          <cell r="BN712">
            <v>0</v>
          </cell>
          <cell r="BO712">
            <v>0</v>
          </cell>
          <cell r="BP712">
            <v>0</v>
          </cell>
          <cell r="BQ712">
            <v>0</v>
          </cell>
          <cell r="BR712">
            <v>0</v>
          </cell>
          <cell r="BS712">
            <v>0</v>
          </cell>
          <cell r="BU712">
            <v>0</v>
          </cell>
          <cell r="BV712">
            <v>0</v>
          </cell>
          <cell r="BW712">
            <v>0</v>
          </cell>
          <cell r="BX712">
            <v>0</v>
          </cell>
          <cell r="BY712">
            <v>0</v>
          </cell>
          <cell r="BZ712">
            <v>0</v>
          </cell>
          <cell r="CA712">
            <v>0</v>
          </cell>
          <cell r="CB712">
            <v>0</v>
          </cell>
          <cell r="CC712">
            <v>0</v>
          </cell>
          <cell r="CE712">
            <v>0</v>
          </cell>
          <cell r="CF712">
            <v>0</v>
          </cell>
          <cell r="CG712">
            <v>0</v>
          </cell>
          <cell r="CH712">
            <v>0</v>
          </cell>
          <cell r="CI712">
            <v>0</v>
          </cell>
          <cell r="CJ712">
            <v>0</v>
          </cell>
          <cell r="CK712">
            <v>0</v>
          </cell>
          <cell r="CL712">
            <v>0</v>
          </cell>
          <cell r="CM712">
            <v>0</v>
          </cell>
          <cell r="CO712">
            <v>0</v>
          </cell>
          <cell r="CP712">
            <v>0</v>
          </cell>
          <cell r="CQ712">
            <v>0</v>
          </cell>
          <cell r="CR712">
            <v>0</v>
          </cell>
          <cell r="CS712">
            <v>0</v>
          </cell>
          <cell r="CT712">
            <v>0</v>
          </cell>
          <cell r="CU712">
            <v>0</v>
          </cell>
          <cell r="CV712">
            <v>0</v>
          </cell>
          <cell r="CW712">
            <v>0</v>
          </cell>
          <cell r="CY712">
            <v>0</v>
          </cell>
          <cell r="CZ712">
            <v>0</v>
          </cell>
          <cell r="DA712">
            <v>0</v>
          </cell>
          <cell r="DB712">
            <v>0</v>
          </cell>
          <cell r="DC712">
            <v>0</v>
          </cell>
          <cell r="DD712">
            <v>0</v>
          </cell>
          <cell r="DE712">
            <v>0</v>
          </cell>
          <cell r="DF712">
            <v>0</v>
          </cell>
          <cell r="DG712">
            <v>0</v>
          </cell>
          <cell r="DI712">
            <v>0</v>
          </cell>
          <cell r="DJ712">
            <v>0</v>
          </cell>
          <cell r="DK712">
            <v>0</v>
          </cell>
          <cell r="DL712">
            <v>0</v>
          </cell>
          <cell r="DM712">
            <v>0</v>
          </cell>
          <cell r="DN712">
            <v>0</v>
          </cell>
          <cell r="DO712">
            <v>0</v>
          </cell>
          <cell r="DP712">
            <v>0</v>
          </cell>
          <cell r="DQ712">
            <v>0</v>
          </cell>
          <cell r="DR712">
            <v>0</v>
          </cell>
          <cell r="DS712">
            <v>0</v>
          </cell>
          <cell r="DT712">
            <v>0</v>
          </cell>
          <cell r="DU712">
            <v>0</v>
          </cell>
          <cell r="DW712">
            <v>0</v>
          </cell>
          <cell r="DX712">
            <v>0</v>
          </cell>
          <cell r="DY712">
            <v>0</v>
          </cell>
          <cell r="DZ712">
            <v>0</v>
          </cell>
          <cell r="EA712">
            <v>0</v>
          </cell>
          <cell r="EB712">
            <v>0</v>
          </cell>
          <cell r="EC712">
            <v>0</v>
          </cell>
          <cell r="ED712">
            <v>0</v>
          </cell>
          <cell r="EE712">
            <v>0</v>
          </cell>
          <cell r="EF712">
            <v>0</v>
          </cell>
          <cell r="EG712">
            <v>0</v>
          </cell>
          <cell r="EH712">
            <v>0</v>
          </cell>
          <cell r="EI712">
            <v>0</v>
          </cell>
          <cell r="EK712">
            <v>0</v>
          </cell>
          <cell r="EL712">
            <v>0</v>
          </cell>
          <cell r="EM712">
            <v>0</v>
          </cell>
          <cell r="EN712">
            <v>0</v>
          </cell>
          <cell r="EO712">
            <v>0</v>
          </cell>
          <cell r="EP712">
            <v>0</v>
          </cell>
          <cell r="EQ712">
            <v>0</v>
          </cell>
          <cell r="ER712">
            <v>0</v>
          </cell>
          <cell r="ES712">
            <v>0</v>
          </cell>
          <cell r="ET712">
            <v>0</v>
          </cell>
          <cell r="EU712">
            <v>0</v>
          </cell>
          <cell r="EV712">
            <v>0</v>
          </cell>
          <cell r="EW712">
            <v>0</v>
          </cell>
          <cell r="EY712">
            <v>0</v>
          </cell>
          <cell r="EZ712">
            <v>8</v>
          </cell>
          <cell r="FA712">
            <v>0</v>
          </cell>
          <cell r="FB712">
            <v>0</v>
          </cell>
          <cell r="FC712">
            <v>8.6</v>
          </cell>
          <cell r="FD712">
            <v>0</v>
          </cell>
          <cell r="FE712">
            <v>0</v>
          </cell>
          <cell r="FF712">
            <v>0</v>
          </cell>
          <cell r="FH712">
            <v>0</v>
          </cell>
        </row>
        <row r="713">
          <cell r="B713">
            <v>9856</v>
          </cell>
          <cell r="C713" t="str">
            <v>22.12.2010</v>
          </cell>
          <cell r="D713" t="str">
            <v>Rupavate Yogesh Narayan</v>
          </cell>
          <cell r="F713">
            <v>0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G713">
            <v>0</v>
          </cell>
          <cell r="AH713">
            <v>0</v>
          </cell>
          <cell r="AI713">
            <v>0</v>
          </cell>
          <cell r="AJ713">
            <v>0</v>
          </cell>
          <cell r="AK713">
            <v>0</v>
          </cell>
          <cell r="AL713">
            <v>0</v>
          </cell>
          <cell r="AM713">
            <v>0</v>
          </cell>
          <cell r="AN713">
            <v>0</v>
          </cell>
          <cell r="AO713">
            <v>0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  <cell r="AU713">
            <v>0</v>
          </cell>
          <cell r="AV713">
            <v>0</v>
          </cell>
          <cell r="AW713">
            <v>0</v>
          </cell>
          <cell r="AX713">
            <v>0</v>
          </cell>
          <cell r="AY713">
            <v>0</v>
          </cell>
          <cell r="BA713">
            <v>0</v>
          </cell>
          <cell r="BB713">
            <v>0</v>
          </cell>
          <cell r="BC713">
            <v>0</v>
          </cell>
          <cell r="BD713">
            <v>0</v>
          </cell>
          <cell r="BE713">
            <v>0</v>
          </cell>
          <cell r="BF713">
            <v>0</v>
          </cell>
          <cell r="BG713">
            <v>0</v>
          </cell>
          <cell r="BH713">
            <v>0</v>
          </cell>
          <cell r="BI713">
            <v>0</v>
          </cell>
          <cell r="BK713">
            <v>0</v>
          </cell>
          <cell r="BL713">
            <v>0</v>
          </cell>
          <cell r="BM713">
            <v>0</v>
          </cell>
          <cell r="BN713">
            <v>0</v>
          </cell>
          <cell r="BO713">
            <v>0</v>
          </cell>
          <cell r="BP713">
            <v>0</v>
          </cell>
          <cell r="BQ713">
            <v>0</v>
          </cell>
          <cell r="BR713">
            <v>0</v>
          </cell>
          <cell r="BS713">
            <v>0</v>
          </cell>
          <cell r="BU713">
            <v>0</v>
          </cell>
          <cell r="BV713">
            <v>0</v>
          </cell>
          <cell r="BW713">
            <v>0</v>
          </cell>
          <cell r="BX713">
            <v>0</v>
          </cell>
          <cell r="BY713">
            <v>0</v>
          </cell>
          <cell r="BZ713">
            <v>0</v>
          </cell>
          <cell r="CA713">
            <v>0</v>
          </cell>
          <cell r="CB713">
            <v>0</v>
          </cell>
          <cell r="CC713">
            <v>0</v>
          </cell>
          <cell r="CE713">
            <v>0</v>
          </cell>
          <cell r="CF713">
            <v>0</v>
          </cell>
          <cell r="CG713">
            <v>0</v>
          </cell>
          <cell r="CH713">
            <v>0</v>
          </cell>
          <cell r="CI713">
            <v>0</v>
          </cell>
          <cell r="CJ713">
            <v>0</v>
          </cell>
          <cell r="CK713">
            <v>0</v>
          </cell>
          <cell r="CL713">
            <v>0</v>
          </cell>
          <cell r="CM713">
            <v>0</v>
          </cell>
          <cell r="CO713">
            <v>0</v>
          </cell>
          <cell r="CP713">
            <v>0</v>
          </cell>
          <cell r="CQ713">
            <v>0</v>
          </cell>
          <cell r="CR713">
            <v>0</v>
          </cell>
          <cell r="CS713">
            <v>0</v>
          </cell>
          <cell r="CT713">
            <v>0</v>
          </cell>
          <cell r="CU713">
            <v>0</v>
          </cell>
          <cell r="CV713">
            <v>0</v>
          </cell>
          <cell r="CW713">
            <v>0</v>
          </cell>
          <cell r="CY713">
            <v>0</v>
          </cell>
          <cell r="CZ713">
            <v>0</v>
          </cell>
          <cell r="DA713">
            <v>0</v>
          </cell>
          <cell r="DB713">
            <v>0</v>
          </cell>
          <cell r="DC713">
            <v>0</v>
          </cell>
          <cell r="DD713">
            <v>0</v>
          </cell>
          <cell r="DE713">
            <v>0</v>
          </cell>
          <cell r="DF713">
            <v>0</v>
          </cell>
          <cell r="DG713">
            <v>0</v>
          </cell>
          <cell r="DI713">
            <v>0</v>
          </cell>
          <cell r="DJ713">
            <v>0</v>
          </cell>
          <cell r="DK713">
            <v>0</v>
          </cell>
          <cell r="DL713">
            <v>0</v>
          </cell>
          <cell r="DM713">
            <v>0</v>
          </cell>
          <cell r="DN713">
            <v>0</v>
          </cell>
          <cell r="DO713">
            <v>0</v>
          </cell>
          <cell r="DP713">
            <v>0</v>
          </cell>
          <cell r="DQ713">
            <v>0</v>
          </cell>
          <cell r="DR713">
            <v>0</v>
          </cell>
          <cell r="DS713">
            <v>0</v>
          </cell>
          <cell r="DT713">
            <v>0</v>
          </cell>
          <cell r="DU713">
            <v>0</v>
          </cell>
          <cell r="DW713">
            <v>0</v>
          </cell>
          <cell r="DX713">
            <v>0</v>
          </cell>
          <cell r="DY713">
            <v>0</v>
          </cell>
          <cell r="DZ713">
            <v>0</v>
          </cell>
          <cell r="EA713">
            <v>0</v>
          </cell>
          <cell r="EB713">
            <v>0</v>
          </cell>
          <cell r="EC713">
            <v>0</v>
          </cell>
          <cell r="ED713">
            <v>0</v>
          </cell>
          <cell r="EE713">
            <v>0</v>
          </cell>
          <cell r="EF713">
            <v>0</v>
          </cell>
          <cell r="EG713">
            <v>0</v>
          </cell>
          <cell r="EH713">
            <v>0</v>
          </cell>
          <cell r="EI713">
            <v>0</v>
          </cell>
          <cell r="EK713">
            <v>0</v>
          </cell>
          <cell r="EL713">
            <v>0</v>
          </cell>
          <cell r="EM713">
            <v>0</v>
          </cell>
          <cell r="EN713">
            <v>0</v>
          </cell>
          <cell r="EO713">
            <v>0</v>
          </cell>
          <cell r="EP713">
            <v>0</v>
          </cell>
          <cell r="EQ713">
            <v>0</v>
          </cell>
          <cell r="ER713">
            <v>0</v>
          </cell>
          <cell r="ES713">
            <v>0</v>
          </cell>
          <cell r="ET713">
            <v>0</v>
          </cell>
          <cell r="EU713">
            <v>0</v>
          </cell>
          <cell r="EV713">
            <v>0</v>
          </cell>
          <cell r="EW713">
            <v>0</v>
          </cell>
          <cell r="EY713">
            <v>0</v>
          </cell>
          <cell r="EZ713">
            <v>8</v>
          </cell>
          <cell r="FA713">
            <v>0</v>
          </cell>
          <cell r="FB713">
            <v>0</v>
          </cell>
          <cell r="FC713">
            <v>8.6</v>
          </cell>
          <cell r="FD713">
            <v>0</v>
          </cell>
          <cell r="FE713">
            <v>0</v>
          </cell>
          <cell r="FF713">
            <v>0</v>
          </cell>
          <cell r="FH713">
            <v>0</v>
          </cell>
        </row>
        <row r="714">
          <cell r="B714">
            <v>9840</v>
          </cell>
          <cell r="C714" t="str">
            <v>23.12.2010</v>
          </cell>
          <cell r="D714" t="str">
            <v>Tejale Rakesh Dada</v>
          </cell>
          <cell r="F714">
            <v>0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0</v>
          </cell>
          <cell r="AK714">
            <v>0</v>
          </cell>
          <cell r="AL714">
            <v>0</v>
          </cell>
          <cell r="AM714">
            <v>0</v>
          </cell>
          <cell r="AN714">
            <v>0</v>
          </cell>
          <cell r="AO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0</v>
          </cell>
          <cell r="AX714">
            <v>0</v>
          </cell>
          <cell r="AY714">
            <v>0</v>
          </cell>
          <cell r="BA714">
            <v>0</v>
          </cell>
          <cell r="BB714">
            <v>0</v>
          </cell>
          <cell r="BC714">
            <v>0</v>
          </cell>
          <cell r="BD714">
            <v>0</v>
          </cell>
          <cell r="BE714">
            <v>0</v>
          </cell>
          <cell r="BF714">
            <v>0</v>
          </cell>
          <cell r="BG714">
            <v>0</v>
          </cell>
          <cell r="BH714">
            <v>0</v>
          </cell>
          <cell r="BI714">
            <v>0</v>
          </cell>
          <cell r="BK714">
            <v>0</v>
          </cell>
          <cell r="BL714">
            <v>0</v>
          </cell>
          <cell r="BM714">
            <v>0</v>
          </cell>
          <cell r="BN714">
            <v>0</v>
          </cell>
          <cell r="BO714">
            <v>0</v>
          </cell>
          <cell r="BP714">
            <v>0</v>
          </cell>
          <cell r="BQ714">
            <v>0</v>
          </cell>
          <cell r="BR714">
            <v>0</v>
          </cell>
          <cell r="BS714">
            <v>0</v>
          </cell>
          <cell r="BU714">
            <v>0</v>
          </cell>
          <cell r="BV714">
            <v>0</v>
          </cell>
          <cell r="BW714">
            <v>0</v>
          </cell>
          <cell r="BX714">
            <v>0</v>
          </cell>
          <cell r="BY714">
            <v>0</v>
          </cell>
          <cell r="BZ714">
            <v>0</v>
          </cell>
          <cell r="CA714">
            <v>0</v>
          </cell>
          <cell r="CB714">
            <v>0</v>
          </cell>
          <cell r="CC714">
            <v>0</v>
          </cell>
          <cell r="CE714">
            <v>0</v>
          </cell>
          <cell r="CF714">
            <v>0</v>
          </cell>
          <cell r="CG714">
            <v>0</v>
          </cell>
          <cell r="CH714">
            <v>0</v>
          </cell>
          <cell r="CI714">
            <v>0</v>
          </cell>
          <cell r="CJ714">
            <v>0</v>
          </cell>
          <cell r="CK714">
            <v>0</v>
          </cell>
          <cell r="CL714">
            <v>0</v>
          </cell>
          <cell r="CM714">
            <v>0</v>
          </cell>
          <cell r="CO714">
            <v>0</v>
          </cell>
          <cell r="CP714">
            <v>0</v>
          </cell>
          <cell r="CQ714">
            <v>0</v>
          </cell>
          <cell r="CR714">
            <v>0</v>
          </cell>
          <cell r="CS714">
            <v>0</v>
          </cell>
          <cell r="CT714">
            <v>0</v>
          </cell>
          <cell r="CU714">
            <v>0</v>
          </cell>
          <cell r="CV714">
            <v>0</v>
          </cell>
          <cell r="CW714">
            <v>0</v>
          </cell>
          <cell r="CY714">
            <v>0</v>
          </cell>
          <cell r="CZ714">
            <v>0</v>
          </cell>
          <cell r="DA714">
            <v>0</v>
          </cell>
          <cell r="DB714">
            <v>0</v>
          </cell>
          <cell r="DC714">
            <v>0</v>
          </cell>
          <cell r="DD714">
            <v>0</v>
          </cell>
          <cell r="DE714">
            <v>0</v>
          </cell>
          <cell r="DF714">
            <v>0</v>
          </cell>
          <cell r="DG714">
            <v>0</v>
          </cell>
          <cell r="DI714">
            <v>0</v>
          </cell>
          <cell r="DJ714">
            <v>0</v>
          </cell>
          <cell r="DK714">
            <v>0</v>
          </cell>
          <cell r="DL714">
            <v>0</v>
          </cell>
          <cell r="DM714">
            <v>0</v>
          </cell>
          <cell r="DN714">
            <v>0</v>
          </cell>
          <cell r="DO714">
            <v>0</v>
          </cell>
          <cell r="DP714">
            <v>0</v>
          </cell>
          <cell r="DQ714">
            <v>0</v>
          </cell>
          <cell r="DR714">
            <v>0</v>
          </cell>
          <cell r="DS714">
            <v>0</v>
          </cell>
          <cell r="DT714">
            <v>0</v>
          </cell>
          <cell r="DU714">
            <v>0</v>
          </cell>
          <cell r="DW714">
            <v>0</v>
          </cell>
          <cell r="DX714">
            <v>0</v>
          </cell>
          <cell r="DY714">
            <v>0</v>
          </cell>
          <cell r="DZ714">
            <v>0</v>
          </cell>
          <cell r="EA714">
            <v>0</v>
          </cell>
          <cell r="EB714">
            <v>0</v>
          </cell>
          <cell r="EC714">
            <v>0</v>
          </cell>
          <cell r="ED714">
            <v>0</v>
          </cell>
          <cell r="EE714">
            <v>0</v>
          </cell>
          <cell r="EF714">
            <v>0</v>
          </cell>
          <cell r="EG714">
            <v>0</v>
          </cell>
          <cell r="EH714">
            <v>0</v>
          </cell>
          <cell r="EI714">
            <v>0</v>
          </cell>
          <cell r="EK714">
            <v>0</v>
          </cell>
          <cell r="EL714">
            <v>0</v>
          </cell>
          <cell r="EM714">
            <v>0</v>
          </cell>
          <cell r="EN714">
            <v>0</v>
          </cell>
          <cell r="EO714">
            <v>0</v>
          </cell>
          <cell r="EP714">
            <v>0</v>
          </cell>
          <cell r="EQ714">
            <v>0</v>
          </cell>
          <cell r="ER714">
            <v>0</v>
          </cell>
          <cell r="ES714">
            <v>0</v>
          </cell>
          <cell r="ET714">
            <v>0</v>
          </cell>
          <cell r="EU714">
            <v>0</v>
          </cell>
          <cell r="EV714">
            <v>0</v>
          </cell>
          <cell r="EW714">
            <v>0</v>
          </cell>
          <cell r="EY714">
            <v>0</v>
          </cell>
          <cell r="EZ714">
            <v>8</v>
          </cell>
          <cell r="FA714">
            <v>0</v>
          </cell>
          <cell r="FB714">
            <v>0</v>
          </cell>
          <cell r="FC714">
            <v>8.6</v>
          </cell>
          <cell r="FD714">
            <v>0</v>
          </cell>
          <cell r="FE714">
            <v>0</v>
          </cell>
          <cell r="FF714">
            <v>0</v>
          </cell>
          <cell r="FH714">
            <v>0</v>
          </cell>
        </row>
        <row r="715">
          <cell r="B715">
            <v>10130</v>
          </cell>
          <cell r="C715" t="str">
            <v>28.12.2010</v>
          </cell>
          <cell r="D715" t="str">
            <v>Bendkoli Kishor Namdeo</v>
          </cell>
          <cell r="F715">
            <v>0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0</v>
          </cell>
          <cell r="AD715">
            <v>0</v>
          </cell>
          <cell r="AE715">
            <v>0</v>
          </cell>
          <cell r="AG715">
            <v>0</v>
          </cell>
          <cell r="AH715">
            <v>0</v>
          </cell>
          <cell r="AI715">
            <v>0</v>
          </cell>
          <cell r="AJ715">
            <v>0</v>
          </cell>
          <cell r="AK715">
            <v>0</v>
          </cell>
          <cell r="AL715">
            <v>0</v>
          </cell>
          <cell r="AM715">
            <v>0</v>
          </cell>
          <cell r="AN715">
            <v>0</v>
          </cell>
          <cell r="AO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0</v>
          </cell>
          <cell r="AX715">
            <v>0</v>
          </cell>
          <cell r="AY715">
            <v>0</v>
          </cell>
          <cell r="BA715">
            <v>0</v>
          </cell>
          <cell r="BB715">
            <v>0</v>
          </cell>
          <cell r="BC715">
            <v>0</v>
          </cell>
          <cell r="BD715">
            <v>0</v>
          </cell>
          <cell r="BE715">
            <v>0</v>
          </cell>
          <cell r="BF715">
            <v>0</v>
          </cell>
          <cell r="BG715">
            <v>0</v>
          </cell>
          <cell r="BH715">
            <v>0</v>
          </cell>
          <cell r="BI715">
            <v>0</v>
          </cell>
          <cell r="BK715">
            <v>0</v>
          </cell>
          <cell r="BL715">
            <v>0</v>
          </cell>
          <cell r="BM715">
            <v>0</v>
          </cell>
          <cell r="BN715">
            <v>0</v>
          </cell>
          <cell r="BO715">
            <v>0</v>
          </cell>
          <cell r="BP715">
            <v>0</v>
          </cell>
          <cell r="BQ715">
            <v>0</v>
          </cell>
          <cell r="BR715">
            <v>0</v>
          </cell>
          <cell r="BS715">
            <v>0</v>
          </cell>
          <cell r="BU715">
            <v>0</v>
          </cell>
          <cell r="BV715">
            <v>0</v>
          </cell>
          <cell r="BW715">
            <v>0</v>
          </cell>
          <cell r="BX715">
            <v>0</v>
          </cell>
          <cell r="BY715">
            <v>0</v>
          </cell>
          <cell r="BZ715">
            <v>0</v>
          </cell>
          <cell r="CA715">
            <v>0</v>
          </cell>
          <cell r="CB715">
            <v>0</v>
          </cell>
          <cell r="CC715">
            <v>0</v>
          </cell>
          <cell r="CE715">
            <v>0</v>
          </cell>
          <cell r="CF715">
            <v>0</v>
          </cell>
          <cell r="CG715">
            <v>0</v>
          </cell>
          <cell r="CH715">
            <v>0</v>
          </cell>
          <cell r="CI715">
            <v>0</v>
          </cell>
          <cell r="CJ715">
            <v>0</v>
          </cell>
          <cell r="CK715">
            <v>0</v>
          </cell>
          <cell r="CL715">
            <v>0</v>
          </cell>
          <cell r="CM715">
            <v>0</v>
          </cell>
          <cell r="CO715">
            <v>0</v>
          </cell>
          <cell r="CP715">
            <v>0</v>
          </cell>
          <cell r="CQ715">
            <v>0</v>
          </cell>
          <cell r="CR715">
            <v>0</v>
          </cell>
          <cell r="CS715">
            <v>0</v>
          </cell>
          <cell r="CT715">
            <v>0</v>
          </cell>
          <cell r="CU715">
            <v>0</v>
          </cell>
          <cell r="CV715">
            <v>0</v>
          </cell>
          <cell r="CW715">
            <v>0</v>
          </cell>
          <cell r="CY715">
            <v>0</v>
          </cell>
          <cell r="CZ715">
            <v>0</v>
          </cell>
          <cell r="DA715">
            <v>0</v>
          </cell>
          <cell r="DB715">
            <v>0</v>
          </cell>
          <cell r="DC715">
            <v>0</v>
          </cell>
          <cell r="DD715">
            <v>0</v>
          </cell>
          <cell r="DE715">
            <v>0</v>
          </cell>
          <cell r="DF715">
            <v>0</v>
          </cell>
          <cell r="DG715">
            <v>0</v>
          </cell>
          <cell r="DI715">
            <v>0</v>
          </cell>
          <cell r="DJ715">
            <v>0</v>
          </cell>
          <cell r="DK715">
            <v>0</v>
          </cell>
          <cell r="DL715">
            <v>0</v>
          </cell>
          <cell r="DM715">
            <v>0</v>
          </cell>
          <cell r="DN715">
            <v>0</v>
          </cell>
          <cell r="DO715">
            <v>0</v>
          </cell>
          <cell r="DP715">
            <v>0</v>
          </cell>
          <cell r="DQ715">
            <v>0</v>
          </cell>
          <cell r="DR715">
            <v>0</v>
          </cell>
          <cell r="DS715">
            <v>0</v>
          </cell>
          <cell r="DT715">
            <v>0</v>
          </cell>
          <cell r="DU715">
            <v>0</v>
          </cell>
          <cell r="DW715">
            <v>0</v>
          </cell>
          <cell r="DX715">
            <v>0</v>
          </cell>
          <cell r="DY715">
            <v>0</v>
          </cell>
          <cell r="DZ715">
            <v>0</v>
          </cell>
          <cell r="EA715">
            <v>0</v>
          </cell>
          <cell r="EB715">
            <v>0</v>
          </cell>
          <cell r="EC715">
            <v>0</v>
          </cell>
          <cell r="ED715">
            <v>0</v>
          </cell>
          <cell r="EE715">
            <v>0</v>
          </cell>
          <cell r="EF715">
            <v>0</v>
          </cell>
          <cell r="EG715">
            <v>0</v>
          </cell>
          <cell r="EH715">
            <v>0</v>
          </cell>
          <cell r="EI715">
            <v>0</v>
          </cell>
          <cell r="EK715">
            <v>0</v>
          </cell>
          <cell r="EL715">
            <v>0</v>
          </cell>
          <cell r="EM715">
            <v>0</v>
          </cell>
          <cell r="EN715">
            <v>0</v>
          </cell>
          <cell r="EO715">
            <v>0</v>
          </cell>
          <cell r="EP715">
            <v>0</v>
          </cell>
          <cell r="EQ715">
            <v>0</v>
          </cell>
          <cell r="ER715">
            <v>0</v>
          </cell>
          <cell r="ES715">
            <v>0</v>
          </cell>
          <cell r="ET715">
            <v>0</v>
          </cell>
          <cell r="EU715">
            <v>0</v>
          </cell>
          <cell r="EV715">
            <v>0</v>
          </cell>
          <cell r="EW715">
            <v>0</v>
          </cell>
          <cell r="EY715">
            <v>0</v>
          </cell>
          <cell r="EZ715">
            <v>8</v>
          </cell>
          <cell r="FA715">
            <v>0</v>
          </cell>
          <cell r="FB715">
            <v>0</v>
          </cell>
          <cell r="FC715">
            <v>8.6</v>
          </cell>
          <cell r="FD715">
            <v>0</v>
          </cell>
          <cell r="FE715">
            <v>0</v>
          </cell>
          <cell r="FF715">
            <v>0</v>
          </cell>
          <cell r="FH715">
            <v>0</v>
          </cell>
        </row>
        <row r="716">
          <cell r="B716">
            <v>9906</v>
          </cell>
          <cell r="C716" t="str">
            <v>10.01.2011</v>
          </cell>
          <cell r="D716" t="str">
            <v>Kalyani Satish R</v>
          </cell>
          <cell r="F716">
            <v>0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W716">
            <v>0</v>
          </cell>
          <cell r="X716">
            <v>0</v>
          </cell>
          <cell r="Y716">
            <v>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0</v>
          </cell>
          <cell r="AK716">
            <v>0</v>
          </cell>
          <cell r="AL716">
            <v>0</v>
          </cell>
          <cell r="AM716">
            <v>0</v>
          </cell>
          <cell r="AN716">
            <v>0</v>
          </cell>
          <cell r="AO716">
            <v>0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0</v>
          </cell>
          <cell r="AX716">
            <v>0</v>
          </cell>
          <cell r="AY716">
            <v>0</v>
          </cell>
          <cell r="BA716">
            <v>0</v>
          </cell>
          <cell r="BB716">
            <v>0</v>
          </cell>
          <cell r="BC716">
            <v>0</v>
          </cell>
          <cell r="BD716">
            <v>0</v>
          </cell>
          <cell r="BE716">
            <v>0</v>
          </cell>
          <cell r="BF716">
            <v>0</v>
          </cell>
          <cell r="BG716">
            <v>0</v>
          </cell>
          <cell r="BH716">
            <v>0</v>
          </cell>
          <cell r="BI716">
            <v>0</v>
          </cell>
          <cell r="BK716">
            <v>0</v>
          </cell>
          <cell r="BL716">
            <v>0</v>
          </cell>
          <cell r="BM716">
            <v>0</v>
          </cell>
          <cell r="BN716">
            <v>0</v>
          </cell>
          <cell r="BO716">
            <v>0</v>
          </cell>
          <cell r="BP716">
            <v>0</v>
          </cell>
          <cell r="BQ716">
            <v>0</v>
          </cell>
          <cell r="BR716">
            <v>0</v>
          </cell>
          <cell r="BS716">
            <v>0</v>
          </cell>
          <cell r="BU716">
            <v>0</v>
          </cell>
          <cell r="BV716">
            <v>0</v>
          </cell>
          <cell r="BW716">
            <v>0</v>
          </cell>
          <cell r="BX716">
            <v>0</v>
          </cell>
          <cell r="BY716">
            <v>0</v>
          </cell>
          <cell r="BZ716">
            <v>0</v>
          </cell>
          <cell r="CA716">
            <v>0</v>
          </cell>
          <cell r="CB716">
            <v>0</v>
          </cell>
          <cell r="CC716">
            <v>0</v>
          </cell>
          <cell r="CE716">
            <v>0</v>
          </cell>
          <cell r="CF716">
            <v>0</v>
          </cell>
          <cell r="CG716">
            <v>0</v>
          </cell>
          <cell r="CH716">
            <v>0</v>
          </cell>
          <cell r="CI716">
            <v>0</v>
          </cell>
          <cell r="CJ716">
            <v>0</v>
          </cell>
          <cell r="CK716">
            <v>0</v>
          </cell>
          <cell r="CL716">
            <v>0</v>
          </cell>
          <cell r="CM716">
            <v>0</v>
          </cell>
          <cell r="CO716">
            <v>0</v>
          </cell>
          <cell r="CP716">
            <v>0</v>
          </cell>
          <cell r="CQ716">
            <v>0</v>
          </cell>
          <cell r="CR716">
            <v>0</v>
          </cell>
          <cell r="CS716">
            <v>0</v>
          </cell>
          <cell r="CT716">
            <v>0</v>
          </cell>
          <cell r="CU716">
            <v>0</v>
          </cell>
          <cell r="CV716">
            <v>0</v>
          </cell>
          <cell r="CW716">
            <v>0</v>
          </cell>
          <cell r="CY716">
            <v>0</v>
          </cell>
          <cell r="CZ716">
            <v>0</v>
          </cell>
          <cell r="DA716">
            <v>0</v>
          </cell>
          <cell r="DB716">
            <v>0</v>
          </cell>
          <cell r="DC716">
            <v>0</v>
          </cell>
          <cell r="DD716">
            <v>0</v>
          </cell>
          <cell r="DE716">
            <v>0</v>
          </cell>
          <cell r="DF716">
            <v>0</v>
          </cell>
          <cell r="DG716">
            <v>0</v>
          </cell>
          <cell r="DI716">
            <v>0</v>
          </cell>
          <cell r="DJ716">
            <v>0</v>
          </cell>
          <cell r="DK716">
            <v>0</v>
          </cell>
          <cell r="DL716">
            <v>0</v>
          </cell>
          <cell r="DM716">
            <v>0</v>
          </cell>
          <cell r="DN716">
            <v>0</v>
          </cell>
          <cell r="DO716">
            <v>0</v>
          </cell>
          <cell r="DP716">
            <v>0</v>
          </cell>
          <cell r="DQ716">
            <v>0</v>
          </cell>
          <cell r="DR716">
            <v>0</v>
          </cell>
          <cell r="DS716">
            <v>0</v>
          </cell>
          <cell r="DT716">
            <v>0</v>
          </cell>
          <cell r="DU716">
            <v>0</v>
          </cell>
          <cell r="DW716">
            <v>0</v>
          </cell>
          <cell r="DX716">
            <v>0</v>
          </cell>
          <cell r="DY716">
            <v>0</v>
          </cell>
          <cell r="DZ716">
            <v>0</v>
          </cell>
          <cell r="EA716">
            <v>0</v>
          </cell>
          <cell r="EB716">
            <v>0</v>
          </cell>
          <cell r="EC716">
            <v>0</v>
          </cell>
          <cell r="ED716">
            <v>0</v>
          </cell>
          <cell r="EE716">
            <v>0</v>
          </cell>
          <cell r="EF716">
            <v>0</v>
          </cell>
          <cell r="EG716">
            <v>0</v>
          </cell>
          <cell r="EH716">
            <v>0</v>
          </cell>
          <cell r="EI716">
            <v>0</v>
          </cell>
          <cell r="EK716">
            <v>0</v>
          </cell>
          <cell r="EL716">
            <v>0</v>
          </cell>
          <cell r="EM716">
            <v>0</v>
          </cell>
          <cell r="EN716">
            <v>0</v>
          </cell>
          <cell r="EO716">
            <v>0</v>
          </cell>
          <cell r="EP716">
            <v>0</v>
          </cell>
          <cell r="EQ716">
            <v>0</v>
          </cell>
          <cell r="ER716">
            <v>0</v>
          </cell>
          <cell r="ES716">
            <v>0</v>
          </cell>
          <cell r="ET716">
            <v>0</v>
          </cell>
          <cell r="EU716">
            <v>0</v>
          </cell>
          <cell r="EV716">
            <v>0</v>
          </cell>
          <cell r="EW716">
            <v>0</v>
          </cell>
          <cell r="EY716">
            <v>0</v>
          </cell>
          <cell r="EZ716">
            <v>8</v>
          </cell>
          <cell r="FA716">
            <v>0</v>
          </cell>
          <cell r="FB716">
            <v>0</v>
          </cell>
          <cell r="FC716">
            <v>8.6</v>
          </cell>
          <cell r="FD716">
            <v>0</v>
          </cell>
          <cell r="FE716">
            <v>0</v>
          </cell>
          <cell r="FF716">
            <v>0</v>
          </cell>
          <cell r="FH716">
            <v>0</v>
          </cell>
        </row>
        <row r="717">
          <cell r="B717">
            <v>9854</v>
          </cell>
          <cell r="C717" t="str">
            <v>14.01.2011</v>
          </cell>
          <cell r="D717" t="str">
            <v>Jedgule Vasant Punja</v>
          </cell>
          <cell r="F717">
            <v>0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G717">
            <v>0</v>
          </cell>
          <cell r="AH717">
            <v>0</v>
          </cell>
          <cell r="AI717">
            <v>0</v>
          </cell>
          <cell r="AJ717">
            <v>0</v>
          </cell>
          <cell r="AK717">
            <v>0</v>
          </cell>
          <cell r="AL717">
            <v>0</v>
          </cell>
          <cell r="AM717">
            <v>0</v>
          </cell>
          <cell r="AN717">
            <v>0</v>
          </cell>
          <cell r="AO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0</v>
          </cell>
          <cell r="AV717">
            <v>0</v>
          </cell>
          <cell r="AW717">
            <v>0</v>
          </cell>
          <cell r="AX717">
            <v>0</v>
          </cell>
          <cell r="AY717">
            <v>0</v>
          </cell>
          <cell r="BA717">
            <v>0</v>
          </cell>
          <cell r="BB717">
            <v>0</v>
          </cell>
          <cell r="BC717">
            <v>0</v>
          </cell>
          <cell r="BD717">
            <v>0</v>
          </cell>
          <cell r="BE717">
            <v>0</v>
          </cell>
          <cell r="BF717">
            <v>0</v>
          </cell>
          <cell r="BG717">
            <v>0</v>
          </cell>
          <cell r="BH717">
            <v>0</v>
          </cell>
          <cell r="BI717">
            <v>0</v>
          </cell>
          <cell r="BK717">
            <v>0</v>
          </cell>
          <cell r="BL717">
            <v>0</v>
          </cell>
          <cell r="BM717">
            <v>0</v>
          </cell>
          <cell r="BN717">
            <v>0</v>
          </cell>
          <cell r="BO717">
            <v>0</v>
          </cell>
          <cell r="BP717">
            <v>0</v>
          </cell>
          <cell r="BQ717">
            <v>0</v>
          </cell>
          <cell r="BR717">
            <v>0</v>
          </cell>
          <cell r="BS717">
            <v>0</v>
          </cell>
          <cell r="BU717">
            <v>0</v>
          </cell>
          <cell r="BV717">
            <v>0</v>
          </cell>
          <cell r="BW717">
            <v>0</v>
          </cell>
          <cell r="BX717">
            <v>0</v>
          </cell>
          <cell r="BY717">
            <v>0</v>
          </cell>
          <cell r="BZ717">
            <v>0</v>
          </cell>
          <cell r="CA717">
            <v>0</v>
          </cell>
          <cell r="CB717">
            <v>0</v>
          </cell>
          <cell r="CC717">
            <v>0</v>
          </cell>
          <cell r="CE717">
            <v>0</v>
          </cell>
          <cell r="CF717">
            <v>0</v>
          </cell>
          <cell r="CG717">
            <v>0</v>
          </cell>
          <cell r="CH717">
            <v>0</v>
          </cell>
          <cell r="CI717">
            <v>0</v>
          </cell>
          <cell r="CJ717">
            <v>0</v>
          </cell>
          <cell r="CK717">
            <v>0</v>
          </cell>
          <cell r="CL717">
            <v>0</v>
          </cell>
          <cell r="CM717">
            <v>0</v>
          </cell>
          <cell r="CO717">
            <v>0</v>
          </cell>
          <cell r="CP717">
            <v>0</v>
          </cell>
          <cell r="CQ717">
            <v>0</v>
          </cell>
          <cell r="CR717">
            <v>0</v>
          </cell>
          <cell r="CS717">
            <v>0</v>
          </cell>
          <cell r="CT717">
            <v>0</v>
          </cell>
          <cell r="CU717">
            <v>0</v>
          </cell>
          <cell r="CV717">
            <v>0</v>
          </cell>
          <cell r="CW717">
            <v>0</v>
          </cell>
          <cell r="CY717">
            <v>0</v>
          </cell>
          <cell r="CZ717">
            <v>0</v>
          </cell>
          <cell r="DA717">
            <v>0</v>
          </cell>
          <cell r="DB717">
            <v>0</v>
          </cell>
          <cell r="DC717">
            <v>0</v>
          </cell>
          <cell r="DD717">
            <v>0</v>
          </cell>
          <cell r="DE717">
            <v>0</v>
          </cell>
          <cell r="DF717">
            <v>0</v>
          </cell>
          <cell r="DG717">
            <v>0</v>
          </cell>
          <cell r="DI717">
            <v>0</v>
          </cell>
          <cell r="DJ717">
            <v>0</v>
          </cell>
          <cell r="DK717">
            <v>0</v>
          </cell>
          <cell r="DL717">
            <v>0</v>
          </cell>
          <cell r="DM717">
            <v>0</v>
          </cell>
          <cell r="DN717">
            <v>0</v>
          </cell>
          <cell r="DO717">
            <v>0</v>
          </cell>
          <cell r="DP717">
            <v>0</v>
          </cell>
          <cell r="DQ717">
            <v>0</v>
          </cell>
          <cell r="DR717">
            <v>0</v>
          </cell>
          <cell r="DS717">
            <v>0</v>
          </cell>
          <cell r="DT717">
            <v>0</v>
          </cell>
          <cell r="DU717">
            <v>0</v>
          </cell>
          <cell r="DW717">
            <v>0</v>
          </cell>
          <cell r="DX717">
            <v>0</v>
          </cell>
          <cell r="DY717">
            <v>0</v>
          </cell>
          <cell r="DZ717">
            <v>0</v>
          </cell>
          <cell r="EA717">
            <v>0</v>
          </cell>
          <cell r="EB717">
            <v>0</v>
          </cell>
          <cell r="EC717">
            <v>0</v>
          </cell>
          <cell r="ED717">
            <v>0</v>
          </cell>
          <cell r="EE717">
            <v>0</v>
          </cell>
          <cell r="EF717">
            <v>0</v>
          </cell>
          <cell r="EG717">
            <v>0</v>
          </cell>
          <cell r="EH717">
            <v>0</v>
          </cell>
          <cell r="EI717">
            <v>0</v>
          </cell>
          <cell r="EK717">
            <v>0</v>
          </cell>
          <cell r="EL717">
            <v>0</v>
          </cell>
          <cell r="EM717">
            <v>0</v>
          </cell>
          <cell r="EN717">
            <v>0</v>
          </cell>
          <cell r="EO717">
            <v>0</v>
          </cell>
          <cell r="EP717">
            <v>0</v>
          </cell>
          <cell r="EQ717">
            <v>0</v>
          </cell>
          <cell r="ER717">
            <v>0</v>
          </cell>
          <cell r="ES717">
            <v>0</v>
          </cell>
          <cell r="ET717">
            <v>0</v>
          </cell>
          <cell r="EU717">
            <v>0</v>
          </cell>
          <cell r="EV717">
            <v>0</v>
          </cell>
          <cell r="EW717">
            <v>0</v>
          </cell>
          <cell r="EY717">
            <v>0</v>
          </cell>
          <cell r="EZ717">
            <v>8</v>
          </cell>
          <cell r="FA717">
            <v>0</v>
          </cell>
          <cell r="FB717">
            <v>0</v>
          </cell>
          <cell r="FC717">
            <v>8.6</v>
          </cell>
          <cell r="FD717">
            <v>0</v>
          </cell>
          <cell r="FE717">
            <v>0</v>
          </cell>
          <cell r="FF717">
            <v>0</v>
          </cell>
          <cell r="FH717">
            <v>0</v>
          </cell>
        </row>
        <row r="718">
          <cell r="B718">
            <v>9637</v>
          </cell>
          <cell r="C718" t="str">
            <v>11.02.2011</v>
          </cell>
          <cell r="D718" t="str">
            <v>Charhate Mayur Milind</v>
          </cell>
          <cell r="F718">
            <v>0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W718">
            <v>0</v>
          </cell>
          <cell r="X718">
            <v>0</v>
          </cell>
          <cell r="Y718">
            <v>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G718">
            <v>0</v>
          </cell>
          <cell r="AH718">
            <v>0</v>
          </cell>
          <cell r="AI718">
            <v>0</v>
          </cell>
          <cell r="AJ718">
            <v>0</v>
          </cell>
          <cell r="AK718">
            <v>0</v>
          </cell>
          <cell r="AL718">
            <v>0</v>
          </cell>
          <cell r="AM718">
            <v>0</v>
          </cell>
          <cell r="AN718">
            <v>0</v>
          </cell>
          <cell r="AO718">
            <v>0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  <cell r="AU718">
            <v>0</v>
          </cell>
          <cell r="AV718">
            <v>0</v>
          </cell>
          <cell r="AW718">
            <v>0</v>
          </cell>
          <cell r="AX718">
            <v>0</v>
          </cell>
          <cell r="AY718">
            <v>0</v>
          </cell>
          <cell r="BA718">
            <v>0</v>
          </cell>
          <cell r="BB718">
            <v>0</v>
          </cell>
          <cell r="BC718">
            <v>0</v>
          </cell>
          <cell r="BD718">
            <v>0</v>
          </cell>
          <cell r="BE718">
            <v>0</v>
          </cell>
          <cell r="BF718">
            <v>0</v>
          </cell>
          <cell r="BG718">
            <v>0</v>
          </cell>
          <cell r="BH718">
            <v>0</v>
          </cell>
          <cell r="BI718">
            <v>0</v>
          </cell>
          <cell r="BK718">
            <v>0</v>
          </cell>
          <cell r="BL718">
            <v>0</v>
          </cell>
          <cell r="BM718">
            <v>0</v>
          </cell>
          <cell r="BN718">
            <v>0</v>
          </cell>
          <cell r="BO718">
            <v>0</v>
          </cell>
          <cell r="BP718">
            <v>0</v>
          </cell>
          <cell r="BQ718">
            <v>0</v>
          </cell>
          <cell r="BR718">
            <v>0</v>
          </cell>
          <cell r="BS718">
            <v>0</v>
          </cell>
          <cell r="BU718">
            <v>0</v>
          </cell>
          <cell r="BV718">
            <v>0</v>
          </cell>
          <cell r="BW718">
            <v>0</v>
          </cell>
          <cell r="BX718">
            <v>0</v>
          </cell>
          <cell r="BY718">
            <v>0</v>
          </cell>
          <cell r="BZ718">
            <v>0</v>
          </cell>
          <cell r="CA718">
            <v>0</v>
          </cell>
          <cell r="CB718">
            <v>0</v>
          </cell>
          <cell r="CC718">
            <v>0</v>
          </cell>
          <cell r="CE718">
            <v>0</v>
          </cell>
          <cell r="CF718">
            <v>0</v>
          </cell>
          <cell r="CG718">
            <v>0</v>
          </cell>
          <cell r="CH718">
            <v>0</v>
          </cell>
          <cell r="CI718">
            <v>0</v>
          </cell>
          <cell r="CJ718">
            <v>0</v>
          </cell>
          <cell r="CK718">
            <v>0</v>
          </cell>
          <cell r="CL718">
            <v>0</v>
          </cell>
          <cell r="CM718">
            <v>0</v>
          </cell>
          <cell r="CO718">
            <v>0</v>
          </cell>
          <cell r="CP718">
            <v>0</v>
          </cell>
          <cell r="CQ718">
            <v>0</v>
          </cell>
          <cell r="CR718">
            <v>0</v>
          </cell>
          <cell r="CS718">
            <v>0</v>
          </cell>
          <cell r="CT718">
            <v>0</v>
          </cell>
          <cell r="CU718">
            <v>0</v>
          </cell>
          <cell r="CV718">
            <v>0</v>
          </cell>
          <cell r="CW718">
            <v>0</v>
          </cell>
          <cell r="CY718">
            <v>0</v>
          </cell>
          <cell r="CZ718">
            <v>0</v>
          </cell>
          <cell r="DA718">
            <v>0</v>
          </cell>
          <cell r="DB718">
            <v>0</v>
          </cell>
          <cell r="DC718">
            <v>0</v>
          </cell>
          <cell r="DD718">
            <v>0</v>
          </cell>
          <cell r="DE718">
            <v>0</v>
          </cell>
          <cell r="DF718">
            <v>0</v>
          </cell>
          <cell r="DG718">
            <v>0</v>
          </cell>
          <cell r="DI718">
            <v>0</v>
          </cell>
          <cell r="DJ718">
            <v>0</v>
          </cell>
          <cell r="DK718">
            <v>0</v>
          </cell>
          <cell r="DL718">
            <v>0</v>
          </cell>
          <cell r="DM718">
            <v>0</v>
          </cell>
          <cell r="DN718">
            <v>0</v>
          </cell>
          <cell r="DO718">
            <v>0</v>
          </cell>
          <cell r="DP718">
            <v>0</v>
          </cell>
          <cell r="DQ718">
            <v>0</v>
          </cell>
          <cell r="DR718">
            <v>0</v>
          </cell>
          <cell r="DS718">
            <v>0</v>
          </cell>
          <cell r="DT718">
            <v>0</v>
          </cell>
          <cell r="DU718">
            <v>0</v>
          </cell>
          <cell r="DW718">
            <v>0</v>
          </cell>
          <cell r="DX718">
            <v>0</v>
          </cell>
          <cell r="DY718">
            <v>0</v>
          </cell>
          <cell r="DZ718">
            <v>0</v>
          </cell>
          <cell r="EA718">
            <v>0</v>
          </cell>
          <cell r="EB718">
            <v>0</v>
          </cell>
          <cell r="EC718">
            <v>0</v>
          </cell>
          <cell r="ED718">
            <v>0</v>
          </cell>
          <cell r="EE718">
            <v>0</v>
          </cell>
          <cell r="EF718">
            <v>0</v>
          </cell>
          <cell r="EG718">
            <v>0</v>
          </cell>
          <cell r="EH718">
            <v>0</v>
          </cell>
          <cell r="EI718">
            <v>0</v>
          </cell>
          <cell r="EK718">
            <v>0</v>
          </cell>
          <cell r="EL718">
            <v>0</v>
          </cell>
          <cell r="EM718">
            <v>0</v>
          </cell>
          <cell r="EN718">
            <v>0</v>
          </cell>
          <cell r="EO718">
            <v>0</v>
          </cell>
          <cell r="EP718">
            <v>0</v>
          </cell>
          <cell r="EQ718">
            <v>0</v>
          </cell>
          <cell r="ER718">
            <v>0</v>
          </cell>
          <cell r="ES718">
            <v>0</v>
          </cell>
          <cell r="ET718">
            <v>0</v>
          </cell>
          <cell r="EU718">
            <v>0</v>
          </cell>
          <cell r="EV718">
            <v>0</v>
          </cell>
          <cell r="EW718">
            <v>0</v>
          </cell>
          <cell r="EY718">
            <v>0</v>
          </cell>
          <cell r="EZ718">
            <v>8</v>
          </cell>
          <cell r="FA718">
            <v>0</v>
          </cell>
          <cell r="FB718">
            <v>0</v>
          </cell>
          <cell r="FC718">
            <v>8.6</v>
          </cell>
          <cell r="FD718">
            <v>0</v>
          </cell>
          <cell r="FE718">
            <v>0</v>
          </cell>
          <cell r="FF718">
            <v>0</v>
          </cell>
          <cell r="FH718">
            <v>0</v>
          </cell>
        </row>
        <row r="719">
          <cell r="B719">
            <v>9892</v>
          </cell>
          <cell r="C719" t="str">
            <v>08.03.2011</v>
          </cell>
          <cell r="D719" t="str">
            <v>Gogaliya Ritu Sanjay</v>
          </cell>
          <cell r="F719">
            <v>0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0</v>
          </cell>
          <cell r="AE719">
            <v>0</v>
          </cell>
          <cell r="AG719">
            <v>0</v>
          </cell>
          <cell r="AH719">
            <v>0</v>
          </cell>
          <cell r="AI719">
            <v>0</v>
          </cell>
          <cell r="AJ719">
            <v>0</v>
          </cell>
          <cell r="AK719">
            <v>0</v>
          </cell>
          <cell r="AL719">
            <v>0</v>
          </cell>
          <cell r="AM719">
            <v>0</v>
          </cell>
          <cell r="AN719">
            <v>0</v>
          </cell>
          <cell r="AO719">
            <v>0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  <cell r="AU719">
            <v>0</v>
          </cell>
          <cell r="AV719">
            <v>0</v>
          </cell>
          <cell r="AW719">
            <v>0</v>
          </cell>
          <cell r="AX719">
            <v>0</v>
          </cell>
          <cell r="AY719">
            <v>0</v>
          </cell>
          <cell r="BA719">
            <v>0</v>
          </cell>
          <cell r="BB719">
            <v>0</v>
          </cell>
          <cell r="BC719">
            <v>0</v>
          </cell>
          <cell r="BD719">
            <v>0</v>
          </cell>
          <cell r="BE719">
            <v>0</v>
          </cell>
          <cell r="BF719">
            <v>0</v>
          </cell>
          <cell r="BG719">
            <v>0</v>
          </cell>
          <cell r="BH719">
            <v>0</v>
          </cell>
          <cell r="BI719">
            <v>0</v>
          </cell>
          <cell r="BK719">
            <v>0</v>
          </cell>
          <cell r="BL719">
            <v>0</v>
          </cell>
          <cell r="BM719">
            <v>0</v>
          </cell>
          <cell r="BN719">
            <v>0</v>
          </cell>
          <cell r="BO719">
            <v>0</v>
          </cell>
          <cell r="BP719">
            <v>0</v>
          </cell>
          <cell r="BQ719">
            <v>0</v>
          </cell>
          <cell r="BR719">
            <v>0</v>
          </cell>
          <cell r="BS719">
            <v>0</v>
          </cell>
          <cell r="BU719">
            <v>0</v>
          </cell>
          <cell r="BV719">
            <v>0</v>
          </cell>
          <cell r="BW719">
            <v>0</v>
          </cell>
          <cell r="BX719">
            <v>0</v>
          </cell>
          <cell r="BY719">
            <v>0</v>
          </cell>
          <cell r="BZ719">
            <v>0</v>
          </cell>
          <cell r="CA719">
            <v>0</v>
          </cell>
          <cell r="CB719">
            <v>0</v>
          </cell>
          <cell r="CC719">
            <v>0</v>
          </cell>
          <cell r="CE719">
            <v>0</v>
          </cell>
          <cell r="CF719">
            <v>0</v>
          </cell>
          <cell r="CG719">
            <v>0</v>
          </cell>
          <cell r="CH719">
            <v>0</v>
          </cell>
          <cell r="CI719">
            <v>0</v>
          </cell>
          <cell r="CJ719">
            <v>0</v>
          </cell>
          <cell r="CK719">
            <v>0</v>
          </cell>
          <cell r="CL719">
            <v>0</v>
          </cell>
          <cell r="CM719">
            <v>0</v>
          </cell>
          <cell r="CO719">
            <v>0</v>
          </cell>
          <cell r="CP719">
            <v>0</v>
          </cell>
          <cell r="CQ719">
            <v>0</v>
          </cell>
          <cell r="CR719">
            <v>0</v>
          </cell>
          <cell r="CS719">
            <v>0</v>
          </cell>
          <cell r="CT719">
            <v>0</v>
          </cell>
          <cell r="CU719">
            <v>0</v>
          </cell>
          <cell r="CV719">
            <v>0</v>
          </cell>
          <cell r="CW719">
            <v>0</v>
          </cell>
          <cell r="CY719">
            <v>0</v>
          </cell>
          <cell r="CZ719">
            <v>0</v>
          </cell>
          <cell r="DA719">
            <v>0</v>
          </cell>
          <cell r="DB719">
            <v>0</v>
          </cell>
          <cell r="DC719">
            <v>0</v>
          </cell>
          <cell r="DD719">
            <v>0</v>
          </cell>
          <cell r="DE719">
            <v>0</v>
          </cell>
          <cell r="DF719">
            <v>0</v>
          </cell>
          <cell r="DG719">
            <v>0</v>
          </cell>
          <cell r="DI719">
            <v>0</v>
          </cell>
          <cell r="DJ719">
            <v>0</v>
          </cell>
          <cell r="DK719">
            <v>0</v>
          </cell>
          <cell r="DL719">
            <v>0</v>
          </cell>
          <cell r="DM719">
            <v>0</v>
          </cell>
          <cell r="DN719">
            <v>0</v>
          </cell>
          <cell r="DO719">
            <v>0</v>
          </cell>
          <cell r="DP719">
            <v>0</v>
          </cell>
          <cell r="DQ719">
            <v>0</v>
          </cell>
          <cell r="DR719">
            <v>0</v>
          </cell>
          <cell r="DS719">
            <v>0</v>
          </cell>
          <cell r="DT719">
            <v>0</v>
          </cell>
          <cell r="DU719">
            <v>0</v>
          </cell>
          <cell r="DW719">
            <v>0</v>
          </cell>
          <cell r="DX719">
            <v>0</v>
          </cell>
          <cell r="DY719">
            <v>0</v>
          </cell>
          <cell r="DZ719">
            <v>0</v>
          </cell>
          <cell r="EA719">
            <v>0</v>
          </cell>
          <cell r="EB719">
            <v>0</v>
          </cell>
          <cell r="EC719">
            <v>0</v>
          </cell>
          <cell r="ED719">
            <v>0</v>
          </cell>
          <cell r="EE719">
            <v>0</v>
          </cell>
          <cell r="EF719">
            <v>0</v>
          </cell>
          <cell r="EG719">
            <v>0</v>
          </cell>
          <cell r="EH719">
            <v>0</v>
          </cell>
          <cell r="EI719">
            <v>0</v>
          </cell>
          <cell r="EK719">
            <v>0</v>
          </cell>
          <cell r="EL719">
            <v>0</v>
          </cell>
          <cell r="EM719">
            <v>0</v>
          </cell>
          <cell r="EN719">
            <v>0</v>
          </cell>
          <cell r="EO719">
            <v>0</v>
          </cell>
          <cell r="EP719">
            <v>0</v>
          </cell>
          <cell r="EQ719">
            <v>0</v>
          </cell>
          <cell r="ER719">
            <v>0</v>
          </cell>
          <cell r="ES719">
            <v>0</v>
          </cell>
          <cell r="ET719">
            <v>0</v>
          </cell>
          <cell r="EU719">
            <v>0</v>
          </cell>
          <cell r="EV719">
            <v>0</v>
          </cell>
          <cell r="EW719">
            <v>0</v>
          </cell>
          <cell r="EY719">
            <v>0</v>
          </cell>
          <cell r="EZ719">
            <v>8</v>
          </cell>
          <cell r="FA719">
            <v>0</v>
          </cell>
          <cell r="FB719">
            <v>0</v>
          </cell>
          <cell r="FC719">
            <v>8.6</v>
          </cell>
          <cell r="FD719">
            <v>0</v>
          </cell>
          <cell r="FE719">
            <v>0</v>
          </cell>
          <cell r="FF719">
            <v>0</v>
          </cell>
          <cell r="FH719">
            <v>0</v>
          </cell>
        </row>
        <row r="720">
          <cell r="B720">
            <v>9875</v>
          </cell>
          <cell r="C720" t="str">
            <v>16.03.2011</v>
          </cell>
          <cell r="D720" t="str">
            <v>Jadhav Sumeet Shashikant</v>
          </cell>
          <cell r="F720">
            <v>0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W720">
            <v>0</v>
          </cell>
          <cell r="X720">
            <v>0</v>
          </cell>
          <cell r="Y720">
            <v>0</v>
          </cell>
          <cell r="Z720">
            <v>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G720">
            <v>0</v>
          </cell>
          <cell r="AH720">
            <v>0</v>
          </cell>
          <cell r="AI720">
            <v>0</v>
          </cell>
          <cell r="AJ720">
            <v>0</v>
          </cell>
          <cell r="AK720">
            <v>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  <cell r="BA720">
            <v>0</v>
          </cell>
          <cell r="BB720">
            <v>0</v>
          </cell>
          <cell r="BC720">
            <v>0</v>
          </cell>
          <cell r="BD720">
            <v>0</v>
          </cell>
          <cell r="BE720">
            <v>0</v>
          </cell>
          <cell r="BF720">
            <v>0</v>
          </cell>
          <cell r="BG720">
            <v>0</v>
          </cell>
          <cell r="BH720">
            <v>0</v>
          </cell>
          <cell r="BI720">
            <v>0</v>
          </cell>
          <cell r="BK720">
            <v>0</v>
          </cell>
          <cell r="BL720">
            <v>0</v>
          </cell>
          <cell r="BM720">
            <v>0</v>
          </cell>
          <cell r="BN720">
            <v>0</v>
          </cell>
          <cell r="BO720">
            <v>0</v>
          </cell>
          <cell r="BP720">
            <v>0</v>
          </cell>
          <cell r="BQ720">
            <v>0</v>
          </cell>
          <cell r="BR720">
            <v>0</v>
          </cell>
          <cell r="BS720">
            <v>0</v>
          </cell>
          <cell r="BU720">
            <v>0</v>
          </cell>
          <cell r="BV720">
            <v>0</v>
          </cell>
          <cell r="BW720">
            <v>0</v>
          </cell>
          <cell r="BX720">
            <v>0</v>
          </cell>
          <cell r="BY720">
            <v>0</v>
          </cell>
          <cell r="BZ720">
            <v>0</v>
          </cell>
          <cell r="CA720">
            <v>0</v>
          </cell>
          <cell r="CB720">
            <v>0</v>
          </cell>
          <cell r="CC720">
            <v>0</v>
          </cell>
          <cell r="CE720">
            <v>0</v>
          </cell>
          <cell r="CF720">
            <v>0</v>
          </cell>
          <cell r="CG720">
            <v>0</v>
          </cell>
          <cell r="CH720">
            <v>0</v>
          </cell>
          <cell r="CI720">
            <v>0</v>
          </cell>
          <cell r="CJ720">
            <v>0</v>
          </cell>
          <cell r="CK720">
            <v>0</v>
          </cell>
          <cell r="CL720">
            <v>0</v>
          </cell>
          <cell r="CM720">
            <v>0</v>
          </cell>
          <cell r="CO720">
            <v>0</v>
          </cell>
          <cell r="CP720">
            <v>0</v>
          </cell>
          <cell r="CQ720">
            <v>0</v>
          </cell>
          <cell r="CR720">
            <v>0</v>
          </cell>
          <cell r="CS720">
            <v>0</v>
          </cell>
          <cell r="CT720">
            <v>0</v>
          </cell>
          <cell r="CU720">
            <v>0</v>
          </cell>
          <cell r="CV720">
            <v>0</v>
          </cell>
          <cell r="CW720">
            <v>0</v>
          </cell>
          <cell r="CY720">
            <v>0</v>
          </cell>
          <cell r="CZ720">
            <v>0</v>
          </cell>
          <cell r="DA720">
            <v>0</v>
          </cell>
          <cell r="DB720">
            <v>0</v>
          </cell>
          <cell r="DC720">
            <v>0</v>
          </cell>
          <cell r="DD720">
            <v>0</v>
          </cell>
          <cell r="DE720">
            <v>0</v>
          </cell>
          <cell r="DF720">
            <v>0</v>
          </cell>
          <cell r="DG720">
            <v>0</v>
          </cell>
          <cell r="DI720">
            <v>0</v>
          </cell>
          <cell r="DJ720">
            <v>0</v>
          </cell>
          <cell r="DK720">
            <v>0</v>
          </cell>
          <cell r="DL720">
            <v>0</v>
          </cell>
          <cell r="DM720">
            <v>0</v>
          </cell>
          <cell r="DN720">
            <v>0</v>
          </cell>
          <cell r="DO720">
            <v>0</v>
          </cell>
          <cell r="DP720">
            <v>0</v>
          </cell>
          <cell r="DQ720">
            <v>0</v>
          </cell>
          <cell r="DR720">
            <v>0</v>
          </cell>
          <cell r="DS720">
            <v>0</v>
          </cell>
          <cell r="DT720">
            <v>0</v>
          </cell>
          <cell r="DU720">
            <v>0</v>
          </cell>
          <cell r="DW720">
            <v>0</v>
          </cell>
          <cell r="DX720">
            <v>0</v>
          </cell>
          <cell r="DY720">
            <v>0</v>
          </cell>
          <cell r="DZ720">
            <v>0</v>
          </cell>
          <cell r="EA720">
            <v>0</v>
          </cell>
          <cell r="EB720">
            <v>0</v>
          </cell>
          <cell r="EC720">
            <v>0</v>
          </cell>
          <cell r="ED720">
            <v>0</v>
          </cell>
          <cell r="EE720">
            <v>0</v>
          </cell>
          <cell r="EF720">
            <v>0</v>
          </cell>
          <cell r="EG720">
            <v>0</v>
          </cell>
          <cell r="EH720">
            <v>0</v>
          </cell>
          <cell r="EI720">
            <v>0</v>
          </cell>
          <cell r="EK720">
            <v>0</v>
          </cell>
          <cell r="EL720">
            <v>0</v>
          </cell>
          <cell r="EM720">
            <v>0</v>
          </cell>
          <cell r="EN720">
            <v>0</v>
          </cell>
          <cell r="EO720">
            <v>0</v>
          </cell>
          <cell r="EP720">
            <v>0</v>
          </cell>
          <cell r="EQ720">
            <v>0</v>
          </cell>
          <cell r="ER720">
            <v>0</v>
          </cell>
          <cell r="ES720">
            <v>0</v>
          </cell>
          <cell r="ET720">
            <v>0</v>
          </cell>
          <cell r="EU720">
            <v>0</v>
          </cell>
          <cell r="EV720">
            <v>0</v>
          </cell>
          <cell r="EW720">
            <v>0</v>
          </cell>
          <cell r="EY720">
            <v>0</v>
          </cell>
          <cell r="EZ720">
            <v>8</v>
          </cell>
          <cell r="FA720">
            <v>0</v>
          </cell>
          <cell r="FB720">
            <v>0</v>
          </cell>
          <cell r="FC720">
            <v>8.6</v>
          </cell>
          <cell r="FD720">
            <v>0</v>
          </cell>
          <cell r="FE720">
            <v>0</v>
          </cell>
          <cell r="FF720">
            <v>0</v>
          </cell>
          <cell r="FH720">
            <v>0</v>
          </cell>
        </row>
        <row r="721">
          <cell r="B721">
            <v>9879</v>
          </cell>
          <cell r="C721" t="str">
            <v>18.03.2011</v>
          </cell>
          <cell r="D721" t="str">
            <v>Dhaije Ishwar Narayan</v>
          </cell>
          <cell r="F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G721">
            <v>0</v>
          </cell>
          <cell r="AH721">
            <v>0</v>
          </cell>
          <cell r="AI721">
            <v>0</v>
          </cell>
          <cell r="AJ721">
            <v>0</v>
          </cell>
          <cell r="AK721">
            <v>0</v>
          </cell>
          <cell r="AL721">
            <v>0</v>
          </cell>
          <cell r="AM721">
            <v>0</v>
          </cell>
          <cell r="AN721">
            <v>0</v>
          </cell>
          <cell r="AO721">
            <v>0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  <cell r="AU721">
            <v>0</v>
          </cell>
          <cell r="AV721">
            <v>0</v>
          </cell>
          <cell r="AW721">
            <v>0</v>
          </cell>
          <cell r="AX721">
            <v>0</v>
          </cell>
          <cell r="AY721">
            <v>0</v>
          </cell>
          <cell r="BA721">
            <v>0</v>
          </cell>
          <cell r="BB721">
            <v>0</v>
          </cell>
          <cell r="BC721">
            <v>0</v>
          </cell>
          <cell r="BD721">
            <v>0</v>
          </cell>
          <cell r="BE721">
            <v>0</v>
          </cell>
          <cell r="BF721">
            <v>0</v>
          </cell>
          <cell r="BG721">
            <v>0</v>
          </cell>
          <cell r="BH721">
            <v>0</v>
          </cell>
          <cell r="BI721">
            <v>0</v>
          </cell>
          <cell r="BK721">
            <v>0</v>
          </cell>
          <cell r="BL721">
            <v>0</v>
          </cell>
          <cell r="BM721">
            <v>0</v>
          </cell>
          <cell r="BN721">
            <v>0</v>
          </cell>
          <cell r="BO721">
            <v>0</v>
          </cell>
          <cell r="BP721">
            <v>0</v>
          </cell>
          <cell r="BQ721">
            <v>0</v>
          </cell>
          <cell r="BR721">
            <v>0</v>
          </cell>
          <cell r="BS721">
            <v>0</v>
          </cell>
          <cell r="BU721">
            <v>0</v>
          </cell>
          <cell r="BV721">
            <v>0</v>
          </cell>
          <cell r="BW721">
            <v>0</v>
          </cell>
          <cell r="BX721">
            <v>0</v>
          </cell>
          <cell r="BY721">
            <v>0</v>
          </cell>
          <cell r="BZ721">
            <v>0</v>
          </cell>
          <cell r="CA721">
            <v>0</v>
          </cell>
          <cell r="CB721">
            <v>0</v>
          </cell>
          <cell r="CC721">
            <v>0</v>
          </cell>
          <cell r="CE721">
            <v>0</v>
          </cell>
          <cell r="CF721">
            <v>0</v>
          </cell>
          <cell r="CG721">
            <v>0</v>
          </cell>
          <cell r="CH721">
            <v>0</v>
          </cell>
          <cell r="CI721">
            <v>0</v>
          </cell>
          <cell r="CJ721">
            <v>0</v>
          </cell>
          <cell r="CK721">
            <v>0</v>
          </cell>
          <cell r="CL721">
            <v>0</v>
          </cell>
          <cell r="CM721">
            <v>0</v>
          </cell>
          <cell r="CO721">
            <v>0</v>
          </cell>
          <cell r="CP721">
            <v>0</v>
          </cell>
          <cell r="CQ721">
            <v>0</v>
          </cell>
          <cell r="CR721">
            <v>0</v>
          </cell>
          <cell r="CS721">
            <v>0</v>
          </cell>
          <cell r="CT721">
            <v>0</v>
          </cell>
          <cell r="CU721">
            <v>0</v>
          </cell>
          <cell r="CV721">
            <v>0</v>
          </cell>
          <cell r="CW721">
            <v>0</v>
          </cell>
          <cell r="CY721">
            <v>0</v>
          </cell>
          <cell r="CZ721">
            <v>0</v>
          </cell>
          <cell r="DA721">
            <v>0</v>
          </cell>
          <cell r="DB721">
            <v>0</v>
          </cell>
          <cell r="DC721">
            <v>0</v>
          </cell>
          <cell r="DD721">
            <v>0</v>
          </cell>
          <cell r="DE721">
            <v>0</v>
          </cell>
          <cell r="DF721">
            <v>0</v>
          </cell>
          <cell r="DG721">
            <v>0</v>
          </cell>
          <cell r="DI721">
            <v>0</v>
          </cell>
          <cell r="DJ721">
            <v>0</v>
          </cell>
          <cell r="DK721">
            <v>0</v>
          </cell>
          <cell r="DL721">
            <v>0</v>
          </cell>
          <cell r="DM721">
            <v>0</v>
          </cell>
          <cell r="DN721">
            <v>0</v>
          </cell>
          <cell r="DO721">
            <v>0</v>
          </cell>
          <cell r="DP721">
            <v>0</v>
          </cell>
          <cell r="DQ721">
            <v>0</v>
          </cell>
          <cell r="DR721">
            <v>0</v>
          </cell>
          <cell r="DS721">
            <v>0</v>
          </cell>
          <cell r="DT721">
            <v>0</v>
          </cell>
          <cell r="DU721">
            <v>0</v>
          </cell>
          <cell r="DW721">
            <v>0</v>
          </cell>
          <cell r="DX721">
            <v>0</v>
          </cell>
          <cell r="DY721">
            <v>0</v>
          </cell>
          <cell r="DZ721">
            <v>0</v>
          </cell>
          <cell r="EA721">
            <v>0</v>
          </cell>
          <cell r="EB721">
            <v>0</v>
          </cell>
          <cell r="EC721">
            <v>0</v>
          </cell>
          <cell r="ED721">
            <v>0</v>
          </cell>
          <cell r="EE721">
            <v>0</v>
          </cell>
          <cell r="EF721">
            <v>0</v>
          </cell>
          <cell r="EG721">
            <v>0</v>
          </cell>
          <cell r="EH721">
            <v>0</v>
          </cell>
          <cell r="EI721">
            <v>0</v>
          </cell>
          <cell r="EK721">
            <v>0</v>
          </cell>
          <cell r="EL721">
            <v>0</v>
          </cell>
          <cell r="EM721">
            <v>0</v>
          </cell>
          <cell r="EN721">
            <v>0</v>
          </cell>
          <cell r="EO721">
            <v>0</v>
          </cell>
          <cell r="EP721">
            <v>0</v>
          </cell>
          <cell r="EQ721">
            <v>0</v>
          </cell>
          <cell r="ER721">
            <v>0</v>
          </cell>
          <cell r="ES721">
            <v>0</v>
          </cell>
          <cell r="ET721">
            <v>0</v>
          </cell>
          <cell r="EU721">
            <v>0</v>
          </cell>
          <cell r="EV721">
            <v>0</v>
          </cell>
          <cell r="EW721">
            <v>0</v>
          </cell>
          <cell r="EY721">
            <v>0</v>
          </cell>
          <cell r="EZ721">
            <v>8</v>
          </cell>
          <cell r="FA721">
            <v>0</v>
          </cell>
          <cell r="FB721">
            <v>0</v>
          </cell>
          <cell r="FC721">
            <v>8.6</v>
          </cell>
          <cell r="FD721">
            <v>0</v>
          </cell>
          <cell r="FE721">
            <v>0</v>
          </cell>
          <cell r="FF721">
            <v>0</v>
          </cell>
          <cell r="FH721">
            <v>0</v>
          </cell>
        </row>
        <row r="722">
          <cell r="B722">
            <v>9877</v>
          </cell>
          <cell r="C722" t="str">
            <v>30.03.2011</v>
          </cell>
          <cell r="D722" t="str">
            <v>Revar Geeta Dilip</v>
          </cell>
          <cell r="F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G722">
            <v>0</v>
          </cell>
          <cell r="AH722">
            <v>0</v>
          </cell>
          <cell r="AI722">
            <v>0</v>
          </cell>
          <cell r="AJ722">
            <v>0</v>
          </cell>
          <cell r="AK722">
            <v>0</v>
          </cell>
          <cell r="AL722">
            <v>0</v>
          </cell>
          <cell r="AM722">
            <v>0</v>
          </cell>
          <cell r="AN722">
            <v>0</v>
          </cell>
          <cell r="AO722">
            <v>0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  <cell r="BA722">
            <v>0</v>
          </cell>
          <cell r="BB722">
            <v>0</v>
          </cell>
          <cell r="BC722">
            <v>0</v>
          </cell>
          <cell r="BD722">
            <v>0</v>
          </cell>
          <cell r="BE722">
            <v>0</v>
          </cell>
          <cell r="BF722">
            <v>0</v>
          </cell>
          <cell r="BG722">
            <v>0</v>
          </cell>
          <cell r="BH722">
            <v>0</v>
          </cell>
          <cell r="BI722">
            <v>0</v>
          </cell>
          <cell r="BK722">
            <v>0</v>
          </cell>
          <cell r="BL722">
            <v>0</v>
          </cell>
          <cell r="BM722">
            <v>0</v>
          </cell>
          <cell r="BN722">
            <v>0</v>
          </cell>
          <cell r="BO722">
            <v>0</v>
          </cell>
          <cell r="BP722">
            <v>0</v>
          </cell>
          <cell r="BQ722">
            <v>0</v>
          </cell>
          <cell r="BR722">
            <v>0</v>
          </cell>
          <cell r="BS722">
            <v>0</v>
          </cell>
          <cell r="BU722">
            <v>0</v>
          </cell>
          <cell r="BV722">
            <v>0</v>
          </cell>
          <cell r="BW722">
            <v>0</v>
          </cell>
          <cell r="BX722">
            <v>0</v>
          </cell>
          <cell r="BY722">
            <v>0</v>
          </cell>
          <cell r="BZ722">
            <v>0</v>
          </cell>
          <cell r="CA722">
            <v>0</v>
          </cell>
          <cell r="CB722">
            <v>0</v>
          </cell>
          <cell r="CC722">
            <v>0</v>
          </cell>
          <cell r="CE722">
            <v>0</v>
          </cell>
          <cell r="CF722">
            <v>0</v>
          </cell>
          <cell r="CG722">
            <v>0</v>
          </cell>
          <cell r="CH722">
            <v>0</v>
          </cell>
          <cell r="CI722">
            <v>0</v>
          </cell>
          <cell r="CJ722">
            <v>0</v>
          </cell>
          <cell r="CK722">
            <v>0</v>
          </cell>
          <cell r="CL722">
            <v>0</v>
          </cell>
          <cell r="CM722">
            <v>0</v>
          </cell>
          <cell r="CO722">
            <v>0</v>
          </cell>
          <cell r="CP722">
            <v>0</v>
          </cell>
          <cell r="CQ722">
            <v>0</v>
          </cell>
          <cell r="CR722">
            <v>0</v>
          </cell>
          <cell r="CS722">
            <v>0</v>
          </cell>
          <cell r="CT722">
            <v>0</v>
          </cell>
          <cell r="CU722">
            <v>0</v>
          </cell>
          <cell r="CV722">
            <v>0</v>
          </cell>
          <cell r="CW722">
            <v>0</v>
          </cell>
          <cell r="CY722">
            <v>0</v>
          </cell>
          <cell r="CZ722">
            <v>0</v>
          </cell>
          <cell r="DA722">
            <v>0</v>
          </cell>
          <cell r="DB722">
            <v>0</v>
          </cell>
          <cell r="DC722">
            <v>0</v>
          </cell>
          <cell r="DD722">
            <v>0</v>
          </cell>
          <cell r="DE722">
            <v>0</v>
          </cell>
          <cell r="DF722">
            <v>0</v>
          </cell>
          <cell r="DG722">
            <v>0</v>
          </cell>
          <cell r="DI722">
            <v>0</v>
          </cell>
          <cell r="DJ722">
            <v>0</v>
          </cell>
          <cell r="DK722">
            <v>0</v>
          </cell>
          <cell r="DL722">
            <v>0</v>
          </cell>
          <cell r="DM722">
            <v>0</v>
          </cell>
          <cell r="DN722">
            <v>0</v>
          </cell>
          <cell r="DO722">
            <v>0</v>
          </cell>
          <cell r="DP722">
            <v>0</v>
          </cell>
          <cell r="DQ722">
            <v>0</v>
          </cell>
          <cell r="DR722">
            <v>0</v>
          </cell>
          <cell r="DS722">
            <v>0</v>
          </cell>
          <cell r="DT722">
            <v>0</v>
          </cell>
          <cell r="DU722">
            <v>0</v>
          </cell>
          <cell r="DW722">
            <v>0</v>
          </cell>
          <cell r="DX722">
            <v>0</v>
          </cell>
          <cell r="DY722">
            <v>0</v>
          </cell>
          <cell r="DZ722">
            <v>0</v>
          </cell>
          <cell r="EA722">
            <v>0</v>
          </cell>
          <cell r="EB722">
            <v>0</v>
          </cell>
          <cell r="EC722">
            <v>0</v>
          </cell>
          <cell r="ED722">
            <v>0</v>
          </cell>
          <cell r="EE722">
            <v>0</v>
          </cell>
          <cell r="EF722">
            <v>0</v>
          </cell>
          <cell r="EG722">
            <v>0</v>
          </cell>
          <cell r="EH722">
            <v>0</v>
          </cell>
          <cell r="EI722">
            <v>0</v>
          </cell>
          <cell r="EK722">
            <v>0</v>
          </cell>
          <cell r="EL722">
            <v>0</v>
          </cell>
          <cell r="EM722">
            <v>0</v>
          </cell>
          <cell r="EN722">
            <v>0</v>
          </cell>
          <cell r="EO722">
            <v>0</v>
          </cell>
          <cell r="EP722">
            <v>0</v>
          </cell>
          <cell r="EQ722">
            <v>0</v>
          </cell>
          <cell r="ER722">
            <v>0</v>
          </cell>
          <cell r="ES722">
            <v>0</v>
          </cell>
          <cell r="ET722">
            <v>0</v>
          </cell>
          <cell r="EU722">
            <v>0</v>
          </cell>
          <cell r="EV722">
            <v>0</v>
          </cell>
          <cell r="EW722">
            <v>0</v>
          </cell>
          <cell r="EY722">
            <v>0</v>
          </cell>
          <cell r="EZ722">
            <v>8</v>
          </cell>
          <cell r="FA722">
            <v>0</v>
          </cell>
          <cell r="FB722">
            <v>0</v>
          </cell>
          <cell r="FC722">
            <v>8.6</v>
          </cell>
          <cell r="FD722">
            <v>0</v>
          </cell>
          <cell r="FE722">
            <v>0</v>
          </cell>
          <cell r="FF722">
            <v>0</v>
          </cell>
          <cell r="FH722">
            <v>0</v>
          </cell>
        </row>
        <row r="723">
          <cell r="B723">
            <v>9858</v>
          </cell>
          <cell r="C723" t="str">
            <v>01.04.2011</v>
          </cell>
          <cell r="D723" t="str">
            <v>Nade Chhaya Madhav</v>
          </cell>
          <cell r="F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G723">
            <v>0</v>
          </cell>
          <cell r="AH723">
            <v>0</v>
          </cell>
          <cell r="AI723">
            <v>0</v>
          </cell>
          <cell r="AJ723">
            <v>0</v>
          </cell>
          <cell r="AK723">
            <v>0</v>
          </cell>
          <cell r="AL723">
            <v>0</v>
          </cell>
          <cell r="AM723">
            <v>0</v>
          </cell>
          <cell r="AN723">
            <v>0</v>
          </cell>
          <cell r="AO723">
            <v>0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  <cell r="AU723">
            <v>0</v>
          </cell>
          <cell r="AV723">
            <v>0</v>
          </cell>
          <cell r="AW723">
            <v>0</v>
          </cell>
          <cell r="AX723">
            <v>0</v>
          </cell>
          <cell r="AY723">
            <v>0</v>
          </cell>
          <cell r="BA723">
            <v>0</v>
          </cell>
          <cell r="BB723">
            <v>0</v>
          </cell>
          <cell r="BC723">
            <v>0</v>
          </cell>
          <cell r="BD723">
            <v>0</v>
          </cell>
          <cell r="BE723">
            <v>0</v>
          </cell>
          <cell r="BF723">
            <v>0</v>
          </cell>
          <cell r="BG723">
            <v>0</v>
          </cell>
          <cell r="BH723">
            <v>0</v>
          </cell>
          <cell r="BI723">
            <v>0</v>
          </cell>
          <cell r="BK723">
            <v>0</v>
          </cell>
          <cell r="BL723">
            <v>0</v>
          </cell>
          <cell r="BM723">
            <v>0</v>
          </cell>
          <cell r="BN723">
            <v>0</v>
          </cell>
          <cell r="BO723">
            <v>0</v>
          </cell>
          <cell r="BP723">
            <v>0</v>
          </cell>
          <cell r="BQ723">
            <v>0</v>
          </cell>
          <cell r="BR723">
            <v>0</v>
          </cell>
          <cell r="BS723">
            <v>0</v>
          </cell>
          <cell r="BU723">
            <v>0</v>
          </cell>
          <cell r="BV723">
            <v>0</v>
          </cell>
          <cell r="BW723">
            <v>0</v>
          </cell>
          <cell r="BX723">
            <v>0</v>
          </cell>
          <cell r="BY723">
            <v>0</v>
          </cell>
          <cell r="BZ723">
            <v>0</v>
          </cell>
          <cell r="CA723">
            <v>0</v>
          </cell>
          <cell r="CB723">
            <v>0</v>
          </cell>
          <cell r="CC723">
            <v>0</v>
          </cell>
          <cell r="CE723">
            <v>0</v>
          </cell>
          <cell r="CF723">
            <v>0</v>
          </cell>
          <cell r="CG723">
            <v>0</v>
          </cell>
          <cell r="CH723">
            <v>0</v>
          </cell>
          <cell r="CI723">
            <v>0</v>
          </cell>
          <cell r="CJ723">
            <v>0</v>
          </cell>
          <cell r="CK723">
            <v>0</v>
          </cell>
          <cell r="CL723">
            <v>0</v>
          </cell>
          <cell r="CM723">
            <v>0</v>
          </cell>
          <cell r="CO723">
            <v>0</v>
          </cell>
          <cell r="CP723">
            <v>0</v>
          </cell>
          <cell r="CQ723">
            <v>0</v>
          </cell>
          <cell r="CR723">
            <v>0</v>
          </cell>
          <cell r="CS723">
            <v>0</v>
          </cell>
          <cell r="CT723">
            <v>0</v>
          </cell>
          <cell r="CU723">
            <v>0</v>
          </cell>
          <cell r="CV723">
            <v>0</v>
          </cell>
          <cell r="CW723">
            <v>0</v>
          </cell>
          <cell r="CY723">
            <v>0</v>
          </cell>
          <cell r="CZ723">
            <v>0</v>
          </cell>
          <cell r="DA723">
            <v>0</v>
          </cell>
          <cell r="DB723">
            <v>0</v>
          </cell>
          <cell r="DC723">
            <v>0</v>
          </cell>
          <cell r="DD723">
            <v>0</v>
          </cell>
          <cell r="DE723">
            <v>0</v>
          </cell>
          <cell r="DF723">
            <v>0</v>
          </cell>
          <cell r="DG723">
            <v>0</v>
          </cell>
          <cell r="DI723">
            <v>0</v>
          </cell>
          <cell r="DJ723">
            <v>0</v>
          </cell>
          <cell r="DK723">
            <v>0</v>
          </cell>
          <cell r="DL723">
            <v>0</v>
          </cell>
          <cell r="DM723">
            <v>0</v>
          </cell>
          <cell r="DN723">
            <v>0</v>
          </cell>
          <cell r="DO723">
            <v>0</v>
          </cell>
          <cell r="DP723">
            <v>0</v>
          </cell>
          <cell r="DQ723">
            <v>0</v>
          </cell>
          <cell r="DR723">
            <v>0</v>
          </cell>
          <cell r="DS723">
            <v>0</v>
          </cell>
          <cell r="DT723">
            <v>0</v>
          </cell>
          <cell r="DU723">
            <v>0</v>
          </cell>
          <cell r="DW723">
            <v>0</v>
          </cell>
          <cell r="DX723">
            <v>0</v>
          </cell>
          <cell r="DY723">
            <v>0</v>
          </cell>
          <cell r="DZ723">
            <v>0</v>
          </cell>
          <cell r="EA723">
            <v>0</v>
          </cell>
          <cell r="EB723">
            <v>0</v>
          </cell>
          <cell r="EC723">
            <v>0</v>
          </cell>
          <cell r="ED723">
            <v>0</v>
          </cell>
          <cell r="EE723">
            <v>0</v>
          </cell>
          <cell r="EF723">
            <v>0</v>
          </cell>
          <cell r="EG723">
            <v>0</v>
          </cell>
          <cell r="EH723">
            <v>0</v>
          </cell>
          <cell r="EI723">
            <v>0</v>
          </cell>
          <cell r="EK723">
            <v>0</v>
          </cell>
          <cell r="EL723">
            <v>0</v>
          </cell>
          <cell r="EM723">
            <v>0</v>
          </cell>
          <cell r="EN723">
            <v>0</v>
          </cell>
          <cell r="EO723">
            <v>0</v>
          </cell>
          <cell r="EP723">
            <v>0</v>
          </cell>
          <cell r="EQ723">
            <v>0</v>
          </cell>
          <cell r="ER723">
            <v>0</v>
          </cell>
          <cell r="ES723">
            <v>0</v>
          </cell>
          <cell r="ET723">
            <v>0</v>
          </cell>
          <cell r="EU723">
            <v>0</v>
          </cell>
          <cell r="EV723">
            <v>0</v>
          </cell>
          <cell r="EW723">
            <v>0</v>
          </cell>
          <cell r="EY723">
            <v>0</v>
          </cell>
          <cell r="EZ723">
            <v>8</v>
          </cell>
          <cell r="FA723">
            <v>0</v>
          </cell>
          <cell r="FB723">
            <v>0</v>
          </cell>
          <cell r="FC723">
            <v>8.6</v>
          </cell>
          <cell r="FD723">
            <v>0</v>
          </cell>
          <cell r="FE723">
            <v>0</v>
          </cell>
          <cell r="FF723">
            <v>0</v>
          </cell>
          <cell r="FH723">
            <v>0</v>
          </cell>
        </row>
        <row r="724">
          <cell r="B724">
            <v>9862</v>
          </cell>
          <cell r="C724" t="str">
            <v>01.04.2011</v>
          </cell>
          <cell r="D724" t="str">
            <v>Gohil Nitin Kishor</v>
          </cell>
          <cell r="F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G724">
            <v>0</v>
          </cell>
          <cell r="AH724">
            <v>0</v>
          </cell>
          <cell r="AI724">
            <v>0</v>
          </cell>
          <cell r="AJ724">
            <v>0</v>
          </cell>
          <cell r="AK724">
            <v>0</v>
          </cell>
          <cell r="AL724">
            <v>0</v>
          </cell>
          <cell r="AM724">
            <v>0</v>
          </cell>
          <cell r="AN724">
            <v>0</v>
          </cell>
          <cell r="AO724">
            <v>0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  <cell r="AU724">
            <v>0</v>
          </cell>
          <cell r="AV724">
            <v>0</v>
          </cell>
          <cell r="AW724">
            <v>0</v>
          </cell>
          <cell r="AX724">
            <v>0</v>
          </cell>
          <cell r="AY724">
            <v>0</v>
          </cell>
          <cell r="BA724">
            <v>0</v>
          </cell>
          <cell r="BB724">
            <v>0</v>
          </cell>
          <cell r="BC724">
            <v>0</v>
          </cell>
          <cell r="BD724">
            <v>0</v>
          </cell>
          <cell r="BE724">
            <v>0</v>
          </cell>
          <cell r="BF724">
            <v>0</v>
          </cell>
          <cell r="BG724">
            <v>0</v>
          </cell>
          <cell r="BH724">
            <v>0</v>
          </cell>
          <cell r="BI724">
            <v>0</v>
          </cell>
          <cell r="BK724">
            <v>0</v>
          </cell>
          <cell r="BL724">
            <v>0</v>
          </cell>
          <cell r="BM724">
            <v>0</v>
          </cell>
          <cell r="BN724">
            <v>0</v>
          </cell>
          <cell r="BO724">
            <v>0</v>
          </cell>
          <cell r="BP724">
            <v>0</v>
          </cell>
          <cell r="BQ724">
            <v>0</v>
          </cell>
          <cell r="BR724">
            <v>0</v>
          </cell>
          <cell r="BS724">
            <v>0</v>
          </cell>
          <cell r="BU724">
            <v>0</v>
          </cell>
          <cell r="BV724">
            <v>0</v>
          </cell>
          <cell r="BW724">
            <v>0</v>
          </cell>
          <cell r="BX724">
            <v>0</v>
          </cell>
          <cell r="BY724">
            <v>0</v>
          </cell>
          <cell r="BZ724">
            <v>0</v>
          </cell>
          <cell r="CA724">
            <v>0</v>
          </cell>
          <cell r="CB724">
            <v>0</v>
          </cell>
          <cell r="CC724">
            <v>0</v>
          </cell>
          <cell r="CE724">
            <v>0</v>
          </cell>
          <cell r="CF724">
            <v>0</v>
          </cell>
          <cell r="CG724">
            <v>0</v>
          </cell>
          <cell r="CH724">
            <v>0</v>
          </cell>
          <cell r="CI724">
            <v>0</v>
          </cell>
          <cell r="CJ724">
            <v>0</v>
          </cell>
          <cell r="CK724">
            <v>0</v>
          </cell>
          <cell r="CL724">
            <v>0</v>
          </cell>
          <cell r="CM724">
            <v>0</v>
          </cell>
          <cell r="CO724">
            <v>0</v>
          </cell>
          <cell r="CP724">
            <v>0</v>
          </cell>
          <cell r="CQ724">
            <v>0</v>
          </cell>
          <cell r="CR724">
            <v>0</v>
          </cell>
          <cell r="CS724">
            <v>0</v>
          </cell>
          <cell r="CT724">
            <v>0</v>
          </cell>
          <cell r="CU724">
            <v>0</v>
          </cell>
          <cell r="CV724">
            <v>0</v>
          </cell>
          <cell r="CW724">
            <v>0</v>
          </cell>
          <cell r="CY724">
            <v>0</v>
          </cell>
          <cell r="CZ724">
            <v>0</v>
          </cell>
          <cell r="DA724">
            <v>0</v>
          </cell>
          <cell r="DB724">
            <v>0</v>
          </cell>
          <cell r="DC724">
            <v>0</v>
          </cell>
          <cell r="DD724">
            <v>0</v>
          </cell>
          <cell r="DE724">
            <v>0</v>
          </cell>
          <cell r="DF724">
            <v>0</v>
          </cell>
          <cell r="DG724">
            <v>0</v>
          </cell>
          <cell r="DI724">
            <v>0</v>
          </cell>
          <cell r="DJ724">
            <v>0</v>
          </cell>
          <cell r="DK724">
            <v>0</v>
          </cell>
          <cell r="DL724">
            <v>0</v>
          </cell>
          <cell r="DM724">
            <v>0</v>
          </cell>
          <cell r="DN724">
            <v>0</v>
          </cell>
          <cell r="DO724">
            <v>0</v>
          </cell>
          <cell r="DP724">
            <v>0</v>
          </cell>
          <cell r="DQ724">
            <v>0</v>
          </cell>
          <cell r="DR724">
            <v>0</v>
          </cell>
          <cell r="DS724">
            <v>0</v>
          </cell>
          <cell r="DT724">
            <v>0</v>
          </cell>
          <cell r="DU724">
            <v>0</v>
          </cell>
          <cell r="DW724">
            <v>0</v>
          </cell>
          <cell r="DX724">
            <v>0</v>
          </cell>
          <cell r="DY724">
            <v>0</v>
          </cell>
          <cell r="DZ724">
            <v>0</v>
          </cell>
          <cell r="EA724">
            <v>0</v>
          </cell>
          <cell r="EB724">
            <v>0</v>
          </cell>
          <cell r="EC724">
            <v>0</v>
          </cell>
          <cell r="ED724">
            <v>0</v>
          </cell>
          <cell r="EE724">
            <v>0</v>
          </cell>
          <cell r="EF724">
            <v>0</v>
          </cell>
          <cell r="EG724">
            <v>0</v>
          </cell>
          <cell r="EH724">
            <v>0</v>
          </cell>
          <cell r="EI724">
            <v>0</v>
          </cell>
          <cell r="EK724">
            <v>0</v>
          </cell>
          <cell r="EL724">
            <v>0</v>
          </cell>
          <cell r="EM724">
            <v>0</v>
          </cell>
          <cell r="EN724">
            <v>0</v>
          </cell>
          <cell r="EO724">
            <v>0</v>
          </cell>
          <cell r="EP724">
            <v>0</v>
          </cell>
          <cell r="EQ724">
            <v>0</v>
          </cell>
          <cell r="ER724">
            <v>0</v>
          </cell>
          <cell r="ES724">
            <v>0</v>
          </cell>
          <cell r="ET724">
            <v>0</v>
          </cell>
          <cell r="EU724">
            <v>0</v>
          </cell>
          <cell r="EV724">
            <v>0</v>
          </cell>
          <cell r="EW724">
            <v>0</v>
          </cell>
          <cell r="EY724">
            <v>0</v>
          </cell>
          <cell r="EZ724">
            <v>8</v>
          </cell>
          <cell r="FA724">
            <v>0</v>
          </cell>
          <cell r="FB724">
            <v>0</v>
          </cell>
          <cell r="FC724">
            <v>8.6</v>
          </cell>
          <cell r="FD724">
            <v>0</v>
          </cell>
          <cell r="FE724">
            <v>0</v>
          </cell>
          <cell r="FF724">
            <v>0</v>
          </cell>
          <cell r="FH724">
            <v>0</v>
          </cell>
        </row>
        <row r="725">
          <cell r="B725">
            <v>9864</v>
          </cell>
          <cell r="C725" t="str">
            <v>01.04.2011</v>
          </cell>
          <cell r="D725" t="str">
            <v>Deshmukh Sachin Shivram</v>
          </cell>
          <cell r="F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G725">
            <v>0</v>
          </cell>
          <cell r="AH725">
            <v>0</v>
          </cell>
          <cell r="AI725">
            <v>0</v>
          </cell>
          <cell r="AJ725">
            <v>0</v>
          </cell>
          <cell r="AK725">
            <v>0</v>
          </cell>
          <cell r="AL725">
            <v>0</v>
          </cell>
          <cell r="AM725">
            <v>0</v>
          </cell>
          <cell r="AN725">
            <v>0</v>
          </cell>
          <cell r="AO725">
            <v>0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  <cell r="AY725">
            <v>0</v>
          </cell>
          <cell r="BA725">
            <v>0</v>
          </cell>
          <cell r="BB725">
            <v>0</v>
          </cell>
          <cell r="BC725">
            <v>0</v>
          </cell>
          <cell r="BD725">
            <v>0</v>
          </cell>
          <cell r="BE725">
            <v>0</v>
          </cell>
          <cell r="BF725">
            <v>0</v>
          </cell>
          <cell r="BG725">
            <v>0</v>
          </cell>
          <cell r="BH725">
            <v>0</v>
          </cell>
          <cell r="BI725">
            <v>0</v>
          </cell>
          <cell r="BK725">
            <v>0</v>
          </cell>
          <cell r="BL725">
            <v>0</v>
          </cell>
          <cell r="BM725">
            <v>0</v>
          </cell>
          <cell r="BN725">
            <v>0</v>
          </cell>
          <cell r="BO725">
            <v>0</v>
          </cell>
          <cell r="BP725">
            <v>0</v>
          </cell>
          <cell r="BQ725">
            <v>0</v>
          </cell>
          <cell r="BR725">
            <v>0</v>
          </cell>
          <cell r="BS725">
            <v>0</v>
          </cell>
          <cell r="BU725">
            <v>0</v>
          </cell>
          <cell r="BV725">
            <v>0</v>
          </cell>
          <cell r="BW725">
            <v>0</v>
          </cell>
          <cell r="BX725">
            <v>0</v>
          </cell>
          <cell r="BY725">
            <v>0</v>
          </cell>
          <cell r="BZ725">
            <v>0</v>
          </cell>
          <cell r="CA725">
            <v>0</v>
          </cell>
          <cell r="CB725">
            <v>0</v>
          </cell>
          <cell r="CC725">
            <v>0</v>
          </cell>
          <cell r="CE725">
            <v>0</v>
          </cell>
          <cell r="CF725">
            <v>0</v>
          </cell>
          <cell r="CG725">
            <v>0</v>
          </cell>
          <cell r="CH725">
            <v>0</v>
          </cell>
          <cell r="CI725">
            <v>0</v>
          </cell>
          <cell r="CJ725">
            <v>0</v>
          </cell>
          <cell r="CK725">
            <v>0</v>
          </cell>
          <cell r="CL725">
            <v>0</v>
          </cell>
          <cell r="CM725">
            <v>0</v>
          </cell>
          <cell r="CO725">
            <v>0</v>
          </cell>
          <cell r="CP725">
            <v>0</v>
          </cell>
          <cell r="CQ725">
            <v>0</v>
          </cell>
          <cell r="CR725">
            <v>0</v>
          </cell>
          <cell r="CS725">
            <v>0</v>
          </cell>
          <cell r="CT725">
            <v>0</v>
          </cell>
          <cell r="CU725">
            <v>0</v>
          </cell>
          <cell r="CV725">
            <v>0</v>
          </cell>
          <cell r="CW725">
            <v>0</v>
          </cell>
          <cell r="CY725">
            <v>0</v>
          </cell>
          <cell r="CZ725">
            <v>0</v>
          </cell>
          <cell r="DA725">
            <v>0</v>
          </cell>
          <cell r="DB725">
            <v>0</v>
          </cell>
          <cell r="DC725">
            <v>0</v>
          </cell>
          <cell r="DD725">
            <v>0</v>
          </cell>
          <cell r="DE725">
            <v>0</v>
          </cell>
          <cell r="DF725">
            <v>0</v>
          </cell>
          <cell r="DG725">
            <v>0</v>
          </cell>
          <cell r="DI725">
            <v>0</v>
          </cell>
          <cell r="DJ725">
            <v>0</v>
          </cell>
          <cell r="DK725">
            <v>0</v>
          </cell>
          <cell r="DL725">
            <v>0</v>
          </cell>
          <cell r="DM725">
            <v>0</v>
          </cell>
          <cell r="DN725">
            <v>0</v>
          </cell>
          <cell r="DO725">
            <v>0</v>
          </cell>
          <cell r="DP725">
            <v>0</v>
          </cell>
          <cell r="DQ725">
            <v>0</v>
          </cell>
          <cell r="DR725">
            <v>0</v>
          </cell>
          <cell r="DS725">
            <v>0</v>
          </cell>
          <cell r="DT725">
            <v>0</v>
          </cell>
          <cell r="DU725">
            <v>0</v>
          </cell>
          <cell r="DW725">
            <v>0</v>
          </cell>
          <cell r="DX725">
            <v>0</v>
          </cell>
          <cell r="DY725">
            <v>0</v>
          </cell>
          <cell r="DZ725">
            <v>0</v>
          </cell>
          <cell r="EA725">
            <v>0</v>
          </cell>
          <cell r="EB725">
            <v>0</v>
          </cell>
          <cell r="EC725">
            <v>0</v>
          </cell>
          <cell r="ED725">
            <v>0</v>
          </cell>
          <cell r="EE725">
            <v>0</v>
          </cell>
          <cell r="EF725">
            <v>0</v>
          </cell>
          <cell r="EG725">
            <v>0</v>
          </cell>
          <cell r="EH725">
            <v>0</v>
          </cell>
          <cell r="EI725">
            <v>0</v>
          </cell>
          <cell r="EK725">
            <v>0</v>
          </cell>
          <cell r="EL725">
            <v>0</v>
          </cell>
          <cell r="EM725">
            <v>0</v>
          </cell>
          <cell r="EN725">
            <v>0</v>
          </cell>
          <cell r="EO725">
            <v>0</v>
          </cell>
          <cell r="EP725">
            <v>0</v>
          </cell>
          <cell r="EQ725">
            <v>0</v>
          </cell>
          <cell r="ER725">
            <v>0</v>
          </cell>
          <cell r="ES725">
            <v>0</v>
          </cell>
          <cell r="ET725">
            <v>0</v>
          </cell>
          <cell r="EU725">
            <v>0</v>
          </cell>
          <cell r="EV725">
            <v>0</v>
          </cell>
          <cell r="EW725">
            <v>0</v>
          </cell>
          <cell r="EY725">
            <v>0</v>
          </cell>
          <cell r="EZ725">
            <v>8</v>
          </cell>
          <cell r="FA725">
            <v>0</v>
          </cell>
          <cell r="FB725">
            <v>0</v>
          </cell>
          <cell r="FC725">
            <v>8.6</v>
          </cell>
          <cell r="FD725">
            <v>0</v>
          </cell>
          <cell r="FE725">
            <v>0</v>
          </cell>
          <cell r="FF725">
            <v>0</v>
          </cell>
          <cell r="FH725">
            <v>0</v>
          </cell>
        </row>
        <row r="726">
          <cell r="B726">
            <v>9872</v>
          </cell>
          <cell r="C726" t="str">
            <v>01.04.2011</v>
          </cell>
          <cell r="D726" t="str">
            <v>Dhongde Anna Nivrutti</v>
          </cell>
          <cell r="F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G726">
            <v>0</v>
          </cell>
          <cell r="AH726">
            <v>0</v>
          </cell>
          <cell r="AI726">
            <v>0</v>
          </cell>
          <cell r="AJ726">
            <v>0</v>
          </cell>
          <cell r="AK726">
            <v>0</v>
          </cell>
          <cell r="AL726">
            <v>0</v>
          </cell>
          <cell r="AM726">
            <v>0</v>
          </cell>
          <cell r="AN726">
            <v>0</v>
          </cell>
          <cell r="AO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0</v>
          </cell>
          <cell r="AV726">
            <v>0</v>
          </cell>
          <cell r="AW726">
            <v>0</v>
          </cell>
          <cell r="AX726">
            <v>0</v>
          </cell>
          <cell r="AY726">
            <v>0</v>
          </cell>
          <cell r="BA726">
            <v>0</v>
          </cell>
          <cell r="BB726">
            <v>0</v>
          </cell>
          <cell r="BC726">
            <v>0</v>
          </cell>
          <cell r="BD726">
            <v>0</v>
          </cell>
          <cell r="BE726">
            <v>0</v>
          </cell>
          <cell r="BF726">
            <v>0</v>
          </cell>
          <cell r="BG726">
            <v>0</v>
          </cell>
          <cell r="BH726">
            <v>0</v>
          </cell>
          <cell r="BI726">
            <v>0</v>
          </cell>
          <cell r="BK726">
            <v>0</v>
          </cell>
          <cell r="BL726">
            <v>0</v>
          </cell>
          <cell r="BM726">
            <v>0</v>
          </cell>
          <cell r="BN726">
            <v>0</v>
          </cell>
          <cell r="BO726">
            <v>0</v>
          </cell>
          <cell r="BP726">
            <v>0</v>
          </cell>
          <cell r="BQ726">
            <v>0</v>
          </cell>
          <cell r="BR726">
            <v>0</v>
          </cell>
          <cell r="BS726">
            <v>0</v>
          </cell>
          <cell r="BU726">
            <v>0</v>
          </cell>
          <cell r="BV726">
            <v>0</v>
          </cell>
          <cell r="BW726">
            <v>0</v>
          </cell>
          <cell r="BX726">
            <v>0</v>
          </cell>
          <cell r="BY726">
            <v>0</v>
          </cell>
          <cell r="BZ726">
            <v>0</v>
          </cell>
          <cell r="CA726">
            <v>0</v>
          </cell>
          <cell r="CB726">
            <v>0</v>
          </cell>
          <cell r="CC726">
            <v>0</v>
          </cell>
          <cell r="CE726">
            <v>0</v>
          </cell>
          <cell r="CF726">
            <v>0</v>
          </cell>
          <cell r="CG726">
            <v>0</v>
          </cell>
          <cell r="CH726">
            <v>0</v>
          </cell>
          <cell r="CI726">
            <v>0</v>
          </cell>
          <cell r="CJ726">
            <v>0</v>
          </cell>
          <cell r="CK726">
            <v>0</v>
          </cell>
          <cell r="CL726">
            <v>0</v>
          </cell>
          <cell r="CM726">
            <v>0</v>
          </cell>
          <cell r="CO726">
            <v>0</v>
          </cell>
          <cell r="CP726">
            <v>0</v>
          </cell>
          <cell r="CQ726">
            <v>0</v>
          </cell>
          <cell r="CR726">
            <v>0</v>
          </cell>
          <cell r="CS726">
            <v>0</v>
          </cell>
          <cell r="CT726">
            <v>0</v>
          </cell>
          <cell r="CU726">
            <v>0</v>
          </cell>
          <cell r="CV726">
            <v>0</v>
          </cell>
          <cell r="CW726">
            <v>0</v>
          </cell>
          <cell r="CY726">
            <v>0</v>
          </cell>
          <cell r="CZ726">
            <v>0</v>
          </cell>
          <cell r="DA726">
            <v>0</v>
          </cell>
          <cell r="DB726">
            <v>0</v>
          </cell>
          <cell r="DC726">
            <v>0</v>
          </cell>
          <cell r="DD726">
            <v>0</v>
          </cell>
          <cell r="DE726">
            <v>0</v>
          </cell>
          <cell r="DF726">
            <v>0</v>
          </cell>
          <cell r="DG726">
            <v>0</v>
          </cell>
          <cell r="DI726">
            <v>0</v>
          </cell>
          <cell r="DJ726">
            <v>0</v>
          </cell>
          <cell r="DK726">
            <v>0</v>
          </cell>
          <cell r="DL726">
            <v>0</v>
          </cell>
          <cell r="DM726">
            <v>0</v>
          </cell>
          <cell r="DN726">
            <v>0</v>
          </cell>
          <cell r="DO726">
            <v>0</v>
          </cell>
          <cell r="DP726">
            <v>0</v>
          </cell>
          <cell r="DQ726">
            <v>0</v>
          </cell>
          <cell r="DR726">
            <v>0</v>
          </cell>
          <cell r="DS726">
            <v>0</v>
          </cell>
          <cell r="DT726">
            <v>0</v>
          </cell>
          <cell r="DU726">
            <v>0</v>
          </cell>
          <cell r="DW726">
            <v>0</v>
          </cell>
          <cell r="DX726">
            <v>0</v>
          </cell>
          <cell r="DY726">
            <v>0</v>
          </cell>
          <cell r="DZ726">
            <v>0</v>
          </cell>
          <cell r="EA726">
            <v>0</v>
          </cell>
          <cell r="EB726">
            <v>0</v>
          </cell>
          <cell r="EC726">
            <v>0</v>
          </cell>
          <cell r="ED726">
            <v>0</v>
          </cell>
          <cell r="EE726">
            <v>0</v>
          </cell>
          <cell r="EF726">
            <v>0</v>
          </cell>
          <cell r="EG726">
            <v>0</v>
          </cell>
          <cell r="EH726">
            <v>0</v>
          </cell>
          <cell r="EI726">
            <v>0</v>
          </cell>
          <cell r="EK726">
            <v>0</v>
          </cell>
          <cell r="EL726">
            <v>0</v>
          </cell>
          <cell r="EM726">
            <v>0</v>
          </cell>
          <cell r="EN726">
            <v>0</v>
          </cell>
          <cell r="EO726">
            <v>0</v>
          </cell>
          <cell r="EP726">
            <v>0</v>
          </cell>
          <cell r="EQ726">
            <v>0</v>
          </cell>
          <cell r="ER726">
            <v>0</v>
          </cell>
          <cell r="ES726">
            <v>0</v>
          </cell>
          <cell r="ET726">
            <v>0</v>
          </cell>
          <cell r="EU726">
            <v>0</v>
          </cell>
          <cell r="EV726">
            <v>0</v>
          </cell>
          <cell r="EW726">
            <v>0</v>
          </cell>
          <cell r="EY726">
            <v>0</v>
          </cell>
          <cell r="EZ726">
            <v>8</v>
          </cell>
          <cell r="FA726">
            <v>0</v>
          </cell>
          <cell r="FB726">
            <v>0</v>
          </cell>
          <cell r="FC726">
            <v>8.6</v>
          </cell>
          <cell r="FD726">
            <v>0</v>
          </cell>
          <cell r="FE726">
            <v>0</v>
          </cell>
          <cell r="FF726">
            <v>0</v>
          </cell>
          <cell r="FH726">
            <v>0</v>
          </cell>
        </row>
        <row r="727">
          <cell r="B727">
            <v>9849</v>
          </cell>
          <cell r="C727" t="str">
            <v>06.04.2011</v>
          </cell>
          <cell r="D727" t="str">
            <v>Ubale Anita Rajendra</v>
          </cell>
          <cell r="F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G727">
            <v>0</v>
          </cell>
          <cell r="AH727">
            <v>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0</v>
          </cell>
          <cell r="AO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BA727">
            <v>0</v>
          </cell>
          <cell r="BB727">
            <v>0</v>
          </cell>
          <cell r="BC727">
            <v>0</v>
          </cell>
          <cell r="BD727">
            <v>0</v>
          </cell>
          <cell r="BE727">
            <v>0</v>
          </cell>
          <cell r="BF727">
            <v>0</v>
          </cell>
          <cell r="BG727">
            <v>0</v>
          </cell>
          <cell r="BH727">
            <v>0</v>
          </cell>
          <cell r="BI727">
            <v>0</v>
          </cell>
          <cell r="BK727">
            <v>0</v>
          </cell>
          <cell r="BL727">
            <v>0</v>
          </cell>
          <cell r="BM727">
            <v>0</v>
          </cell>
          <cell r="BN727">
            <v>0</v>
          </cell>
          <cell r="BO727">
            <v>0</v>
          </cell>
          <cell r="BP727">
            <v>0</v>
          </cell>
          <cell r="BQ727">
            <v>0</v>
          </cell>
          <cell r="BR727">
            <v>0</v>
          </cell>
          <cell r="BS727">
            <v>0</v>
          </cell>
          <cell r="BU727">
            <v>0</v>
          </cell>
          <cell r="BV727">
            <v>0</v>
          </cell>
          <cell r="BW727">
            <v>0</v>
          </cell>
          <cell r="BX727">
            <v>0</v>
          </cell>
          <cell r="BY727">
            <v>0</v>
          </cell>
          <cell r="BZ727">
            <v>0</v>
          </cell>
          <cell r="CA727">
            <v>0</v>
          </cell>
          <cell r="CB727">
            <v>0</v>
          </cell>
          <cell r="CC727">
            <v>0</v>
          </cell>
          <cell r="CE727">
            <v>0</v>
          </cell>
          <cell r="CF727">
            <v>0</v>
          </cell>
          <cell r="CG727">
            <v>0</v>
          </cell>
          <cell r="CH727">
            <v>0</v>
          </cell>
          <cell r="CI727">
            <v>0</v>
          </cell>
          <cell r="CJ727">
            <v>0</v>
          </cell>
          <cell r="CK727">
            <v>0</v>
          </cell>
          <cell r="CL727">
            <v>0</v>
          </cell>
          <cell r="CM727">
            <v>0</v>
          </cell>
          <cell r="CO727">
            <v>0</v>
          </cell>
          <cell r="CP727">
            <v>0</v>
          </cell>
          <cell r="CQ727">
            <v>0</v>
          </cell>
          <cell r="CR727">
            <v>0</v>
          </cell>
          <cell r="CS727">
            <v>0</v>
          </cell>
          <cell r="CT727">
            <v>0</v>
          </cell>
          <cell r="CU727">
            <v>0</v>
          </cell>
          <cell r="CV727">
            <v>0</v>
          </cell>
          <cell r="CW727">
            <v>0</v>
          </cell>
          <cell r="CY727">
            <v>0</v>
          </cell>
          <cell r="CZ727">
            <v>0</v>
          </cell>
          <cell r="DA727">
            <v>0</v>
          </cell>
          <cell r="DB727">
            <v>0</v>
          </cell>
          <cell r="DC727">
            <v>0</v>
          </cell>
          <cell r="DD727">
            <v>0</v>
          </cell>
          <cell r="DE727">
            <v>0</v>
          </cell>
          <cell r="DF727">
            <v>0</v>
          </cell>
          <cell r="DG727">
            <v>0</v>
          </cell>
          <cell r="DI727">
            <v>0</v>
          </cell>
          <cell r="DJ727">
            <v>0</v>
          </cell>
          <cell r="DK727">
            <v>0</v>
          </cell>
          <cell r="DL727">
            <v>0</v>
          </cell>
          <cell r="DM727">
            <v>0</v>
          </cell>
          <cell r="DN727">
            <v>0</v>
          </cell>
          <cell r="DO727">
            <v>0</v>
          </cell>
          <cell r="DP727">
            <v>0</v>
          </cell>
          <cell r="DQ727">
            <v>0</v>
          </cell>
          <cell r="DR727">
            <v>0</v>
          </cell>
          <cell r="DS727">
            <v>0</v>
          </cell>
          <cell r="DT727">
            <v>0</v>
          </cell>
          <cell r="DU727">
            <v>0</v>
          </cell>
          <cell r="DW727">
            <v>0</v>
          </cell>
          <cell r="DX727">
            <v>0</v>
          </cell>
          <cell r="DY727">
            <v>0</v>
          </cell>
          <cell r="DZ727">
            <v>0</v>
          </cell>
          <cell r="EA727">
            <v>0</v>
          </cell>
          <cell r="EB727">
            <v>0</v>
          </cell>
          <cell r="EC727">
            <v>0</v>
          </cell>
          <cell r="ED727">
            <v>0</v>
          </cell>
          <cell r="EE727">
            <v>0</v>
          </cell>
          <cell r="EF727">
            <v>0</v>
          </cell>
          <cell r="EG727">
            <v>0</v>
          </cell>
          <cell r="EH727">
            <v>0</v>
          </cell>
          <cell r="EI727">
            <v>0</v>
          </cell>
          <cell r="EK727">
            <v>0</v>
          </cell>
          <cell r="EL727">
            <v>0</v>
          </cell>
          <cell r="EM727">
            <v>0</v>
          </cell>
          <cell r="EN727">
            <v>0</v>
          </cell>
          <cell r="EO727">
            <v>0</v>
          </cell>
          <cell r="EP727">
            <v>0</v>
          </cell>
          <cell r="EQ727">
            <v>0</v>
          </cell>
          <cell r="ER727">
            <v>0</v>
          </cell>
          <cell r="ES727">
            <v>0</v>
          </cell>
          <cell r="ET727">
            <v>0</v>
          </cell>
          <cell r="EU727">
            <v>0</v>
          </cell>
          <cell r="EV727">
            <v>0</v>
          </cell>
          <cell r="EW727">
            <v>0</v>
          </cell>
          <cell r="EY727">
            <v>0</v>
          </cell>
          <cell r="EZ727">
            <v>8</v>
          </cell>
          <cell r="FA727">
            <v>0</v>
          </cell>
          <cell r="FB727">
            <v>0</v>
          </cell>
          <cell r="FC727">
            <v>8.6</v>
          </cell>
          <cell r="FD727">
            <v>0</v>
          </cell>
          <cell r="FE727">
            <v>0</v>
          </cell>
          <cell r="FF727">
            <v>0</v>
          </cell>
          <cell r="FH727">
            <v>0</v>
          </cell>
        </row>
        <row r="728">
          <cell r="B728">
            <v>9855</v>
          </cell>
          <cell r="C728" t="str">
            <v>06.04.2011</v>
          </cell>
          <cell r="D728" t="str">
            <v>Thakare Ashwini Yashwant</v>
          </cell>
          <cell r="F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W728">
            <v>0</v>
          </cell>
          <cell r="X728">
            <v>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G728">
            <v>0</v>
          </cell>
          <cell r="AH728">
            <v>0</v>
          </cell>
          <cell r="AI728">
            <v>0</v>
          </cell>
          <cell r="AJ728">
            <v>0</v>
          </cell>
          <cell r="AK728">
            <v>0</v>
          </cell>
          <cell r="AL728">
            <v>0</v>
          </cell>
          <cell r="AM728">
            <v>0</v>
          </cell>
          <cell r="AN728">
            <v>0</v>
          </cell>
          <cell r="AO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0</v>
          </cell>
          <cell r="AV728">
            <v>0</v>
          </cell>
          <cell r="AW728">
            <v>0</v>
          </cell>
          <cell r="AX728">
            <v>0</v>
          </cell>
          <cell r="AY728">
            <v>0</v>
          </cell>
          <cell r="BA728">
            <v>0</v>
          </cell>
          <cell r="BB728">
            <v>0</v>
          </cell>
          <cell r="BC728">
            <v>0</v>
          </cell>
          <cell r="BD728">
            <v>0</v>
          </cell>
          <cell r="BE728">
            <v>0</v>
          </cell>
          <cell r="BF728">
            <v>0</v>
          </cell>
          <cell r="BG728">
            <v>0</v>
          </cell>
          <cell r="BH728">
            <v>0</v>
          </cell>
          <cell r="BI728">
            <v>0</v>
          </cell>
          <cell r="BK728">
            <v>0</v>
          </cell>
          <cell r="BL728">
            <v>0</v>
          </cell>
          <cell r="BM728">
            <v>0</v>
          </cell>
          <cell r="BN728">
            <v>0</v>
          </cell>
          <cell r="BO728">
            <v>0</v>
          </cell>
          <cell r="BP728">
            <v>0</v>
          </cell>
          <cell r="BQ728">
            <v>0</v>
          </cell>
          <cell r="BR728">
            <v>0</v>
          </cell>
          <cell r="BS728">
            <v>0</v>
          </cell>
          <cell r="BU728">
            <v>0</v>
          </cell>
          <cell r="BV728">
            <v>0</v>
          </cell>
          <cell r="BW728">
            <v>0</v>
          </cell>
          <cell r="BX728">
            <v>0</v>
          </cell>
          <cell r="BY728">
            <v>0</v>
          </cell>
          <cell r="BZ728">
            <v>0</v>
          </cell>
          <cell r="CA728">
            <v>0</v>
          </cell>
          <cell r="CB728">
            <v>0</v>
          </cell>
          <cell r="CC728">
            <v>0</v>
          </cell>
          <cell r="CE728">
            <v>0</v>
          </cell>
          <cell r="CF728">
            <v>0</v>
          </cell>
          <cell r="CG728">
            <v>0</v>
          </cell>
          <cell r="CH728">
            <v>0</v>
          </cell>
          <cell r="CI728">
            <v>0</v>
          </cell>
          <cell r="CJ728">
            <v>0</v>
          </cell>
          <cell r="CK728">
            <v>0</v>
          </cell>
          <cell r="CL728">
            <v>0</v>
          </cell>
          <cell r="CM728">
            <v>0</v>
          </cell>
          <cell r="CO728">
            <v>0</v>
          </cell>
          <cell r="CP728">
            <v>0</v>
          </cell>
          <cell r="CQ728">
            <v>0</v>
          </cell>
          <cell r="CR728">
            <v>0</v>
          </cell>
          <cell r="CS728">
            <v>0</v>
          </cell>
          <cell r="CT728">
            <v>0</v>
          </cell>
          <cell r="CU728">
            <v>0</v>
          </cell>
          <cell r="CV728">
            <v>0</v>
          </cell>
          <cell r="CW728">
            <v>0</v>
          </cell>
          <cell r="CY728">
            <v>0</v>
          </cell>
          <cell r="CZ728">
            <v>0</v>
          </cell>
          <cell r="DA728">
            <v>0</v>
          </cell>
          <cell r="DB728">
            <v>0</v>
          </cell>
          <cell r="DC728">
            <v>0</v>
          </cell>
          <cell r="DD728">
            <v>0</v>
          </cell>
          <cell r="DE728">
            <v>0</v>
          </cell>
          <cell r="DF728">
            <v>0</v>
          </cell>
          <cell r="DG728">
            <v>0</v>
          </cell>
          <cell r="DI728">
            <v>0</v>
          </cell>
          <cell r="DJ728">
            <v>0</v>
          </cell>
          <cell r="DK728">
            <v>0</v>
          </cell>
          <cell r="DL728">
            <v>0</v>
          </cell>
          <cell r="DM728">
            <v>0</v>
          </cell>
          <cell r="DN728">
            <v>0</v>
          </cell>
          <cell r="DO728">
            <v>0</v>
          </cell>
          <cell r="DP728">
            <v>0</v>
          </cell>
          <cell r="DQ728">
            <v>0</v>
          </cell>
          <cell r="DR728">
            <v>0</v>
          </cell>
          <cell r="DS728">
            <v>0</v>
          </cell>
          <cell r="DT728">
            <v>0</v>
          </cell>
          <cell r="DU728">
            <v>0</v>
          </cell>
          <cell r="DW728">
            <v>0</v>
          </cell>
          <cell r="DX728">
            <v>0</v>
          </cell>
          <cell r="DY728">
            <v>0</v>
          </cell>
          <cell r="DZ728">
            <v>0</v>
          </cell>
          <cell r="EA728">
            <v>0</v>
          </cell>
          <cell r="EB728">
            <v>0</v>
          </cell>
          <cell r="EC728">
            <v>0</v>
          </cell>
          <cell r="ED728">
            <v>0</v>
          </cell>
          <cell r="EE728">
            <v>0</v>
          </cell>
          <cell r="EF728">
            <v>0</v>
          </cell>
          <cell r="EG728">
            <v>0</v>
          </cell>
          <cell r="EH728">
            <v>0</v>
          </cell>
          <cell r="EI728">
            <v>0</v>
          </cell>
          <cell r="EK728">
            <v>0</v>
          </cell>
          <cell r="EL728">
            <v>0</v>
          </cell>
          <cell r="EM728">
            <v>0</v>
          </cell>
          <cell r="EN728">
            <v>0</v>
          </cell>
          <cell r="EO728">
            <v>0</v>
          </cell>
          <cell r="EP728">
            <v>0</v>
          </cell>
          <cell r="EQ728">
            <v>0</v>
          </cell>
          <cell r="ER728">
            <v>0</v>
          </cell>
          <cell r="ES728">
            <v>0</v>
          </cell>
          <cell r="ET728">
            <v>0</v>
          </cell>
          <cell r="EU728">
            <v>0</v>
          </cell>
          <cell r="EV728">
            <v>0</v>
          </cell>
          <cell r="EW728">
            <v>0</v>
          </cell>
          <cell r="EY728">
            <v>0</v>
          </cell>
          <cell r="EZ728">
            <v>8</v>
          </cell>
          <cell r="FA728">
            <v>0</v>
          </cell>
          <cell r="FB728">
            <v>0</v>
          </cell>
          <cell r="FC728">
            <v>8.6</v>
          </cell>
          <cell r="FD728">
            <v>0</v>
          </cell>
          <cell r="FE728">
            <v>0</v>
          </cell>
          <cell r="FF728">
            <v>0</v>
          </cell>
          <cell r="FH728">
            <v>0</v>
          </cell>
        </row>
        <row r="729">
          <cell r="B729">
            <v>9866</v>
          </cell>
          <cell r="C729" t="str">
            <v>06.04.2011</v>
          </cell>
          <cell r="D729" t="str">
            <v>Gaikwad Malati Gautam</v>
          </cell>
          <cell r="F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W729">
            <v>0</v>
          </cell>
          <cell r="X729">
            <v>0</v>
          </cell>
          <cell r="Y729">
            <v>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G729">
            <v>0</v>
          </cell>
          <cell r="AH729">
            <v>0</v>
          </cell>
          <cell r="AI729">
            <v>0</v>
          </cell>
          <cell r="AJ729">
            <v>0</v>
          </cell>
          <cell r="AK729">
            <v>0</v>
          </cell>
          <cell r="AL729">
            <v>0</v>
          </cell>
          <cell r="AM729">
            <v>0</v>
          </cell>
          <cell r="AN729">
            <v>0</v>
          </cell>
          <cell r="AO729">
            <v>0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  <cell r="AU729">
            <v>0</v>
          </cell>
          <cell r="AV729">
            <v>0</v>
          </cell>
          <cell r="AW729">
            <v>0</v>
          </cell>
          <cell r="AX729">
            <v>0</v>
          </cell>
          <cell r="AY729">
            <v>0</v>
          </cell>
          <cell r="BA729">
            <v>0</v>
          </cell>
          <cell r="BB729">
            <v>0</v>
          </cell>
          <cell r="BC729">
            <v>0</v>
          </cell>
          <cell r="BD729">
            <v>0</v>
          </cell>
          <cell r="BE729">
            <v>0</v>
          </cell>
          <cell r="BF729">
            <v>0</v>
          </cell>
          <cell r="BG729">
            <v>0</v>
          </cell>
          <cell r="BH729">
            <v>0</v>
          </cell>
          <cell r="BI729">
            <v>0</v>
          </cell>
          <cell r="BK729">
            <v>0</v>
          </cell>
          <cell r="BL729">
            <v>0</v>
          </cell>
          <cell r="BM729">
            <v>0</v>
          </cell>
          <cell r="BN729">
            <v>0</v>
          </cell>
          <cell r="BO729">
            <v>0</v>
          </cell>
          <cell r="BP729">
            <v>0</v>
          </cell>
          <cell r="BQ729">
            <v>0</v>
          </cell>
          <cell r="BR729">
            <v>0</v>
          </cell>
          <cell r="BS729">
            <v>0</v>
          </cell>
          <cell r="BU729">
            <v>0</v>
          </cell>
          <cell r="BV729">
            <v>0</v>
          </cell>
          <cell r="BW729">
            <v>0</v>
          </cell>
          <cell r="BX729">
            <v>0</v>
          </cell>
          <cell r="BY729">
            <v>0</v>
          </cell>
          <cell r="BZ729">
            <v>0</v>
          </cell>
          <cell r="CA729">
            <v>0</v>
          </cell>
          <cell r="CB729">
            <v>0</v>
          </cell>
          <cell r="CC729">
            <v>0</v>
          </cell>
          <cell r="CE729">
            <v>0</v>
          </cell>
          <cell r="CF729">
            <v>0</v>
          </cell>
          <cell r="CG729">
            <v>0</v>
          </cell>
          <cell r="CH729">
            <v>0</v>
          </cell>
          <cell r="CI729">
            <v>0</v>
          </cell>
          <cell r="CJ729">
            <v>0</v>
          </cell>
          <cell r="CK729">
            <v>0</v>
          </cell>
          <cell r="CL729">
            <v>0</v>
          </cell>
          <cell r="CM729">
            <v>0</v>
          </cell>
          <cell r="CO729">
            <v>0</v>
          </cell>
          <cell r="CP729">
            <v>0</v>
          </cell>
          <cell r="CQ729">
            <v>0</v>
          </cell>
          <cell r="CR729">
            <v>0</v>
          </cell>
          <cell r="CS729">
            <v>0</v>
          </cell>
          <cell r="CT729">
            <v>0</v>
          </cell>
          <cell r="CU729">
            <v>0</v>
          </cell>
          <cell r="CV729">
            <v>0</v>
          </cell>
          <cell r="CW729">
            <v>0</v>
          </cell>
          <cell r="CY729">
            <v>0</v>
          </cell>
          <cell r="CZ729">
            <v>0</v>
          </cell>
          <cell r="DA729">
            <v>0</v>
          </cell>
          <cell r="DB729">
            <v>0</v>
          </cell>
          <cell r="DC729">
            <v>0</v>
          </cell>
          <cell r="DD729">
            <v>0</v>
          </cell>
          <cell r="DE729">
            <v>0</v>
          </cell>
          <cell r="DF729">
            <v>0</v>
          </cell>
          <cell r="DG729">
            <v>0</v>
          </cell>
          <cell r="DI729">
            <v>0</v>
          </cell>
          <cell r="DJ729">
            <v>0</v>
          </cell>
          <cell r="DK729">
            <v>0</v>
          </cell>
          <cell r="DL729">
            <v>0</v>
          </cell>
          <cell r="DM729">
            <v>0</v>
          </cell>
          <cell r="DN729">
            <v>0</v>
          </cell>
          <cell r="DO729">
            <v>0</v>
          </cell>
          <cell r="DP729">
            <v>0</v>
          </cell>
          <cell r="DQ729">
            <v>0</v>
          </cell>
          <cell r="DR729">
            <v>0</v>
          </cell>
          <cell r="DS729">
            <v>0</v>
          </cell>
          <cell r="DT729">
            <v>0</v>
          </cell>
          <cell r="DU729">
            <v>0</v>
          </cell>
          <cell r="DW729">
            <v>0</v>
          </cell>
          <cell r="DX729">
            <v>0</v>
          </cell>
          <cell r="DY729">
            <v>0</v>
          </cell>
          <cell r="DZ729">
            <v>0</v>
          </cell>
          <cell r="EA729">
            <v>0</v>
          </cell>
          <cell r="EB729">
            <v>0</v>
          </cell>
          <cell r="EC729">
            <v>0</v>
          </cell>
          <cell r="ED729">
            <v>0</v>
          </cell>
          <cell r="EE729">
            <v>0</v>
          </cell>
          <cell r="EF729">
            <v>0</v>
          </cell>
          <cell r="EG729">
            <v>0</v>
          </cell>
          <cell r="EH729">
            <v>0</v>
          </cell>
          <cell r="EI729">
            <v>0</v>
          </cell>
          <cell r="EK729">
            <v>0</v>
          </cell>
          <cell r="EL729">
            <v>0</v>
          </cell>
          <cell r="EM729">
            <v>0</v>
          </cell>
          <cell r="EN729">
            <v>0</v>
          </cell>
          <cell r="EO729">
            <v>0</v>
          </cell>
          <cell r="EP729">
            <v>0</v>
          </cell>
          <cell r="EQ729">
            <v>0</v>
          </cell>
          <cell r="ER729">
            <v>0</v>
          </cell>
          <cell r="ES729">
            <v>0</v>
          </cell>
          <cell r="ET729">
            <v>0</v>
          </cell>
          <cell r="EU729">
            <v>0</v>
          </cell>
          <cell r="EV729">
            <v>0</v>
          </cell>
          <cell r="EW729">
            <v>0</v>
          </cell>
          <cell r="EY729">
            <v>0</v>
          </cell>
          <cell r="EZ729">
            <v>8</v>
          </cell>
          <cell r="FA729">
            <v>0</v>
          </cell>
          <cell r="FB729">
            <v>0</v>
          </cell>
          <cell r="FC729">
            <v>8.6</v>
          </cell>
          <cell r="FD729">
            <v>0</v>
          </cell>
          <cell r="FE729">
            <v>0</v>
          </cell>
          <cell r="FF729">
            <v>0</v>
          </cell>
          <cell r="FH729">
            <v>0</v>
          </cell>
        </row>
        <row r="730">
          <cell r="B730">
            <v>9870</v>
          </cell>
          <cell r="C730" t="str">
            <v>06.04.2011</v>
          </cell>
          <cell r="D730" t="str">
            <v>Kulkarni Vaibhav Vijay</v>
          </cell>
          <cell r="F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W730">
            <v>0</v>
          </cell>
          <cell r="X730">
            <v>0</v>
          </cell>
          <cell r="Y730">
            <v>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G730">
            <v>0</v>
          </cell>
          <cell r="AH730">
            <v>0</v>
          </cell>
          <cell r="AI730">
            <v>0</v>
          </cell>
          <cell r="AJ730">
            <v>0</v>
          </cell>
          <cell r="AK730">
            <v>0</v>
          </cell>
          <cell r="AL730">
            <v>0</v>
          </cell>
          <cell r="AM730">
            <v>0</v>
          </cell>
          <cell r="AN730">
            <v>0</v>
          </cell>
          <cell r="AO730">
            <v>0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>
            <v>0</v>
          </cell>
          <cell r="BA730">
            <v>0</v>
          </cell>
          <cell r="BB730">
            <v>0</v>
          </cell>
          <cell r="BC730">
            <v>0</v>
          </cell>
          <cell r="BD730">
            <v>0</v>
          </cell>
          <cell r="BE730">
            <v>0</v>
          </cell>
          <cell r="BF730">
            <v>0</v>
          </cell>
          <cell r="BG730">
            <v>0</v>
          </cell>
          <cell r="BH730">
            <v>0</v>
          </cell>
          <cell r="BI730">
            <v>0</v>
          </cell>
          <cell r="BK730">
            <v>0</v>
          </cell>
          <cell r="BL730">
            <v>0</v>
          </cell>
          <cell r="BM730">
            <v>0</v>
          </cell>
          <cell r="BN730">
            <v>0</v>
          </cell>
          <cell r="BO730">
            <v>0</v>
          </cell>
          <cell r="BP730">
            <v>0</v>
          </cell>
          <cell r="BQ730">
            <v>0</v>
          </cell>
          <cell r="BR730">
            <v>0</v>
          </cell>
          <cell r="BS730">
            <v>0</v>
          </cell>
          <cell r="BU730">
            <v>0</v>
          </cell>
          <cell r="BV730">
            <v>0</v>
          </cell>
          <cell r="BW730">
            <v>0</v>
          </cell>
          <cell r="BX730">
            <v>0</v>
          </cell>
          <cell r="BY730">
            <v>0</v>
          </cell>
          <cell r="BZ730">
            <v>0</v>
          </cell>
          <cell r="CA730">
            <v>0</v>
          </cell>
          <cell r="CB730">
            <v>0</v>
          </cell>
          <cell r="CC730">
            <v>0</v>
          </cell>
          <cell r="CE730">
            <v>0</v>
          </cell>
          <cell r="CF730">
            <v>0</v>
          </cell>
          <cell r="CG730">
            <v>0</v>
          </cell>
          <cell r="CH730">
            <v>0</v>
          </cell>
          <cell r="CI730">
            <v>0</v>
          </cell>
          <cell r="CJ730">
            <v>0</v>
          </cell>
          <cell r="CK730">
            <v>0</v>
          </cell>
          <cell r="CL730">
            <v>0</v>
          </cell>
          <cell r="CM730">
            <v>0</v>
          </cell>
          <cell r="CO730">
            <v>0</v>
          </cell>
          <cell r="CP730">
            <v>0</v>
          </cell>
          <cell r="CQ730">
            <v>0</v>
          </cell>
          <cell r="CR730">
            <v>0</v>
          </cell>
          <cell r="CS730">
            <v>0</v>
          </cell>
          <cell r="CT730">
            <v>0</v>
          </cell>
          <cell r="CU730">
            <v>0</v>
          </cell>
          <cell r="CV730">
            <v>0</v>
          </cell>
          <cell r="CW730">
            <v>0</v>
          </cell>
          <cell r="CY730">
            <v>0</v>
          </cell>
          <cell r="CZ730">
            <v>0</v>
          </cell>
          <cell r="DA730">
            <v>0</v>
          </cell>
          <cell r="DB730">
            <v>0</v>
          </cell>
          <cell r="DC730">
            <v>0</v>
          </cell>
          <cell r="DD730">
            <v>0</v>
          </cell>
          <cell r="DE730">
            <v>0</v>
          </cell>
          <cell r="DF730">
            <v>0</v>
          </cell>
          <cell r="DG730">
            <v>0</v>
          </cell>
          <cell r="DI730">
            <v>0</v>
          </cell>
          <cell r="DJ730">
            <v>0</v>
          </cell>
          <cell r="DK730">
            <v>0</v>
          </cell>
          <cell r="DL730">
            <v>0</v>
          </cell>
          <cell r="DM730">
            <v>0</v>
          </cell>
          <cell r="DN730">
            <v>0</v>
          </cell>
          <cell r="DO730">
            <v>0</v>
          </cell>
          <cell r="DP730">
            <v>0</v>
          </cell>
          <cell r="DQ730">
            <v>0</v>
          </cell>
          <cell r="DR730">
            <v>0</v>
          </cell>
          <cell r="DS730">
            <v>0</v>
          </cell>
          <cell r="DT730">
            <v>0</v>
          </cell>
          <cell r="DU730">
            <v>0</v>
          </cell>
          <cell r="DW730">
            <v>0</v>
          </cell>
          <cell r="DX730">
            <v>0</v>
          </cell>
          <cell r="DY730">
            <v>0</v>
          </cell>
          <cell r="DZ730">
            <v>0</v>
          </cell>
          <cell r="EA730">
            <v>0</v>
          </cell>
          <cell r="EB730">
            <v>0</v>
          </cell>
          <cell r="EC730">
            <v>0</v>
          </cell>
          <cell r="ED730">
            <v>0</v>
          </cell>
          <cell r="EE730">
            <v>0</v>
          </cell>
          <cell r="EF730">
            <v>0</v>
          </cell>
          <cell r="EG730">
            <v>0</v>
          </cell>
          <cell r="EH730">
            <v>0</v>
          </cell>
          <cell r="EI730">
            <v>0</v>
          </cell>
          <cell r="EK730">
            <v>0</v>
          </cell>
          <cell r="EL730">
            <v>0</v>
          </cell>
          <cell r="EM730">
            <v>0</v>
          </cell>
          <cell r="EN730">
            <v>0</v>
          </cell>
          <cell r="EO730">
            <v>0</v>
          </cell>
          <cell r="EP730">
            <v>0</v>
          </cell>
          <cell r="EQ730">
            <v>0</v>
          </cell>
          <cell r="ER730">
            <v>0</v>
          </cell>
          <cell r="ES730">
            <v>0</v>
          </cell>
          <cell r="ET730">
            <v>0</v>
          </cell>
          <cell r="EU730">
            <v>0</v>
          </cell>
          <cell r="EV730">
            <v>0</v>
          </cell>
          <cell r="EW730">
            <v>0</v>
          </cell>
          <cell r="EY730">
            <v>0</v>
          </cell>
          <cell r="EZ730">
            <v>8</v>
          </cell>
          <cell r="FA730">
            <v>0</v>
          </cell>
          <cell r="FB730">
            <v>0</v>
          </cell>
          <cell r="FC730">
            <v>8.6</v>
          </cell>
          <cell r="FD730">
            <v>0</v>
          </cell>
          <cell r="FE730">
            <v>0</v>
          </cell>
          <cell r="FF730">
            <v>0</v>
          </cell>
          <cell r="FH730">
            <v>0</v>
          </cell>
        </row>
        <row r="731">
          <cell r="B731">
            <v>9890</v>
          </cell>
          <cell r="C731" t="str">
            <v>06.04.2011</v>
          </cell>
          <cell r="D731" t="str">
            <v>Malode Asha Ratan</v>
          </cell>
          <cell r="F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G731">
            <v>0</v>
          </cell>
          <cell r="AH731">
            <v>0</v>
          </cell>
          <cell r="AI731">
            <v>0</v>
          </cell>
          <cell r="AJ731">
            <v>0</v>
          </cell>
          <cell r="AK731">
            <v>0</v>
          </cell>
          <cell r="AL731">
            <v>0</v>
          </cell>
          <cell r="AM731">
            <v>0</v>
          </cell>
          <cell r="AN731">
            <v>0</v>
          </cell>
          <cell r="AO731">
            <v>0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  <cell r="AU731">
            <v>0</v>
          </cell>
          <cell r="AV731">
            <v>0</v>
          </cell>
          <cell r="AW731">
            <v>0</v>
          </cell>
          <cell r="AX731">
            <v>0</v>
          </cell>
          <cell r="AY731">
            <v>0</v>
          </cell>
          <cell r="BA731">
            <v>0</v>
          </cell>
          <cell r="BB731">
            <v>0</v>
          </cell>
          <cell r="BC731">
            <v>0</v>
          </cell>
          <cell r="BD731">
            <v>0</v>
          </cell>
          <cell r="BE731">
            <v>0</v>
          </cell>
          <cell r="BF731">
            <v>0</v>
          </cell>
          <cell r="BG731">
            <v>0</v>
          </cell>
          <cell r="BH731">
            <v>0</v>
          </cell>
          <cell r="BI731">
            <v>0</v>
          </cell>
          <cell r="BK731">
            <v>0</v>
          </cell>
          <cell r="BL731">
            <v>0</v>
          </cell>
          <cell r="BM731">
            <v>0</v>
          </cell>
          <cell r="BN731">
            <v>0</v>
          </cell>
          <cell r="BO731">
            <v>0</v>
          </cell>
          <cell r="BP731">
            <v>0</v>
          </cell>
          <cell r="BQ731">
            <v>0</v>
          </cell>
          <cell r="BR731">
            <v>0</v>
          </cell>
          <cell r="BS731">
            <v>0</v>
          </cell>
          <cell r="BU731">
            <v>0</v>
          </cell>
          <cell r="BV731">
            <v>0</v>
          </cell>
          <cell r="BW731">
            <v>0</v>
          </cell>
          <cell r="BX731">
            <v>0</v>
          </cell>
          <cell r="BY731">
            <v>0</v>
          </cell>
          <cell r="BZ731">
            <v>0</v>
          </cell>
          <cell r="CA731">
            <v>0</v>
          </cell>
          <cell r="CB731">
            <v>0</v>
          </cell>
          <cell r="CC731">
            <v>0</v>
          </cell>
          <cell r="CE731">
            <v>0</v>
          </cell>
          <cell r="CF731">
            <v>0</v>
          </cell>
          <cell r="CG731">
            <v>0</v>
          </cell>
          <cell r="CH731">
            <v>0</v>
          </cell>
          <cell r="CI731">
            <v>0</v>
          </cell>
          <cell r="CJ731">
            <v>0</v>
          </cell>
          <cell r="CK731">
            <v>0</v>
          </cell>
          <cell r="CL731">
            <v>0</v>
          </cell>
          <cell r="CM731">
            <v>0</v>
          </cell>
          <cell r="CO731">
            <v>0</v>
          </cell>
          <cell r="CP731">
            <v>0</v>
          </cell>
          <cell r="CQ731">
            <v>0</v>
          </cell>
          <cell r="CR731">
            <v>0</v>
          </cell>
          <cell r="CS731">
            <v>0</v>
          </cell>
          <cell r="CT731">
            <v>0</v>
          </cell>
          <cell r="CU731">
            <v>0</v>
          </cell>
          <cell r="CV731">
            <v>0</v>
          </cell>
          <cell r="CW731">
            <v>0</v>
          </cell>
          <cell r="CY731">
            <v>0</v>
          </cell>
          <cell r="CZ731">
            <v>0</v>
          </cell>
          <cell r="DA731">
            <v>0</v>
          </cell>
          <cell r="DB731">
            <v>0</v>
          </cell>
          <cell r="DC731">
            <v>0</v>
          </cell>
          <cell r="DD731">
            <v>0</v>
          </cell>
          <cell r="DE731">
            <v>0</v>
          </cell>
          <cell r="DF731">
            <v>0</v>
          </cell>
          <cell r="DG731">
            <v>0</v>
          </cell>
          <cell r="DI731">
            <v>0</v>
          </cell>
          <cell r="DJ731">
            <v>0</v>
          </cell>
          <cell r="DK731">
            <v>0</v>
          </cell>
          <cell r="DL731">
            <v>0</v>
          </cell>
          <cell r="DM731">
            <v>0</v>
          </cell>
          <cell r="DN731">
            <v>0</v>
          </cell>
          <cell r="DO731">
            <v>0</v>
          </cell>
          <cell r="DP731">
            <v>0</v>
          </cell>
          <cell r="DQ731">
            <v>0</v>
          </cell>
          <cell r="DR731">
            <v>0</v>
          </cell>
          <cell r="DS731">
            <v>0</v>
          </cell>
          <cell r="DT731">
            <v>0</v>
          </cell>
          <cell r="DU731">
            <v>0</v>
          </cell>
          <cell r="DW731">
            <v>0</v>
          </cell>
          <cell r="DX731">
            <v>0</v>
          </cell>
          <cell r="DY731">
            <v>0</v>
          </cell>
          <cell r="DZ731">
            <v>0</v>
          </cell>
          <cell r="EA731">
            <v>0</v>
          </cell>
          <cell r="EB731">
            <v>0</v>
          </cell>
          <cell r="EC731">
            <v>0</v>
          </cell>
          <cell r="ED731">
            <v>0</v>
          </cell>
          <cell r="EE731">
            <v>0</v>
          </cell>
          <cell r="EF731">
            <v>0</v>
          </cell>
          <cell r="EG731">
            <v>0</v>
          </cell>
          <cell r="EH731">
            <v>0</v>
          </cell>
          <cell r="EI731">
            <v>0</v>
          </cell>
          <cell r="EK731">
            <v>0</v>
          </cell>
          <cell r="EL731">
            <v>0</v>
          </cell>
          <cell r="EM731">
            <v>0</v>
          </cell>
          <cell r="EN731">
            <v>0</v>
          </cell>
          <cell r="EO731">
            <v>0</v>
          </cell>
          <cell r="EP731">
            <v>0</v>
          </cell>
          <cell r="EQ731">
            <v>0</v>
          </cell>
          <cell r="ER731">
            <v>0</v>
          </cell>
          <cell r="ES731">
            <v>0</v>
          </cell>
          <cell r="ET731">
            <v>0</v>
          </cell>
          <cell r="EU731">
            <v>0</v>
          </cell>
          <cell r="EV731">
            <v>0</v>
          </cell>
          <cell r="EW731">
            <v>0</v>
          </cell>
          <cell r="EY731">
            <v>0</v>
          </cell>
          <cell r="EZ731">
            <v>8</v>
          </cell>
          <cell r="FA731">
            <v>0</v>
          </cell>
          <cell r="FB731">
            <v>0</v>
          </cell>
          <cell r="FC731">
            <v>8.6</v>
          </cell>
          <cell r="FD731">
            <v>0</v>
          </cell>
          <cell r="FE731">
            <v>0</v>
          </cell>
          <cell r="FF731">
            <v>0</v>
          </cell>
          <cell r="FH731">
            <v>0</v>
          </cell>
        </row>
        <row r="732">
          <cell r="B732">
            <v>10131</v>
          </cell>
          <cell r="C732" t="str">
            <v>06.04.2011</v>
          </cell>
          <cell r="D732" t="str">
            <v>Sejwal Uttam Damu</v>
          </cell>
          <cell r="F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G732">
            <v>0</v>
          </cell>
          <cell r="AH732">
            <v>0</v>
          </cell>
          <cell r="AI732">
            <v>0</v>
          </cell>
          <cell r="AJ732">
            <v>0</v>
          </cell>
          <cell r="AK732">
            <v>0</v>
          </cell>
          <cell r="AL732">
            <v>0</v>
          </cell>
          <cell r="AM732">
            <v>0</v>
          </cell>
          <cell r="AN732">
            <v>0</v>
          </cell>
          <cell r="AO732">
            <v>0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  <cell r="AU732">
            <v>0</v>
          </cell>
          <cell r="AV732">
            <v>0</v>
          </cell>
          <cell r="AW732">
            <v>0</v>
          </cell>
          <cell r="AX732">
            <v>0</v>
          </cell>
          <cell r="AY732">
            <v>0</v>
          </cell>
          <cell r="BA732">
            <v>0</v>
          </cell>
          <cell r="BB732">
            <v>0</v>
          </cell>
          <cell r="BC732">
            <v>0</v>
          </cell>
          <cell r="BD732">
            <v>0</v>
          </cell>
          <cell r="BE732">
            <v>0</v>
          </cell>
          <cell r="BF732">
            <v>0</v>
          </cell>
          <cell r="BG732">
            <v>0</v>
          </cell>
          <cell r="BH732">
            <v>0</v>
          </cell>
          <cell r="BI732">
            <v>0</v>
          </cell>
          <cell r="BK732">
            <v>0</v>
          </cell>
          <cell r="BL732">
            <v>0</v>
          </cell>
          <cell r="BM732">
            <v>0</v>
          </cell>
          <cell r="BN732">
            <v>0</v>
          </cell>
          <cell r="BO732">
            <v>0</v>
          </cell>
          <cell r="BP732">
            <v>0</v>
          </cell>
          <cell r="BQ732">
            <v>0</v>
          </cell>
          <cell r="BR732">
            <v>0</v>
          </cell>
          <cell r="BS732">
            <v>0</v>
          </cell>
          <cell r="BU732">
            <v>0</v>
          </cell>
          <cell r="BV732">
            <v>0</v>
          </cell>
          <cell r="BW732">
            <v>0</v>
          </cell>
          <cell r="BX732">
            <v>0</v>
          </cell>
          <cell r="BY732">
            <v>0</v>
          </cell>
          <cell r="BZ732">
            <v>0</v>
          </cell>
          <cell r="CA732">
            <v>0</v>
          </cell>
          <cell r="CB732">
            <v>0</v>
          </cell>
          <cell r="CC732">
            <v>0</v>
          </cell>
          <cell r="CE732">
            <v>0</v>
          </cell>
          <cell r="CF732">
            <v>0</v>
          </cell>
          <cell r="CG732">
            <v>0</v>
          </cell>
          <cell r="CH732">
            <v>0</v>
          </cell>
          <cell r="CI732">
            <v>0</v>
          </cell>
          <cell r="CJ732">
            <v>0</v>
          </cell>
          <cell r="CK732">
            <v>0</v>
          </cell>
          <cell r="CL732">
            <v>0</v>
          </cell>
          <cell r="CM732">
            <v>0</v>
          </cell>
          <cell r="CO732">
            <v>0</v>
          </cell>
          <cell r="CP732">
            <v>0</v>
          </cell>
          <cell r="CQ732">
            <v>0</v>
          </cell>
          <cell r="CR732">
            <v>0</v>
          </cell>
          <cell r="CS732">
            <v>0</v>
          </cell>
          <cell r="CT732">
            <v>0</v>
          </cell>
          <cell r="CU732">
            <v>0</v>
          </cell>
          <cell r="CV732">
            <v>0</v>
          </cell>
          <cell r="CW732">
            <v>0</v>
          </cell>
          <cell r="CY732">
            <v>0</v>
          </cell>
          <cell r="CZ732">
            <v>0</v>
          </cell>
          <cell r="DA732">
            <v>0</v>
          </cell>
          <cell r="DB732">
            <v>0</v>
          </cell>
          <cell r="DC732">
            <v>0</v>
          </cell>
          <cell r="DD732">
            <v>0</v>
          </cell>
          <cell r="DE732">
            <v>0</v>
          </cell>
          <cell r="DF732">
            <v>0</v>
          </cell>
          <cell r="DG732">
            <v>0</v>
          </cell>
          <cell r="DI732">
            <v>0</v>
          </cell>
          <cell r="DJ732">
            <v>0</v>
          </cell>
          <cell r="DK732">
            <v>0</v>
          </cell>
          <cell r="DL732">
            <v>0</v>
          </cell>
          <cell r="DM732">
            <v>0</v>
          </cell>
          <cell r="DN732">
            <v>0</v>
          </cell>
          <cell r="DO732">
            <v>0</v>
          </cell>
          <cell r="DP732">
            <v>0</v>
          </cell>
          <cell r="DQ732">
            <v>0</v>
          </cell>
          <cell r="DR732">
            <v>0</v>
          </cell>
          <cell r="DS732">
            <v>0</v>
          </cell>
          <cell r="DT732">
            <v>0</v>
          </cell>
          <cell r="DU732">
            <v>0</v>
          </cell>
          <cell r="DW732">
            <v>0</v>
          </cell>
          <cell r="DX732">
            <v>0</v>
          </cell>
          <cell r="DY732">
            <v>0</v>
          </cell>
          <cell r="DZ732">
            <v>0</v>
          </cell>
          <cell r="EA732">
            <v>0</v>
          </cell>
          <cell r="EB732">
            <v>0</v>
          </cell>
          <cell r="EC732">
            <v>0</v>
          </cell>
          <cell r="ED732">
            <v>0</v>
          </cell>
          <cell r="EE732">
            <v>0</v>
          </cell>
          <cell r="EF732">
            <v>0</v>
          </cell>
          <cell r="EG732">
            <v>0</v>
          </cell>
          <cell r="EH732">
            <v>0</v>
          </cell>
          <cell r="EI732">
            <v>0</v>
          </cell>
          <cell r="EK732">
            <v>0</v>
          </cell>
          <cell r="EL732">
            <v>0</v>
          </cell>
          <cell r="EM732">
            <v>0</v>
          </cell>
          <cell r="EN732">
            <v>0</v>
          </cell>
          <cell r="EO732">
            <v>0</v>
          </cell>
          <cell r="EP732">
            <v>0</v>
          </cell>
          <cell r="EQ732">
            <v>0</v>
          </cell>
          <cell r="ER732">
            <v>0</v>
          </cell>
          <cell r="ES732">
            <v>0</v>
          </cell>
          <cell r="ET732">
            <v>0</v>
          </cell>
          <cell r="EU732">
            <v>0</v>
          </cell>
          <cell r="EV732">
            <v>0</v>
          </cell>
          <cell r="EW732">
            <v>0</v>
          </cell>
          <cell r="EY732">
            <v>0</v>
          </cell>
          <cell r="EZ732">
            <v>8</v>
          </cell>
          <cell r="FA732">
            <v>0</v>
          </cell>
          <cell r="FB732">
            <v>0</v>
          </cell>
          <cell r="FC732">
            <v>8.6</v>
          </cell>
          <cell r="FD732">
            <v>0</v>
          </cell>
          <cell r="FE732">
            <v>0</v>
          </cell>
          <cell r="FF732">
            <v>0</v>
          </cell>
          <cell r="FH732">
            <v>0</v>
          </cell>
        </row>
        <row r="733">
          <cell r="B733">
            <v>9876</v>
          </cell>
          <cell r="C733" t="str">
            <v>11.04.2011</v>
          </cell>
          <cell r="D733" t="str">
            <v>Punghera Sunil Amara</v>
          </cell>
          <cell r="F733">
            <v>0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G733">
            <v>0</v>
          </cell>
          <cell r="AH733">
            <v>0</v>
          </cell>
          <cell r="AI733">
            <v>0</v>
          </cell>
          <cell r="AJ733">
            <v>0</v>
          </cell>
          <cell r="AK733">
            <v>0</v>
          </cell>
          <cell r="AL733">
            <v>0</v>
          </cell>
          <cell r="AM733">
            <v>0</v>
          </cell>
          <cell r="AN733">
            <v>0</v>
          </cell>
          <cell r="AO733">
            <v>0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  <cell r="AU733">
            <v>0</v>
          </cell>
          <cell r="AV733">
            <v>0</v>
          </cell>
          <cell r="AW733">
            <v>0</v>
          </cell>
          <cell r="AX733">
            <v>0</v>
          </cell>
          <cell r="AY733">
            <v>0</v>
          </cell>
          <cell r="BA733">
            <v>0</v>
          </cell>
          <cell r="BB733">
            <v>0</v>
          </cell>
          <cell r="BC733">
            <v>0</v>
          </cell>
          <cell r="BD733">
            <v>0</v>
          </cell>
          <cell r="BE733">
            <v>0</v>
          </cell>
          <cell r="BF733">
            <v>0</v>
          </cell>
          <cell r="BG733">
            <v>0</v>
          </cell>
          <cell r="BH733">
            <v>0</v>
          </cell>
          <cell r="BI733">
            <v>0</v>
          </cell>
          <cell r="BK733">
            <v>0</v>
          </cell>
          <cell r="BL733">
            <v>0</v>
          </cell>
          <cell r="BM733">
            <v>0</v>
          </cell>
          <cell r="BN733">
            <v>0</v>
          </cell>
          <cell r="BO733">
            <v>0</v>
          </cell>
          <cell r="BP733">
            <v>0</v>
          </cell>
          <cell r="BQ733">
            <v>0</v>
          </cell>
          <cell r="BR733">
            <v>0</v>
          </cell>
          <cell r="BS733">
            <v>0</v>
          </cell>
          <cell r="BU733">
            <v>0</v>
          </cell>
          <cell r="BV733">
            <v>0</v>
          </cell>
          <cell r="BW733">
            <v>0</v>
          </cell>
          <cell r="BX733">
            <v>0</v>
          </cell>
          <cell r="BY733">
            <v>0</v>
          </cell>
          <cell r="BZ733">
            <v>0</v>
          </cell>
          <cell r="CA733">
            <v>0</v>
          </cell>
          <cell r="CB733">
            <v>0</v>
          </cell>
          <cell r="CC733">
            <v>0</v>
          </cell>
          <cell r="CE733">
            <v>0</v>
          </cell>
          <cell r="CF733">
            <v>0</v>
          </cell>
          <cell r="CG733">
            <v>0</v>
          </cell>
          <cell r="CH733">
            <v>0</v>
          </cell>
          <cell r="CI733">
            <v>0</v>
          </cell>
          <cell r="CJ733">
            <v>0</v>
          </cell>
          <cell r="CK733">
            <v>0</v>
          </cell>
          <cell r="CL733">
            <v>0</v>
          </cell>
          <cell r="CM733">
            <v>0</v>
          </cell>
          <cell r="CO733">
            <v>0</v>
          </cell>
          <cell r="CP733">
            <v>0</v>
          </cell>
          <cell r="CQ733">
            <v>0</v>
          </cell>
          <cell r="CR733">
            <v>0</v>
          </cell>
          <cell r="CS733">
            <v>0</v>
          </cell>
          <cell r="CT733">
            <v>0</v>
          </cell>
          <cell r="CU733">
            <v>0</v>
          </cell>
          <cell r="CV733">
            <v>0</v>
          </cell>
          <cell r="CW733">
            <v>0</v>
          </cell>
          <cell r="CY733">
            <v>0</v>
          </cell>
          <cell r="CZ733">
            <v>0</v>
          </cell>
          <cell r="DA733">
            <v>0</v>
          </cell>
          <cell r="DB733">
            <v>0</v>
          </cell>
          <cell r="DC733">
            <v>0</v>
          </cell>
          <cell r="DD733">
            <v>0</v>
          </cell>
          <cell r="DE733">
            <v>0</v>
          </cell>
          <cell r="DF733">
            <v>0</v>
          </cell>
          <cell r="DG733">
            <v>0</v>
          </cell>
          <cell r="DI733">
            <v>0</v>
          </cell>
          <cell r="DJ733">
            <v>0</v>
          </cell>
          <cell r="DK733">
            <v>0</v>
          </cell>
          <cell r="DL733">
            <v>0</v>
          </cell>
          <cell r="DM733">
            <v>0</v>
          </cell>
          <cell r="DN733">
            <v>0</v>
          </cell>
          <cell r="DO733">
            <v>0</v>
          </cell>
          <cell r="DP733">
            <v>0</v>
          </cell>
          <cell r="DQ733">
            <v>0</v>
          </cell>
          <cell r="DR733">
            <v>0</v>
          </cell>
          <cell r="DS733">
            <v>0</v>
          </cell>
          <cell r="DT733">
            <v>0</v>
          </cell>
          <cell r="DU733">
            <v>0</v>
          </cell>
          <cell r="DW733">
            <v>0</v>
          </cell>
          <cell r="DX733">
            <v>0</v>
          </cell>
          <cell r="DY733">
            <v>0</v>
          </cell>
          <cell r="DZ733">
            <v>0</v>
          </cell>
          <cell r="EA733">
            <v>0</v>
          </cell>
          <cell r="EB733">
            <v>0</v>
          </cell>
          <cell r="EC733">
            <v>0</v>
          </cell>
          <cell r="ED733">
            <v>0</v>
          </cell>
          <cell r="EE733">
            <v>0</v>
          </cell>
          <cell r="EF733">
            <v>0</v>
          </cell>
          <cell r="EG733">
            <v>0</v>
          </cell>
          <cell r="EH733">
            <v>0</v>
          </cell>
          <cell r="EI733">
            <v>0</v>
          </cell>
          <cell r="EK733">
            <v>0</v>
          </cell>
          <cell r="EL733">
            <v>0</v>
          </cell>
          <cell r="EM733">
            <v>0</v>
          </cell>
          <cell r="EN733">
            <v>0</v>
          </cell>
          <cell r="EO733">
            <v>0</v>
          </cell>
          <cell r="EP733">
            <v>0</v>
          </cell>
          <cell r="EQ733">
            <v>0</v>
          </cell>
          <cell r="ER733">
            <v>0</v>
          </cell>
          <cell r="ES733">
            <v>0</v>
          </cell>
          <cell r="ET733">
            <v>0</v>
          </cell>
          <cell r="EU733">
            <v>0</v>
          </cell>
          <cell r="EV733">
            <v>0</v>
          </cell>
          <cell r="EW733">
            <v>0</v>
          </cell>
          <cell r="EY733">
            <v>0</v>
          </cell>
          <cell r="EZ733">
            <v>8</v>
          </cell>
          <cell r="FA733">
            <v>0</v>
          </cell>
          <cell r="FB733">
            <v>0</v>
          </cell>
          <cell r="FC733">
            <v>8.6</v>
          </cell>
          <cell r="FD733">
            <v>0</v>
          </cell>
          <cell r="FE733">
            <v>0</v>
          </cell>
          <cell r="FF733">
            <v>0</v>
          </cell>
          <cell r="FH733">
            <v>0</v>
          </cell>
        </row>
        <row r="734">
          <cell r="B734">
            <v>9863</v>
          </cell>
          <cell r="C734" t="str">
            <v>12.04.2011</v>
          </cell>
          <cell r="D734" t="str">
            <v>Bare Pushkar Nana</v>
          </cell>
          <cell r="F734">
            <v>0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G734">
            <v>0</v>
          </cell>
          <cell r="AH734">
            <v>0</v>
          </cell>
          <cell r="AI734">
            <v>0</v>
          </cell>
          <cell r="AJ734">
            <v>0</v>
          </cell>
          <cell r="AK734">
            <v>0</v>
          </cell>
          <cell r="AL734">
            <v>0</v>
          </cell>
          <cell r="AM734">
            <v>0</v>
          </cell>
          <cell r="AN734">
            <v>0</v>
          </cell>
          <cell r="AO734">
            <v>0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  <cell r="AU734">
            <v>0</v>
          </cell>
          <cell r="AV734">
            <v>0</v>
          </cell>
          <cell r="AW734">
            <v>0</v>
          </cell>
          <cell r="AX734">
            <v>0</v>
          </cell>
          <cell r="AY734">
            <v>0</v>
          </cell>
          <cell r="BA734">
            <v>0</v>
          </cell>
          <cell r="BB734">
            <v>0</v>
          </cell>
          <cell r="BC734">
            <v>0</v>
          </cell>
          <cell r="BD734">
            <v>0</v>
          </cell>
          <cell r="BE734">
            <v>0</v>
          </cell>
          <cell r="BF734">
            <v>0</v>
          </cell>
          <cell r="BG734">
            <v>0</v>
          </cell>
          <cell r="BH734">
            <v>0</v>
          </cell>
          <cell r="BI734">
            <v>0</v>
          </cell>
          <cell r="BK734">
            <v>0</v>
          </cell>
          <cell r="BL734">
            <v>0</v>
          </cell>
          <cell r="BM734">
            <v>0</v>
          </cell>
          <cell r="BN734">
            <v>0</v>
          </cell>
          <cell r="BO734">
            <v>0</v>
          </cell>
          <cell r="BP734">
            <v>0</v>
          </cell>
          <cell r="BQ734">
            <v>0</v>
          </cell>
          <cell r="BR734">
            <v>0</v>
          </cell>
          <cell r="BS734">
            <v>0</v>
          </cell>
          <cell r="BU734">
            <v>0</v>
          </cell>
          <cell r="BV734">
            <v>0</v>
          </cell>
          <cell r="BW734">
            <v>0</v>
          </cell>
          <cell r="BX734">
            <v>0</v>
          </cell>
          <cell r="BY734">
            <v>0</v>
          </cell>
          <cell r="BZ734">
            <v>0</v>
          </cell>
          <cell r="CA734">
            <v>0</v>
          </cell>
          <cell r="CB734">
            <v>0</v>
          </cell>
          <cell r="CC734">
            <v>0</v>
          </cell>
          <cell r="CE734">
            <v>0</v>
          </cell>
          <cell r="CF734">
            <v>0</v>
          </cell>
          <cell r="CG734">
            <v>0</v>
          </cell>
          <cell r="CH734">
            <v>0</v>
          </cell>
          <cell r="CI734">
            <v>0</v>
          </cell>
          <cell r="CJ734">
            <v>0</v>
          </cell>
          <cell r="CK734">
            <v>0</v>
          </cell>
          <cell r="CL734">
            <v>0</v>
          </cell>
          <cell r="CM734">
            <v>0</v>
          </cell>
          <cell r="CO734">
            <v>0</v>
          </cell>
          <cell r="CP734">
            <v>0</v>
          </cell>
          <cell r="CQ734">
            <v>0</v>
          </cell>
          <cell r="CR734">
            <v>0</v>
          </cell>
          <cell r="CS734">
            <v>0</v>
          </cell>
          <cell r="CT734">
            <v>0</v>
          </cell>
          <cell r="CU734">
            <v>0</v>
          </cell>
          <cell r="CV734">
            <v>0</v>
          </cell>
          <cell r="CW734">
            <v>0</v>
          </cell>
          <cell r="CY734">
            <v>0</v>
          </cell>
          <cell r="CZ734">
            <v>0</v>
          </cell>
          <cell r="DA734">
            <v>0</v>
          </cell>
          <cell r="DB734">
            <v>0</v>
          </cell>
          <cell r="DC734">
            <v>0</v>
          </cell>
          <cell r="DD734">
            <v>0</v>
          </cell>
          <cell r="DE734">
            <v>0</v>
          </cell>
          <cell r="DF734">
            <v>0</v>
          </cell>
          <cell r="DG734">
            <v>0</v>
          </cell>
          <cell r="DI734">
            <v>0</v>
          </cell>
          <cell r="DJ734">
            <v>0</v>
          </cell>
          <cell r="DK734">
            <v>0</v>
          </cell>
          <cell r="DL734">
            <v>0</v>
          </cell>
          <cell r="DM734">
            <v>0</v>
          </cell>
          <cell r="DN734">
            <v>0</v>
          </cell>
          <cell r="DO734">
            <v>0</v>
          </cell>
          <cell r="DP734">
            <v>0</v>
          </cell>
          <cell r="DQ734">
            <v>0</v>
          </cell>
          <cell r="DR734">
            <v>0</v>
          </cell>
          <cell r="DS734">
            <v>0</v>
          </cell>
          <cell r="DT734">
            <v>0</v>
          </cell>
          <cell r="DU734">
            <v>0</v>
          </cell>
          <cell r="DW734">
            <v>0</v>
          </cell>
          <cell r="DX734">
            <v>0</v>
          </cell>
          <cell r="DY734">
            <v>0</v>
          </cell>
          <cell r="DZ734">
            <v>0</v>
          </cell>
          <cell r="EA734">
            <v>0</v>
          </cell>
          <cell r="EB734">
            <v>0</v>
          </cell>
          <cell r="EC734">
            <v>0</v>
          </cell>
          <cell r="ED734">
            <v>0</v>
          </cell>
          <cell r="EE734">
            <v>0</v>
          </cell>
          <cell r="EF734">
            <v>0</v>
          </cell>
          <cell r="EG734">
            <v>0</v>
          </cell>
          <cell r="EH734">
            <v>0</v>
          </cell>
          <cell r="EI734">
            <v>0</v>
          </cell>
          <cell r="EK734">
            <v>0</v>
          </cell>
          <cell r="EL734">
            <v>0</v>
          </cell>
          <cell r="EM734">
            <v>0</v>
          </cell>
          <cell r="EN734">
            <v>0</v>
          </cell>
          <cell r="EO734">
            <v>0</v>
          </cell>
          <cell r="EP734">
            <v>0</v>
          </cell>
          <cell r="EQ734">
            <v>0</v>
          </cell>
          <cell r="ER734">
            <v>0</v>
          </cell>
          <cell r="ES734">
            <v>0</v>
          </cell>
          <cell r="ET734">
            <v>0</v>
          </cell>
          <cell r="EU734">
            <v>0</v>
          </cell>
          <cell r="EV734">
            <v>0</v>
          </cell>
          <cell r="EW734">
            <v>0</v>
          </cell>
          <cell r="EY734">
            <v>0</v>
          </cell>
          <cell r="EZ734">
            <v>8</v>
          </cell>
          <cell r="FA734">
            <v>0</v>
          </cell>
          <cell r="FB734">
            <v>0</v>
          </cell>
          <cell r="FC734">
            <v>8.6</v>
          </cell>
          <cell r="FD734">
            <v>0</v>
          </cell>
          <cell r="FE734">
            <v>0</v>
          </cell>
          <cell r="FF734">
            <v>0</v>
          </cell>
          <cell r="FH734">
            <v>0</v>
          </cell>
        </row>
        <row r="735">
          <cell r="B735">
            <v>9874</v>
          </cell>
          <cell r="C735" t="str">
            <v>13.04.2011</v>
          </cell>
          <cell r="D735" t="str">
            <v>Chavan Abhay Sharma</v>
          </cell>
          <cell r="F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G735">
            <v>0</v>
          </cell>
          <cell r="AH735">
            <v>0</v>
          </cell>
          <cell r="AI735">
            <v>0</v>
          </cell>
          <cell r="AJ735">
            <v>0</v>
          </cell>
          <cell r="AK735">
            <v>0</v>
          </cell>
          <cell r="AL735">
            <v>0</v>
          </cell>
          <cell r="AM735">
            <v>0</v>
          </cell>
          <cell r="AN735">
            <v>0</v>
          </cell>
          <cell r="AO735">
            <v>0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  <cell r="AU735">
            <v>0</v>
          </cell>
          <cell r="AV735">
            <v>0</v>
          </cell>
          <cell r="AW735">
            <v>0</v>
          </cell>
          <cell r="AX735">
            <v>0</v>
          </cell>
          <cell r="AY735">
            <v>0</v>
          </cell>
          <cell r="BA735">
            <v>0</v>
          </cell>
          <cell r="BB735">
            <v>0</v>
          </cell>
          <cell r="BC735">
            <v>0</v>
          </cell>
          <cell r="BD735">
            <v>0</v>
          </cell>
          <cell r="BE735">
            <v>0</v>
          </cell>
          <cell r="BF735">
            <v>0</v>
          </cell>
          <cell r="BG735">
            <v>0</v>
          </cell>
          <cell r="BH735">
            <v>0</v>
          </cell>
          <cell r="BI735">
            <v>0</v>
          </cell>
          <cell r="BK735">
            <v>0</v>
          </cell>
          <cell r="BL735">
            <v>0</v>
          </cell>
          <cell r="BM735">
            <v>0</v>
          </cell>
          <cell r="BN735">
            <v>0</v>
          </cell>
          <cell r="BO735">
            <v>0</v>
          </cell>
          <cell r="BP735">
            <v>0</v>
          </cell>
          <cell r="BQ735">
            <v>0</v>
          </cell>
          <cell r="BR735">
            <v>0</v>
          </cell>
          <cell r="BS735">
            <v>0</v>
          </cell>
          <cell r="BU735">
            <v>0</v>
          </cell>
          <cell r="BV735">
            <v>0</v>
          </cell>
          <cell r="BW735">
            <v>0</v>
          </cell>
          <cell r="BX735">
            <v>0</v>
          </cell>
          <cell r="BY735">
            <v>0</v>
          </cell>
          <cell r="BZ735">
            <v>0</v>
          </cell>
          <cell r="CA735">
            <v>0</v>
          </cell>
          <cell r="CB735">
            <v>0</v>
          </cell>
          <cell r="CC735">
            <v>0</v>
          </cell>
          <cell r="CE735">
            <v>0</v>
          </cell>
          <cell r="CF735">
            <v>0</v>
          </cell>
          <cell r="CG735">
            <v>0</v>
          </cell>
          <cell r="CH735">
            <v>0</v>
          </cell>
          <cell r="CI735">
            <v>0</v>
          </cell>
          <cell r="CJ735">
            <v>0</v>
          </cell>
          <cell r="CK735">
            <v>0</v>
          </cell>
          <cell r="CL735">
            <v>0</v>
          </cell>
          <cell r="CM735">
            <v>0</v>
          </cell>
          <cell r="CO735">
            <v>0</v>
          </cell>
          <cell r="CP735">
            <v>0</v>
          </cell>
          <cell r="CQ735">
            <v>0</v>
          </cell>
          <cell r="CR735">
            <v>0</v>
          </cell>
          <cell r="CS735">
            <v>0</v>
          </cell>
          <cell r="CT735">
            <v>0</v>
          </cell>
          <cell r="CU735">
            <v>0</v>
          </cell>
          <cell r="CV735">
            <v>0</v>
          </cell>
          <cell r="CW735">
            <v>0</v>
          </cell>
          <cell r="CY735">
            <v>0</v>
          </cell>
          <cell r="CZ735">
            <v>0</v>
          </cell>
          <cell r="DA735">
            <v>0</v>
          </cell>
          <cell r="DB735">
            <v>0</v>
          </cell>
          <cell r="DC735">
            <v>0</v>
          </cell>
          <cell r="DD735">
            <v>0</v>
          </cell>
          <cell r="DE735">
            <v>0</v>
          </cell>
          <cell r="DF735">
            <v>0</v>
          </cell>
          <cell r="DG735">
            <v>0</v>
          </cell>
          <cell r="DI735">
            <v>0</v>
          </cell>
          <cell r="DJ735">
            <v>0</v>
          </cell>
          <cell r="DK735">
            <v>0</v>
          </cell>
          <cell r="DL735">
            <v>0</v>
          </cell>
          <cell r="DM735">
            <v>0</v>
          </cell>
          <cell r="DN735">
            <v>0</v>
          </cell>
          <cell r="DO735">
            <v>0</v>
          </cell>
          <cell r="DP735">
            <v>0</v>
          </cell>
          <cell r="DQ735">
            <v>0</v>
          </cell>
          <cell r="DR735">
            <v>0</v>
          </cell>
          <cell r="DS735">
            <v>0</v>
          </cell>
          <cell r="DT735">
            <v>0</v>
          </cell>
          <cell r="DU735">
            <v>0</v>
          </cell>
          <cell r="DW735">
            <v>0</v>
          </cell>
          <cell r="DX735">
            <v>0</v>
          </cell>
          <cell r="DY735">
            <v>0</v>
          </cell>
          <cell r="DZ735">
            <v>0</v>
          </cell>
          <cell r="EA735">
            <v>0</v>
          </cell>
          <cell r="EB735">
            <v>0</v>
          </cell>
          <cell r="EC735">
            <v>0</v>
          </cell>
          <cell r="ED735">
            <v>0</v>
          </cell>
          <cell r="EE735">
            <v>0</v>
          </cell>
          <cell r="EF735">
            <v>0</v>
          </cell>
          <cell r="EG735">
            <v>0</v>
          </cell>
          <cell r="EH735">
            <v>0</v>
          </cell>
          <cell r="EI735">
            <v>0</v>
          </cell>
          <cell r="EK735">
            <v>0</v>
          </cell>
          <cell r="EL735">
            <v>0</v>
          </cell>
          <cell r="EM735">
            <v>0</v>
          </cell>
          <cell r="EN735">
            <v>0</v>
          </cell>
          <cell r="EO735">
            <v>0</v>
          </cell>
          <cell r="EP735">
            <v>0</v>
          </cell>
          <cell r="EQ735">
            <v>0</v>
          </cell>
          <cell r="ER735">
            <v>0</v>
          </cell>
          <cell r="ES735">
            <v>0</v>
          </cell>
          <cell r="ET735">
            <v>0</v>
          </cell>
          <cell r="EU735">
            <v>0</v>
          </cell>
          <cell r="EV735">
            <v>0</v>
          </cell>
          <cell r="EW735">
            <v>0</v>
          </cell>
          <cell r="EY735">
            <v>0</v>
          </cell>
          <cell r="EZ735">
            <v>8</v>
          </cell>
          <cell r="FA735">
            <v>0</v>
          </cell>
          <cell r="FB735">
            <v>0</v>
          </cell>
          <cell r="FC735">
            <v>8.6</v>
          </cell>
          <cell r="FD735">
            <v>0</v>
          </cell>
          <cell r="FE735">
            <v>0</v>
          </cell>
          <cell r="FF735">
            <v>0</v>
          </cell>
          <cell r="FH735">
            <v>0</v>
          </cell>
        </row>
        <row r="736">
          <cell r="B736">
            <v>9857</v>
          </cell>
          <cell r="C736" t="str">
            <v>15.04.2011</v>
          </cell>
          <cell r="D736" t="str">
            <v>Borade Pallavi Hemant</v>
          </cell>
          <cell r="F736">
            <v>0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G736">
            <v>0</v>
          </cell>
          <cell r="AH736">
            <v>0</v>
          </cell>
          <cell r="AI736">
            <v>0</v>
          </cell>
          <cell r="AJ736">
            <v>0</v>
          </cell>
          <cell r="AK736">
            <v>0</v>
          </cell>
          <cell r="AL736">
            <v>0</v>
          </cell>
          <cell r="AM736">
            <v>0</v>
          </cell>
          <cell r="AN736">
            <v>0</v>
          </cell>
          <cell r="AO736">
            <v>0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  <cell r="AU736">
            <v>0</v>
          </cell>
          <cell r="AV736">
            <v>0</v>
          </cell>
          <cell r="AW736">
            <v>0</v>
          </cell>
          <cell r="AX736">
            <v>0</v>
          </cell>
          <cell r="AY736">
            <v>0</v>
          </cell>
          <cell r="BA736">
            <v>0</v>
          </cell>
          <cell r="BB736">
            <v>0</v>
          </cell>
          <cell r="BC736">
            <v>0</v>
          </cell>
          <cell r="BD736">
            <v>0</v>
          </cell>
          <cell r="BE736">
            <v>0</v>
          </cell>
          <cell r="BF736">
            <v>0</v>
          </cell>
          <cell r="BG736">
            <v>0</v>
          </cell>
          <cell r="BH736">
            <v>0</v>
          </cell>
          <cell r="BI736">
            <v>0</v>
          </cell>
          <cell r="BK736">
            <v>0</v>
          </cell>
          <cell r="BL736">
            <v>0</v>
          </cell>
          <cell r="BM736">
            <v>0</v>
          </cell>
          <cell r="BN736">
            <v>0</v>
          </cell>
          <cell r="BO736">
            <v>0</v>
          </cell>
          <cell r="BP736">
            <v>0</v>
          </cell>
          <cell r="BQ736">
            <v>0</v>
          </cell>
          <cell r="BR736">
            <v>0</v>
          </cell>
          <cell r="BS736">
            <v>0</v>
          </cell>
          <cell r="BU736">
            <v>0</v>
          </cell>
          <cell r="BV736">
            <v>0</v>
          </cell>
          <cell r="BW736">
            <v>0</v>
          </cell>
          <cell r="BX736">
            <v>0</v>
          </cell>
          <cell r="BY736">
            <v>0</v>
          </cell>
          <cell r="BZ736">
            <v>0</v>
          </cell>
          <cell r="CA736">
            <v>0</v>
          </cell>
          <cell r="CB736">
            <v>0</v>
          </cell>
          <cell r="CC736">
            <v>0</v>
          </cell>
          <cell r="CE736">
            <v>0</v>
          </cell>
          <cell r="CF736">
            <v>0</v>
          </cell>
          <cell r="CG736">
            <v>0</v>
          </cell>
          <cell r="CH736">
            <v>0</v>
          </cell>
          <cell r="CI736">
            <v>0</v>
          </cell>
          <cell r="CJ736">
            <v>0</v>
          </cell>
          <cell r="CK736">
            <v>0</v>
          </cell>
          <cell r="CL736">
            <v>0</v>
          </cell>
          <cell r="CM736">
            <v>0</v>
          </cell>
          <cell r="CO736">
            <v>0</v>
          </cell>
          <cell r="CP736">
            <v>0</v>
          </cell>
          <cell r="CQ736">
            <v>0</v>
          </cell>
          <cell r="CR736">
            <v>0</v>
          </cell>
          <cell r="CS736">
            <v>0</v>
          </cell>
          <cell r="CT736">
            <v>0</v>
          </cell>
          <cell r="CU736">
            <v>0</v>
          </cell>
          <cell r="CV736">
            <v>0</v>
          </cell>
          <cell r="CW736">
            <v>0</v>
          </cell>
          <cell r="CY736">
            <v>0</v>
          </cell>
          <cell r="CZ736">
            <v>0</v>
          </cell>
          <cell r="DA736">
            <v>0</v>
          </cell>
          <cell r="DB736">
            <v>0</v>
          </cell>
          <cell r="DC736">
            <v>0</v>
          </cell>
          <cell r="DD736">
            <v>0</v>
          </cell>
          <cell r="DE736">
            <v>0</v>
          </cell>
          <cell r="DF736">
            <v>0</v>
          </cell>
          <cell r="DG736">
            <v>0</v>
          </cell>
          <cell r="DI736">
            <v>0</v>
          </cell>
          <cell r="DJ736">
            <v>0</v>
          </cell>
          <cell r="DK736">
            <v>0</v>
          </cell>
          <cell r="DL736">
            <v>0</v>
          </cell>
          <cell r="DM736">
            <v>0</v>
          </cell>
          <cell r="DN736">
            <v>0</v>
          </cell>
          <cell r="DO736">
            <v>0</v>
          </cell>
          <cell r="DP736">
            <v>0</v>
          </cell>
          <cell r="DQ736">
            <v>0</v>
          </cell>
          <cell r="DR736">
            <v>0</v>
          </cell>
          <cell r="DS736">
            <v>0</v>
          </cell>
          <cell r="DT736">
            <v>0</v>
          </cell>
          <cell r="DU736">
            <v>0</v>
          </cell>
          <cell r="DW736">
            <v>0</v>
          </cell>
          <cell r="DX736">
            <v>0</v>
          </cell>
          <cell r="DY736">
            <v>0</v>
          </cell>
          <cell r="DZ736">
            <v>0</v>
          </cell>
          <cell r="EA736">
            <v>0</v>
          </cell>
          <cell r="EB736">
            <v>0</v>
          </cell>
          <cell r="EC736">
            <v>0</v>
          </cell>
          <cell r="ED736">
            <v>0</v>
          </cell>
          <cell r="EE736">
            <v>0</v>
          </cell>
          <cell r="EF736">
            <v>0</v>
          </cell>
          <cell r="EG736">
            <v>0</v>
          </cell>
          <cell r="EH736">
            <v>0</v>
          </cell>
          <cell r="EI736">
            <v>0</v>
          </cell>
          <cell r="EK736">
            <v>0</v>
          </cell>
          <cell r="EL736">
            <v>0</v>
          </cell>
          <cell r="EM736">
            <v>0</v>
          </cell>
          <cell r="EN736">
            <v>0</v>
          </cell>
          <cell r="EO736">
            <v>0</v>
          </cell>
          <cell r="EP736">
            <v>0</v>
          </cell>
          <cell r="EQ736">
            <v>0</v>
          </cell>
          <cell r="ER736">
            <v>0</v>
          </cell>
          <cell r="ES736">
            <v>0</v>
          </cell>
          <cell r="ET736">
            <v>0</v>
          </cell>
          <cell r="EU736">
            <v>0</v>
          </cell>
          <cell r="EV736">
            <v>0</v>
          </cell>
          <cell r="EW736">
            <v>0</v>
          </cell>
          <cell r="EY736">
            <v>0</v>
          </cell>
          <cell r="EZ736">
            <v>8</v>
          </cell>
          <cell r="FA736">
            <v>0</v>
          </cell>
          <cell r="FB736">
            <v>0</v>
          </cell>
          <cell r="FC736">
            <v>8.6</v>
          </cell>
          <cell r="FD736">
            <v>0</v>
          </cell>
          <cell r="FE736">
            <v>0</v>
          </cell>
          <cell r="FF736">
            <v>0</v>
          </cell>
          <cell r="FH736">
            <v>0</v>
          </cell>
        </row>
        <row r="737">
          <cell r="B737">
            <v>9859</v>
          </cell>
          <cell r="C737" t="str">
            <v>15.04.2011</v>
          </cell>
          <cell r="D737" t="str">
            <v>Navale Vishal Ravindra</v>
          </cell>
          <cell r="F737">
            <v>0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W737">
            <v>0</v>
          </cell>
          <cell r="X737">
            <v>0</v>
          </cell>
          <cell r="Y737">
            <v>0</v>
          </cell>
          <cell r="Z737">
            <v>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G737">
            <v>0</v>
          </cell>
          <cell r="AH737">
            <v>0</v>
          </cell>
          <cell r="AI737">
            <v>0</v>
          </cell>
          <cell r="AJ737">
            <v>0</v>
          </cell>
          <cell r="AK737">
            <v>0</v>
          </cell>
          <cell r="AL737">
            <v>0</v>
          </cell>
          <cell r="AM737">
            <v>0</v>
          </cell>
          <cell r="AN737">
            <v>0</v>
          </cell>
          <cell r="AO737">
            <v>0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  <cell r="AU737">
            <v>0</v>
          </cell>
          <cell r="AV737">
            <v>0</v>
          </cell>
          <cell r="AW737">
            <v>0</v>
          </cell>
          <cell r="AX737">
            <v>0</v>
          </cell>
          <cell r="AY737">
            <v>0</v>
          </cell>
          <cell r="BA737">
            <v>0</v>
          </cell>
          <cell r="BB737">
            <v>0</v>
          </cell>
          <cell r="BC737">
            <v>0</v>
          </cell>
          <cell r="BD737">
            <v>0</v>
          </cell>
          <cell r="BE737">
            <v>0</v>
          </cell>
          <cell r="BF737">
            <v>0</v>
          </cell>
          <cell r="BG737">
            <v>0</v>
          </cell>
          <cell r="BH737">
            <v>0</v>
          </cell>
          <cell r="BI737">
            <v>0</v>
          </cell>
          <cell r="BK737">
            <v>0</v>
          </cell>
          <cell r="BL737">
            <v>0</v>
          </cell>
          <cell r="BM737">
            <v>0</v>
          </cell>
          <cell r="BN737">
            <v>0</v>
          </cell>
          <cell r="BO737">
            <v>0</v>
          </cell>
          <cell r="BP737">
            <v>0</v>
          </cell>
          <cell r="BQ737">
            <v>0</v>
          </cell>
          <cell r="BR737">
            <v>0</v>
          </cell>
          <cell r="BS737">
            <v>0</v>
          </cell>
          <cell r="BU737">
            <v>0</v>
          </cell>
          <cell r="BV737">
            <v>0</v>
          </cell>
          <cell r="BW737">
            <v>0</v>
          </cell>
          <cell r="BX737">
            <v>0</v>
          </cell>
          <cell r="BY737">
            <v>0</v>
          </cell>
          <cell r="BZ737">
            <v>0</v>
          </cell>
          <cell r="CA737">
            <v>0</v>
          </cell>
          <cell r="CB737">
            <v>0</v>
          </cell>
          <cell r="CC737">
            <v>0</v>
          </cell>
          <cell r="CE737">
            <v>0</v>
          </cell>
          <cell r="CF737">
            <v>0</v>
          </cell>
          <cell r="CG737">
            <v>0</v>
          </cell>
          <cell r="CH737">
            <v>0</v>
          </cell>
          <cell r="CI737">
            <v>0</v>
          </cell>
          <cell r="CJ737">
            <v>0</v>
          </cell>
          <cell r="CK737">
            <v>0</v>
          </cell>
          <cell r="CL737">
            <v>0</v>
          </cell>
          <cell r="CM737">
            <v>0</v>
          </cell>
          <cell r="CO737">
            <v>0</v>
          </cell>
          <cell r="CP737">
            <v>0</v>
          </cell>
          <cell r="CQ737">
            <v>0</v>
          </cell>
          <cell r="CR737">
            <v>0</v>
          </cell>
          <cell r="CS737">
            <v>0</v>
          </cell>
          <cell r="CT737">
            <v>0</v>
          </cell>
          <cell r="CU737">
            <v>0</v>
          </cell>
          <cell r="CV737">
            <v>0</v>
          </cell>
          <cell r="CW737">
            <v>0</v>
          </cell>
          <cell r="CY737">
            <v>0</v>
          </cell>
          <cell r="CZ737">
            <v>0</v>
          </cell>
          <cell r="DA737">
            <v>0</v>
          </cell>
          <cell r="DB737">
            <v>0</v>
          </cell>
          <cell r="DC737">
            <v>0</v>
          </cell>
          <cell r="DD737">
            <v>0</v>
          </cell>
          <cell r="DE737">
            <v>0</v>
          </cell>
          <cell r="DF737">
            <v>0</v>
          </cell>
          <cell r="DG737">
            <v>0</v>
          </cell>
          <cell r="DI737">
            <v>0</v>
          </cell>
          <cell r="DJ737">
            <v>0</v>
          </cell>
          <cell r="DK737">
            <v>0</v>
          </cell>
          <cell r="DL737">
            <v>0</v>
          </cell>
          <cell r="DM737">
            <v>0</v>
          </cell>
          <cell r="DN737">
            <v>0</v>
          </cell>
          <cell r="DO737">
            <v>0</v>
          </cell>
          <cell r="DP737">
            <v>0</v>
          </cell>
          <cell r="DQ737">
            <v>0</v>
          </cell>
          <cell r="DR737">
            <v>0</v>
          </cell>
          <cell r="DS737">
            <v>0</v>
          </cell>
          <cell r="DT737">
            <v>0</v>
          </cell>
          <cell r="DU737">
            <v>0</v>
          </cell>
          <cell r="DW737">
            <v>0</v>
          </cell>
          <cell r="DX737">
            <v>0</v>
          </cell>
          <cell r="DY737">
            <v>0</v>
          </cell>
          <cell r="DZ737">
            <v>0</v>
          </cell>
          <cell r="EA737">
            <v>0</v>
          </cell>
          <cell r="EB737">
            <v>0</v>
          </cell>
          <cell r="EC737">
            <v>0</v>
          </cell>
          <cell r="ED737">
            <v>0</v>
          </cell>
          <cell r="EE737">
            <v>0</v>
          </cell>
          <cell r="EF737">
            <v>0</v>
          </cell>
          <cell r="EG737">
            <v>0</v>
          </cell>
          <cell r="EH737">
            <v>0</v>
          </cell>
          <cell r="EI737">
            <v>0</v>
          </cell>
          <cell r="EK737">
            <v>0</v>
          </cell>
          <cell r="EL737">
            <v>0</v>
          </cell>
          <cell r="EM737">
            <v>0</v>
          </cell>
          <cell r="EN737">
            <v>0</v>
          </cell>
          <cell r="EO737">
            <v>0</v>
          </cell>
          <cell r="EP737">
            <v>0</v>
          </cell>
          <cell r="EQ737">
            <v>0</v>
          </cell>
          <cell r="ER737">
            <v>0</v>
          </cell>
          <cell r="ES737">
            <v>0</v>
          </cell>
          <cell r="ET737">
            <v>0</v>
          </cell>
          <cell r="EU737">
            <v>0</v>
          </cell>
          <cell r="EV737">
            <v>0</v>
          </cell>
          <cell r="EW737">
            <v>0</v>
          </cell>
          <cell r="EY737">
            <v>0</v>
          </cell>
          <cell r="EZ737">
            <v>8</v>
          </cell>
          <cell r="FA737">
            <v>0</v>
          </cell>
          <cell r="FB737">
            <v>0</v>
          </cell>
          <cell r="FC737">
            <v>8.6</v>
          </cell>
          <cell r="FD737">
            <v>0</v>
          </cell>
          <cell r="FE737">
            <v>0</v>
          </cell>
          <cell r="FF737">
            <v>0</v>
          </cell>
          <cell r="FH737">
            <v>0</v>
          </cell>
        </row>
        <row r="738">
          <cell r="B738">
            <v>9860</v>
          </cell>
          <cell r="C738" t="str">
            <v>15.04.2011</v>
          </cell>
          <cell r="D738" t="str">
            <v>Gosavi Ravindra Ramesh</v>
          </cell>
          <cell r="F738">
            <v>0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W738">
            <v>0</v>
          </cell>
          <cell r="X738">
            <v>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G738">
            <v>0</v>
          </cell>
          <cell r="AH738">
            <v>0</v>
          </cell>
          <cell r="AI738">
            <v>0</v>
          </cell>
          <cell r="AJ738">
            <v>0</v>
          </cell>
          <cell r="AK738">
            <v>0</v>
          </cell>
          <cell r="AL738">
            <v>0</v>
          </cell>
          <cell r="AM738">
            <v>0</v>
          </cell>
          <cell r="AN738">
            <v>0</v>
          </cell>
          <cell r="AO738">
            <v>0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  <cell r="AU738">
            <v>0</v>
          </cell>
          <cell r="AV738">
            <v>0</v>
          </cell>
          <cell r="AW738">
            <v>0</v>
          </cell>
          <cell r="AX738">
            <v>0</v>
          </cell>
          <cell r="AY738">
            <v>0</v>
          </cell>
          <cell r="BA738">
            <v>0</v>
          </cell>
          <cell r="BB738">
            <v>0</v>
          </cell>
          <cell r="BC738">
            <v>0</v>
          </cell>
          <cell r="BD738">
            <v>0</v>
          </cell>
          <cell r="BE738">
            <v>0</v>
          </cell>
          <cell r="BF738">
            <v>0</v>
          </cell>
          <cell r="BG738">
            <v>0</v>
          </cell>
          <cell r="BH738">
            <v>0</v>
          </cell>
          <cell r="BI738">
            <v>0</v>
          </cell>
          <cell r="BK738">
            <v>0</v>
          </cell>
          <cell r="BL738">
            <v>0</v>
          </cell>
          <cell r="BM738">
            <v>0</v>
          </cell>
          <cell r="BN738">
            <v>0</v>
          </cell>
          <cell r="BO738">
            <v>0</v>
          </cell>
          <cell r="BP738">
            <v>0</v>
          </cell>
          <cell r="BQ738">
            <v>0</v>
          </cell>
          <cell r="BR738">
            <v>0</v>
          </cell>
          <cell r="BS738">
            <v>0</v>
          </cell>
          <cell r="BU738">
            <v>0</v>
          </cell>
          <cell r="BV738">
            <v>0</v>
          </cell>
          <cell r="BW738">
            <v>0</v>
          </cell>
          <cell r="BX738">
            <v>0</v>
          </cell>
          <cell r="BY738">
            <v>0</v>
          </cell>
          <cell r="BZ738">
            <v>0</v>
          </cell>
          <cell r="CA738">
            <v>0</v>
          </cell>
          <cell r="CB738">
            <v>0</v>
          </cell>
          <cell r="CC738">
            <v>0</v>
          </cell>
          <cell r="CE738">
            <v>0</v>
          </cell>
          <cell r="CF738">
            <v>0</v>
          </cell>
          <cell r="CG738">
            <v>0</v>
          </cell>
          <cell r="CH738">
            <v>0</v>
          </cell>
          <cell r="CI738">
            <v>0</v>
          </cell>
          <cell r="CJ738">
            <v>0</v>
          </cell>
          <cell r="CK738">
            <v>0</v>
          </cell>
          <cell r="CL738">
            <v>0</v>
          </cell>
          <cell r="CM738">
            <v>0</v>
          </cell>
          <cell r="CO738">
            <v>0</v>
          </cell>
          <cell r="CP738">
            <v>0</v>
          </cell>
          <cell r="CQ738">
            <v>0</v>
          </cell>
          <cell r="CR738">
            <v>0</v>
          </cell>
          <cell r="CS738">
            <v>0</v>
          </cell>
          <cell r="CT738">
            <v>0</v>
          </cell>
          <cell r="CU738">
            <v>0</v>
          </cell>
          <cell r="CV738">
            <v>0</v>
          </cell>
          <cell r="CW738">
            <v>0</v>
          </cell>
          <cell r="CY738">
            <v>0</v>
          </cell>
          <cell r="CZ738">
            <v>0</v>
          </cell>
          <cell r="DA738">
            <v>0</v>
          </cell>
          <cell r="DB738">
            <v>0</v>
          </cell>
          <cell r="DC738">
            <v>0</v>
          </cell>
          <cell r="DD738">
            <v>0</v>
          </cell>
          <cell r="DE738">
            <v>0</v>
          </cell>
          <cell r="DF738">
            <v>0</v>
          </cell>
          <cell r="DG738">
            <v>0</v>
          </cell>
          <cell r="DI738">
            <v>0</v>
          </cell>
          <cell r="DJ738">
            <v>0</v>
          </cell>
          <cell r="DK738">
            <v>0</v>
          </cell>
          <cell r="DL738">
            <v>0</v>
          </cell>
          <cell r="DM738">
            <v>0</v>
          </cell>
          <cell r="DN738">
            <v>0</v>
          </cell>
          <cell r="DO738">
            <v>0</v>
          </cell>
          <cell r="DP738">
            <v>0</v>
          </cell>
          <cell r="DQ738">
            <v>0</v>
          </cell>
          <cell r="DR738">
            <v>0</v>
          </cell>
          <cell r="DS738">
            <v>0</v>
          </cell>
          <cell r="DT738">
            <v>0</v>
          </cell>
          <cell r="DU738">
            <v>0</v>
          </cell>
          <cell r="DW738">
            <v>0</v>
          </cell>
          <cell r="DX738">
            <v>0</v>
          </cell>
          <cell r="DY738">
            <v>0</v>
          </cell>
          <cell r="DZ738">
            <v>0</v>
          </cell>
          <cell r="EA738">
            <v>0</v>
          </cell>
          <cell r="EB738">
            <v>0</v>
          </cell>
          <cell r="EC738">
            <v>0</v>
          </cell>
          <cell r="ED738">
            <v>0</v>
          </cell>
          <cell r="EE738">
            <v>0</v>
          </cell>
          <cell r="EF738">
            <v>0</v>
          </cell>
          <cell r="EG738">
            <v>0</v>
          </cell>
          <cell r="EH738">
            <v>0</v>
          </cell>
          <cell r="EI738">
            <v>0</v>
          </cell>
          <cell r="EK738">
            <v>0</v>
          </cell>
          <cell r="EL738">
            <v>0</v>
          </cell>
          <cell r="EM738">
            <v>0</v>
          </cell>
          <cell r="EN738">
            <v>0</v>
          </cell>
          <cell r="EO738">
            <v>0</v>
          </cell>
          <cell r="EP738">
            <v>0</v>
          </cell>
          <cell r="EQ738">
            <v>0</v>
          </cell>
          <cell r="ER738">
            <v>0</v>
          </cell>
          <cell r="ES738">
            <v>0</v>
          </cell>
          <cell r="ET738">
            <v>0</v>
          </cell>
          <cell r="EU738">
            <v>0</v>
          </cell>
          <cell r="EV738">
            <v>0</v>
          </cell>
          <cell r="EW738">
            <v>0</v>
          </cell>
          <cell r="EY738">
            <v>0</v>
          </cell>
          <cell r="EZ738">
            <v>8</v>
          </cell>
          <cell r="FA738">
            <v>0</v>
          </cell>
          <cell r="FB738">
            <v>0</v>
          </cell>
          <cell r="FC738">
            <v>8.6</v>
          </cell>
          <cell r="FD738">
            <v>0</v>
          </cell>
          <cell r="FE738">
            <v>0</v>
          </cell>
          <cell r="FF738">
            <v>0</v>
          </cell>
          <cell r="FH738">
            <v>0</v>
          </cell>
        </row>
        <row r="739">
          <cell r="B739">
            <v>9861</v>
          </cell>
          <cell r="C739" t="str">
            <v>15.04.2011</v>
          </cell>
          <cell r="D739" t="str">
            <v>Nikam Aruna Gopal</v>
          </cell>
          <cell r="F739">
            <v>0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G739">
            <v>0</v>
          </cell>
          <cell r="AH739">
            <v>0</v>
          </cell>
          <cell r="AI739">
            <v>0</v>
          </cell>
          <cell r="AJ739">
            <v>0</v>
          </cell>
          <cell r="AK739">
            <v>0</v>
          </cell>
          <cell r="AL739">
            <v>0</v>
          </cell>
          <cell r="AM739">
            <v>0</v>
          </cell>
          <cell r="AN739">
            <v>0</v>
          </cell>
          <cell r="AO739">
            <v>0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  <cell r="AY739">
            <v>0</v>
          </cell>
          <cell r="BA739">
            <v>0</v>
          </cell>
          <cell r="BB739">
            <v>0</v>
          </cell>
          <cell r="BC739">
            <v>0</v>
          </cell>
          <cell r="BD739">
            <v>0</v>
          </cell>
          <cell r="BE739">
            <v>0</v>
          </cell>
          <cell r="BF739">
            <v>0</v>
          </cell>
          <cell r="BG739">
            <v>0</v>
          </cell>
          <cell r="BH739">
            <v>0</v>
          </cell>
          <cell r="BI739">
            <v>0</v>
          </cell>
          <cell r="BK739">
            <v>0</v>
          </cell>
          <cell r="BL739">
            <v>0</v>
          </cell>
          <cell r="BM739">
            <v>0</v>
          </cell>
          <cell r="BN739">
            <v>0</v>
          </cell>
          <cell r="BO739">
            <v>0</v>
          </cell>
          <cell r="BP739">
            <v>0</v>
          </cell>
          <cell r="BQ739">
            <v>0</v>
          </cell>
          <cell r="BR739">
            <v>0</v>
          </cell>
          <cell r="BS739">
            <v>0</v>
          </cell>
          <cell r="BU739">
            <v>0</v>
          </cell>
          <cell r="BV739">
            <v>0</v>
          </cell>
          <cell r="BW739">
            <v>0</v>
          </cell>
          <cell r="BX739">
            <v>0</v>
          </cell>
          <cell r="BY739">
            <v>0</v>
          </cell>
          <cell r="BZ739">
            <v>0</v>
          </cell>
          <cell r="CA739">
            <v>0</v>
          </cell>
          <cell r="CB739">
            <v>0</v>
          </cell>
          <cell r="CC739">
            <v>0</v>
          </cell>
          <cell r="CE739">
            <v>0</v>
          </cell>
          <cell r="CF739">
            <v>0</v>
          </cell>
          <cell r="CG739">
            <v>0</v>
          </cell>
          <cell r="CH739">
            <v>0</v>
          </cell>
          <cell r="CI739">
            <v>0</v>
          </cell>
          <cell r="CJ739">
            <v>0</v>
          </cell>
          <cell r="CK739">
            <v>0</v>
          </cell>
          <cell r="CL739">
            <v>0</v>
          </cell>
          <cell r="CM739">
            <v>0</v>
          </cell>
          <cell r="CO739">
            <v>0</v>
          </cell>
          <cell r="CP739">
            <v>0</v>
          </cell>
          <cell r="CQ739">
            <v>0</v>
          </cell>
          <cell r="CR739">
            <v>0</v>
          </cell>
          <cell r="CS739">
            <v>0</v>
          </cell>
          <cell r="CT739">
            <v>0</v>
          </cell>
          <cell r="CU739">
            <v>0</v>
          </cell>
          <cell r="CV739">
            <v>0</v>
          </cell>
          <cell r="CW739">
            <v>0</v>
          </cell>
          <cell r="CY739">
            <v>0</v>
          </cell>
          <cell r="CZ739">
            <v>0</v>
          </cell>
          <cell r="DA739">
            <v>0</v>
          </cell>
          <cell r="DB739">
            <v>0</v>
          </cell>
          <cell r="DC739">
            <v>0</v>
          </cell>
          <cell r="DD739">
            <v>0</v>
          </cell>
          <cell r="DE739">
            <v>0</v>
          </cell>
          <cell r="DF739">
            <v>0</v>
          </cell>
          <cell r="DG739">
            <v>0</v>
          </cell>
          <cell r="DI739">
            <v>0</v>
          </cell>
          <cell r="DJ739">
            <v>0</v>
          </cell>
          <cell r="DK739">
            <v>0</v>
          </cell>
          <cell r="DL739">
            <v>0</v>
          </cell>
          <cell r="DM739">
            <v>0</v>
          </cell>
          <cell r="DN739">
            <v>0</v>
          </cell>
          <cell r="DO739">
            <v>0</v>
          </cell>
          <cell r="DP739">
            <v>0</v>
          </cell>
          <cell r="DQ739">
            <v>0</v>
          </cell>
          <cell r="DR739">
            <v>0</v>
          </cell>
          <cell r="DS739">
            <v>0</v>
          </cell>
          <cell r="DT739">
            <v>0</v>
          </cell>
          <cell r="DU739">
            <v>0</v>
          </cell>
          <cell r="DW739">
            <v>0</v>
          </cell>
          <cell r="DX739">
            <v>0</v>
          </cell>
          <cell r="DY739">
            <v>0</v>
          </cell>
          <cell r="DZ739">
            <v>0</v>
          </cell>
          <cell r="EA739">
            <v>0</v>
          </cell>
          <cell r="EB739">
            <v>0</v>
          </cell>
          <cell r="EC739">
            <v>0</v>
          </cell>
          <cell r="ED739">
            <v>0</v>
          </cell>
          <cell r="EE739">
            <v>0</v>
          </cell>
          <cell r="EF739">
            <v>0</v>
          </cell>
          <cell r="EG739">
            <v>0</v>
          </cell>
          <cell r="EH739">
            <v>0</v>
          </cell>
          <cell r="EI739">
            <v>0</v>
          </cell>
          <cell r="EK739">
            <v>0</v>
          </cell>
          <cell r="EL739">
            <v>0</v>
          </cell>
          <cell r="EM739">
            <v>0</v>
          </cell>
          <cell r="EN739">
            <v>0</v>
          </cell>
          <cell r="EO739">
            <v>0</v>
          </cell>
          <cell r="EP739">
            <v>0</v>
          </cell>
          <cell r="EQ739">
            <v>0</v>
          </cell>
          <cell r="ER739">
            <v>0</v>
          </cell>
          <cell r="ES739">
            <v>0</v>
          </cell>
          <cell r="ET739">
            <v>0</v>
          </cell>
          <cell r="EU739">
            <v>0</v>
          </cell>
          <cell r="EV739">
            <v>0</v>
          </cell>
          <cell r="EW739">
            <v>0</v>
          </cell>
          <cell r="EY739">
            <v>0</v>
          </cell>
          <cell r="EZ739">
            <v>8</v>
          </cell>
          <cell r="FA739">
            <v>0</v>
          </cell>
          <cell r="FB739">
            <v>0</v>
          </cell>
          <cell r="FC739">
            <v>8.6</v>
          </cell>
          <cell r="FD739">
            <v>0</v>
          </cell>
          <cell r="FE739">
            <v>0</v>
          </cell>
          <cell r="FF739">
            <v>0</v>
          </cell>
          <cell r="FH739">
            <v>0</v>
          </cell>
        </row>
        <row r="740">
          <cell r="B740">
            <v>9868</v>
          </cell>
          <cell r="C740" t="str">
            <v>15.04.2011</v>
          </cell>
          <cell r="D740" t="str">
            <v>Ahire Lalita Nandu</v>
          </cell>
          <cell r="F740">
            <v>0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W740">
            <v>0</v>
          </cell>
          <cell r="X740">
            <v>0</v>
          </cell>
          <cell r="Y740">
            <v>0</v>
          </cell>
          <cell r="Z740">
            <v>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G740">
            <v>0</v>
          </cell>
          <cell r="AH740">
            <v>0</v>
          </cell>
          <cell r="AI740">
            <v>0</v>
          </cell>
          <cell r="AJ740">
            <v>0</v>
          </cell>
          <cell r="AK740">
            <v>0</v>
          </cell>
          <cell r="AL740">
            <v>0</v>
          </cell>
          <cell r="AM740">
            <v>0</v>
          </cell>
          <cell r="AN740">
            <v>0</v>
          </cell>
          <cell r="AO740">
            <v>0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>
            <v>0</v>
          </cell>
          <cell r="BA740">
            <v>0</v>
          </cell>
          <cell r="BB740">
            <v>0</v>
          </cell>
          <cell r="BC740">
            <v>0</v>
          </cell>
          <cell r="BD740">
            <v>0</v>
          </cell>
          <cell r="BE740">
            <v>0</v>
          </cell>
          <cell r="BF740">
            <v>0</v>
          </cell>
          <cell r="BG740">
            <v>0</v>
          </cell>
          <cell r="BH740">
            <v>0</v>
          </cell>
          <cell r="BI740">
            <v>0</v>
          </cell>
          <cell r="BK740">
            <v>0</v>
          </cell>
          <cell r="BL740">
            <v>0</v>
          </cell>
          <cell r="BM740">
            <v>0</v>
          </cell>
          <cell r="BN740">
            <v>0</v>
          </cell>
          <cell r="BO740">
            <v>0</v>
          </cell>
          <cell r="BP740">
            <v>0</v>
          </cell>
          <cell r="BQ740">
            <v>0</v>
          </cell>
          <cell r="BR740">
            <v>0</v>
          </cell>
          <cell r="BS740">
            <v>0</v>
          </cell>
          <cell r="BU740">
            <v>0</v>
          </cell>
          <cell r="BV740">
            <v>0</v>
          </cell>
          <cell r="BW740">
            <v>0</v>
          </cell>
          <cell r="BX740">
            <v>0</v>
          </cell>
          <cell r="BY740">
            <v>0</v>
          </cell>
          <cell r="BZ740">
            <v>0</v>
          </cell>
          <cell r="CA740">
            <v>0</v>
          </cell>
          <cell r="CB740">
            <v>0</v>
          </cell>
          <cell r="CC740">
            <v>0</v>
          </cell>
          <cell r="CE740">
            <v>0</v>
          </cell>
          <cell r="CF740">
            <v>0</v>
          </cell>
          <cell r="CG740">
            <v>0</v>
          </cell>
          <cell r="CH740">
            <v>0</v>
          </cell>
          <cell r="CI740">
            <v>0</v>
          </cell>
          <cell r="CJ740">
            <v>0</v>
          </cell>
          <cell r="CK740">
            <v>0</v>
          </cell>
          <cell r="CL740">
            <v>0</v>
          </cell>
          <cell r="CM740">
            <v>0</v>
          </cell>
          <cell r="CO740">
            <v>0</v>
          </cell>
          <cell r="CP740">
            <v>0</v>
          </cell>
          <cell r="CQ740">
            <v>0</v>
          </cell>
          <cell r="CR740">
            <v>0</v>
          </cell>
          <cell r="CS740">
            <v>0</v>
          </cell>
          <cell r="CT740">
            <v>0</v>
          </cell>
          <cell r="CU740">
            <v>0</v>
          </cell>
          <cell r="CV740">
            <v>0</v>
          </cell>
          <cell r="CW740">
            <v>0</v>
          </cell>
          <cell r="CY740">
            <v>0</v>
          </cell>
          <cell r="CZ740">
            <v>0</v>
          </cell>
          <cell r="DA740">
            <v>0</v>
          </cell>
          <cell r="DB740">
            <v>0</v>
          </cell>
          <cell r="DC740">
            <v>0</v>
          </cell>
          <cell r="DD740">
            <v>0</v>
          </cell>
          <cell r="DE740">
            <v>0</v>
          </cell>
          <cell r="DF740">
            <v>0</v>
          </cell>
          <cell r="DG740">
            <v>0</v>
          </cell>
          <cell r="DI740">
            <v>0</v>
          </cell>
          <cell r="DJ740">
            <v>0</v>
          </cell>
          <cell r="DK740">
            <v>0</v>
          </cell>
          <cell r="DL740">
            <v>0</v>
          </cell>
          <cell r="DM740">
            <v>0</v>
          </cell>
          <cell r="DN740">
            <v>0</v>
          </cell>
          <cell r="DO740">
            <v>0</v>
          </cell>
          <cell r="DP740">
            <v>0</v>
          </cell>
          <cell r="DQ740">
            <v>0</v>
          </cell>
          <cell r="DR740">
            <v>0</v>
          </cell>
          <cell r="DS740">
            <v>0</v>
          </cell>
          <cell r="DT740">
            <v>0</v>
          </cell>
          <cell r="DU740">
            <v>0</v>
          </cell>
          <cell r="DW740">
            <v>0</v>
          </cell>
          <cell r="DX740">
            <v>0</v>
          </cell>
          <cell r="DY740">
            <v>0</v>
          </cell>
          <cell r="DZ740">
            <v>0</v>
          </cell>
          <cell r="EA740">
            <v>0</v>
          </cell>
          <cell r="EB740">
            <v>0</v>
          </cell>
          <cell r="EC740">
            <v>0</v>
          </cell>
          <cell r="ED740">
            <v>0</v>
          </cell>
          <cell r="EE740">
            <v>0</v>
          </cell>
          <cell r="EF740">
            <v>0</v>
          </cell>
          <cell r="EG740">
            <v>0</v>
          </cell>
          <cell r="EH740">
            <v>0</v>
          </cell>
          <cell r="EI740">
            <v>0</v>
          </cell>
          <cell r="EK740">
            <v>0</v>
          </cell>
          <cell r="EL740">
            <v>0</v>
          </cell>
          <cell r="EM740">
            <v>0</v>
          </cell>
          <cell r="EN740">
            <v>0</v>
          </cell>
          <cell r="EO740">
            <v>0</v>
          </cell>
          <cell r="EP740">
            <v>0</v>
          </cell>
          <cell r="EQ740">
            <v>0</v>
          </cell>
          <cell r="ER740">
            <v>0</v>
          </cell>
          <cell r="ES740">
            <v>0</v>
          </cell>
          <cell r="ET740">
            <v>0</v>
          </cell>
          <cell r="EU740">
            <v>0</v>
          </cell>
          <cell r="EV740">
            <v>0</v>
          </cell>
          <cell r="EW740">
            <v>0</v>
          </cell>
          <cell r="EY740">
            <v>0</v>
          </cell>
          <cell r="EZ740">
            <v>8</v>
          </cell>
          <cell r="FA740">
            <v>0</v>
          </cell>
          <cell r="FB740">
            <v>0</v>
          </cell>
          <cell r="FC740">
            <v>8.6</v>
          </cell>
          <cell r="FD740">
            <v>0</v>
          </cell>
          <cell r="FE740">
            <v>0</v>
          </cell>
          <cell r="FF740">
            <v>0</v>
          </cell>
          <cell r="FH740">
            <v>0</v>
          </cell>
        </row>
        <row r="741">
          <cell r="B741">
            <v>9869</v>
          </cell>
          <cell r="C741" t="str">
            <v>15.04.2011</v>
          </cell>
          <cell r="D741" t="str">
            <v>Ghode Prashant Manoj</v>
          </cell>
          <cell r="F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W741">
            <v>0</v>
          </cell>
          <cell r="X741">
            <v>0</v>
          </cell>
          <cell r="Y741">
            <v>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G741">
            <v>0</v>
          </cell>
          <cell r="AH741">
            <v>0</v>
          </cell>
          <cell r="AI741">
            <v>0</v>
          </cell>
          <cell r="AJ741">
            <v>0</v>
          </cell>
          <cell r="AK741">
            <v>0</v>
          </cell>
          <cell r="AL741">
            <v>0</v>
          </cell>
          <cell r="AM741">
            <v>0</v>
          </cell>
          <cell r="AN741">
            <v>0</v>
          </cell>
          <cell r="AO741">
            <v>0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  <cell r="BA741">
            <v>0</v>
          </cell>
          <cell r="BB741">
            <v>0</v>
          </cell>
          <cell r="BC741">
            <v>0</v>
          </cell>
          <cell r="BD741">
            <v>0</v>
          </cell>
          <cell r="BE741">
            <v>0</v>
          </cell>
          <cell r="BF741">
            <v>0</v>
          </cell>
          <cell r="BG741">
            <v>0</v>
          </cell>
          <cell r="BH741">
            <v>0</v>
          </cell>
          <cell r="BI741">
            <v>0</v>
          </cell>
          <cell r="BK741">
            <v>0</v>
          </cell>
          <cell r="BL741">
            <v>0</v>
          </cell>
          <cell r="BM741">
            <v>0</v>
          </cell>
          <cell r="BN741">
            <v>0</v>
          </cell>
          <cell r="BO741">
            <v>0</v>
          </cell>
          <cell r="BP741">
            <v>0</v>
          </cell>
          <cell r="BQ741">
            <v>0</v>
          </cell>
          <cell r="BR741">
            <v>0</v>
          </cell>
          <cell r="BS741">
            <v>0</v>
          </cell>
          <cell r="BU741">
            <v>0</v>
          </cell>
          <cell r="BV741">
            <v>0</v>
          </cell>
          <cell r="BW741">
            <v>0</v>
          </cell>
          <cell r="BX741">
            <v>0</v>
          </cell>
          <cell r="BY741">
            <v>0</v>
          </cell>
          <cell r="BZ741">
            <v>0</v>
          </cell>
          <cell r="CA741">
            <v>0</v>
          </cell>
          <cell r="CB741">
            <v>0</v>
          </cell>
          <cell r="CC741">
            <v>0</v>
          </cell>
          <cell r="CE741">
            <v>0</v>
          </cell>
          <cell r="CF741">
            <v>0</v>
          </cell>
          <cell r="CG741">
            <v>0</v>
          </cell>
          <cell r="CH741">
            <v>0</v>
          </cell>
          <cell r="CI741">
            <v>0</v>
          </cell>
          <cell r="CJ741">
            <v>0</v>
          </cell>
          <cell r="CK741">
            <v>0</v>
          </cell>
          <cell r="CL741">
            <v>0</v>
          </cell>
          <cell r="CM741">
            <v>0</v>
          </cell>
          <cell r="CO741">
            <v>0</v>
          </cell>
          <cell r="CP741">
            <v>0</v>
          </cell>
          <cell r="CQ741">
            <v>0</v>
          </cell>
          <cell r="CR741">
            <v>0</v>
          </cell>
          <cell r="CS741">
            <v>0</v>
          </cell>
          <cell r="CT741">
            <v>0</v>
          </cell>
          <cell r="CU741">
            <v>0</v>
          </cell>
          <cell r="CV741">
            <v>0</v>
          </cell>
          <cell r="CW741">
            <v>0</v>
          </cell>
          <cell r="CY741">
            <v>0</v>
          </cell>
          <cell r="CZ741">
            <v>0</v>
          </cell>
          <cell r="DA741">
            <v>0</v>
          </cell>
          <cell r="DB741">
            <v>0</v>
          </cell>
          <cell r="DC741">
            <v>0</v>
          </cell>
          <cell r="DD741">
            <v>0</v>
          </cell>
          <cell r="DE741">
            <v>0</v>
          </cell>
          <cell r="DF741">
            <v>0</v>
          </cell>
          <cell r="DG741">
            <v>0</v>
          </cell>
          <cell r="DI741">
            <v>0</v>
          </cell>
          <cell r="DJ741">
            <v>0</v>
          </cell>
          <cell r="DK741">
            <v>0</v>
          </cell>
          <cell r="DL741">
            <v>0</v>
          </cell>
          <cell r="DM741">
            <v>0</v>
          </cell>
          <cell r="DN741">
            <v>0</v>
          </cell>
          <cell r="DO741">
            <v>0</v>
          </cell>
          <cell r="DP741">
            <v>0</v>
          </cell>
          <cell r="DQ741">
            <v>0</v>
          </cell>
          <cell r="DR741">
            <v>0</v>
          </cell>
          <cell r="DS741">
            <v>0</v>
          </cell>
          <cell r="DT741">
            <v>0</v>
          </cell>
          <cell r="DU741">
            <v>0</v>
          </cell>
          <cell r="DW741">
            <v>0</v>
          </cell>
          <cell r="DX741">
            <v>0</v>
          </cell>
          <cell r="DY741">
            <v>0</v>
          </cell>
          <cell r="DZ741">
            <v>0</v>
          </cell>
          <cell r="EA741">
            <v>0</v>
          </cell>
          <cell r="EB741">
            <v>0</v>
          </cell>
          <cell r="EC741">
            <v>0</v>
          </cell>
          <cell r="ED741">
            <v>0</v>
          </cell>
          <cell r="EE741">
            <v>0</v>
          </cell>
          <cell r="EF741">
            <v>0</v>
          </cell>
          <cell r="EG741">
            <v>0</v>
          </cell>
          <cell r="EH741">
            <v>0</v>
          </cell>
          <cell r="EI741">
            <v>0</v>
          </cell>
          <cell r="EK741">
            <v>0</v>
          </cell>
          <cell r="EL741">
            <v>0</v>
          </cell>
          <cell r="EM741">
            <v>0</v>
          </cell>
          <cell r="EN741">
            <v>0</v>
          </cell>
          <cell r="EO741">
            <v>0</v>
          </cell>
          <cell r="EP741">
            <v>0</v>
          </cell>
          <cell r="EQ741">
            <v>0</v>
          </cell>
          <cell r="ER741">
            <v>0</v>
          </cell>
          <cell r="ES741">
            <v>0</v>
          </cell>
          <cell r="ET741">
            <v>0</v>
          </cell>
          <cell r="EU741">
            <v>0</v>
          </cell>
          <cell r="EV741">
            <v>0</v>
          </cell>
          <cell r="EW741">
            <v>0</v>
          </cell>
          <cell r="EY741">
            <v>0</v>
          </cell>
          <cell r="EZ741">
            <v>8</v>
          </cell>
          <cell r="FA741">
            <v>0</v>
          </cell>
          <cell r="FB741">
            <v>0</v>
          </cell>
          <cell r="FC741">
            <v>8.6</v>
          </cell>
          <cell r="FD741">
            <v>0</v>
          </cell>
          <cell r="FE741">
            <v>0</v>
          </cell>
          <cell r="FF741">
            <v>0</v>
          </cell>
          <cell r="FH741">
            <v>0</v>
          </cell>
        </row>
        <row r="742">
          <cell r="B742">
            <v>10137</v>
          </cell>
          <cell r="C742" t="str">
            <v>15.04.2011</v>
          </cell>
          <cell r="D742" t="str">
            <v>Kasare Shyam Vasant</v>
          </cell>
          <cell r="F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G742">
            <v>0</v>
          </cell>
          <cell r="AH742">
            <v>0</v>
          </cell>
          <cell r="AI742">
            <v>0</v>
          </cell>
          <cell r="AJ742">
            <v>0</v>
          </cell>
          <cell r="AK742">
            <v>0</v>
          </cell>
          <cell r="AL742">
            <v>0</v>
          </cell>
          <cell r="AM742">
            <v>0</v>
          </cell>
          <cell r="AN742">
            <v>0</v>
          </cell>
          <cell r="AO742">
            <v>0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  <cell r="BA742">
            <v>0</v>
          </cell>
          <cell r="BB742">
            <v>0</v>
          </cell>
          <cell r="BC742">
            <v>0</v>
          </cell>
          <cell r="BD742">
            <v>0</v>
          </cell>
          <cell r="BE742">
            <v>0</v>
          </cell>
          <cell r="BF742">
            <v>0</v>
          </cell>
          <cell r="BG742">
            <v>0</v>
          </cell>
          <cell r="BH742">
            <v>0</v>
          </cell>
          <cell r="BI742">
            <v>0</v>
          </cell>
          <cell r="BK742">
            <v>0</v>
          </cell>
          <cell r="BL742">
            <v>0</v>
          </cell>
          <cell r="BM742">
            <v>0</v>
          </cell>
          <cell r="BN742">
            <v>0</v>
          </cell>
          <cell r="BO742">
            <v>0</v>
          </cell>
          <cell r="BP742">
            <v>0</v>
          </cell>
          <cell r="BQ742">
            <v>0</v>
          </cell>
          <cell r="BR742">
            <v>0</v>
          </cell>
          <cell r="BS742">
            <v>0</v>
          </cell>
          <cell r="BU742">
            <v>0</v>
          </cell>
          <cell r="BV742">
            <v>0</v>
          </cell>
          <cell r="BW742">
            <v>0</v>
          </cell>
          <cell r="BX742">
            <v>0</v>
          </cell>
          <cell r="BY742">
            <v>0</v>
          </cell>
          <cell r="BZ742">
            <v>0</v>
          </cell>
          <cell r="CA742">
            <v>0</v>
          </cell>
          <cell r="CB742">
            <v>0</v>
          </cell>
          <cell r="CC742">
            <v>0</v>
          </cell>
          <cell r="CE742">
            <v>0</v>
          </cell>
          <cell r="CF742">
            <v>0</v>
          </cell>
          <cell r="CG742">
            <v>0</v>
          </cell>
          <cell r="CH742">
            <v>0</v>
          </cell>
          <cell r="CI742">
            <v>0</v>
          </cell>
          <cell r="CJ742">
            <v>0</v>
          </cell>
          <cell r="CK742">
            <v>0</v>
          </cell>
          <cell r="CL742">
            <v>0</v>
          </cell>
          <cell r="CM742">
            <v>0</v>
          </cell>
          <cell r="CO742">
            <v>0</v>
          </cell>
          <cell r="CP742">
            <v>0</v>
          </cell>
          <cell r="CQ742">
            <v>0</v>
          </cell>
          <cell r="CR742">
            <v>0</v>
          </cell>
          <cell r="CS742">
            <v>0</v>
          </cell>
          <cell r="CT742">
            <v>0</v>
          </cell>
          <cell r="CU742">
            <v>0</v>
          </cell>
          <cell r="CV742">
            <v>0</v>
          </cell>
          <cell r="CW742">
            <v>0</v>
          </cell>
          <cell r="CY742">
            <v>0</v>
          </cell>
          <cell r="CZ742">
            <v>0</v>
          </cell>
          <cell r="DA742">
            <v>0</v>
          </cell>
          <cell r="DB742">
            <v>0</v>
          </cell>
          <cell r="DC742">
            <v>0</v>
          </cell>
          <cell r="DD742">
            <v>0</v>
          </cell>
          <cell r="DE742">
            <v>0</v>
          </cell>
          <cell r="DF742">
            <v>0</v>
          </cell>
          <cell r="DG742">
            <v>0</v>
          </cell>
          <cell r="DI742">
            <v>0</v>
          </cell>
          <cell r="DJ742">
            <v>0</v>
          </cell>
          <cell r="DK742">
            <v>0</v>
          </cell>
          <cell r="DL742">
            <v>0</v>
          </cell>
          <cell r="DM742">
            <v>0</v>
          </cell>
          <cell r="DN742">
            <v>0</v>
          </cell>
          <cell r="DO742">
            <v>0</v>
          </cell>
          <cell r="DP742">
            <v>0</v>
          </cell>
          <cell r="DQ742">
            <v>0</v>
          </cell>
          <cell r="DR742">
            <v>0</v>
          </cell>
          <cell r="DS742">
            <v>0</v>
          </cell>
          <cell r="DT742">
            <v>0</v>
          </cell>
          <cell r="DU742">
            <v>0</v>
          </cell>
          <cell r="DW742">
            <v>0</v>
          </cell>
          <cell r="DX742">
            <v>0</v>
          </cell>
          <cell r="DY742">
            <v>0</v>
          </cell>
          <cell r="DZ742">
            <v>0</v>
          </cell>
          <cell r="EA742">
            <v>0</v>
          </cell>
          <cell r="EB742">
            <v>0</v>
          </cell>
          <cell r="EC742">
            <v>0</v>
          </cell>
          <cell r="ED742">
            <v>0</v>
          </cell>
          <cell r="EE742">
            <v>0</v>
          </cell>
          <cell r="EF742">
            <v>0</v>
          </cell>
          <cell r="EG742">
            <v>0</v>
          </cell>
          <cell r="EH742">
            <v>0</v>
          </cell>
          <cell r="EI742">
            <v>0</v>
          </cell>
          <cell r="EK742">
            <v>0</v>
          </cell>
          <cell r="EL742">
            <v>0</v>
          </cell>
          <cell r="EM742">
            <v>0</v>
          </cell>
          <cell r="EN742">
            <v>0</v>
          </cell>
          <cell r="EO742">
            <v>0</v>
          </cell>
          <cell r="EP742">
            <v>0</v>
          </cell>
          <cell r="EQ742">
            <v>0</v>
          </cell>
          <cell r="ER742">
            <v>0</v>
          </cell>
          <cell r="ES742">
            <v>0</v>
          </cell>
          <cell r="ET742">
            <v>0</v>
          </cell>
          <cell r="EU742">
            <v>0</v>
          </cell>
          <cell r="EV742">
            <v>0</v>
          </cell>
          <cell r="EW742">
            <v>0</v>
          </cell>
          <cell r="EY742">
            <v>0</v>
          </cell>
          <cell r="EZ742">
            <v>8</v>
          </cell>
          <cell r="FA742">
            <v>0</v>
          </cell>
          <cell r="FB742">
            <v>0</v>
          </cell>
          <cell r="FC742">
            <v>8.6</v>
          </cell>
          <cell r="FD742">
            <v>0</v>
          </cell>
          <cell r="FE742">
            <v>0</v>
          </cell>
          <cell r="FF742">
            <v>0</v>
          </cell>
          <cell r="FH742">
            <v>0</v>
          </cell>
        </row>
        <row r="743">
          <cell r="B743">
            <v>9867</v>
          </cell>
          <cell r="C743" t="str">
            <v>19.04.2011</v>
          </cell>
          <cell r="D743" t="str">
            <v>Gaikwad Minesh Yashwant</v>
          </cell>
          <cell r="F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G743">
            <v>0</v>
          </cell>
          <cell r="AH743">
            <v>0</v>
          </cell>
          <cell r="AI743">
            <v>0</v>
          </cell>
          <cell r="AJ743">
            <v>0</v>
          </cell>
          <cell r="AK743">
            <v>0</v>
          </cell>
          <cell r="AL743">
            <v>0</v>
          </cell>
          <cell r="AM743">
            <v>0</v>
          </cell>
          <cell r="AN743">
            <v>0</v>
          </cell>
          <cell r="AO743">
            <v>0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  <cell r="AU743">
            <v>0</v>
          </cell>
          <cell r="AV743">
            <v>0</v>
          </cell>
          <cell r="AW743">
            <v>0</v>
          </cell>
          <cell r="AX743">
            <v>0</v>
          </cell>
          <cell r="AY743">
            <v>0</v>
          </cell>
          <cell r="BA743">
            <v>0</v>
          </cell>
          <cell r="BB743">
            <v>0</v>
          </cell>
          <cell r="BC743">
            <v>0</v>
          </cell>
          <cell r="BD743">
            <v>0</v>
          </cell>
          <cell r="BE743">
            <v>0</v>
          </cell>
          <cell r="BF743">
            <v>0</v>
          </cell>
          <cell r="BG743">
            <v>0</v>
          </cell>
          <cell r="BH743">
            <v>0</v>
          </cell>
          <cell r="BI743">
            <v>0</v>
          </cell>
          <cell r="BK743">
            <v>0</v>
          </cell>
          <cell r="BL743">
            <v>0</v>
          </cell>
          <cell r="BM743">
            <v>0</v>
          </cell>
          <cell r="BN743">
            <v>0</v>
          </cell>
          <cell r="BO743">
            <v>0</v>
          </cell>
          <cell r="BP743">
            <v>0</v>
          </cell>
          <cell r="BQ743">
            <v>0</v>
          </cell>
          <cell r="BR743">
            <v>0</v>
          </cell>
          <cell r="BS743">
            <v>0</v>
          </cell>
          <cell r="BU743">
            <v>0</v>
          </cell>
          <cell r="BV743">
            <v>0</v>
          </cell>
          <cell r="BW743">
            <v>0</v>
          </cell>
          <cell r="BX743">
            <v>0</v>
          </cell>
          <cell r="BY743">
            <v>0</v>
          </cell>
          <cell r="BZ743">
            <v>0</v>
          </cell>
          <cell r="CA743">
            <v>0</v>
          </cell>
          <cell r="CB743">
            <v>0</v>
          </cell>
          <cell r="CC743">
            <v>0</v>
          </cell>
          <cell r="CE743">
            <v>0</v>
          </cell>
          <cell r="CF743">
            <v>0</v>
          </cell>
          <cell r="CG743">
            <v>0</v>
          </cell>
          <cell r="CH743">
            <v>0</v>
          </cell>
          <cell r="CI743">
            <v>0</v>
          </cell>
          <cell r="CJ743">
            <v>0</v>
          </cell>
          <cell r="CK743">
            <v>0</v>
          </cell>
          <cell r="CL743">
            <v>0</v>
          </cell>
          <cell r="CM743">
            <v>0</v>
          </cell>
          <cell r="CO743">
            <v>0</v>
          </cell>
          <cell r="CP743">
            <v>0</v>
          </cell>
          <cell r="CQ743">
            <v>0</v>
          </cell>
          <cell r="CR743">
            <v>0</v>
          </cell>
          <cell r="CS743">
            <v>0</v>
          </cell>
          <cell r="CT743">
            <v>0</v>
          </cell>
          <cell r="CU743">
            <v>0</v>
          </cell>
          <cell r="CV743">
            <v>0</v>
          </cell>
          <cell r="CW743">
            <v>0</v>
          </cell>
          <cell r="CY743">
            <v>0</v>
          </cell>
          <cell r="CZ743">
            <v>0</v>
          </cell>
          <cell r="DA743">
            <v>0</v>
          </cell>
          <cell r="DB743">
            <v>0</v>
          </cell>
          <cell r="DC743">
            <v>0</v>
          </cell>
          <cell r="DD743">
            <v>0</v>
          </cell>
          <cell r="DE743">
            <v>0</v>
          </cell>
          <cell r="DF743">
            <v>0</v>
          </cell>
          <cell r="DG743">
            <v>0</v>
          </cell>
          <cell r="DI743">
            <v>0</v>
          </cell>
          <cell r="DJ743">
            <v>0</v>
          </cell>
          <cell r="DK743">
            <v>0</v>
          </cell>
          <cell r="DL743">
            <v>0</v>
          </cell>
          <cell r="DM743">
            <v>0</v>
          </cell>
          <cell r="DN743">
            <v>0</v>
          </cell>
          <cell r="DO743">
            <v>0</v>
          </cell>
          <cell r="DP743">
            <v>0</v>
          </cell>
          <cell r="DQ743">
            <v>0</v>
          </cell>
          <cell r="DR743">
            <v>0</v>
          </cell>
          <cell r="DS743">
            <v>0</v>
          </cell>
          <cell r="DT743">
            <v>0</v>
          </cell>
          <cell r="DU743">
            <v>0</v>
          </cell>
          <cell r="DW743">
            <v>0</v>
          </cell>
          <cell r="DX743">
            <v>0</v>
          </cell>
          <cell r="DY743">
            <v>0</v>
          </cell>
          <cell r="DZ743">
            <v>0</v>
          </cell>
          <cell r="EA743">
            <v>0</v>
          </cell>
          <cell r="EB743">
            <v>0</v>
          </cell>
          <cell r="EC743">
            <v>0</v>
          </cell>
          <cell r="ED743">
            <v>0</v>
          </cell>
          <cell r="EE743">
            <v>0</v>
          </cell>
          <cell r="EF743">
            <v>0</v>
          </cell>
          <cell r="EG743">
            <v>0</v>
          </cell>
          <cell r="EH743">
            <v>0</v>
          </cell>
          <cell r="EI743">
            <v>0</v>
          </cell>
          <cell r="EK743">
            <v>0</v>
          </cell>
          <cell r="EL743">
            <v>0</v>
          </cell>
          <cell r="EM743">
            <v>0</v>
          </cell>
          <cell r="EN743">
            <v>0</v>
          </cell>
          <cell r="EO743">
            <v>0</v>
          </cell>
          <cell r="EP743">
            <v>0</v>
          </cell>
          <cell r="EQ743">
            <v>0</v>
          </cell>
          <cell r="ER743">
            <v>0</v>
          </cell>
          <cell r="ES743">
            <v>0</v>
          </cell>
          <cell r="ET743">
            <v>0</v>
          </cell>
          <cell r="EU743">
            <v>0</v>
          </cell>
          <cell r="EV743">
            <v>0</v>
          </cell>
          <cell r="EW743">
            <v>0</v>
          </cell>
          <cell r="EY743">
            <v>0</v>
          </cell>
          <cell r="EZ743">
            <v>8</v>
          </cell>
          <cell r="FA743">
            <v>0</v>
          </cell>
          <cell r="FB743">
            <v>0</v>
          </cell>
          <cell r="FC743">
            <v>8.6</v>
          </cell>
          <cell r="FD743">
            <v>0</v>
          </cell>
          <cell r="FE743">
            <v>0</v>
          </cell>
          <cell r="FF743">
            <v>0</v>
          </cell>
          <cell r="FH743">
            <v>0</v>
          </cell>
        </row>
        <row r="744">
          <cell r="B744">
            <v>9865</v>
          </cell>
          <cell r="C744" t="str">
            <v>02.05.2011</v>
          </cell>
          <cell r="D744" t="str">
            <v>Bhalerao Nilesh Pratap</v>
          </cell>
          <cell r="F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G744">
            <v>0</v>
          </cell>
          <cell r="AH744">
            <v>0</v>
          </cell>
          <cell r="AI744">
            <v>0</v>
          </cell>
          <cell r="AJ744">
            <v>0</v>
          </cell>
          <cell r="AK744">
            <v>0</v>
          </cell>
          <cell r="AL744">
            <v>0</v>
          </cell>
          <cell r="AM744">
            <v>0</v>
          </cell>
          <cell r="AN744">
            <v>0</v>
          </cell>
          <cell r="AO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>
            <v>0</v>
          </cell>
          <cell r="BA744">
            <v>0</v>
          </cell>
          <cell r="BB744">
            <v>0</v>
          </cell>
          <cell r="BC744">
            <v>0</v>
          </cell>
          <cell r="BD744">
            <v>0</v>
          </cell>
          <cell r="BE744">
            <v>0</v>
          </cell>
          <cell r="BF744">
            <v>0</v>
          </cell>
          <cell r="BG744">
            <v>0</v>
          </cell>
          <cell r="BH744">
            <v>0</v>
          </cell>
          <cell r="BI744">
            <v>0</v>
          </cell>
          <cell r="BK744">
            <v>0</v>
          </cell>
          <cell r="BL744">
            <v>0</v>
          </cell>
          <cell r="BM744">
            <v>0</v>
          </cell>
          <cell r="BN744">
            <v>0</v>
          </cell>
          <cell r="BO744">
            <v>0</v>
          </cell>
          <cell r="BP744">
            <v>0</v>
          </cell>
          <cell r="BQ744">
            <v>0</v>
          </cell>
          <cell r="BR744">
            <v>0</v>
          </cell>
          <cell r="BS744">
            <v>0</v>
          </cell>
          <cell r="BU744">
            <v>0</v>
          </cell>
          <cell r="BV744">
            <v>0</v>
          </cell>
          <cell r="BW744">
            <v>0</v>
          </cell>
          <cell r="BX744">
            <v>0</v>
          </cell>
          <cell r="BY744">
            <v>0</v>
          </cell>
          <cell r="BZ744">
            <v>0</v>
          </cell>
          <cell r="CA744">
            <v>0</v>
          </cell>
          <cell r="CB744">
            <v>0</v>
          </cell>
          <cell r="CC744">
            <v>0</v>
          </cell>
          <cell r="CE744">
            <v>0</v>
          </cell>
          <cell r="CF744">
            <v>0</v>
          </cell>
          <cell r="CG744">
            <v>0</v>
          </cell>
          <cell r="CH744">
            <v>0</v>
          </cell>
          <cell r="CI744">
            <v>0</v>
          </cell>
          <cell r="CJ744">
            <v>0</v>
          </cell>
          <cell r="CK744">
            <v>0</v>
          </cell>
          <cell r="CL744">
            <v>0</v>
          </cell>
          <cell r="CM744">
            <v>0</v>
          </cell>
          <cell r="CO744">
            <v>0</v>
          </cell>
          <cell r="CP744">
            <v>0</v>
          </cell>
          <cell r="CQ744">
            <v>0</v>
          </cell>
          <cell r="CR744">
            <v>0</v>
          </cell>
          <cell r="CS744">
            <v>0</v>
          </cell>
          <cell r="CT744">
            <v>0</v>
          </cell>
          <cell r="CU744">
            <v>0</v>
          </cell>
          <cell r="CV744">
            <v>0</v>
          </cell>
          <cell r="CW744">
            <v>0</v>
          </cell>
          <cell r="CY744">
            <v>0</v>
          </cell>
          <cell r="CZ744">
            <v>0</v>
          </cell>
          <cell r="DA744">
            <v>0</v>
          </cell>
          <cell r="DB744">
            <v>0</v>
          </cell>
          <cell r="DC744">
            <v>0</v>
          </cell>
          <cell r="DD744">
            <v>0</v>
          </cell>
          <cell r="DE744">
            <v>0</v>
          </cell>
          <cell r="DF744">
            <v>0</v>
          </cell>
          <cell r="DG744">
            <v>0</v>
          </cell>
          <cell r="DI744">
            <v>0</v>
          </cell>
          <cell r="DJ744">
            <v>0</v>
          </cell>
          <cell r="DK744">
            <v>0</v>
          </cell>
          <cell r="DL744">
            <v>0</v>
          </cell>
          <cell r="DM744">
            <v>0</v>
          </cell>
          <cell r="DN744">
            <v>0</v>
          </cell>
          <cell r="DO744">
            <v>0</v>
          </cell>
          <cell r="DP744">
            <v>0</v>
          </cell>
          <cell r="DQ744">
            <v>0</v>
          </cell>
          <cell r="DR744">
            <v>0</v>
          </cell>
          <cell r="DS744">
            <v>0</v>
          </cell>
          <cell r="DT744">
            <v>0</v>
          </cell>
          <cell r="DU744">
            <v>0</v>
          </cell>
          <cell r="DW744">
            <v>0</v>
          </cell>
          <cell r="DX744">
            <v>0</v>
          </cell>
          <cell r="DY744">
            <v>0</v>
          </cell>
          <cell r="DZ744">
            <v>0</v>
          </cell>
          <cell r="EA744">
            <v>0</v>
          </cell>
          <cell r="EB744">
            <v>0</v>
          </cell>
          <cell r="EC744">
            <v>0</v>
          </cell>
          <cell r="ED744">
            <v>0</v>
          </cell>
          <cell r="EE744">
            <v>0</v>
          </cell>
          <cell r="EF744">
            <v>0</v>
          </cell>
          <cell r="EG744">
            <v>0</v>
          </cell>
          <cell r="EH744">
            <v>0</v>
          </cell>
          <cell r="EI744">
            <v>0</v>
          </cell>
          <cell r="EK744">
            <v>0</v>
          </cell>
          <cell r="EL744">
            <v>0</v>
          </cell>
          <cell r="EM744">
            <v>0</v>
          </cell>
          <cell r="EN744">
            <v>0</v>
          </cell>
          <cell r="EO744">
            <v>0</v>
          </cell>
          <cell r="EP744">
            <v>0</v>
          </cell>
          <cell r="EQ744">
            <v>0</v>
          </cell>
          <cell r="ER744">
            <v>0</v>
          </cell>
          <cell r="ES744">
            <v>0</v>
          </cell>
          <cell r="ET744">
            <v>0</v>
          </cell>
          <cell r="EU744">
            <v>0</v>
          </cell>
          <cell r="EV744">
            <v>0</v>
          </cell>
          <cell r="EW744">
            <v>0</v>
          </cell>
          <cell r="EY744">
            <v>0</v>
          </cell>
          <cell r="EZ744">
            <v>8</v>
          </cell>
          <cell r="FA744">
            <v>0</v>
          </cell>
          <cell r="FB744">
            <v>0</v>
          </cell>
          <cell r="FC744">
            <v>8.6</v>
          </cell>
          <cell r="FD744">
            <v>0</v>
          </cell>
          <cell r="FE744">
            <v>0</v>
          </cell>
          <cell r="FF744">
            <v>0</v>
          </cell>
          <cell r="FH744">
            <v>0</v>
          </cell>
        </row>
        <row r="745">
          <cell r="B745">
            <v>9888</v>
          </cell>
          <cell r="C745" t="str">
            <v>06.05.2011</v>
          </cell>
          <cell r="D745" t="str">
            <v>Nikam Sunil Bhimrao</v>
          </cell>
          <cell r="F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0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BA745">
            <v>0</v>
          </cell>
          <cell r="BB745">
            <v>0</v>
          </cell>
          <cell r="BC745">
            <v>0</v>
          </cell>
          <cell r="BD745">
            <v>0</v>
          </cell>
          <cell r="BE745">
            <v>0</v>
          </cell>
          <cell r="BF745">
            <v>0</v>
          </cell>
          <cell r="BG745">
            <v>0</v>
          </cell>
          <cell r="BH745">
            <v>0</v>
          </cell>
          <cell r="BI745">
            <v>0</v>
          </cell>
          <cell r="BK745">
            <v>0</v>
          </cell>
          <cell r="BL745">
            <v>0</v>
          </cell>
          <cell r="BM745">
            <v>0</v>
          </cell>
          <cell r="BN745">
            <v>0</v>
          </cell>
          <cell r="BO745">
            <v>0</v>
          </cell>
          <cell r="BP745">
            <v>0</v>
          </cell>
          <cell r="BQ745">
            <v>0</v>
          </cell>
          <cell r="BR745">
            <v>0</v>
          </cell>
          <cell r="BS745">
            <v>0</v>
          </cell>
          <cell r="BU745">
            <v>0</v>
          </cell>
          <cell r="BV745">
            <v>0</v>
          </cell>
          <cell r="BW745">
            <v>0</v>
          </cell>
          <cell r="BX745">
            <v>0</v>
          </cell>
          <cell r="BY745">
            <v>0</v>
          </cell>
          <cell r="BZ745">
            <v>0</v>
          </cell>
          <cell r="CA745">
            <v>0</v>
          </cell>
          <cell r="CB745">
            <v>0</v>
          </cell>
          <cell r="CC745">
            <v>0</v>
          </cell>
          <cell r="CE745">
            <v>0</v>
          </cell>
          <cell r="CF745">
            <v>0</v>
          </cell>
          <cell r="CG745">
            <v>0</v>
          </cell>
          <cell r="CH745">
            <v>0</v>
          </cell>
          <cell r="CI745">
            <v>0</v>
          </cell>
          <cell r="CJ745">
            <v>0</v>
          </cell>
          <cell r="CK745">
            <v>0</v>
          </cell>
          <cell r="CL745">
            <v>0</v>
          </cell>
          <cell r="CM745">
            <v>0</v>
          </cell>
          <cell r="CO745">
            <v>0</v>
          </cell>
          <cell r="CP745">
            <v>0</v>
          </cell>
          <cell r="CQ745">
            <v>0</v>
          </cell>
          <cell r="CR745">
            <v>0</v>
          </cell>
          <cell r="CS745">
            <v>0</v>
          </cell>
          <cell r="CT745">
            <v>0</v>
          </cell>
          <cell r="CU745">
            <v>0</v>
          </cell>
          <cell r="CV745">
            <v>0</v>
          </cell>
          <cell r="CW745">
            <v>0</v>
          </cell>
          <cell r="CY745">
            <v>0</v>
          </cell>
          <cell r="CZ745">
            <v>0</v>
          </cell>
          <cell r="DA745">
            <v>0</v>
          </cell>
          <cell r="DB745">
            <v>0</v>
          </cell>
          <cell r="DC745">
            <v>0</v>
          </cell>
          <cell r="DD745">
            <v>0</v>
          </cell>
          <cell r="DE745">
            <v>0</v>
          </cell>
          <cell r="DF745">
            <v>0</v>
          </cell>
          <cell r="DG745">
            <v>0</v>
          </cell>
          <cell r="DI745">
            <v>0</v>
          </cell>
          <cell r="DJ745">
            <v>0</v>
          </cell>
          <cell r="DK745">
            <v>0</v>
          </cell>
          <cell r="DL745">
            <v>0</v>
          </cell>
          <cell r="DM745">
            <v>0</v>
          </cell>
          <cell r="DN745">
            <v>0</v>
          </cell>
          <cell r="DO745">
            <v>0</v>
          </cell>
          <cell r="DP745">
            <v>0</v>
          </cell>
          <cell r="DQ745">
            <v>0</v>
          </cell>
          <cell r="DR745">
            <v>0</v>
          </cell>
          <cell r="DS745">
            <v>0</v>
          </cell>
          <cell r="DT745">
            <v>0</v>
          </cell>
          <cell r="DU745">
            <v>0</v>
          </cell>
          <cell r="DW745">
            <v>0</v>
          </cell>
          <cell r="DX745">
            <v>0</v>
          </cell>
          <cell r="DY745">
            <v>0</v>
          </cell>
          <cell r="DZ745">
            <v>0</v>
          </cell>
          <cell r="EA745">
            <v>0</v>
          </cell>
          <cell r="EB745">
            <v>0</v>
          </cell>
          <cell r="EC745">
            <v>0</v>
          </cell>
          <cell r="ED745">
            <v>0</v>
          </cell>
          <cell r="EE745">
            <v>0</v>
          </cell>
          <cell r="EF745">
            <v>0</v>
          </cell>
          <cell r="EG745">
            <v>0</v>
          </cell>
          <cell r="EH745">
            <v>0</v>
          </cell>
          <cell r="EI745">
            <v>0</v>
          </cell>
          <cell r="EK745">
            <v>0</v>
          </cell>
          <cell r="EL745">
            <v>0</v>
          </cell>
          <cell r="EM745">
            <v>0</v>
          </cell>
          <cell r="EN745">
            <v>0</v>
          </cell>
          <cell r="EO745">
            <v>0</v>
          </cell>
          <cell r="EP745">
            <v>0</v>
          </cell>
          <cell r="EQ745">
            <v>0</v>
          </cell>
          <cell r="ER745">
            <v>0</v>
          </cell>
          <cell r="ES745">
            <v>0</v>
          </cell>
          <cell r="ET745">
            <v>0</v>
          </cell>
          <cell r="EU745">
            <v>0</v>
          </cell>
          <cell r="EV745">
            <v>0</v>
          </cell>
          <cell r="EW745">
            <v>0</v>
          </cell>
          <cell r="EY745">
            <v>0</v>
          </cell>
          <cell r="EZ745">
            <v>8</v>
          </cell>
          <cell r="FA745">
            <v>0</v>
          </cell>
          <cell r="FB745">
            <v>0</v>
          </cell>
          <cell r="FC745">
            <v>8.6</v>
          </cell>
          <cell r="FD745">
            <v>0</v>
          </cell>
          <cell r="FE745">
            <v>0</v>
          </cell>
          <cell r="FF745">
            <v>0</v>
          </cell>
          <cell r="FH745">
            <v>0</v>
          </cell>
        </row>
        <row r="746">
          <cell r="B746">
            <v>9880</v>
          </cell>
          <cell r="C746" t="str">
            <v>07.05.2011</v>
          </cell>
          <cell r="D746" t="str">
            <v>Pagare Savita Harendra</v>
          </cell>
          <cell r="F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G746">
            <v>0</v>
          </cell>
          <cell r="AH746">
            <v>0</v>
          </cell>
          <cell r="AI746">
            <v>0</v>
          </cell>
          <cell r="AJ746">
            <v>0</v>
          </cell>
          <cell r="AK746">
            <v>0</v>
          </cell>
          <cell r="AL746">
            <v>0</v>
          </cell>
          <cell r="AM746">
            <v>0</v>
          </cell>
          <cell r="AN746">
            <v>0</v>
          </cell>
          <cell r="AO746">
            <v>0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>
            <v>0</v>
          </cell>
          <cell r="BA746">
            <v>0</v>
          </cell>
          <cell r="BB746">
            <v>0</v>
          </cell>
          <cell r="BC746">
            <v>0</v>
          </cell>
          <cell r="BD746">
            <v>0</v>
          </cell>
          <cell r="BE746">
            <v>0</v>
          </cell>
          <cell r="BF746">
            <v>0</v>
          </cell>
          <cell r="BG746">
            <v>0</v>
          </cell>
          <cell r="BH746">
            <v>0</v>
          </cell>
          <cell r="BI746">
            <v>0</v>
          </cell>
          <cell r="BK746">
            <v>0</v>
          </cell>
          <cell r="BL746">
            <v>0</v>
          </cell>
          <cell r="BM746">
            <v>0</v>
          </cell>
          <cell r="BN746">
            <v>0</v>
          </cell>
          <cell r="BO746">
            <v>0</v>
          </cell>
          <cell r="BP746">
            <v>0</v>
          </cell>
          <cell r="BQ746">
            <v>0</v>
          </cell>
          <cell r="BR746">
            <v>0</v>
          </cell>
          <cell r="BS746">
            <v>0</v>
          </cell>
          <cell r="BU746">
            <v>0</v>
          </cell>
          <cell r="BV746">
            <v>0</v>
          </cell>
          <cell r="BW746">
            <v>0</v>
          </cell>
          <cell r="BX746">
            <v>0</v>
          </cell>
          <cell r="BY746">
            <v>0</v>
          </cell>
          <cell r="BZ746">
            <v>0</v>
          </cell>
          <cell r="CA746">
            <v>0</v>
          </cell>
          <cell r="CB746">
            <v>0</v>
          </cell>
          <cell r="CC746">
            <v>0</v>
          </cell>
          <cell r="CE746">
            <v>0</v>
          </cell>
          <cell r="CF746">
            <v>0</v>
          </cell>
          <cell r="CG746">
            <v>0</v>
          </cell>
          <cell r="CH746">
            <v>0</v>
          </cell>
          <cell r="CI746">
            <v>0</v>
          </cell>
          <cell r="CJ746">
            <v>0</v>
          </cell>
          <cell r="CK746">
            <v>0</v>
          </cell>
          <cell r="CL746">
            <v>0</v>
          </cell>
          <cell r="CM746">
            <v>0</v>
          </cell>
          <cell r="CO746">
            <v>0</v>
          </cell>
          <cell r="CP746">
            <v>0</v>
          </cell>
          <cell r="CQ746">
            <v>0</v>
          </cell>
          <cell r="CR746">
            <v>0</v>
          </cell>
          <cell r="CS746">
            <v>0</v>
          </cell>
          <cell r="CT746">
            <v>0</v>
          </cell>
          <cell r="CU746">
            <v>0</v>
          </cell>
          <cell r="CV746">
            <v>0</v>
          </cell>
          <cell r="CW746">
            <v>0</v>
          </cell>
          <cell r="CY746">
            <v>0</v>
          </cell>
          <cell r="CZ746">
            <v>0</v>
          </cell>
          <cell r="DA746">
            <v>0</v>
          </cell>
          <cell r="DB746">
            <v>0</v>
          </cell>
          <cell r="DC746">
            <v>0</v>
          </cell>
          <cell r="DD746">
            <v>0</v>
          </cell>
          <cell r="DE746">
            <v>0</v>
          </cell>
          <cell r="DF746">
            <v>0</v>
          </cell>
          <cell r="DG746">
            <v>0</v>
          </cell>
          <cell r="DI746">
            <v>0</v>
          </cell>
          <cell r="DJ746">
            <v>0</v>
          </cell>
          <cell r="DK746">
            <v>0</v>
          </cell>
          <cell r="DL746">
            <v>0</v>
          </cell>
          <cell r="DM746">
            <v>0</v>
          </cell>
          <cell r="DN746">
            <v>0</v>
          </cell>
          <cell r="DO746">
            <v>0</v>
          </cell>
          <cell r="DP746">
            <v>0</v>
          </cell>
          <cell r="DQ746">
            <v>0</v>
          </cell>
          <cell r="DR746">
            <v>0</v>
          </cell>
          <cell r="DS746">
            <v>0</v>
          </cell>
          <cell r="DT746">
            <v>0</v>
          </cell>
          <cell r="DU746">
            <v>0</v>
          </cell>
          <cell r="DW746">
            <v>0</v>
          </cell>
          <cell r="DX746">
            <v>0</v>
          </cell>
          <cell r="DY746">
            <v>0</v>
          </cell>
          <cell r="DZ746">
            <v>0</v>
          </cell>
          <cell r="EA746">
            <v>0</v>
          </cell>
          <cell r="EB746">
            <v>0</v>
          </cell>
          <cell r="EC746">
            <v>0</v>
          </cell>
          <cell r="ED746">
            <v>0</v>
          </cell>
          <cell r="EE746">
            <v>0</v>
          </cell>
          <cell r="EF746">
            <v>0</v>
          </cell>
          <cell r="EG746">
            <v>0</v>
          </cell>
          <cell r="EH746">
            <v>0</v>
          </cell>
          <cell r="EI746">
            <v>0</v>
          </cell>
          <cell r="EK746">
            <v>0</v>
          </cell>
          <cell r="EL746">
            <v>0</v>
          </cell>
          <cell r="EM746">
            <v>0</v>
          </cell>
          <cell r="EN746">
            <v>0</v>
          </cell>
          <cell r="EO746">
            <v>0</v>
          </cell>
          <cell r="EP746">
            <v>0</v>
          </cell>
          <cell r="EQ746">
            <v>0</v>
          </cell>
          <cell r="ER746">
            <v>0</v>
          </cell>
          <cell r="ES746">
            <v>0</v>
          </cell>
          <cell r="ET746">
            <v>0</v>
          </cell>
          <cell r="EU746">
            <v>0</v>
          </cell>
          <cell r="EV746">
            <v>0</v>
          </cell>
          <cell r="EW746">
            <v>0</v>
          </cell>
          <cell r="EY746">
            <v>0</v>
          </cell>
          <cell r="EZ746">
            <v>8</v>
          </cell>
          <cell r="FA746">
            <v>0</v>
          </cell>
          <cell r="FB746">
            <v>0</v>
          </cell>
          <cell r="FC746">
            <v>8.6</v>
          </cell>
          <cell r="FD746">
            <v>0</v>
          </cell>
          <cell r="FE746">
            <v>0</v>
          </cell>
          <cell r="FF746">
            <v>0</v>
          </cell>
          <cell r="FH746">
            <v>0</v>
          </cell>
        </row>
        <row r="747">
          <cell r="B747">
            <v>10129</v>
          </cell>
          <cell r="C747" t="str">
            <v>07.05.2011</v>
          </cell>
          <cell r="D747" t="str">
            <v>Barve Harsha Rajaram</v>
          </cell>
          <cell r="F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W747">
            <v>0</v>
          </cell>
          <cell r="X747">
            <v>0</v>
          </cell>
          <cell r="Y747">
            <v>0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0</v>
          </cell>
          <cell r="AK747">
            <v>0</v>
          </cell>
          <cell r="AL747">
            <v>0</v>
          </cell>
          <cell r="AM747">
            <v>0</v>
          </cell>
          <cell r="AN747">
            <v>0</v>
          </cell>
          <cell r="AO747">
            <v>0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0</v>
          </cell>
          <cell r="AY747">
            <v>0</v>
          </cell>
          <cell r="BA747">
            <v>0</v>
          </cell>
          <cell r="BB747">
            <v>0</v>
          </cell>
          <cell r="BC747">
            <v>0</v>
          </cell>
          <cell r="BD747">
            <v>0</v>
          </cell>
          <cell r="BE747">
            <v>0</v>
          </cell>
          <cell r="BF747">
            <v>0</v>
          </cell>
          <cell r="BG747">
            <v>0</v>
          </cell>
          <cell r="BH747">
            <v>0</v>
          </cell>
          <cell r="BI747">
            <v>0</v>
          </cell>
          <cell r="BK747">
            <v>0</v>
          </cell>
          <cell r="BL747">
            <v>0</v>
          </cell>
          <cell r="BM747">
            <v>0</v>
          </cell>
          <cell r="BN747">
            <v>0</v>
          </cell>
          <cell r="BO747">
            <v>0</v>
          </cell>
          <cell r="BP747">
            <v>0</v>
          </cell>
          <cell r="BQ747">
            <v>0</v>
          </cell>
          <cell r="BR747">
            <v>0</v>
          </cell>
          <cell r="BS747">
            <v>0</v>
          </cell>
          <cell r="BU747">
            <v>0</v>
          </cell>
          <cell r="BV747">
            <v>0</v>
          </cell>
          <cell r="BW747">
            <v>0</v>
          </cell>
          <cell r="BX747">
            <v>0</v>
          </cell>
          <cell r="BY747">
            <v>0</v>
          </cell>
          <cell r="BZ747">
            <v>0</v>
          </cell>
          <cell r="CA747">
            <v>0</v>
          </cell>
          <cell r="CB747">
            <v>0</v>
          </cell>
          <cell r="CC747">
            <v>0</v>
          </cell>
          <cell r="CE747">
            <v>0</v>
          </cell>
          <cell r="CF747">
            <v>0</v>
          </cell>
          <cell r="CG747">
            <v>0</v>
          </cell>
          <cell r="CH747">
            <v>0</v>
          </cell>
          <cell r="CI747">
            <v>0</v>
          </cell>
          <cell r="CJ747">
            <v>0</v>
          </cell>
          <cell r="CK747">
            <v>0</v>
          </cell>
          <cell r="CL747">
            <v>0</v>
          </cell>
          <cell r="CM747">
            <v>0</v>
          </cell>
          <cell r="CO747">
            <v>0</v>
          </cell>
          <cell r="CP747">
            <v>0</v>
          </cell>
          <cell r="CQ747">
            <v>0</v>
          </cell>
          <cell r="CR747">
            <v>0</v>
          </cell>
          <cell r="CS747">
            <v>0</v>
          </cell>
          <cell r="CT747">
            <v>0</v>
          </cell>
          <cell r="CU747">
            <v>0</v>
          </cell>
          <cell r="CV747">
            <v>0</v>
          </cell>
          <cell r="CW747">
            <v>0</v>
          </cell>
          <cell r="CY747">
            <v>0</v>
          </cell>
          <cell r="CZ747">
            <v>0</v>
          </cell>
          <cell r="DA747">
            <v>0</v>
          </cell>
          <cell r="DB747">
            <v>0</v>
          </cell>
          <cell r="DC747">
            <v>0</v>
          </cell>
          <cell r="DD747">
            <v>0</v>
          </cell>
          <cell r="DE747">
            <v>0</v>
          </cell>
          <cell r="DF747">
            <v>0</v>
          </cell>
          <cell r="DG747">
            <v>0</v>
          </cell>
          <cell r="DI747">
            <v>0</v>
          </cell>
          <cell r="DJ747">
            <v>0</v>
          </cell>
          <cell r="DK747">
            <v>0</v>
          </cell>
          <cell r="DL747">
            <v>0</v>
          </cell>
          <cell r="DM747">
            <v>0</v>
          </cell>
          <cell r="DN747">
            <v>0</v>
          </cell>
          <cell r="DO747">
            <v>0</v>
          </cell>
          <cell r="DP747">
            <v>0</v>
          </cell>
          <cell r="DQ747">
            <v>0</v>
          </cell>
          <cell r="DR747">
            <v>0</v>
          </cell>
          <cell r="DS747">
            <v>0</v>
          </cell>
          <cell r="DT747">
            <v>0</v>
          </cell>
          <cell r="DU747">
            <v>0</v>
          </cell>
          <cell r="DW747">
            <v>0</v>
          </cell>
          <cell r="DX747">
            <v>0</v>
          </cell>
          <cell r="DY747">
            <v>0</v>
          </cell>
          <cell r="DZ747">
            <v>0</v>
          </cell>
          <cell r="EA747">
            <v>0</v>
          </cell>
          <cell r="EB747">
            <v>0</v>
          </cell>
          <cell r="EC747">
            <v>0</v>
          </cell>
          <cell r="ED747">
            <v>0</v>
          </cell>
          <cell r="EE747">
            <v>0</v>
          </cell>
          <cell r="EF747">
            <v>0</v>
          </cell>
          <cell r="EG747">
            <v>0</v>
          </cell>
          <cell r="EH747">
            <v>0</v>
          </cell>
          <cell r="EI747">
            <v>0</v>
          </cell>
          <cell r="EK747">
            <v>0</v>
          </cell>
          <cell r="EL747">
            <v>0</v>
          </cell>
          <cell r="EM747">
            <v>0</v>
          </cell>
          <cell r="EN747">
            <v>0</v>
          </cell>
          <cell r="EO747">
            <v>0</v>
          </cell>
          <cell r="EP747">
            <v>0</v>
          </cell>
          <cell r="EQ747">
            <v>0</v>
          </cell>
          <cell r="ER747">
            <v>0</v>
          </cell>
          <cell r="ES747">
            <v>0</v>
          </cell>
          <cell r="ET747">
            <v>0</v>
          </cell>
          <cell r="EU747">
            <v>0</v>
          </cell>
          <cell r="EV747">
            <v>0</v>
          </cell>
          <cell r="EW747">
            <v>0</v>
          </cell>
          <cell r="EY747">
            <v>0</v>
          </cell>
          <cell r="EZ747">
            <v>8</v>
          </cell>
          <cell r="FA747">
            <v>0</v>
          </cell>
          <cell r="FB747">
            <v>0</v>
          </cell>
          <cell r="FC747">
            <v>8.6</v>
          </cell>
          <cell r="FD747">
            <v>0</v>
          </cell>
          <cell r="FE747">
            <v>0</v>
          </cell>
          <cell r="FF747">
            <v>0</v>
          </cell>
          <cell r="FH747">
            <v>0</v>
          </cell>
        </row>
        <row r="748">
          <cell r="B748">
            <v>9878</v>
          </cell>
          <cell r="C748" t="str">
            <v>12.05.2011</v>
          </cell>
          <cell r="D748" t="str">
            <v>Parmar Rekha Ravindra</v>
          </cell>
          <cell r="F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W748">
            <v>0</v>
          </cell>
          <cell r="X748">
            <v>0</v>
          </cell>
          <cell r="Y748">
            <v>0</v>
          </cell>
          <cell r="Z748">
            <v>0</v>
          </cell>
          <cell r="AA748">
            <v>0</v>
          </cell>
          <cell r="AB748">
            <v>0</v>
          </cell>
          <cell r="AC748">
            <v>0</v>
          </cell>
          <cell r="AD748">
            <v>0</v>
          </cell>
          <cell r="AE748">
            <v>0</v>
          </cell>
          <cell r="AG748">
            <v>0</v>
          </cell>
          <cell r="AH748">
            <v>0</v>
          </cell>
          <cell r="AI748">
            <v>0</v>
          </cell>
          <cell r="AJ748">
            <v>0</v>
          </cell>
          <cell r="AK748">
            <v>0</v>
          </cell>
          <cell r="AL748">
            <v>0</v>
          </cell>
          <cell r="AM748">
            <v>0</v>
          </cell>
          <cell r="AN748">
            <v>0</v>
          </cell>
          <cell r="AO748">
            <v>0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  <cell r="AU748">
            <v>0</v>
          </cell>
          <cell r="AV748">
            <v>0</v>
          </cell>
          <cell r="AW748">
            <v>0</v>
          </cell>
          <cell r="AX748">
            <v>0</v>
          </cell>
          <cell r="AY748">
            <v>0</v>
          </cell>
          <cell r="BA748">
            <v>0</v>
          </cell>
          <cell r="BB748">
            <v>0</v>
          </cell>
          <cell r="BC748">
            <v>0</v>
          </cell>
          <cell r="BD748">
            <v>0</v>
          </cell>
          <cell r="BE748">
            <v>0</v>
          </cell>
          <cell r="BF748">
            <v>0</v>
          </cell>
          <cell r="BG748">
            <v>0</v>
          </cell>
          <cell r="BH748">
            <v>0</v>
          </cell>
          <cell r="BI748">
            <v>0</v>
          </cell>
          <cell r="BK748">
            <v>0</v>
          </cell>
          <cell r="BL748">
            <v>0</v>
          </cell>
          <cell r="BM748">
            <v>0</v>
          </cell>
          <cell r="BN748">
            <v>0</v>
          </cell>
          <cell r="BO748">
            <v>0</v>
          </cell>
          <cell r="BP748">
            <v>0</v>
          </cell>
          <cell r="BQ748">
            <v>0</v>
          </cell>
          <cell r="BR748">
            <v>0</v>
          </cell>
          <cell r="BS748">
            <v>0</v>
          </cell>
          <cell r="BU748">
            <v>0</v>
          </cell>
          <cell r="BV748">
            <v>0</v>
          </cell>
          <cell r="BW748">
            <v>0</v>
          </cell>
          <cell r="BX748">
            <v>0</v>
          </cell>
          <cell r="BY748">
            <v>0</v>
          </cell>
          <cell r="BZ748">
            <v>0</v>
          </cell>
          <cell r="CA748">
            <v>0</v>
          </cell>
          <cell r="CB748">
            <v>0</v>
          </cell>
          <cell r="CC748">
            <v>0</v>
          </cell>
          <cell r="CE748">
            <v>0</v>
          </cell>
          <cell r="CF748">
            <v>0</v>
          </cell>
          <cell r="CG748">
            <v>0</v>
          </cell>
          <cell r="CH748">
            <v>0</v>
          </cell>
          <cell r="CI748">
            <v>0</v>
          </cell>
          <cell r="CJ748">
            <v>0</v>
          </cell>
          <cell r="CK748">
            <v>0</v>
          </cell>
          <cell r="CL748">
            <v>0</v>
          </cell>
          <cell r="CM748">
            <v>0</v>
          </cell>
          <cell r="CO748">
            <v>0</v>
          </cell>
          <cell r="CP748">
            <v>0</v>
          </cell>
          <cell r="CQ748">
            <v>0</v>
          </cell>
          <cell r="CR748">
            <v>0</v>
          </cell>
          <cell r="CS748">
            <v>0</v>
          </cell>
          <cell r="CT748">
            <v>0</v>
          </cell>
          <cell r="CU748">
            <v>0</v>
          </cell>
          <cell r="CV748">
            <v>0</v>
          </cell>
          <cell r="CW748">
            <v>0</v>
          </cell>
          <cell r="CY748">
            <v>0</v>
          </cell>
          <cell r="CZ748">
            <v>0</v>
          </cell>
          <cell r="DA748">
            <v>0</v>
          </cell>
          <cell r="DB748">
            <v>0</v>
          </cell>
          <cell r="DC748">
            <v>0</v>
          </cell>
          <cell r="DD748">
            <v>0</v>
          </cell>
          <cell r="DE748">
            <v>0</v>
          </cell>
          <cell r="DF748">
            <v>0</v>
          </cell>
          <cell r="DG748">
            <v>0</v>
          </cell>
          <cell r="DI748">
            <v>0</v>
          </cell>
          <cell r="DJ748">
            <v>0</v>
          </cell>
          <cell r="DK748">
            <v>0</v>
          </cell>
          <cell r="DL748">
            <v>0</v>
          </cell>
          <cell r="DM748">
            <v>0</v>
          </cell>
          <cell r="DN748">
            <v>0</v>
          </cell>
          <cell r="DO748">
            <v>0</v>
          </cell>
          <cell r="DP748">
            <v>0</v>
          </cell>
          <cell r="DQ748">
            <v>0</v>
          </cell>
          <cell r="DR748">
            <v>0</v>
          </cell>
          <cell r="DS748">
            <v>0</v>
          </cell>
          <cell r="DT748">
            <v>0</v>
          </cell>
          <cell r="DU748">
            <v>0</v>
          </cell>
          <cell r="DW748">
            <v>0</v>
          </cell>
          <cell r="DX748">
            <v>0</v>
          </cell>
          <cell r="DY748">
            <v>0</v>
          </cell>
          <cell r="DZ748">
            <v>0</v>
          </cell>
          <cell r="EA748">
            <v>0</v>
          </cell>
          <cell r="EB748">
            <v>0</v>
          </cell>
          <cell r="EC748">
            <v>0</v>
          </cell>
          <cell r="ED748">
            <v>0</v>
          </cell>
          <cell r="EE748">
            <v>0</v>
          </cell>
          <cell r="EF748">
            <v>0</v>
          </cell>
          <cell r="EG748">
            <v>0</v>
          </cell>
          <cell r="EH748">
            <v>0</v>
          </cell>
          <cell r="EI748">
            <v>0</v>
          </cell>
          <cell r="EK748">
            <v>0</v>
          </cell>
          <cell r="EL748">
            <v>0</v>
          </cell>
          <cell r="EM748">
            <v>0</v>
          </cell>
          <cell r="EN748">
            <v>0</v>
          </cell>
          <cell r="EO748">
            <v>0</v>
          </cell>
          <cell r="EP748">
            <v>0</v>
          </cell>
          <cell r="EQ748">
            <v>0</v>
          </cell>
          <cell r="ER748">
            <v>0</v>
          </cell>
          <cell r="ES748">
            <v>0</v>
          </cell>
          <cell r="ET748">
            <v>0</v>
          </cell>
          <cell r="EU748">
            <v>0</v>
          </cell>
          <cell r="EV748">
            <v>0</v>
          </cell>
          <cell r="EW748">
            <v>0</v>
          </cell>
          <cell r="EY748">
            <v>0</v>
          </cell>
          <cell r="EZ748">
            <v>8</v>
          </cell>
          <cell r="FA748">
            <v>0</v>
          </cell>
          <cell r="FB748">
            <v>0</v>
          </cell>
          <cell r="FC748">
            <v>8.6</v>
          </cell>
          <cell r="FD748">
            <v>0</v>
          </cell>
          <cell r="FE748">
            <v>0</v>
          </cell>
          <cell r="FF748">
            <v>0</v>
          </cell>
          <cell r="FH748">
            <v>0</v>
          </cell>
        </row>
        <row r="749">
          <cell r="B749">
            <v>9881</v>
          </cell>
          <cell r="C749" t="str">
            <v>19.05.2011</v>
          </cell>
          <cell r="D749" t="str">
            <v>Divekar Atul Suresh</v>
          </cell>
          <cell r="F749">
            <v>0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G749">
            <v>0</v>
          </cell>
          <cell r="AH749">
            <v>0</v>
          </cell>
          <cell r="AI749">
            <v>0</v>
          </cell>
          <cell r="AJ749">
            <v>0</v>
          </cell>
          <cell r="AK749">
            <v>0</v>
          </cell>
          <cell r="AL749">
            <v>0</v>
          </cell>
          <cell r="AM749">
            <v>0</v>
          </cell>
          <cell r="AN749">
            <v>0</v>
          </cell>
          <cell r="AO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BA749">
            <v>0</v>
          </cell>
          <cell r="BB749">
            <v>0</v>
          </cell>
          <cell r="BC749">
            <v>0</v>
          </cell>
          <cell r="BD749">
            <v>0</v>
          </cell>
          <cell r="BE749">
            <v>0</v>
          </cell>
          <cell r="BF749">
            <v>0</v>
          </cell>
          <cell r="BG749">
            <v>0</v>
          </cell>
          <cell r="BH749">
            <v>0</v>
          </cell>
          <cell r="BI749">
            <v>0</v>
          </cell>
          <cell r="BK749">
            <v>0</v>
          </cell>
          <cell r="BL749">
            <v>0</v>
          </cell>
          <cell r="BM749">
            <v>0</v>
          </cell>
          <cell r="BN749">
            <v>0</v>
          </cell>
          <cell r="BO749">
            <v>0</v>
          </cell>
          <cell r="BP749">
            <v>0</v>
          </cell>
          <cell r="BQ749">
            <v>0</v>
          </cell>
          <cell r="BR749">
            <v>0</v>
          </cell>
          <cell r="BS749">
            <v>0</v>
          </cell>
          <cell r="BU749">
            <v>0</v>
          </cell>
          <cell r="BV749">
            <v>0</v>
          </cell>
          <cell r="BW749">
            <v>0</v>
          </cell>
          <cell r="BX749">
            <v>0</v>
          </cell>
          <cell r="BY749">
            <v>0</v>
          </cell>
          <cell r="BZ749">
            <v>0</v>
          </cell>
          <cell r="CA749">
            <v>0</v>
          </cell>
          <cell r="CB749">
            <v>0</v>
          </cell>
          <cell r="CC749">
            <v>0</v>
          </cell>
          <cell r="CE749">
            <v>0</v>
          </cell>
          <cell r="CF749">
            <v>0</v>
          </cell>
          <cell r="CG749">
            <v>0</v>
          </cell>
          <cell r="CH749">
            <v>0</v>
          </cell>
          <cell r="CI749">
            <v>0</v>
          </cell>
          <cell r="CJ749">
            <v>0</v>
          </cell>
          <cell r="CK749">
            <v>0</v>
          </cell>
          <cell r="CL749">
            <v>0</v>
          </cell>
          <cell r="CM749">
            <v>0</v>
          </cell>
          <cell r="CO749">
            <v>0</v>
          </cell>
          <cell r="CP749">
            <v>0</v>
          </cell>
          <cell r="CQ749">
            <v>0</v>
          </cell>
          <cell r="CR749">
            <v>0</v>
          </cell>
          <cell r="CS749">
            <v>0</v>
          </cell>
          <cell r="CT749">
            <v>0</v>
          </cell>
          <cell r="CU749">
            <v>0</v>
          </cell>
          <cell r="CV749">
            <v>0</v>
          </cell>
          <cell r="CW749">
            <v>0</v>
          </cell>
          <cell r="CY749">
            <v>0</v>
          </cell>
          <cell r="CZ749">
            <v>0</v>
          </cell>
          <cell r="DA749">
            <v>0</v>
          </cell>
          <cell r="DB749">
            <v>0</v>
          </cell>
          <cell r="DC749">
            <v>0</v>
          </cell>
          <cell r="DD749">
            <v>0</v>
          </cell>
          <cell r="DE749">
            <v>0</v>
          </cell>
          <cell r="DF749">
            <v>0</v>
          </cell>
          <cell r="DG749">
            <v>0</v>
          </cell>
          <cell r="DI749">
            <v>0</v>
          </cell>
          <cell r="DJ749">
            <v>0</v>
          </cell>
          <cell r="DK749">
            <v>0</v>
          </cell>
          <cell r="DL749">
            <v>0</v>
          </cell>
          <cell r="DM749">
            <v>0</v>
          </cell>
          <cell r="DN749">
            <v>0</v>
          </cell>
          <cell r="DO749">
            <v>0</v>
          </cell>
          <cell r="DP749">
            <v>0</v>
          </cell>
          <cell r="DQ749">
            <v>0</v>
          </cell>
          <cell r="DR749">
            <v>0</v>
          </cell>
          <cell r="DS749">
            <v>0</v>
          </cell>
          <cell r="DT749">
            <v>0</v>
          </cell>
          <cell r="DU749">
            <v>0</v>
          </cell>
          <cell r="DW749">
            <v>0</v>
          </cell>
          <cell r="DX749">
            <v>0</v>
          </cell>
          <cell r="DY749">
            <v>0</v>
          </cell>
          <cell r="DZ749">
            <v>0</v>
          </cell>
          <cell r="EA749">
            <v>0</v>
          </cell>
          <cell r="EB749">
            <v>0</v>
          </cell>
          <cell r="EC749">
            <v>0</v>
          </cell>
          <cell r="ED749">
            <v>0</v>
          </cell>
          <cell r="EE749">
            <v>0</v>
          </cell>
          <cell r="EF749">
            <v>0</v>
          </cell>
          <cell r="EG749">
            <v>0</v>
          </cell>
          <cell r="EH749">
            <v>0</v>
          </cell>
          <cell r="EI749">
            <v>0</v>
          </cell>
          <cell r="EK749">
            <v>0</v>
          </cell>
          <cell r="EL749">
            <v>0</v>
          </cell>
          <cell r="EM749">
            <v>0</v>
          </cell>
          <cell r="EN749">
            <v>0</v>
          </cell>
          <cell r="EO749">
            <v>0</v>
          </cell>
          <cell r="EP749">
            <v>0</v>
          </cell>
          <cell r="EQ749">
            <v>0</v>
          </cell>
          <cell r="ER749">
            <v>0</v>
          </cell>
          <cell r="ES749">
            <v>0</v>
          </cell>
          <cell r="ET749">
            <v>0</v>
          </cell>
          <cell r="EU749">
            <v>0</v>
          </cell>
          <cell r="EV749">
            <v>0</v>
          </cell>
          <cell r="EW749">
            <v>0</v>
          </cell>
          <cell r="EY749">
            <v>0</v>
          </cell>
          <cell r="EZ749">
            <v>8</v>
          </cell>
          <cell r="FA749">
            <v>0</v>
          </cell>
          <cell r="FB749">
            <v>0</v>
          </cell>
          <cell r="FC749">
            <v>8.6</v>
          </cell>
          <cell r="FD749">
            <v>0</v>
          </cell>
          <cell r="FE749">
            <v>0</v>
          </cell>
          <cell r="FF749">
            <v>0</v>
          </cell>
          <cell r="FH749">
            <v>0</v>
          </cell>
        </row>
        <row r="750">
          <cell r="B750">
            <v>9891</v>
          </cell>
          <cell r="C750" t="str">
            <v>19.05.2011</v>
          </cell>
          <cell r="D750" t="str">
            <v>Lilke Keshav</v>
          </cell>
          <cell r="F750">
            <v>0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W750">
            <v>0</v>
          </cell>
          <cell r="X750">
            <v>0</v>
          </cell>
          <cell r="Y750">
            <v>0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G750">
            <v>0</v>
          </cell>
          <cell r="AH750">
            <v>0</v>
          </cell>
          <cell r="AI750">
            <v>0</v>
          </cell>
          <cell r="AJ750">
            <v>0</v>
          </cell>
          <cell r="AK750">
            <v>0</v>
          </cell>
          <cell r="AL750">
            <v>0</v>
          </cell>
          <cell r="AM750">
            <v>0</v>
          </cell>
          <cell r="AN750">
            <v>0</v>
          </cell>
          <cell r="AO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0</v>
          </cell>
          <cell r="AV750">
            <v>0</v>
          </cell>
          <cell r="AW750">
            <v>0</v>
          </cell>
          <cell r="AX750">
            <v>0</v>
          </cell>
          <cell r="AY750">
            <v>0</v>
          </cell>
          <cell r="BA750">
            <v>0</v>
          </cell>
          <cell r="BB750">
            <v>0</v>
          </cell>
          <cell r="BC750">
            <v>0</v>
          </cell>
          <cell r="BD750">
            <v>0</v>
          </cell>
          <cell r="BE750">
            <v>0</v>
          </cell>
          <cell r="BF750">
            <v>0</v>
          </cell>
          <cell r="BG750">
            <v>0</v>
          </cell>
          <cell r="BH750">
            <v>0</v>
          </cell>
          <cell r="BI750">
            <v>0</v>
          </cell>
          <cell r="BK750">
            <v>0</v>
          </cell>
          <cell r="BL750">
            <v>0</v>
          </cell>
          <cell r="BM750">
            <v>0</v>
          </cell>
          <cell r="BN750">
            <v>0</v>
          </cell>
          <cell r="BO750">
            <v>0</v>
          </cell>
          <cell r="BP750">
            <v>0</v>
          </cell>
          <cell r="BQ750">
            <v>0</v>
          </cell>
          <cell r="BR750">
            <v>0</v>
          </cell>
          <cell r="BS750">
            <v>0</v>
          </cell>
          <cell r="BU750">
            <v>0</v>
          </cell>
          <cell r="BV750">
            <v>0</v>
          </cell>
          <cell r="BW750">
            <v>0</v>
          </cell>
          <cell r="BX750">
            <v>0</v>
          </cell>
          <cell r="BY750">
            <v>0</v>
          </cell>
          <cell r="BZ750">
            <v>0</v>
          </cell>
          <cell r="CA750">
            <v>0</v>
          </cell>
          <cell r="CB750">
            <v>0</v>
          </cell>
          <cell r="CC750">
            <v>0</v>
          </cell>
          <cell r="CE750">
            <v>0</v>
          </cell>
          <cell r="CF750">
            <v>0</v>
          </cell>
          <cell r="CG750">
            <v>0</v>
          </cell>
          <cell r="CH750">
            <v>0</v>
          </cell>
          <cell r="CI750">
            <v>0</v>
          </cell>
          <cell r="CJ750">
            <v>0</v>
          </cell>
          <cell r="CK750">
            <v>0</v>
          </cell>
          <cell r="CL750">
            <v>0</v>
          </cell>
          <cell r="CM750">
            <v>0</v>
          </cell>
          <cell r="CO750">
            <v>0</v>
          </cell>
          <cell r="CP750">
            <v>0</v>
          </cell>
          <cell r="CQ750">
            <v>0</v>
          </cell>
          <cell r="CR750">
            <v>0</v>
          </cell>
          <cell r="CS750">
            <v>0</v>
          </cell>
          <cell r="CT750">
            <v>0</v>
          </cell>
          <cell r="CU750">
            <v>0</v>
          </cell>
          <cell r="CV750">
            <v>0</v>
          </cell>
          <cell r="CW750">
            <v>0</v>
          </cell>
          <cell r="CY750">
            <v>0</v>
          </cell>
          <cell r="CZ750">
            <v>0</v>
          </cell>
          <cell r="DA750">
            <v>0</v>
          </cell>
          <cell r="DB750">
            <v>0</v>
          </cell>
          <cell r="DC750">
            <v>0</v>
          </cell>
          <cell r="DD750">
            <v>0</v>
          </cell>
          <cell r="DE750">
            <v>0</v>
          </cell>
          <cell r="DF750">
            <v>0</v>
          </cell>
          <cell r="DG750">
            <v>0</v>
          </cell>
          <cell r="DI750">
            <v>0</v>
          </cell>
          <cell r="DJ750">
            <v>0</v>
          </cell>
          <cell r="DK750">
            <v>0</v>
          </cell>
          <cell r="DL750">
            <v>0</v>
          </cell>
          <cell r="DM750">
            <v>0</v>
          </cell>
          <cell r="DN750">
            <v>0</v>
          </cell>
          <cell r="DO750">
            <v>0</v>
          </cell>
          <cell r="DP750">
            <v>0</v>
          </cell>
          <cell r="DQ750">
            <v>0</v>
          </cell>
          <cell r="DR750">
            <v>0</v>
          </cell>
          <cell r="DS750">
            <v>0</v>
          </cell>
          <cell r="DT750">
            <v>0</v>
          </cell>
          <cell r="DU750">
            <v>0</v>
          </cell>
          <cell r="DW750">
            <v>0</v>
          </cell>
          <cell r="DX750">
            <v>0</v>
          </cell>
          <cell r="DY750">
            <v>0</v>
          </cell>
          <cell r="DZ750">
            <v>0</v>
          </cell>
          <cell r="EA750">
            <v>0</v>
          </cell>
          <cell r="EB750">
            <v>0</v>
          </cell>
          <cell r="EC750">
            <v>0</v>
          </cell>
          <cell r="ED750">
            <v>0</v>
          </cell>
          <cell r="EE750">
            <v>0</v>
          </cell>
          <cell r="EF750">
            <v>0</v>
          </cell>
          <cell r="EG750">
            <v>0</v>
          </cell>
          <cell r="EH750">
            <v>0</v>
          </cell>
          <cell r="EI750">
            <v>0</v>
          </cell>
          <cell r="EK750">
            <v>0</v>
          </cell>
          <cell r="EL750">
            <v>0</v>
          </cell>
          <cell r="EM750">
            <v>0</v>
          </cell>
          <cell r="EN750">
            <v>0</v>
          </cell>
          <cell r="EO750">
            <v>0</v>
          </cell>
          <cell r="EP750">
            <v>0</v>
          </cell>
          <cell r="EQ750">
            <v>0</v>
          </cell>
          <cell r="ER750">
            <v>0</v>
          </cell>
          <cell r="ES750">
            <v>0</v>
          </cell>
          <cell r="ET750">
            <v>0</v>
          </cell>
          <cell r="EU750">
            <v>0</v>
          </cell>
          <cell r="EV750">
            <v>0</v>
          </cell>
          <cell r="EW750">
            <v>0</v>
          </cell>
          <cell r="EY750">
            <v>0</v>
          </cell>
          <cell r="EZ750">
            <v>8</v>
          </cell>
          <cell r="FA750">
            <v>0</v>
          </cell>
          <cell r="FB750">
            <v>0</v>
          </cell>
          <cell r="FC750">
            <v>8.6</v>
          </cell>
          <cell r="FD750">
            <v>0</v>
          </cell>
          <cell r="FE750">
            <v>0</v>
          </cell>
          <cell r="FF750">
            <v>0</v>
          </cell>
          <cell r="FH750">
            <v>0</v>
          </cell>
        </row>
        <row r="751">
          <cell r="B751">
            <v>10132</v>
          </cell>
          <cell r="C751" t="str">
            <v>20.05.2011</v>
          </cell>
          <cell r="D751" t="str">
            <v>Sarsar Sonu Raghuveer</v>
          </cell>
          <cell r="F751">
            <v>0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W751">
            <v>0</v>
          </cell>
          <cell r="X751">
            <v>0</v>
          </cell>
          <cell r="Y751">
            <v>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G751">
            <v>0</v>
          </cell>
          <cell r="AH751">
            <v>0</v>
          </cell>
          <cell r="AI751">
            <v>0</v>
          </cell>
          <cell r="AJ751">
            <v>0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O751">
            <v>0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BA751">
            <v>0</v>
          </cell>
          <cell r="BB751">
            <v>0</v>
          </cell>
          <cell r="BC751">
            <v>0</v>
          </cell>
          <cell r="BD751">
            <v>0</v>
          </cell>
          <cell r="BE751">
            <v>0</v>
          </cell>
          <cell r="BF751">
            <v>0</v>
          </cell>
          <cell r="BG751">
            <v>0</v>
          </cell>
          <cell r="BH751">
            <v>0</v>
          </cell>
          <cell r="BI751">
            <v>0</v>
          </cell>
          <cell r="BK751">
            <v>0</v>
          </cell>
          <cell r="BL751">
            <v>0</v>
          </cell>
          <cell r="BM751">
            <v>0</v>
          </cell>
          <cell r="BN751">
            <v>0</v>
          </cell>
          <cell r="BO751">
            <v>0</v>
          </cell>
          <cell r="BP751">
            <v>0</v>
          </cell>
          <cell r="BQ751">
            <v>0</v>
          </cell>
          <cell r="BR751">
            <v>0</v>
          </cell>
          <cell r="BS751">
            <v>0</v>
          </cell>
          <cell r="BU751">
            <v>0</v>
          </cell>
          <cell r="BV751">
            <v>0</v>
          </cell>
          <cell r="BW751">
            <v>0</v>
          </cell>
          <cell r="BX751">
            <v>0</v>
          </cell>
          <cell r="BY751">
            <v>0</v>
          </cell>
          <cell r="BZ751">
            <v>0</v>
          </cell>
          <cell r="CA751">
            <v>0</v>
          </cell>
          <cell r="CB751">
            <v>0</v>
          </cell>
          <cell r="CC751">
            <v>0</v>
          </cell>
          <cell r="CE751">
            <v>0</v>
          </cell>
          <cell r="CF751">
            <v>0</v>
          </cell>
          <cell r="CG751">
            <v>0</v>
          </cell>
          <cell r="CH751">
            <v>0</v>
          </cell>
          <cell r="CI751">
            <v>0</v>
          </cell>
          <cell r="CJ751">
            <v>0</v>
          </cell>
          <cell r="CK751">
            <v>0</v>
          </cell>
          <cell r="CL751">
            <v>0</v>
          </cell>
          <cell r="CM751">
            <v>0</v>
          </cell>
          <cell r="CO751">
            <v>0</v>
          </cell>
          <cell r="CP751">
            <v>0</v>
          </cell>
          <cell r="CQ751">
            <v>0</v>
          </cell>
          <cell r="CR751">
            <v>0</v>
          </cell>
          <cell r="CS751">
            <v>0</v>
          </cell>
          <cell r="CT751">
            <v>0</v>
          </cell>
          <cell r="CU751">
            <v>0</v>
          </cell>
          <cell r="CV751">
            <v>0</v>
          </cell>
          <cell r="CW751">
            <v>0</v>
          </cell>
          <cell r="CY751">
            <v>0</v>
          </cell>
          <cell r="CZ751">
            <v>0</v>
          </cell>
          <cell r="DA751">
            <v>0</v>
          </cell>
          <cell r="DB751">
            <v>0</v>
          </cell>
          <cell r="DC751">
            <v>0</v>
          </cell>
          <cell r="DD751">
            <v>0</v>
          </cell>
          <cell r="DE751">
            <v>0</v>
          </cell>
          <cell r="DF751">
            <v>0</v>
          </cell>
          <cell r="DG751">
            <v>0</v>
          </cell>
          <cell r="DI751">
            <v>0</v>
          </cell>
          <cell r="DJ751">
            <v>0</v>
          </cell>
          <cell r="DK751">
            <v>0</v>
          </cell>
          <cell r="DL751">
            <v>0</v>
          </cell>
          <cell r="DM751">
            <v>0</v>
          </cell>
          <cell r="DN751">
            <v>0</v>
          </cell>
          <cell r="DO751">
            <v>0</v>
          </cell>
          <cell r="DP751">
            <v>0</v>
          </cell>
          <cell r="DQ751">
            <v>0</v>
          </cell>
          <cell r="DR751">
            <v>0</v>
          </cell>
          <cell r="DS751">
            <v>0</v>
          </cell>
          <cell r="DT751">
            <v>0</v>
          </cell>
          <cell r="DU751">
            <v>0</v>
          </cell>
          <cell r="DW751">
            <v>0</v>
          </cell>
          <cell r="DX751">
            <v>0</v>
          </cell>
          <cell r="DY751">
            <v>0</v>
          </cell>
          <cell r="DZ751">
            <v>0</v>
          </cell>
          <cell r="EA751">
            <v>0</v>
          </cell>
          <cell r="EB751">
            <v>0</v>
          </cell>
          <cell r="EC751">
            <v>0</v>
          </cell>
          <cell r="ED751">
            <v>0</v>
          </cell>
          <cell r="EE751">
            <v>0</v>
          </cell>
          <cell r="EF751">
            <v>0</v>
          </cell>
          <cell r="EG751">
            <v>0</v>
          </cell>
          <cell r="EH751">
            <v>0</v>
          </cell>
          <cell r="EI751">
            <v>0</v>
          </cell>
          <cell r="EK751">
            <v>0</v>
          </cell>
          <cell r="EL751">
            <v>0</v>
          </cell>
          <cell r="EM751">
            <v>0</v>
          </cell>
          <cell r="EN751">
            <v>0</v>
          </cell>
          <cell r="EO751">
            <v>0</v>
          </cell>
          <cell r="EP751">
            <v>0</v>
          </cell>
          <cell r="EQ751">
            <v>0</v>
          </cell>
          <cell r="ER751">
            <v>0</v>
          </cell>
          <cell r="ES751">
            <v>0</v>
          </cell>
          <cell r="ET751">
            <v>0</v>
          </cell>
          <cell r="EU751">
            <v>0</v>
          </cell>
          <cell r="EV751">
            <v>0</v>
          </cell>
          <cell r="EW751">
            <v>0</v>
          </cell>
          <cell r="EY751">
            <v>0</v>
          </cell>
          <cell r="EZ751">
            <v>8</v>
          </cell>
          <cell r="FA751">
            <v>0</v>
          </cell>
          <cell r="FB751">
            <v>0</v>
          </cell>
          <cell r="FC751">
            <v>8.6</v>
          </cell>
          <cell r="FD751">
            <v>0</v>
          </cell>
          <cell r="FE751">
            <v>0</v>
          </cell>
          <cell r="FF751">
            <v>0</v>
          </cell>
          <cell r="FH751">
            <v>0</v>
          </cell>
        </row>
        <row r="752">
          <cell r="B752">
            <v>9882</v>
          </cell>
          <cell r="C752" t="str">
            <v>26.05.2011</v>
          </cell>
          <cell r="D752" t="str">
            <v>Deokar Sonali Siddheshwar</v>
          </cell>
          <cell r="F752">
            <v>0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G752">
            <v>0</v>
          </cell>
          <cell r="AH752">
            <v>0</v>
          </cell>
          <cell r="AI752">
            <v>0</v>
          </cell>
          <cell r="AJ752">
            <v>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0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BA752">
            <v>0</v>
          </cell>
          <cell r="BB752">
            <v>0</v>
          </cell>
          <cell r="BC752">
            <v>0</v>
          </cell>
          <cell r="BD752">
            <v>0</v>
          </cell>
          <cell r="BE752">
            <v>0</v>
          </cell>
          <cell r="BF752">
            <v>0</v>
          </cell>
          <cell r="BG752">
            <v>0</v>
          </cell>
          <cell r="BH752">
            <v>0</v>
          </cell>
          <cell r="BI752">
            <v>0</v>
          </cell>
          <cell r="BK752">
            <v>0</v>
          </cell>
          <cell r="BL752">
            <v>0</v>
          </cell>
          <cell r="BM752">
            <v>0</v>
          </cell>
          <cell r="BN752">
            <v>0</v>
          </cell>
          <cell r="BO752">
            <v>0</v>
          </cell>
          <cell r="BP752">
            <v>0</v>
          </cell>
          <cell r="BQ752">
            <v>0</v>
          </cell>
          <cell r="BR752">
            <v>0</v>
          </cell>
          <cell r="BS752">
            <v>0</v>
          </cell>
          <cell r="BU752">
            <v>0</v>
          </cell>
          <cell r="BV752">
            <v>0</v>
          </cell>
          <cell r="BW752">
            <v>0</v>
          </cell>
          <cell r="BX752">
            <v>0</v>
          </cell>
          <cell r="BY752">
            <v>0</v>
          </cell>
          <cell r="BZ752">
            <v>0</v>
          </cell>
          <cell r="CA752">
            <v>0</v>
          </cell>
          <cell r="CB752">
            <v>0</v>
          </cell>
          <cell r="CC752">
            <v>0</v>
          </cell>
          <cell r="CE752">
            <v>0</v>
          </cell>
          <cell r="CF752">
            <v>0</v>
          </cell>
          <cell r="CG752">
            <v>0</v>
          </cell>
          <cell r="CH752">
            <v>0</v>
          </cell>
          <cell r="CI752">
            <v>0</v>
          </cell>
          <cell r="CJ752">
            <v>0</v>
          </cell>
          <cell r="CK752">
            <v>0</v>
          </cell>
          <cell r="CL752">
            <v>0</v>
          </cell>
          <cell r="CM752">
            <v>0</v>
          </cell>
          <cell r="CO752">
            <v>0</v>
          </cell>
          <cell r="CP752">
            <v>0</v>
          </cell>
          <cell r="CQ752">
            <v>0</v>
          </cell>
          <cell r="CR752">
            <v>0</v>
          </cell>
          <cell r="CS752">
            <v>0</v>
          </cell>
          <cell r="CT752">
            <v>0</v>
          </cell>
          <cell r="CU752">
            <v>0</v>
          </cell>
          <cell r="CV752">
            <v>0</v>
          </cell>
          <cell r="CW752">
            <v>0</v>
          </cell>
          <cell r="CY752">
            <v>0</v>
          </cell>
          <cell r="CZ752">
            <v>0</v>
          </cell>
          <cell r="DA752">
            <v>0</v>
          </cell>
          <cell r="DB752">
            <v>0</v>
          </cell>
          <cell r="DC752">
            <v>0</v>
          </cell>
          <cell r="DD752">
            <v>0</v>
          </cell>
          <cell r="DE752">
            <v>0</v>
          </cell>
          <cell r="DF752">
            <v>0</v>
          </cell>
          <cell r="DG752">
            <v>0</v>
          </cell>
          <cell r="DI752">
            <v>0</v>
          </cell>
          <cell r="DJ752">
            <v>0</v>
          </cell>
          <cell r="DK752">
            <v>0</v>
          </cell>
          <cell r="DL752">
            <v>0</v>
          </cell>
          <cell r="DM752">
            <v>0</v>
          </cell>
          <cell r="DN752">
            <v>0</v>
          </cell>
          <cell r="DO752">
            <v>0</v>
          </cell>
          <cell r="DP752">
            <v>0</v>
          </cell>
          <cell r="DQ752">
            <v>0</v>
          </cell>
          <cell r="DR752">
            <v>0</v>
          </cell>
          <cell r="DS752">
            <v>0</v>
          </cell>
          <cell r="DT752">
            <v>0</v>
          </cell>
          <cell r="DU752">
            <v>0</v>
          </cell>
          <cell r="DW752">
            <v>0</v>
          </cell>
          <cell r="DX752">
            <v>0</v>
          </cell>
          <cell r="DY752">
            <v>0</v>
          </cell>
          <cell r="DZ752">
            <v>0</v>
          </cell>
          <cell r="EA752">
            <v>0</v>
          </cell>
          <cell r="EB752">
            <v>0</v>
          </cell>
          <cell r="EC752">
            <v>0</v>
          </cell>
          <cell r="ED752">
            <v>0</v>
          </cell>
          <cell r="EE752">
            <v>0</v>
          </cell>
          <cell r="EF752">
            <v>0</v>
          </cell>
          <cell r="EG752">
            <v>0</v>
          </cell>
          <cell r="EH752">
            <v>0</v>
          </cell>
          <cell r="EI752">
            <v>0</v>
          </cell>
          <cell r="EK752">
            <v>0</v>
          </cell>
          <cell r="EL752">
            <v>0</v>
          </cell>
          <cell r="EM752">
            <v>0</v>
          </cell>
          <cell r="EN752">
            <v>0</v>
          </cell>
          <cell r="EO752">
            <v>0</v>
          </cell>
          <cell r="EP752">
            <v>0</v>
          </cell>
          <cell r="EQ752">
            <v>0</v>
          </cell>
          <cell r="ER752">
            <v>0</v>
          </cell>
          <cell r="ES752">
            <v>0</v>
          </cell>
          <cell r="ET752">
            <v>0</v>
          </cell>
          <cell r="EU752">
            <v>0</v>
          </cell>
          <cell r="EV752">
            <v>0</v>
          </cell>
          <cell r="EW752">
            <v>0</v>
          </cell>
          <cell r="EY752">
            <v>0</v>
          </cell>
          <cell r="EZ752">
            <v>8</v>
          </cell>
          <cell r="FA752">
            <v>0</v>
          </cell>
          <cell r="FB752">
            <v>0</v>
          </cell>
          <cell r="FC752">
            <v>8.6</v>
          </cell>
          <cell r="FD752">
            <v>0</v>
          </cell>
          <cell r="FE752">
            <v>0</v>
          </cell>
          <cell r="FF752">
            <v>0</v>
          </cell>
          <cell r="FH752">
            <v>0</v>
          </cell>
        </row>
        <row r="753">
          <cell r="B753">
            <v>9893</v>
          </cell>
          <cell r="C753" t="str">
            <v>09.06.2011</v>
          </cell>
          <cell r="D753" t="str">
            <v>Vidhate Pushpa Prakash</v>
          </cell>
          <cell r="F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G753">
            <v>0</v>
          </cell>
          <cell r="AH753">
            <v>0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0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BA753">
            <v>0</v>
          </cell>
          <cell r="BB753">
            <v>0</v>
          </cell>
          <cell r="BC753">
            <v>0</v>
          </cell>
          <cell r="BD753">
            <v>0</v>
          </cell>
          <cell r="BE753">
            <v>0</v>
          </cell>
          <cell r="BF753">
            <v>0</v>
          </cell>
          <cell r="BG753">
            <v>0</v>
          </cell>
          <cell r="BH753">
            <v>0</v>
          </cell>
          <cell r="BI753">
            <v>0</v>
          </cell>
          <cell r="BK753">
            <v>0</v>
          </cell>
          <cell r="BL753">
            <v>0</v>
          </cell>
          <cell r="BM753">
            <v>0</v>
          </cell>
          <cell r="BN753">
            <v>0</v>
          </cell>
          <cell r="BO753">
            <v>0</v>
          </cell>
          <cell r="BP753">
            <v>0</v>
          </cell>
          <cell r="BQ753">
            <v>0</v>
          </cell>
          <cell r="BR753">
            <v>0</v>
          </cell>
          <cell r="BS753">
            <v>0</v>
          </cell>
          <cell r="BU753">
            <v>0</v>
          </cell>
          <cell r="BV753">
            <v>0</v>
          </cell>
          <cell r="BW753">
            <v>0</v>
          </cell>
          <cell r="BX753">
            <v>0</v>
          </cell>
          <cell r="BY753">
            <v>0</v>
          </cell>
          <cell r="BZ753">
            <v>0</v>
          </cell>
          <cell r="CA753">
            <v>0</v>
          </cell>
          <cell r="CB753">
            <v>0</v>
          </cell>
          <cell r="CC753">
            <v>0</v>
          </cell>
          <cell r="CE753">
            <v>0</v>
          </cell>
          <cell r="CF753">
            <v>0</v>
          </cell>
          <cell r="CG753">
            <v>0</v>
          </cell>
          <cell r="CH753">
            <v>0</v>
          </cell>
          <cell r="CI753">
            <v>0</v>
          </cell>
          <cell r="CJ753">
            <v>0</v>
          </cell>
          <cell r="CK753">
            <v>0</v>
          </cell>
          <cell r="CL753">
            <v>0</v>
          </cell>
          <cell r="CM753">
            <v>0</v>
          </cell>
          <cell r="CO753">
            <v>0</v>
          </cell>
          <cell r="CP753">
            <v>0</v>
          </cell>
          <cell r="CQ753">
            <v>0</v>
          </cell>
          <cell r="CR753">
            <v>0</v>
          </cell>
          <cell r="CS753">
            <v>0</v>
          </cell>
          <cell r="CT753">
            <v>0</v>
          </cell>
          <cell r="CU753">
            <v>0</v>
          </cell>
          <cell r="CV753">
            <v>0</v>
          </cell>
          <cell r="CW753">
            <v>0</v>
          </cell>
          <cell r="CY753">
            <v>0</v>
          </cell>
          <cell r="CZ753">
            <v>0</v>
          </cell>
          <cell r="DA753">
            <v>0</v>
          </cell>
          <cell r="DB753">
            <v>0</v>
          </cell>
          <cell r="DC753">
            <v>0</v>
          </cell>
          <cell r="DD753">
            <v>0</v>
          </cell>
          <cell r="DE753">
            <v>0</v>
          </cell>
          <cell r="DF753">
            <v>0</v>
          </cell>
          <cell r="DG753">
            <v>0</v>
          </cell>
          <cell r="DI753">
            <v>0</v>
          </cell>
          <cell r="DJ753">
            <v>0</v>
          </cell>
          <cell r="DK753">
            <v>0</v>
          </cell>
          <cell r="DL753">
            <v>0</v>
          </cell>
          <cell r="DM753">
            <v>0</v>
          </cell>
          <cell r="DN753">
            <v>0</v>
          </cell>
          <cell r="DO753">
            <v>0</v>
          </cell>
          <cell r="DP753">
            <v>0</v>
          </cell>
          <cell r="DQ753">
            <v>0</v>
          </cell>
          <cell r="DR753">
            <v>0</v>
          </cell>
          <cell r="DS753">
            <v>0</v>
          </cell>
          <cell r="DT753">
            <v>0</v>
          </cell>
          <cell r="DU753">
            <v>0</v>
          </cell>
          <cell r="DW753">
            <v>0</v>
          </cell>
          <cell r="DX753">
            <v>0</v>
          </cell>
          <cell r="DY753">
            <v>0</v>
          </cell>
          <cell r="DZ753">
            <v>0</v>
          </cell>
          <cell r="EA753">
            <v>0</v>
          </cell>
          <cell r="EB753">
            <v>0</v>
          </cell>
          <cell r="EC753">
            <v>0</v>
          </cell>
          <cell r="ED753">
            <v>0</v>
          </cell>
          <cell r="EE753">
            <v>0</v>
          </cell>
          <cell r="EF753">
            <v>0</v>
          </cell>
          <cell r="EG753">
            <v>0</v>
          </cell>
          <cell r="EH753">
            <v>0</v>
          </cell>
          <cell r="EI753">
            <v>0</v>
          </cell>
          <cell r="EK753">
            <v>0</v>
          </cell>
          <cell r="EL753">
            <v>0</v>
          </cell>
          <cell r="EM753">
            <v>0</v>
          </cell>
          <cell r="EN753">
            <v>0</v>
          </cell>
          <cell r="EO753">
            <v>0</v>
          </cell>
          <cell r="EP753">
            <v>0</v>
          </cell>
          <cell r="EQ753">
            <v>0</v>
          </cell>
          <cell r="ER753">
            <v>0</v>
          </cell>
          <cell r="ES753">
            <v>0</v>
          </cell>
          <cell r="ET753">
            <v>0</v>
          </cell>
          <cell r="EU753">
            <v>0</v>
          </cell>
          <cell r="EV753">
            <v>0</v>
          </cell>
          <cell r="EW753">
            <v>0</v>
          </cell>
          <cell r="EY753">
            <v>0</v>
          </cell>
          <cell r="EZ753">
            <v>8</v>
          </cell>
          <cell r="FA753">
            <v>0</v>
          </cell>
          <cell r="FB753">
            <v>0</v>
          </cell>
          <cell r="FC753">
            <v>8.6</v>
          </cell>
          <cell r="FD753">
            <v>0</v>
          </cell>
          <cell r="FE753">
            <v>0</v>
          </cell>
          <cell r="FF753">
            <v>0</v>
          </cell>
          <cell r="FH753">
            <v>0</v>
          </cell>
        </row>
        <row r="754">
          <cell r="B754">
            <v>9851</v>
          </cell>
          <cell r="C754" t="str">
            <v>03.07.2011</v>
          </cell>
          <cell r="D754" t="str">
            <v>Gaikwad Ghanshyam T</v>
          </cell>
          <cell r="F754">
            <v>0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G754">
            <v>0</v>
          </cell>
          <cell r="AH754">
            <v>0</v>
          </cell>
          <cell r="AI754">
            <v>0</v>
          </cell>
          <cell r="AJ754">
            <v>0</v>
          </cell>
          <cell r="AK754">
            <v>0</v>
          </cell>
          <cell r="AL754">
            <v>0</v>
          </cell>
          <cell r="AM754">
            <v>0</v>
          </cell>
          <cell r="AN754">
            <v>0</v>
          </cell>
          <cell r="AO754">
            <v>0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  <cell r="AU754">
            <v>0</v>
          </cell>
          <cell r="AV754">
            <v>0</v>
          </cell>
          <cell r="AW754">
            <v>0</v>
          </cell>
          <cell r="AX754">
            <v>0</v>
          </cell>
          <cell r="AY754">
            <v>0</v>
          </cell>
          <cell r="BA754">
            <v>0</v>
          </cell>
          <cell r="BB754">
            <v>0</v>
          </cell>
          <cell r="BC754">
            <v>0</v>
          </cell>
          <cell r="BD754">
            <v>0</v>
          </cell>
          <cell r="BE754">
            <v>0</v>
          </cell>
          <cell r="BF754">
            <v>0</v>
          </cell>
          <cell r="BG754">
            <v>0</v>
          </cell>
          <cell r="BH754">
            <v>0</v>
          </cell>
          <cell r="BI754">
            <v>0</v>
          </cell>
          <cell r="BK754">
            <v>0</v>
          </cell>
          <cell r="BL754">
            <v>0</v>
          </cell>
          <cell r="BM754">
            <v>0</v>
          </cell>
          <cell r="BN754">
            <v>0</v>
          </cell>
          <cell r="BO754">
            <v>0</v>
          </cell>
          <cell r="BP754">
            <v>0</v>
          </cell>
          <cell r="BQ754">
            <v>0</v>
          </cell>
          <cell r="BR754">
            <v>0</v>
          </cell>
          <cell r="BS754">
            <v>0</v>
          </cell>
          <cell r="BU754">
            <v>0</v>
          </cell>
          <cell r="BV754">
            <v>0</v>
          </cell>
          <cell r="BW754">
            <v>0</v>
          </cell>
          <cell r="BX754">
            <v>0</v>
          </cell>
          <cell r="BY754">
            <v>0</v>
          </cell>
          <cell r="BZ754">
            <v>0</v>
          </cell>
          <cell r="CA754">
            <v>0</v>
          </cell>
          <cell r="CB754">
            <v>0</v>
          </cell>
          <cell r="CC754">
            <v>0</v>
          </cell>
          <cell r="CE754">
            <v>0</v>
          </cell>
          <cell r="CF754">
            <v>0</v>
          </cell>
          <cell r="CG754">
            <v>0</v>
          </cell>
          <cell r="CH754">
            <v>0</v>
          </cell>
          <cell r="CI754">
            <v>0</v>
          </cell>
          <cell r="CJ754">
            <v>0</v>
          </cell>
          <cell r="CK754">
            <v>0</v>
          </cell>
          <cell r="CL754">
            <v>0</v>
          </cell>
          <cell r="CM754">
            <v>0</v>
          </cell>
          <cell r="CO754">
            <v>0</v>
          </cell>
          <cell r="CP754">
            <v>0</v>
          </cell>
          <cell r="CQ754">
            <v>0</v>
          </cell>
          <cell r="CR754">
            <v>0</v>
          </cell>
          <cell r="CS754">
            <v>0</v>
          </cell>
          <cell r="CT754">
            <v>0</v>
          </cell>
          <cell r="CU754">
            <v>0</v>
          </cell>
          <cell r="CV754">
            <v>0</v>
          </cell>
          <cell r="CW754">
            <v>0</v>
          </cell>
          <cell r="CY754">
            <v>0</v>
          </cell>
          <cell r="CZ754">
            <v>0</v>
          </cell>
          <cell r="DA754">
            <v>0</v>
          </cell>
          <cell r="DB754">
            <v>0</v>
          </cell>
          <cell r="DC754">
            <v>0</v>
          </cell>
          <cell r="DD754">
            <v>0</v>
          </cell>
          <cell r="DE754">
            <v>0</v>
          </cell>
          <cell r="DF754">
            <v>0</v>
          </cell>
          <cell r="DG754">
            <v>0</v>
          </cell>
          <cell r="DI754">
            <v>0</v>
          </cell>
          <cell r="DJ754">
            <v>0</v>
          </cell>
          <cell r="DK754">
            <v>0</v>
          </cell>
          <cell r="DL754">
            <v>0</v>
          </cell>
          <cell r="DM754">
            <v>0</v>
          </cell>
          <cell r="DN754">
            <v>0</v>
          </cell>
          <cell r="DO754">
            <v>0</v>
          </cell>
          <cell r="DP754">
            <v>0</v>
          </cell>
          <cell r="DQ754">
            <v>0</v>
          </cell>
          <cell r="DR754">
            <v>0</v>
          </cell>
          <cell r="DS754">
            <v>0</v>
          </cell>
          <cell r="DT754">
            <v>0</v>
          </cell>
          <cell r="DU754">
            <v>0</v>
          </cell>
          <cell r="DW754">
            <v>0</v>
          </cell>
          <cell r="DX754">
            <v>0</v>
          </cell>
          <cell r="DY754">
            <v>0</v>
          </cell>
          <cell r="DZ754">
            <v>0</v>
          </cell>
          <cell r="EA754">
            <v>0</v>
          </cell>
          <cell r="EB754">
            <v>0</v>
          </cell>
          <cell r="EC754">
            <v>0</v>
          </cell>
          <cell r="ED754">
            <v>0</v>
          </cell>
          <cell r="EE754">
            <v>0</v>
          </cell>
          <cell r="EF754">
            <v>0</v>
          </cell>
          <cell r="EG754">
            <v>0</v>
          </cell>
          <cell r="EH754">
            <v>0</v>
          </cell>
          <cell r="EI754">
            <v>0</v>
          </cell>
          <cell r="EK754">
            <v>0</v>
          </cell>
          <cell r="EL754">
            <v>0</v>
          </cell>
          <cell r="EM754">
            <v>0</v>
          </cell>
          <cell r="EN754">
            <v>0</v>
          </cell>
          <cell r="EO754">
            <v>0</v>
          </cell>
          <cell r="EP754">
            <v>0</v>
          </cell>
          <cell r="EQ754">
            <v>0</v>
          </cell>
          <cell r="ER754">
            <v>0</v>
          </cell>
          <cell r="ES754">
            <v>0</v>
          </cell>
          <cell r="ET754">
            <v>0</v>
          </cell>
          <cell r="EU754">
            <v>0</v>
          </cell>
          <cell r="EV754">
            <v>0</v>
          </cell>
          <cell r="EW754">
            <v>0</v>
          </cell>
          <cell r="EY754">
            <v>0</v>
          </cell>
          <cell r="EZ754">
            <v>8</v>
          </cell>
          <cell r="FA754">
            <v>0</v>
          </cell>
          <cell r="FB754">
            <v>0</v>
          </cell>
          <cell r="FC754">
            <v>8.6</v>
          </cell>
          <cell r="FD754">
            <v>0</v>
          </cell>
          <cell r="FE754">
            <v>0</v>
          </cell>
          <cell r="FF754">
            <v>0</v>
          </cell>
          <cell r="FH754">
            <v>0</v>
          </cell>
        </row>
        <row r="755">
          <cell r="B755">
            <v>10127</v>
          </cell>
          <cell r="C755" t="str">
            <v>13.07.2011</v>
          </cell>
          <cell r="D755" t="str">
            <v>Ghalot Kavita Prakash</v>
          </cell>
          <cell r="F755">
            <v>0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G755">
            <v>0</v>
          </cell>
          <cell r="AH755">
            <v>0</v>
          </cell>
          <cell r="AI755">
            <v>0</v>
          </cell>
          <cell r="AJ755">
            <v>0</v>
          </cell>
          <cell r="AK755">
            <v>0</v>
          </cell>
          <cell r="AL755">
            <v>0</v>
          </cell>
          <cell r="AM755">
            <v>0</v>
          </cell>
          <cell r="AN755">
            <v>0</v>
          </cell>
          <cell r="AO755">
            <v>0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  <cell r="AU755">
            <v>0</v>
          </cell>
          <cell r="AV755">
            <v>0</v>
          </cell>
          <cell r="AW755">
            <v>0</v>
          </cell>
          <cell r="AX755">
            <v>0</v>
          </cell>
          <cell r="AY755">
            <v>0</v>
          </cell>
          <cell r="BA755">
            <v>0</v>
          </cell>
          <cell r="BB755">
            <v>0</v>
          </cell>
          <cell r="BC755">
            <v>0</v>
          </cell>
          <cell r="BD755">
            <v>0</v>
          </cell>
          <cell r="BE755">
            <v>0</v>
          </cell>
          <cell r="BF755">
            <v>0</v>
          </cell>
          <cell r="BG755">
            <v>0</v>
          </cell>
          <cell r="BH755">
            <v>0</v>
          </cell>
          <cell r="BI755">
            <v>0</v>
          </cell>
          <cell r="BK755">
            <v>0</v>
          </cell>
          <cell r="BL755">
            <v>0</v>
          </cell>
          <cell r="BM755">
            <v>0</v>
          </cell>
          <cell r="BN755">
            <v>0</v>
          </cell>
          <cell r="BO755">
            <v>0</v>
          </cell>
          <cell r="BP755">
            <v>0</v>
          </cell>
          <cell r="BQ755">
            <v>0</v>
          </cell>
          <cell r="BR755">
            <v>0</v>
          </cell>
          <cell r="BS755">
            <v>0</v>
          </cell>
          <cell r="BU755">
            <v>0</v>
          </cell>
          <cell r="BV755">
            <v>0</v>
          </cell>
          <cell r="BW755">
            <v>0</v>
          </cell>
          <cell r="BX755">
            <v>0</v>
          </cell>
          <cell r="BY755">
            <v>0</v>
          </cell>
          <cell r="BZ755">
            <v>0</v>
          </cell>
          <cell r="CA755">
            <v>0</v>
          </cell>
          <cell r="CB755">
            <v>0</v>
          </cell>
          <cell r="CC755">
            <v>0</v>
          </cell>
          <cell r="CE755">
            <v>0</v>
          </cell>
          <cell r="CF755">
            <v>0</v>
          </cell>
          <cell r="CG755">
            <v>0</v>
          </cell>
          <cell r="CH755">
            <v>0</v>
          </cell>
          <cell r="CI755">
            <v>0</v>
          </cell>
          <cell r="CJ755">
            <v>0</v>
          </cell>
          <cell r="CK755">
            <v>0</v>
          </cell>
          <cell r="CL755">
            <v>0</v>
          </cell>
          <cell r="CM755">
            <v>0</v>
          </cell>
          <cell r="CO755">
            <v>0</v>
          </cell>
          <cell r="CP755">
            <v>0</v>
          </cell>
          <cell r="CQ755">
            <v>0</v>
          </cell>
          <cell r="CR755">
            <v>0</v>
          </cell>
          <cell r="CS755">
            <v>0</v>
          </cell>
          <cell r="CT755">
            <v>0</v>
          </cell>
          <cell r="CU755">
            <v>0</v>
          </cell>
          <cell r="CV755">
            <v>0</v>
          </cell>
          <cell r="CW755">
            <v>0</v>
          </cell>
          <cell r="CY755">
            <v>0</v>
          </cell>
          <cell r="CZ755">
            <v>0</v>
          </cell>
          <cell r="DA755">
            <v>0</v>
          </cell>
          <cell r="DB755">
            <v>0</v>
          </cell>
          <cell r="DC755">
            <v>0</v>
          </cell>
          <cell r="DD755">
            <v>0</v>
          </cell>
          <cell r="DE755">
            <v>0</v>
          </cell>
          <cell r="DF755">
            <v>0</v>
          </cell>
          <cell r="DG755">
            <v>0</v>
          </cell>
          <cell r="DI755">
            <v>0</v>
          </cell>
          <cell r="DJ755">
            <v>0</v>
          </cell>
          <cell r="DK755">
            <v>0</v>
          </cell>
          <cell r="DL755">
            <v>0</v>
          </cell>
          <cell r="DM755">
            <v>0</v>
          </cell>
          <cell r="DN755">
            <v>0</v>
          </cell>
          <cell r="DO755">
            <v>0</v>
          </cell>
          <cell r="DP755">
            <v>0</v>
          </cell>
          <cell r="DQ755">
            <v>0</v>
          </cell>
          <cell r="DR755">
            <v>0</v>
          </cell>
          <cell r="DS755">
            <v>0</v>
          </cell>
          <cell r="DT755">
            <v>0</v>
          </cell>
          <cell r="DU755">
            <v>0</v>
          </cell>
          <cell r="DW755">
            <v>0</v>
          </cell>
          <cell r="DX755">
            <v>0</v>
          </cell>
          <cell r="DY755">
            <v>0</v>
          </cell>
          <cell r="DZ755">
            <v>0</v>
          </cell>
          <cell r="EA755">
            <v>0</v>
          </cell>
          <cell r="EB755">
            <v>0</v>
          </cell>
          <cell r="EC755">
            <v>0</v>
          </cell>
          <cell r="ED755">
            <v>0</v>
          </cell>
          <cell r="EE755">
            <v>0</v>
          </cell>
          <cell r="EF755">
            <v>0</v>
          </cell>
          <cell r="EG755">
            <v>0</v>
          </cell>
          <cell r="EH755">
            <v>0</v>
          </cell>
          <cell r="EI755">
            <v>0</v>
          </cell>
          <cell r="EK755">
            <v>0</v>
          </cell>
          <cell r="EL755">
            <v>0</v>
          </cell>
          <cell r="EM755">
            <v>0</v>
          </cell>
          <cell r="EN755">
            <v>0</v>
          </cell>
          <cell r="EO755">
            <v>0</v>
          </cell>
          <cell r="EP755">
            <v>0</v>
          </cell>
          <cell r="EQ755">
            <v>0</v>
          </cell>
          <cell r="ER755">
            <v>0</v>
          </cell>
          <cell r="ES755">
            <v>0</v>
          </cell>
          <cell r="ET755">
            <v>0</v>
          </cell>
          <cell r="EU755">
            <v>0</v>
          </cell>
          <cell r="EV755">
            <v>0</v>
          </cell>
          <cell r="EW755">
            <v>0</v>
          </cell>
          <cell r="EY755">
            <v>0</v>
          </cell>
          <cell r="EZ755">
            <v>8</v>
          </cell>
          <cell r="FA755">
            <v>0</v>
          </cell>
          <cell r="FB755">
            <v>0</v>
          </cell>
          <cell r="FC755">
            <v>8.6</v>
          </cell>
          <cell r="FD755">
            <v>0</v>
          </cell>
          <cell r="FE755">
            <v>0</v>
          </cell>
          <cell r="FF755">
            <v>0</v>
          </cell>
          <cell r="FH755">
            <v>0</v>
          </cell>
        </row>
        <row r="756">
          <cell r="B756">
            <v>9883</v>
          </cell>
          <cell r="C756" t="str">
            <v>14.07.2011</v>
          </cell>
          <cell r="D756" t="str">
            <v>Phad Vaibhav Shankar</v>
          </cell>
          <cell r="F756">
            <v>0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W756">
            <v>0</v>
          </cell>
          <cell r="X756">
            <v>0</v>
          </cell>
          <cell r="Y756">
            <v>0</v>
          </cell>
          <cell r="Z756">
            <v>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G756">
            <v>0</v>
          </cell>
          <cell r="AH756">
            <v>0</v>
          </cell>
          <cell r="AI756">
            <v>0</v>
          </cell>
          <cell r="AJ756">
            <v>0</v>
          </cell>
          <cell r="AK756">
            <v>0</v>
          </cell>
          <cell r="AL756">
            <v>0</v>
          </cell>
          <cell r="AM756">
            <v>0</v>
          </cell>
          <cell r="AN756">
            <v>0</v>
          </cell>
          <cell r="AO756">
            <v>0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0</v>
          </cell>
          <cell r="AY756">
            <v>0</v>
          </cell>
          <cell r="BA756">
            <v>0</v>
          </cell>
          <cell r="BB756">
            <v>0</v>
          </cell>
          <cell r="BC756">
            <v>0</v>
          </cell>
          <cell r="BD756">
            <v>0</v>
          </cell>
          <cell r="BE756">
            <v>0</v>
          </cell>
          <cell r="BF756">
            <v>0</v>
          </cell>
          <cell r="BG756">
            <v>0</v>
          </cell>
          <cell r="BH756">
            <v>0</v>
          </cell>
          <cell r="BI756">
            <v>0</v>
          </cell>
          <cell r="BK756">
            <v>0</v>
          </cell>
          <cell r="BL756">
            <v>0</v>
          </cell>
          <cell r="BM756">
            <v>0</v>
          </cell>
          <cell r="BN756">
            <v>0</v>
          </cell>
          <cell r="BO756">
            <v>0</v>
          </cell>
          <cell r="BP756">
            <v>0</v>
          </cell>
          <cell r="BQ756">
            <v>0</v>
          </cell>
          <cell r="BR756">
            <v>0</v>
          </cell>
          <cell r="BS756">
            <v>0</v>
          </cell>
          <cell r="BU756">
            <v>0</v>
          </cell>
          <cell r="BV756">
            <v>0</v>
          </cell>
          <cell r="BW756">
            <v>0</v>
          </cell>
          <cell r="BX756">
            <v>0</v>
          </cell>
          <cell r="BY756">
            <v>0</v>
          </cell>
          <cell r="BZ756">
            <v>0</v>
          </cell>
          <cell r="CA756">
            <v>0</v>
          </cell>
          <cell r="CB756">
            <v>0</v>
          </cell>
          <cell r="CC756">
            <v>0</v>
          </cell>
          <cell r="CE756">
            <v>0</v>
          </cell>
          <cell r="CF756">
            <v>0</v>
          </cell>
          <cell r="CG756">
            <v>0</v>
          </cell>
          <cell r="CH756">
            <v>0</v>
          </cell>
          <cell r="CI756">
            <v>0</v>
          </cell>
          <cell r="CJ756">
            <v>0</v>
          </cell>
          <cell r="CK756">
            <v>0</v>
          </cell>
          <cell r="CL756">
            <v>0</v>
          </cell>
          <cell r="CM756">
            <v>0</v>
          </cell>
          <cell r="CO756">
            <v>0</v>
          </cell>
          <cell r="CP756">
            <v>0</v>
          </cell>
          <cell r="CQ756">
            <v>0</v>
          </cell>
          <cell r="CR756">
            <v>0</v>
          </cell>
          <cell r="CS756">
            <v>0</v>
          </cell>
          <cell r="CT756">
            <v>0</v>
          </cell>
          <cell r="CU756">
            <v>0</v>
          </cell>
          <cell r="CV756">
            <v>0</v>
          </cell>
          <cell r="CW756">
            <v>0</v>
          </cell>
          <cell r="CY756">
            <v>0</v>
          </cell>
          <cell r="CZ756">
            <v>0</v>
          </cell>
          <cell r="DA756">
            <v>0</v>
          </cell>
          <cell r="DB756">
            <v>0</v>
          </cell>
          <cell r="DC756">
            <v>0</v>
          </cell>
          <cell r="DD756">
            <v>0</v>
          </cell>
          <cell r="DE756">
            <v>0</v>
          </cell>
          <cell r="DF756">
            <v>0</v>
          </cell>
          <cell r="DG756">
            <v>0</v>
          </cell>
          <cell r="DI756">
            <v>0</v>
          </cell>
          <cell r="DJ756">
            <v>0</v>
          </cell>
          <cell r="DK756">
            <v>0</v>
          </cell>
          <cell r="DL756">
            <v>0</v>
          </cell>
          <cell r="DM756">
            <v>0</v>
          </cell>
          <cell r="DN756">
            <v>0</v>
          </cell>
          <cell r="DO756">
            <v>0</v>
          </cell>
          <cell r="DP756">
            <v>0</v>
          </cell>
          <cell r="DQ756">
            <v>0</v>
          </cell>
          <cell r="DR756">
            <v>0</v>
          </cell>
          <cell r="DS756">
            <v>0</v>
          </cell>
          <cell r="DT756">
            <v>0</v>
          </cell>
          <cell r="DU756">
            <v>0</v>
          </cell>
          <cell r="DW756">
            <v>0</v>
          </cell>
          <cell r="DX756">
            <v>0</v>
          </cell>
          <cell r="DY756">
            <v>0</v>
          </cell>
          <cell r="DZ756">
            <v>0</v>
          </cell>
          <cell r="EA756">
            <v>0</v>
          </cell>
          <cell r="EB756">
            <v>0</v>
          </cell>
          <cell r="EC756">
            <v>0</v>
          </cell>
          <cell r="ED756">
            <v>0</v>
          </cell>
          <cell r="EE756">
            <v>0</v>
          </cell>
          <cell r="EF756">
            <v>0</v>
          </cell>
          <cell r="EG756">
            <v>0</v>
          </cell>
          <cell r="EH756">
            <v>0</v>
          </cell>
          <cell r="EI756">
            <v>0</v>
          </cell>
          <cell r="EK756">
            <v>0</v>
          </cell>
          <cell r="EL756">
            <v>0</v>
          </cell>
          <cell r="EM756">
            <v>0</v>
          </cell>
          <cell r="EN756">
            <v>0</v>
          </cell>
          <cell r="EO756">
            <v>0</v>
          </cell>
          <cell r="EP756">
            <v>0</v>
          </cell>
          <cell r="EQ756">
            <v>0</v>
          </cell>
          <cell r="ER756">
            <v>0</v>
          </cell>
          <cell r="ES756">
            <v>0</v>
          </cell>
          <cell r="ET756">
            <v>0</v>
          </cell>
          <cell r="EU756">
            <v>0</v>
          </cell>
          <cell r="EV756">
            <v>0</v>
          </cell>
          <cell r="EW756">
            <v>0</v>
          </cell>
          <cell r="EY756">
            <v>0</v>
          </cell>
          <cell r="EZ756">
            <v>8</v>
          </cell>
          <cell r="FA756">
            <v>0</v>
          </cell>
          <cell r="FB756">
            <v>0</v>
          </cell>
          <cell r="FC756">
            <v>8.6</v>
          </cell>
          <cell r="FD756">
            <v>0</v>
          </cell>
          <cell r="FE756">
            <v>0</v>
          </cell>
          <cell r="FF756">
            <v>0</v>
          </cell>
          <cell r="FH756">
            <v>0</v>
          </cell>
        </row>
        <row r="757">
          <cell r="B757">
            <v>9884</v>
          </cell>
          <cell r="C757" t="str">
            <v>14.07.2011</v>
          </cell>
          <cell r="D757" t="str">
            <v>Chavan Rajesh Lalji</v>
          </cell>
          <cell r="F757">
            <v>0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G757">
            <v>0</v>
          </cell>
          <cell r="AH757">
            <v>0</v>
          </cell>
          <cell r="AI757">
            <v>0</v>
          </cell>
          <cell r="AJ757">
            <v>0</v>
          </cell>
          <cell r="AK757">
            <v>0</v>
          </cell>
          <cell r="AL757">
            <v>0</v>
          </cell>
          <cell r="AM757">
            <v>0</v>
          </cell>
          <cell r="AN757">
            <v>0</v>
          </cell>
          <cell r="AO757">
            <v>0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  <cell r="AU757">
            <v>0</v>
          </cell>
          <cell r="AV757">
            <v>0</v>
          </cell>
          <cell r="AW757">
            <v>0</v>
          </cell>
          <cell r="AX757">
            <v>0</v>
          </cell>
          <cell r="AY757">
            <v>0</v>
          </cell>
          <cell r="BA757">
            <v>0</v>
          </cell>
          <cell r="BB757">
            <v>0</v>
          </cell>
          <cell r="BC757">
            <v>0</v>
          </cell>
          <cell r="BD757">
            <v>0</v>
          </cell>
          <cell r="BE757">
            <v>0</v>
          </cell>
          <cell r="BF757">
            <v>0</v>
          </cell>
          <cell r="BG757">
            <v>0</v>
          </cell>
          <cell r="BH757">
            <v>0</v>
          </cell>
          <cell r="BI757">
            <v>0</v>
          </cell>
          <cell r="BK757">
            <v>0</v>
          </cell>
          <cell r="BL757">
            <v>0</v>
          </cell>
          <cell r="BM757">
            <v>0</v>
          </cell>
          <cell r="BN757">
            <v>0</v>
          </cell>
          <cell r="BO757">
            <v>0</v>
          </cell>
          <cell r="BP757">
            <v>0</v>
          </cell>
          <cell r="BQ757">
            <v>0</v>
          </cell>
          <cell r="BR757">
            <v>0</v>
          </cell>
          <cell r="BS757">
            <v>0</v>
          </cell>
          <cell r="BU757">
            <v>0</v>
          </cell>
          <cell r="BV757">
            <v>0</v>
          </cell>
          <cell r="BW757">
            <v>0</v>
          </cell>
          <cell r="BX757">
            <v>0</v>
          </cell>
          <cell r="BY757">
            <v>0</v>
          </cell>
          <cell r="BZ757">
            <v>0</v>
          </cell>
          <cell r="CA757">
            <v>0</v>
          </cell>
          <cell r="CB757">
            <v>0</v>
          </cell>
          <cell r="CC757">
            <v>0</v>
          </cell>
          <cell r="CE757">
            <v>0</v>
          </cell>
          <cell r="CF757">
            <v>0</v>
          </cell>
          <cell r="CG757">
            <v>0</v>
          </cell>
          <cell r="CH757">
            <v>0</v>
          </cell>
          <cell r="CI757">
            <v>0</v>
          </cell>
          <cell r="CJ757">
            <v>0</v>
          </cell>
          <cell r="CK757">
            <v>0</v>
          </cell>
          <cell r="CL757">
            <v>0</v>
          </cell>
          <cell r="CM757">
            <v>0</v>
          </cell>
          <cell r="CO757">
            <v>0</v>
          </cell>
          <cell r="CP757">
            <v>0</v>
          </cell>
          <cell r="CQ757">
            <v>0</v>
          </cell>
          <cell r="CR757">
            <v>0</v>
          </cell>
          <cell r="CS757">
            <v>0</v>
          </cell>
          <cell r="CT757">
            <v>0</v>
          </cell>
          <cell r="CU757">
            <v>0</v>
          </cell>
          <cell r="CV757">
            <v>0</v>
          </cell>
          <cell r="CW757">
            <v>0</v>
          </cell>
          <cell r="CY757">
            <v>0</v>
          </cell>
          <cell r="CZ757">
            <v>0</v>
          </cell>
          <cell r="DA757">
            <v>0</v>
          </cell>
          <cell r="DB757">
            <v>0</v>
          </cell>
          <cell r="DC757">
            <v>0</v>
          </cell>
          <cell r="DD757">
            <v>0</v>
          </cell>
          <cell r="DE757">
            <v>0</v>
          </cell>
          <cell r="DF757">
            <v>0</v>
          </cell>
          <cell r="DG757">
            <v>0</v>
          </cell>
          <cell r="DI757">
            <v>0</v>
          </cell>
          <cell r="DJ757">
            <v>0</v>
          </cell>
          <cell r="DK757">
            <v>0</v>
          </cell>
          <cell r="DL757">
            <v>0</v>
          </cell>
          <cell r="DM757">
            <v>0</v>
          </cell>
          <cell r="DN757">
            <v>0</v>
          </cell>
          <cell r="DO757">
            <v>0</v>
          </cell>
          <cell r="DP757">
            <v>0</v>
          </cell>
          <cell r="DQ757">
            <v>0</v>
          </cell>
          <cell r="DR757">
            <v>0</v>
          </cell>
          <cell r="DS757">
            <v>0</v>
          </cell>
          <cell r="DT757">
            <v>0</v>
          </cell>
          <cell r="DU757">
            <v>0</v>
          </cell>
          <cell r="DW757">
            <v>0</v>
          </cell>
          <cell r="DX757">
            <v>0</v>
          </cell>
          <cell r="DY757">
            <v>0</v>
          </cell>
          <cell r="DZ757">
            <v>0</v>
          </cell>
          <cell r="EA757">
            <v>0</v>
          </cell>
          <cell r="EB757">
            <v>0</v>
          </cell>
          <cell r="EC757">
            <v>0</v>
          </cell>
          <cell r="ED757">
            <v>0</v>
          </cell>
          <cell r="EE757">
            <v>0</v>
          </cell>
          <cell r="EF757">
            <v>0</v>
          </cell>
          <cell r="EG757">
            <v>0</v>
          </cell>
          <cell r="EH757">
            <v>0</v>
          </cell>
          <cell r="EI757">
            <v>0</v>
          </cell>
          <cell r="EK757">
            <v>0</v>
          </cell>
          <cell r="EL757">
            <v>0</v>
          </cell>
          <cell r="EM757">
            <v>0</v>
          </cell>
          <cell r="EN757">
            <v>0</v>
          </cell>
          <cell r="EO757">
            <v>0</v>
          </cell>
          <cell r="EP757">
            <v>0</v>
          </cell>
          <cell r="EQ757">
            <v>0</v>
          </cell>
          <cell r="ER757">
            <v>0</v>
          </cell>
          <cell r="ES757">
            <v>0</v>
          </cell>
          <cell r="ET757">
            <v>0</v>
          </cell>
          <cell r="EU757">
            <v>0</v>
          </cell>
          <cell r="EV757">
            <v>0</v>
          </cell>
          <cell r="EW757">
            <v>0</v>
          </cell>
          <cell r="EY757">
            <v>0</v>
          </cell>
          <cell r="EZ757">
            <v>8</v>
          </cell>
          <cell r="FA757">
            <v>0</v>
          </cell>
          <cell r="FB757">
            <v>0</v>
          </cell>
          <cell r="FC757">
            <v>8.6</v>
          </cell>
          <cell r="FD757">
            <v>0</v>
          </cell>
          <cell r="FE757">
            <v>0</v>
          </cell>
          <cell r="FF757">
            <v>0</v>
          </cell>
          <cell r="FH757">
            <v>0</v>
          </cell>
        </row>
        <row r="758">
          <cell r="B758">
            <v>9885</v>
          </cell>
          <cell r="C758" t="str">
            <v>27.07.2011</v>
          </cell>
          <cell r="D758" t="str">
            <v>Chandramore Yogesh Subhash</v>
          </cell>
          <cell r="F758">
            <v>0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G758">
            <v>0</v>
          </cell>
          <cell r="AH758">
            <v>0</v>
          </cell>
          <cell r="AI758">
            <v>0</v>
          </cell>
          <cell r="AJ758">
            <v>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BA758">
            <v>0</v>
          </cell>
          <cell r="BB758">
            <v>0</v>
          </cell>
          <cell r="BC758">
            <v>0</v>
          </cell>
          <cell r="BD758">
            <v>0</v>
          </cell>
          <cell r="BE758">
            <v>0</v>
          </cell>
          <cell r="BF758">
            <v>0</v>
          </cell>
          <cell r="BG758">
            <v>0</v>
          </cell>
          <cell r="BH758">
            <v>0</v>
          </cell>
          <cell r="BI758">
            <v>0</v>
          </cell>
          <cell r="BK758">
            <v>0</v>
          </cell>
          <cell r="BL758">
            <v>0</v>
          </cell>
          <cell r="BM758">
            <v>0</v>
          </cell>
          <cell r="BN758">
            <v>0</v>
          </cell>
          <cell r="BO758">
            <v>0</v>
          </cell>
          <cell r="BP758">
            <v>0</v>
          </cell>
          <cell r="BQ758">
            <v>0</v>
          </cell>
          <cell r="BR758">
            <v>0</v>
          </cell>
          <cell r="BS758">
            <v>0</v>
          </cell>
          <cell r="BU758">
            <v>0</v>
          </cell>
          <cell r="BV758">
            <v>0</v>
          </cell>
          <cell r="BW758">
            <v>0</v>
          </cell>
          <cell r="BX758">
            <v>0</v>
          </cell>
          <cell r="BY758">
            <v>0</v>
          </cell>
          <cell r="BZ758">
            <v>0</v>
          </cell>
          <cell r="CA758">
            <v>0</v>
          </cell>
          <cell r="CB758">
            <v>0</v>
          </cell>
          <cell r="CC758">
            <v>0</v>
          </cell>
          <cell r="CE758">
            <v>0</v>
          </cell>
          <cell r="CF758">
            <v>0</v>
          </cell>
          <cell r="CG758">
            <v>0</v>
          </cell>
          <cell r="CH758">
            <v>0</v>
          </cell>
          <cell r="CI758">
            <v>0</v>
          </cell>
          <cell r="CJ758">
            <v>0</v>
          </cell>
          <cell r="CK758">
            <v>0</v>
          </cell>
          <cell r="CL758">
            <v>0</v>
          </cell>
          <cell r="CM758">
            <v>0</v>
          </cell>
          <cell r="CO758">
            <v>0</v>
          </cell>
          <cell r="CP758">
            <v>0</v>
          </cell>
          <cell r="CQ758">
            <v>0</v>
          </cell>
          <cell r="CR758">
            <v>0</v>
          </cell>
          <cell r="CS758">
            <v>0</v>
          </cell>
          <cell r="CT758">
            <v>0</v>
          </cell>
          <cell r="CU758">
            <v>0</v>
          </cell>
          <cell r="CV758">
            <v>0</v>
          </cell>
          <cell r="CW758">
            <v>0</v>
          </cell>
          <cell r="CY758">
            <v>0</v>
          </cell>
          <cell r="CZ758">
            <v>0</v>
          </cell>
          <cell r="DA758">
            <v>0</v>
          </cell>
          <cell r="DB758">
            <v>0</v>
          </cell>
          <cell r="DC758">
            <v>0</v>
          </cell>
          <cell r="DD758">
            <v>0</v>
          </cell>
          <cell r="DE758">
            <v>0</v>
          </cell>
          <cell r="DF758">
            <v>0</v>
          </cell>
          <cell r="DG758">
            <v>0</v>
          </cell>
          <cell r="DI758">
            <v>0</v>
          </cell>
          <cell r="DJ758">
            <v>0</v>
          </cell>
          <cell r="DK758">
            <v>0</v>
          </cell>
          <cell r="DL758">
            <v>0</v>
          </cell>
          <cell r="DM758">
            <v>0</v>
          </cell>
          <cell r="DN758">
            <v>0</v>
          </cell>
          <cell r="DO758">
            <v>0</v>
          </cell>
          <cell r="DP758">
            <v>0</v>
          </cell>
          <cell r="DQ758">
            <v>0</v>
          </cell>
          <cell r="DR758">
            <v>0</v>
          </cell>
          <cell r="DS758">
            <v>0</v>
          </cell>
          <cell r="DT758">
            <v>0</v>
          </cell>
          <cell r="DU758">
            <v>0</v>
          </cell>
          <cell r="DW758">
            <v>0</v>
          </cell>
          <cell r="DX758">
            <v>0</v>
          </cell>
          <cell r="DY758">
            <v>0</v>
          </cell>
          <cell r="DZ758">
            <v>0</v>
          </cell>
          <cell r="EA758">
            <v>0</v>
          </cell>
          <cell r="EB758">
            <v>0</v>
          </cell>
          <cell r="EC758">
            <v>0</v>
          </cell>
          <cell r="ED758">
            <v>0</v>
          </cell>
          <cell r="EE758">
            <v>0</v>
          </cell>
          <cell r="EF758">
            <v>0</v>
          </cell>
          <cell r="EG758">
            <v>0</v>
          </cell>
          <cell r="EH758">
            <v>0</v>
          </cell>
          <cell r="EI758">
            <v>0</v>
          </cell>
          <cell r="EK758">
            <v>0</v>
          </cell>
          <cell r="EL758">
            <v>0</v>
          </cell>
          <cell r="EM758">
            <v>0</v>
          </cell>
          <cell r="EN758">
            <v>0</v>
          </cell>
          <cell r="EO758">
            <v>0</v>
          </cell>
          <cell r="EP758">
            <v>0</v>
          </cell>
          <cell r="EQ758">
            <v>0</v>
          </cell>
          <cell r="ER758">
            <v>0</v>
          </cell>
          <cell r="ES758">
            <v>0</v>
          </cell>
          <cell r="ET758">
            <v>0</v>
          </cell>
          <cell r="EU758">
            <v>0</v>
          </cell>
          <cell r="EV758">
            <v>0</v>
          </cell>
          <cell r="EW758">
            <v>0</v>
          </cell>
          <cell r="EY758">
            <v>0</v>
          </cell>
          <cell r="EZ758">
            <v>8</v>
          </cell>
          <cell r="FA758">
            <v>0</v>
          </cell>
          <cell r="FB758">
            <v>0</v>
          </cell>
          <cell r="FC758">
            <v>8.6</v>
          </cell>
          <cell r="FD758">
            <v>0</v>
          </cell>
          <cell r="FE758">
            <v>0</v>
          </cell>
          <cell r="FF758">
            <v>0</v>
          </cell>
          <cell r="FH758">
            <v>0</v>
          </cell>
        </row>
        <row r="759">
          <cell r="B759">
            <v>9886</v>
          </cell>
          <cell r="C759" t="str">
            <v>04.08.2011</v>
          </cell>
          <cell r="D759" t="str">
            <v>Bodhalkar Sharada Yashwant</v>
          </cell>
          <cell r="F759">
            <v>0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G759">
            <v>0</v>
          </cell>
          <cell r="AH759">
            <v>0</v>
          </cell>
          <cell r="AI759">
            <v>0</v>
          </cell>
          <cell r="AJ759">
            <v>0</v>
          </cell>
          <cell r="AK759">
            <v>0</v>
          </cell>
          <cell r="AL759">
            <v>0</v>
          </cell>
          <cell r="AM759">
            <v>0</v>
          </cell>
          <cell r="AN759">
            <v>0</v>
          </cell>
          <cell r="AO759">
            <v>0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  <cell r="AU759">
            <v>0</v>
          </cell>
          <cell r="AV759">
            <v>0</v>
          </cell>
          <cell r="AW759">
            <v>0</v>
          </cell>
          <cell r="AX759">
            <v>0</v>
          </cell>
          <cell r="AY759">
            <v>0</v>
          </cell>
          <cell r="BA759">
            <v>0</v>
          </cell>
          <cell r="BB759">
            <v>0</v>
          </cell>
          <cell r="BC759">
            <v>0</v>
          </cell>
          <cell r="BD759">
            <v>0</v>
          </cell>
          <cell r="BE759">
            <v>0</v>
          </cell>
          <cell r="BF759">
            <v>0</v>
          </cell>
          <cell r="BG759">
            <v>0</v>
          </cell>
          <cell r="BH759">
            <v>0</v>
          </cell>
          <cell r="BI759">
            <v>0</v>
          </cell>
          <cell r="BK759">
            <v>0</v>
          </cell>
          <cell r="BL759">
            <v>0</v>
          </cell>
          <cell r="BM759">
            <v>0</v>
          </cell>
          <cell r="BN759">
            <v>0</v>
          </cell>
          <cell r="BO759">
            <v>0</v>
          </cell>
          <cell r="BP759">
            <v>0</v>
          </cell>
          <cell r="BQ759">
            <v>0</v>
          </cell>
          <cell r="BR759">
            <v>0</v>
          </cell>
          <cell r="BS759">
            <v>0</v>
          </cell>
          <cell r="BU759">
            <v>0</v>
          </cell>
          <cell r="BV759">
            <v>0</v>
          </cell>
          <cell r="BW759">
            <v>0</v>
          </cell>
          <cell r="BX759">
            <v>0</v>
          </cell>
          <cell r="BY759">
            <v>0</v>
          </cell>
          <cell r="BZ759">
            <v>0</v>
          </cell>
          <cell r="CA759">
            <v>0</v>
          </cell>
          <cell r="CB759">
            <v>0</v>
          </cell>
          <cell r="CC759">
            <v>0</v>
          </cell>
          <cell r="CE759">
            <v>0</v>
          </cell>
          <cell r="CF759">
            <v>0</v>
          </cell>
          <cell r="CG759">
            <v>0</v>
          </cell>
          <cell r="CH759">
            <v>0</v>
          </cell>
          <cell r="CI759">
            <v>0</v>
          </cell>
          <cell r="CJ759">
            <v>0</v>
          </cell>
          <cell r="CK759">
            <v>0</v>
          </cell>
          <cell r="CL759">
            <v>0</v>
          </cell>
          <cell r="CM759">
            <v>0</v>
          </cell>
          <cell r="CO759">
            <v>0</v>
          </cell>
          <cell r="CP759">
            <v>0</v>
          </cell>
          <cell r="CQ759">
            <v>0</v>
          </cell>
          <cell r="CR759">
            <v>0</v>
          </cell>
          <cell r="CS759">
            <v>0</v>
          </cell>
          <cell r="CT759">
            <v>0</v>
          </cell>
          <cell r="CU759">
            <v>0</v>
          </cell>
          <cell r="CV759">
            <v>0</v>
          </cell>
          <cell r="CW759">
            <v>0</v>
          </cell>
          <cell r="CY759">
            <v>0</v>
          </cell>
          <cell r="CZ759">
            <v>0</v>
          </cell>
          <cell r="DA759">
            <v>0</v>
          </cell>
          <cell r="DB759">
            <v>0</v>
          </cell>
          <cell r="DC759">
            <v>0</v>
          </cell>
          <cell r="DD759">
            <v>0</v>
          </cell>
          <cell r="DE759">
            <v>0</v>
          </cell>
          <cell r="DF759">
            <v>0</v>
          </cell>
          <cell r="DG759">
            <v>0</v>
          </cell>
          <cell r="DI759">
            <v>0</v>
          </cell>
          <cell r="DJ759">
            <v>0</v>
          </cell>
          <cell r="DK759">
            <v>0</v>
          </cell>
          <cell r="DL759">
            <v>0</v>
          </cell>
          <cell r="DM759">
            <v>0</v>
          </cell>
          <cell r="DN759">
            <v>0</v>
          </cell>
          <cell r="DO759">
            <v>0</v>
          </cell>
          <cell r="DP759">
            <v>0</v>
          </cell>
          <cell r="DQ759">
            <v>0</v>
          </cell>
          <cell r="DR759">
            <v>0</v>
          </cell>
          <cell r="DS759">
            <v>0</v>
          </cell>
          <cell r="DT759">
            <v>0</v>
          </cell>
          <cell r="DU759">
            <v>0</v>
          </cell>
          <cell r="DW759">
            <v>0</v>
          </cell>
          <cell r="DX759">
            <v>0</v>
          </cell>
          <cell r="DY759">
            <v>0</v>
          </cell>
          <cell r="DZ759">
            <v>0</v>
          </cell>
          <cell r="EA759">
            <v>0</v>
          </cell>
          <cell r="EB759">
            <v>0</v>
          </cell>
          <cell r="EC759">
            <v>0</v>
          </cell>
          <cell r="ED759">
            <v>0</v>
          </cell>
          <cell r="EE759">
            <v>0</v>
          </cell>
          <cell r="EF759">
            <v>0</v>
          </cell>
          <cell r="EG759">
            <v>0</v>
          </cell>
          <cell r="EH759">
            <v>0</v>
          </cell>
          <cell r="EI759">
            <v>0</v>
          </cell>
          <cell r="EK759">
            <v>0</v>
          </cell>
          <cell r="EL759">
            <v>0</v>
          </cell>
          <cell r="EM759">
            <v>0</v>
          </cell>
          <cell r="EN759">
            <v>0</v>
          </cell>
          <cell r="EO759">
            <v>0</v>
          </cell>
          <cell r="EP759">
            <v>0</v>
          </cell>
          <cell r="EQ759">
            <v>0</v>
          </cell>
          <cell r="ER759">
            <v>0</v>
          </cell>
          <cell r="ES759">
            <v>0</v>
          </cell>
          <cell r="ET759">
            <v>0</v>
          </cell>
          <cell r="EU759">
            <v>0</v>
          </cell>
          <cell r="EV759">
            <v>0</v>
          </cell>
          <cell r="EW759">
            <v>0</v>
          </cell>
          <cell r="EY759">
            <v>0</v>
          </cell>
          <cell r="EZ759">
            <v>8</v>
          </cell>
          <cell r="FA759">
            <v>0</v>
          </cell>
          <cell r="FB759">
            <v>0</v>
          </cell>
          <cell r="FC759">
            <v>8.6</v>
          </cell>
          <cell r="FD759">
            <v>0</v>
          </cell>
          <cell r="FE759">
            <v>0</v>
          </cell>
          <cell r="FF759">
            <v>0</v>
          </cell>
          <cell r="FH759">
            <v>0</v>
          </cell>
        </row>
        <row r="760">
          <cell r="B760">
            <v>9895</v>
          </cell>
          <cell r="C760" t="str">
            <v>24.08.2011</v>
          </cell>
          <cell r="D760" t="str">
            <v>Jadhav Sunita Devendra</v>
          </cell>
          <cell r="F760">
            <v>0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G760">
            <v>0</v>
          </cell>
          <cell r="AH760">
            <v>0</v>
          </cell>
          <cell r="AI760">
            <v>0</v>
          </cell>
          <cell r="AJ760">
            <v>0</v>
          </cell>
          <cell r="AK760">
            <v>0</v>
          </cell>
          <cell r="AL760">
            <v>0</v>
          </cell>
          <cell r="AM760">
            <v>0</v>
          </cell>
          <cell r="AN760">
            <v>0</v>
          </cell>
          <cell r="AO760">
            <v>0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  <cell r="AU760">
            <v>0</v>
          </cell>
          <cell r="AV760">
            <v>0</v>
          </cell>
          <cell r="AW760">
            <v>0</v>
          </cell>
          <cell r="AX760">
            <v>0</v>
          </cell>
          <cell r="AY760">
            <v>0</v>
          </cell>
          <cell r="BA760">
            <v>0</v>
          </cell>
          <cell r="BB760">
            <v>0</v>
          </cell>
          <cell r="BC760">
            <v>0</v>
          </cell>
          <cell r="BD760">
            <v>0</v>
          </cell>
          <cell r="BE760">
            <v>0</v>
          </cell>
          <cell r="BF760">
            <v>0</v>
          </cell>
          <cell r="BG760">
            <v>0</v>
          </cell>
          <cell r="BH760">
            <v>0</v>
          </cell>
          <cell r="BI760">
            <v>0</v>
          </cell>
          <cell r="BK760">
            <v>0</v>
          </cell>
          <cell r="BL760">
            <v>0</v>
          </cell>
          <cell r="BM760">
            <v>0</v>
          </cell>
          <cell r="BN760">
            <v>0</v>
          </cell>
          <cell r="BO760">
            <v>0</v>
          </cell>
          <cell r="BP760">
            <v>0</v>
          </cell>
          <cell r="BQ760">
            <v>0</v>
          </cell>
          <cell r="BR760">
            <v>0</v>
          </cell>
          <cell r="BS760">
            <v>0</v>
          </cell>
          <cell r="BU760">
            <v>0</v>
          </cell>
          <cell r="BV760">
            <v>0</v>
          </cell>
          <cell r="BW760">
            <v>0</v>
          </cell>
          <cell r="BX760">
            <v>0</v>
          </cell>
          <cell r="BY760">
            <v>0</v>
          </cell>
          <cell r="BZ760">
            <v>0</v>
          </cell>
          <cell r="CA760">
            <v>0</v>
          </cell>
          <cell r="CB760">
            <v>0</v>
          </cell>
          <cell r="CC760">
            <v>0</v>
          </cell>
          <cell r="CE760">
            <v>0</v>
          </cell>
          <cell r="CF760">
            <v>0</v>
          </cell>
          <cell r="CG760">
            <v>0</v>
          </cell>
          <cell r="CH760">
            <v>0</v>
          </cell>
          <cell r="CI760">
            <v>0</v>
          </cell>
          <cell r="CJ760">
            <v>0</v>
          </cell>
          <cell r="CK760">
            <v>0</v>
          </cell>
          <cell r="CL760">
            <v>0</v>
          </cell>
          <cell r="CM760">
            <v>0</v>
          </cell>
          <cell r="CO760">
            <v>0</v>
          </cell>
          <cell r="CP760">
            <v>0</v>
          </cell>
          <cell r="CQ760">
            <v>0</v>
          </cell>
          <cell r="CR760">
            <v>0</v>
          </cell>
          <cell r="CS760">
            <v>0</v>
          </cell>
          <cell r="CT760">
            <v>0</v>
          </cell>
          <cell r="CU760">
            <v>0</v>
          </cell>
          <cell r="CV760">
            <v>0</v>
          </cell>
          <cell r="CW760">
            <v>0</v>
          </cell>
          <cell r="CY760">
            <v>0</v>
          </cell>
          <cell r="CZ760">
            <v>0</v>
          </cell>
          <cell r="DA760">
            <v>0</v>
          </cell>
          <cell r="DB760">
            <v>0</v>
          </cell>
          <cell r="DC760">
            <v>0</v>
          </cell>
          <cell r="DD760">
            <v>0</v>
          </cell>
          <cell r="DE760">
            <v>0</v>
          </cell>
          <cell r="DF760">
            <v>0</v>
          </cell>
          <cell r="DG760">
            <v>0</v>
          </cell>
          <cell r="DI760">
            <v>0</v>
          </cell>
          <cell r="DJ760">
            <v>0</v>
          </cell>
          <cell r="DK760">
            <v>0</v>
          </cell>
          <cell r="DL760">
            <v>0</v>
          </cell>
          <cell r="DM760">
            <v>0</v>
          </cell>
          <cell r="DN760">
            <v>0</v>
          </cell>
          <cell r="DO760">
            <v>0</v>
          </cell>
          <cell r="DP760">
            <v>0</v>
          </cell>
          <cell r="DQ760">
            <v>0</v>
          </cell>
          <cell r="DR760">
            <v>0</v>
          </cell>
          <cell r="DS760">
            <v>0</v>
          </cell>
          <cell r="DT760">
            <v>0</v>
          </cell>
          <cell r="DU760">
            <v>0</v>
          </cell>
          <cell r="DW760">
            <v>0</v>
          </cell>
          <cell r="DX760">
            <v>0</v>
          </cell>
          <cell r="DY760">
            <v>0</v>
          </cell>
          <cell r="DZ760">
            <v>0</v>
          </cell>
          <cell r="EA760">
            <v>0</v>
          </cell>
          <cell r="EB760">
            <v>0</v>
          </cell>
          <cell r="EC760">
            <v>0</v>
          </cell>
          <cell r="ED760">
            <v>0</v>
          </cell>
          <cell r="EE760">
            <v>0</v>
          </cell>
          <cell r="EF760">
            <v>0</v>
          </cell>
          <cell r="EG760">
            <v>0</v>
          </cell>
          <cell r="EH760">
            <v>0</v>
          </cell>
          <cell r="EI760">
            <v>0</v>
          </cell>
          <cell r="EK760">
            <v>0</v>
          </cell>
          <cell r="EL760">
            <v>0</v>
          </cell>
          <cell r="EM760">
            <v>0</v>
          </cell>
          <cell r="EN760">
            <v>0</v>
          </cell>
          <cell r="EO760">
            <v>0</v>
          </cell>
          <cell r="EP760">
            <v>0</v>
          </cell>
          <cell r="EQ760">
            <v>0</v>
          </cell>
          <cell r="ER760">
            <v>0</v>
          </cell>
          <cell r="ES760">
            <v>0</v>
          </cell>
          <cell r="ET760">
            <v>0</v>
          </cell>
          <cell r="EU760">
            <v>0</v>
          </cell>
          <cell r="EV760">
            <v>0</v>
          </cell>
          <cell r="EW760">
            <v>0</v>
          </cell>
          <cell r="EY760">
            <v>0</v>
          </cell>
          <cell r="EZ760">
            <v>8</v>
          </cell>
          <cell r="FA760">
            <v>0</v>
          </cell>
          <cell r="FB760">
            <v>0</v>
          </cell>
          <cell r="FC760">
            <v>8.6</v>
          </cell>
          <cell r="FD760">
            <v>0</v>
          </cell>
          <cell r="FE760">
            <v>0</v>
          </cell>
          <cell r="FF760">
            <v>0</v>
          </cell>
          <cell r="FH760">
            <v>0</v>
          </cell>
        </row>
        <row r="761">
          <cell r="B761">
            <v>9896</v>
          </cell>
          <cell r="C761" t="str">
            <v>24.08.2011</v>
          </cell>
          <cell r="D761" t="str">
            <v>Babriya Pooja Vijay</v>
          </cell>
          <cell r="F761">
            <v>0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G761">
            <v>0</v>
          </cell>
          <cell r="AH761">
            <v>0</v>
          </cell>
          <cell r="AI761">
            <v>0</v>
          </cell>
          <cell r="AJ761">
            <v>0</v>
          </cell>
          <cell r="AK761">
            <v>0</v>
          </cell>
          <cell r="AL761">
            <v>0</v>
          </cell>
          <cell r="AM761">
            <v>0</v>
          </cell>
          <cell r="AN761">
            <v>0</v>
          </cell>
          <cell r="AO761">
            <v>0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  <cell r="AU761">
            <v>0</v>
          </cell>
          <cell r="AV761">
            <v>0</v>
          </cell>
          <cell r="AW761">
            <v>0</v>
          </cell>
          <cell r="AX761">
            <v>0</v>
          </cell>
          <cell r="AY761">
            <v>0</v>
          </cell>
          <cell r="BA761">
            <v>0</v>
          </cell>
          <cell r="BB761">
            <v>0</v>
          </cell>
          <cell r="BC761">
            <v>0</v>
          </cell>
          <cell r="BD761">
            <v>0</v>
          </cell>
          <cell r="BE761">
            <v>0</v>
          </cell>
          <cell r="BF761">
            <v>0</v>
          </cell>
          <cell r="BG761">
            <v>0</v>
          </cell>
          <cell r="BH761">
            <v>0</v>
          </cell>
          <cell r="BI761">
            <v>0</v>
          </cell>
          <cell r="BK761">
            <v>0</v>
          </cell>
          <cell r="BL761">
            <v>0</v>
          </cell>
          <cell r="BM761">
            <v>0</v>
          </cell>
          <cell r="BN761">
            <v>0</v>
          </cell>
          <cell r="BO761">
            <v>0</v>
          </cell>
          <cell r="BP761">
            <v>0</v>
          </cell>
          <cell r="BQ761">
            <v>0</v>
          </cell>
          <cell r="BR761">
            <v>0</v>
          </cell>
          <cell r="BS761">
            <v>0</v>
          </cell>
          <cell r="BU761">
            <v>0</v>
          </cell>
          <cell r="BV761">
            <v>0</v>
          </cell>
          <cell r="BW761">
            <v>0</v>
          </cell>
          <cell r="BX761">
            <v>0</v>
          </cell>
          <cell r="BY761">
            <v>0</v>
          </cell>
          <cell r="BZ761">
            <v>0</v>
          </cell>
          <cell r="CA761">
            <v>0</v>
          </cell>
          <cell r="CB761">
            <v>0</v>
          </cell>
          <cell r="CC761">
            <v>0</v>
          </cell>
          <cell r="CE761">
            <v>0</v>
          </cell>
          <cell r="CF761">
            <v>0</v>
          </cell>
          <cell r="CG761">
            <v>0</v>
          </cell>
          <cell r="CH761">
            <v>0</v>
          </cell>
          <cell r="CI761">
            <v>0</v>
          </cell>
          <cell r="CJ761">
            <v>0</v>
          </cell>
          <cell r="CK761">
            <v>0</v>
          </cell>
          <cell r="CL761">
            <v>0</v>
          </cell>
          <cell r="CM761">
            <v>0</v>
          </cell>
          <cell r="CO761">
            <v>0</v>
          </cell>
          <cell r="CP761">
            <v>0</v>
          </cell>
          <cell r="CQ761">
            <v>0</v>
          </cell>
          <cell r="CR761">
            <v>0</v>
          </cell>
          <cell r="CS761">
            <v>0</v>
          </cell>
          <cell r="CT761">
            <v>0</v>
          </cell>
          <cell r="CU761">
            <v>0</v>
          </cell>
          <cell r="CV761">
            <v>0</v>
          </cell>
          <cell r="CW761">
            <v>0</v>
          </cell>
          <cell r="CY761">
            <v>0</v>
          </cell>
          <cell r="CZ761">
            <v>0</v>
          </cell>
          <cell r="DA761">
            <v>0</v>
          </cell>
          <cell r="DB761">
            <v>0</v>
          </cell>
          <cell r="DC761">
            <v>0</v>
          </cell>
          <cell r="DD761">
            <v>0</v>
          </cell>
          <cell r="DE761">
            <v>0</v>
          </cell>
          <cell r="DF761">
            <v>0</v>
          </cell>
          <cell r="DG761">
            <v>0</v>
          </cell>
          <cell r="DI761">
            <v>0</v>
          </cell>
          <cell r="DJ761">
            <v>0</v>
          </cell>
          <cell r="DK761">
            <v>0</v>
          </cell>
          <cell r="DL761">
            <v>0</v>
          </cell>
          <cell r="DM761">
            <v>0</v>
          </cell>
          <cell r="DN761">
            <v>0</v>
          </cell>
          <cell r="DO761">
            <v>0</v>
          </cell>
          <cell r="DP761">
            <v>0</v>
          </cell>
          <cell r="DQ761">
            <v>0</v>
          </cell>
          <cell r="DR761">
            <v>0</v>
          </cell>
          <cell r="DS761">
            <v>0</v>
          </cell>
          <cell r="DT761">
            <v>0</v>
          </cell>
          <cell r="DU761">
            <v>0</v>
          </cell>
          <cell r="DW761">
            <v>0</v>
          </cell>
          <cell r="DX761">
            <v>0</v>
          </cell>
          <cell r="DY761">
            <v>0</v>
          </cell>
          <cell r="DZ761">
            <v>0</v>
          </cell>
          <cell r="EA761">
            <v>0</v>
          </cell>
          <cell r="EB761">
            <v>0</v>
          </cell>
          <cell r="EC761">
            <v>0</v>
          </cell>
          <cell r="ED761">
            <v>0</v>
          </cell>
          <cell r="EE761">
            <v>0</v>
          </cell>
          <cell r="EF761">
            <v>0</v>
          </cell>
          <cell r="EG761">
            <v>0</v>
          </cell>
          <cell r="EH761">
            <v>0</v>
          </cell>
          <cell r="EI761">
            <v>0</v>
          </cell>
          <cell r="EK761">
            <v>0</v>
          </cell>
          <cell r="EL761">
            <v>0</v>
          </cell>
          <cell r="EM761">
            <v>0</v>
          </cell>
          <cell r="EN761">
            <v>0</v>
          </cell>
          <cell r="EO761">
            <v>0</v>
          </cell>
          <cell r="EP761">
            <v>0</v>
          </cell>
          <cell r="EQ761">
            <v>0</v>
          </cell>
          <cell r="ER761">
            <v>0</v>
          </cell>
          <cell r="ES761">
            <v>0</v>
          </cell>
          <cell r="ET761">
            <v>0</v>
          </cell>
          <cell r="EU761">
            <v>0</v>
          </cell>
          <cell r="EV761">
            <v>0</v>
          </cell>
          <cell r="EW761">
            <v>0</v>
          </cell>
          <cell r="EY761">
            <v>0</v>
          </cell>
          <cell r="EZ761">
            <v>8</v>
          </cell>
          <cell r="FA761">
            <v>0</v>
          </cell>
          <cell r="FB761">
            <v>0</v>
          </cell>
          <cell r="FC761">
            <v>8.6</v>
          </cell>
          <cell r="FD761">
            <v>0</v>
          </cell>
          <cell r="FE761">
            <v>0</v>
          </cell>
          <cell r="FF761">
            <v>0</v>
          </cell>
          <cell r="FH761">
            <v>0</v>
          </cell>
        </row>
        <row r="762">
          <cell r="B762">
            <v>9897</v>
          </cell>
          <cell r="C762" t="str">
            <v>24.08.2011</v>
          </cell>
          <cell r="D762" t="str">
            <v>Sarode Meghraj Yuvraj</v>
          </cell>
          <cell r="F762">
            <v>0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G762">
            <v>0</v>
          </cell>
          <cell r="AH762">
            <v>0</v>
          </cell>
          <cell r="AI762">
            <v>0</v>
          </cell>
          <cell r="AJ762">
            <v>0</v>
          </cell>
          <cell r="AK762">
            <v>0</v>
          </cell>
          <cell r="AL762">
            <v>0</v>
          </cell>
          <cell r="AM762">
            <v>0</v>
          </cell>
          <cell r="AN762">
            <v>0</v>
          </cell>
          <cell r="AO762">
            <v>0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  <cell r="AU762">
            <v>0</v>
          </cell>
          <cell r="AV762">
            <v>0</v>
          </cell>
          <cell r="AW762">
            <v>0</v>
          </cell>
          <cell r="AX762">
            <v>0</v>
          </cell>
          <cell r="AY762">
            <v>0</v>
          </cell>
          <cell r="BA762">
            <v>0</v>
          </cell>
          <cell r="BB762">
            <v>0</v>
          </cell>
          <cell r="BC762">
            <v>0</v>
          </cell>
          <cell r="BD762">
            <v>0</v>
          </cell>
          <cell r="BE762">
            <v>0</v>
          </cell>
          <cell r="BF762">
            <v>0</v>
          </cell>
          <cell r="BG762">
            <v>0</v>
          </cell>
          <cell r="BH762">
            <v>0</v>
          </cell>
          <cell r="BI762">
            <v>0</v>
          </cell>
          <cell r="BK762">
            <v>0</v>
          </cell>
          <cell r="BL762">
            <v>0</v>
          </cell>
          <cell r="BM762">
            <v>0</v>
          </cell>
          <cell r="BN762">
            <v>0</v>
          </cell>
          <cell r="BO762">
            <v>0</v>
          </cell>
          <cell r="BP762">
            <v>0</v>
          </cell>
          <cell r="BQ762">
            <v>0</v>
          </cell>
          <cell r="BR762">
            <v>0</v>
          </cell>
          <cell r="BS762">
            <v>0</v>
          </cell>
          <cell r="BU762">
            <v>0</v>
          </cell>
          <cell r="BV762">
            <v>0</v>
          </cell>
          <cell r="BW762">
            <v>0</v>
          </cell>
          <cell r="BX762">
            <v>0</v>
          </cell>
          <cell r="BY762">
            <v>0</v>
          </cell>
          <cell r="BZ762">
            <v>0</v>
          </cell>
          <cell r="CA762">
            <v>0</v>
          </cell>
          <cell r="CB762">
            <v>0</v>
          </cell>
          <cell r="CC762">
            <v>0</v>
          </cell>
          <cell r="CE762">
            <v>0</v>
          </cell>
          <cell r="CF762">
            <v>0</v>
          </cell>
          <cell r="CG762">
            <v>0</v>
          </cell>
          <cell r="CH762">
            <v>0</v>
          </cell>
          <cell r="CI762">
            <v>0</v>
          </cell>
          <cell r="CJ762">
            <v>0</v>
          </cell>
          <cell r="CK762">
            <v>0</v>
          </cell>
          <cell r="CL762">
            <v>0</v>
          </cell>
          <cell r="CM762">
            <v>0</v>
          </cell>
          <cell r="CO762">
            <v>0</v>
          </cell>
          <cell r="CP762">
            <v>0</v>
          </cell>
          <cell r="CQ762">
            <v>0</v>
          </cell>
          <cell r="CR762">
            <v>0</v>
          </cell>
          <cell r="CS762">
            <v>0</v>
          </cell>
          <cell r="CT762">
            <v>0</v>
          </cell>
          <cell r="CU762">
            <v>0</v>
          </cell>
          <cell r="CV762">
            <v>0</v>
          </cell>
          <cell r="CW762">
            <v>0</v>
          </cell>
          <cell r="CY762">
            <v>0</v>
          </cell>
          <cell r="CZ762">
            <v>0</v>
          </cell>
          <cell r="DA762">
            <v>0</v>
          </cell>
          <cell r="DB762">
            <v>0</v>
          </cell>
          <cell r="DC762">
            <v>0</v>
          </cell>
          <cell r="DD762">
            <v>0</v>
          </cell>
          <cell r="DE762">
            <v>0</v>
          </cell>
          <cell r="DF762">
            <v>0</v>
          </cell>
          <cell r="DG762">
            <v>0</v>
          </cell>
          <cell r="DI762">
            <v>0</v>
          </cell>
          <cell r="DJ762">
            <v>0</v>
          </cell>
          <cell r="DK762">
            <v>0</v>
          </cell>
          <cell r="DL762">
            <v>0</v>
          </cell>
          <cell r="DM762">
            <v>0</v>
          </cell>
          <cell r="DN762">
            <v>0</v>
          </cell>
          <cell r="DO762">
            <v>0</v>
          </cell>
          <cell r="DP762">
            <v>0</v>
          </cell>
          <cell r="DQ762">
            <v>0</v>
          </cell>
          <cell r="DR762">
            <v>0</v>
          </cell>
          <cell r="DS762">
            <v>0</v>
          </cell>
          <cell r="DT762">
            <v>0</v>
          </cell>
          <cell r="DU762">
            <v>0</v>
          </cell>
          <cell r="DW762">
            <v>0</v>
          </cell>
          <cell r="DX762">
            <v>0</v>
          </cell>
          <cell r="DY762">
            <v>0</v>
          </cell>
          <cell r="DZ762">
            <v>0</v>
          </cell>
          <cell r="EA762">
            <v>0</v>
          </cell>
          <cell r="EB762">
            <v>0</v>
          </cell>
          <cell r="EC762">
            <v>0</v>
          </cell>
          <cell r="ED762">
            <v>0</v>
          </cell>
          <cell r="EE762">
            <v>0</v>
          </cell>
          <cell r="EF762">
            <v>0</v>
          </cell>
          <cell r="EG762">
            <v>0</v>
          </cell>
          <cell r="EH762">
            <v>0</v>
          </cell>
          <cell r="EI762">
            <v>0</v>
          </cell>
          <cell r="EK762">
            <v>0</v>
          </cell>
          <cell r="EL762">
            <v>0</v>
          </cell>
          <cell r="EM762">
            <v>0</v>
          </cell>
          <cell r="EN762">
            <v>0</v>
          </cell>
          <cell r="EO762">
            <v>0</v>
          </cell>
          <cell r="EP762">
            <v>0</v>
          </cell>
          <cell r="EQ762">
            <v>0</v>
          </cell>
          <cell r="ER762">
            <v>0</v>
          </cell>
          <cell r="ES762">
            <v>0</v>
          </cell>
          <cell r="ET762">
            <v>0</v>
          </cell>
          <cell r="EU762">
            <v>0</v>
          </cell>
          <cell r="EV762">
            <v>0</v>
          </cell>
          <cell r="EW762">
            <v>0</v>
          </cell>
          <cell r="EY762">
            <v>0</v>
          </cell>
          <cell r="EZ762">
            <v>8</v>
          </cell>
          <cell r="FA762">
            <v>0</v>
          </cell>
          <cell r="FB762">
            <v>0</v>
          </cell>
          <cell r="FC762">
            <v>8.6</v>
          </cell>
          <cell r="FD762">
            <v>0</v>
          </cell>
          <cell r="FE762">
            <v>0</v>
          </cell>
          <cell r="FF762">
            <v>0</v>
          </cell>
          <cell r="FH762">
            <v>0</v>
          </cell>
        </row>
        <row r="763">
          <cell r="B763">
            <v>9898</v>
          </cell>
          <cell r="C763" t="str">
            <v>29.08.2011</v>
          </cell>
          <cell r="D763" t="str">
            <v>Wabale Varsha Sandeep</v>
          </cell>
          <cell r="F763">
            <v>0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W763">
            <v>0</v>
          </cell>
          <cell r="X763">
            <v>0</v>
          </cell>
          <cell r="Y763">
            <v>0</v>
          </cell>
          <cell r="Z763">
            <v>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G763">
            <v>0</v>
          </cell>
          <cell r="AH763">
            <v>0</v>
          </cell>
          <cell r="AI763">
            <v>0</v>
          </cell>
          <cell r="AJ763">
            <v>0</v>
          </cell>
          <cell r="AK763">
            <v>0</v>
          </cell>
          <cell r="AL763">
            <v>0</v>
          </cell>
          <cell r="AM763">
            <v>0</v>
          </cell>
          <cell r="AN763">
            <v>0</v>
          </cell>
          <cell r="AO763">
            <v>0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  <cell r="AU763">
            <v>0</v>
          </cell>
          <cell r="AV763">
            <v>0</v>
          </cell>
          <cell r="AW763">
            <v>0</v>
          </cell>
          <cell r="AX763">
            <v>0</v>
          </cell>
          <cell r="AY763">
            <v>0</v>
          </cell>
          <cell r="BA763">
            <v>0</v>
          </cell>
          <cell r="BB763">
            <v>0</v>
          </cell>
          <cell r="BC763">
            <v>0</v>
          </cell>
          <cell r="BD763">
            <v>0</v>
          </cell>
          <cell r="BE763">
            <v>0</v>
          </cell>
          <cell r="BF763">
            <v>0</v>
          </cell>
          <cell r="BG763">
            <v>0</v>
          </cell>
          <cell r="BH763">
            <v>0</v>
          </cell>
          <cell r="BI763">
            <v>0</v>
          </cell>
          <cell r="BK763">
            <v>0</v>
          </cell>
          <cell r="BL763">
            <v>0</v>
          </cell>
          <cell r="BM763">
            <v>0</v>
          </cell>
          <cell r="BN763">
            <v>0</v>
          </cell>
          <cell r="BO763">
            <v>0</v>
          </cell>
          <cell r="BP763">
            <v>0</v>
          </cell>
          <cell r="BQ763">
            <v>0</v>
          </cell>
          <cell r="BR763">
            <v>0</v>
          </cell>
          <cell r="BS763">
            <v>0</v>
          </cell>
          <cell r="BU763">
            <v>0</v>
          </cell>
          <cell r="BV763">
            <v>0</v>
          </cell>
          <cell r="BW763">
            <v>0</v>
          </cell>
          <cell r="BX763">
            <v>0</v>
          </cell>
          <cell r="BY763">
            <v>0</v>
          </cell>
          <cell r="BZ763">
            <v>0</v>
          </cell>
          <cell r="CA763">
            <v>0</v>
          </cell>
          <cell r="CB763">
            <v>0</v>
          </cell>
          <cell r="CC763">
            <v>0</v>
          </cell>
          <cell r="CE763">
            <v>0</v>
          </cell>
          <cell r="CF763">
            <v>0</v>
          </cell>
          <cell r="CG763">
            <v>0</v>
          </cell>
          <cell r="CH763">
            <v>0</v>
          </cell>
          <cell r="CI763">
            <v>0</v>
          </cell>
          <cell r="CJ763">
            <v>0</v>
          </cell>
          <cell r="CK763">
            <v>0</v>
          </cell>
          <cell r="CL763">
            <v>0</v>
          </cell>
          <cell r="CM763">
            <v>0</v>
          </cell>
          <cell r="CO763">
            <v>0</v>
          </cell>
          <cell r="CP763">
            <v>0</v>
          </cell>
          <cell r="CQ763">
            <v>0</v>
          </cell>
          <cell r="CR763">
            <v>0</v>
          </cell>
          <cell r="CS763">
            <v>0</v>
          </cell>
          <cell r="CT763">
            <v>0</v>
          </cell>
          <cell r="CU763">
            <v>0</v>
          </cell>
          <cell r="CV763">
            <v>0</v>
          </cell>
          <cell r="CW763">
            <v>0</v>
          </cell>
          <cell r="CY763">
            <v>0</v>
          </cell>
          <cell r="CZ763">
            <v>0</v>
          </cell>
          <cell r="DA763">
            <v>0</v>
          </cell>
          <cell r="DB763">
            <v>0</v>
          </cell>
          <cell r="DC763">
            <v>0</v>
          </cell>
          <cell r="DD763">
            <v>0</v>
          </cell>
          <cell r="DE763">
            <v>0</v>
          </cell>
          <cell r="DF763">
            <v>0</v>
          </cell>
          <cell r="DG763">
            <v>0</v>
          </cell>
          <cell r="DI763">
            <v>0</v>
          </cell>
          <cell r="DJ763">
            <v>0</v>
          </cell>
          <cell r="DK763">
            <v>0</v>
          </cell>
          <cell r="DL763">
            <v>0</v>
          </cell>
          <cell r="DM763">
            <v>0</v>
          </cell>
          <cell r="DN763">
            <v>0</v>
          </cell>
          <cell r="DO763">
            <v>0</v>
          </cell>
          <cell r="DP763">
            <v>0</v>
          </cell>
          <cell r="DQ763">
            <v>0</v>
          </cell>
          <cell r="DR763">
            <v>0</v>
          </cell>
          <cell r="DS763">
            <v>0</v>
          </cell>
          <cell r="DT763">
            <v>0</v>
          </cell>
          <cell r="DU763">
            <v>0</v>
          </cell>
          <cell r="DW763">
            <v>0</v>
          </cell>
          <cell r="DX763">
            <v>0</v>
          </cell>
          <cell r="DY763">
            <v>0</v>
          </cell>
          <cell r="DZ763">
            <v>0</v>
          </cell>
          <cell r="EA763">
            <v>0</v>
          </cell>
          <cell r="EB763">
            <v>0</v>
          </cell>
          <cell r="EC763">
            <v>0</v>
          </cell>
          <cell r="ED763">
            <v>0</v>
          </cell>
          <cell r="EE763">
            <v>0</v>
          </cell>
          <cell r="EF763">
            <v>0</v>
          </cell>
          <cell r="EG763">
            <v>0</v>
          </cell>
          <cell r="EH763">
            <v>0</v>
          </cell>
          <cell r="EI763">
            <v>0</v>
          </cell>
          <cell r="EK763">
            <v>0</v>
          </cell>
          <cell r="EL763">
            <v>0</v>
          </cell>
          <cell r="EM763">
            <v>0</v>
          </cell>
          <cell r="EN763">
            <v>0</v>
          </cell>
          <cell r="EO763">
            <v>0</v>
          </cell>
          <cell r="EP763">
            <v>0</v>
          </cell>
          <cell r="EQ763">
            <v>0</v>
          </cell>
          <cell r="ER763">
            <v>0</v>
          </cell>
          <cell r="ES763">
            <v>0</v>
          </cell>
          <cell r="ET763">
            <v>0</v>
          </cell>
          <cell r="EU763">
            <v>0</v>
          </cell>
          <cell r="EV763">
            <v>0</v>
          </cell>
          <cell r="EW763">
            <v>0</v>
          </cell>
          <cell r="EY763">
            <v>0</v>
          </cell>
          <cell r="EZ763">
            <v>8</v>
          </cell>
          <cell r="FA763">
            <v>0</v>
          </cell>
          <cell r="FB763">
            <v>0</v>
          </cell>
          <cell r="FC763">
            <v>8.6</v>
          </cell>
          <cell r="FD763">
            <v>0</v>
          </cell>
          <cell r="FE763">
            <v>0</v>
          </cell>
          <cell r="FF763">
            <v>0</v>
          </cell>
          <cell r="FH763">
            <v>0</v>
          </cell>
        </row>
        <row r="764">
          <cell r="B764">
            <v>9899</v>
          </cell>
          <cell r="C764" t="str">
            <v>30.08.2011</v>
          </cell>
          <cell r="D764" t="str">
            <v>Shinde Rajhans Vijaykumar</v>
          </cell>
          <cell r="F764">
            <v>0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BA764">
            <v>0</v>
          </cell>
          <cell r="BB764">
            <v>0</v>
          </cell>
          <cell r="BC764">
            <v>0</v>
          </cell>
          <cell r="BD764">
            <v>0</v>
          </cell>
          <cell r="BE764">
            <v>0</v>
          </cell>
          <cell r="BF764">
            <v>0</v>
          </cell>
          <cell r="BG764">
            <v>0</v>
          </cell>
          <cell r="BH764">
            <v>0</v>
          </cell>
          <cell r="BI764">
            <v>0</v>
          </cell>
          <cell r="BK764">
            <v>0</v>
          </cell>
          <cell r="BL764">
            <v>0</v>
          </cell>
          <cell r="BM764">
            <v>0</v>
          </cell>
          <cell r="BN764">
            <v>0</v>
          </cell>
          <cell r="BO764">
            <v>0</v>
          </cell>
          <cell r="BP764">
            <v>0</v>
          </cell>
          <cell r="BQ764">
            <v>0</v>
          </cell>
          <cell r="BR764">
            <v>0</v>
          </cell>
          <cell r="BS764">
            <v>0</v>
          </cell>
          <cell r="BU764">
            <v>0</v>
          </cell>
          <cell r="BV764">
            <v>0</v>
          </cell>
          <cell r="BW764">
            <v>0</v>
          </cell>
          <cell r="BX764">
            <v>0</v>
          </cell>
          <cell r="BY764">
            <v>0</v>
          </cell>
          <cell r="BZ764">
            <v>0</v>
          </cell>
          <cell r="CA764">
            <v>0</v>
          </cell>
          <cell r="CB764">
            <v>0</v>
          </cell>
          <cell r="CC764">
            <v>0</v>
          </cell>
          <cell r="CE764">
            <v>0</v>
          </cell>
          <cell r="CF764">
            <v>0</v>
          </cell>
          <cell r="CG764">
            <v>0</v>
          </cell>
          <cell r="CH764">
            <v>0</v>
          </cell>
          <cell r="CI764">
            <v>0</v>
          </cell>
          <cell r="CJ764">
            <v>0</v>
          </cell>
          <cell r="CK764">
            <v>0</v>
          </cell>
          <cell r="CL764">
            <v>0</v>
          </cell>
          <cell r="CM764">
            <v>0</v>
          </cell>
          <cell r="CO764">
            <v>0</v>
          </cell>
          <cell r="CP764">
            <v>0</v>
          </cell>
          <cell r="CQ764">
            <v>0</v>
          </cell>
          <cell r="CR764">
            <v>0</v>
          </cell>
          <cell r="CS764">
            <v>0</v>
          </cell>
          <cell r="CT764">
            <v>0</v>
          </cell>
          <cell r="CU764">
            <v>0</v>
          </cell>
          <cell r="CV764">
            <v>0</v>
          </cell>
          <cell r="CW764">
            <v>0</v>
          </cell>
          <cell r="CY764">
            <v>0</v>
          </cell>
          <cell r="CZ764">
            <v>0</v>
          </cell>
          <cell r="DA764">
            <v>0</v>
          </cell>
          <cell r="DB764">
            <v>0</v>
          </cell>
          <cell r="DC764">
            <v>0</v>
          </cell>
          <cell r="DD764">
            <v>0</v>
          </cell>
          <cell r="DE764">
            <v>0</v>
          </cell>
          <cell r="DF764">
            <v>0</v>
          </cell>
          <cell r="DG764">
            <v>0</v>
          </cell>
          <cell r="DI764">
            <v>0</v>
          </cell>
          <cell r="DJ764">
            <v>0</v>
          </cell>
          <cell r="DK764">
            <v>0</v>
          </cell>
          <cell r="DL764">
            <v>0</v>
          </cell>
          <cell r="DM764">
            <v>0</v>
          </cell>
          <cell r="DN764">
            <v>0</v>
          </cell>
          <cell r="DO764">
            <v>0</v>
          </cell>
          <cell r="DP764">
            <v>0</v>
          </cell>
          <cell r="DQ764">
            <v>0</v>
          </cell>
          <cell r="DR764">
            <v>0</v>
          </cell>
          <cell r="DS764">
            <v>0</v>
          </cell>
          <cell r="DT764">
            <v>0</v>
          </cell>
          <cell r="DU764">
            <v>0</v>
          </cell>
          <cell r="DW764">
            <v>0</v>
          </cell>
          <cell r="DX764">
            <v>0</v>
          </cell>
          <cell r="DY764">
            <v>0</v>
          </cell>
          <cell r="DZ764">
            <v>0</v>
          </cell>
          <cell r="EA764">
            <v>0</v>
          </cell>
          <cell r="EB764">
            <v>0</v>
          </cell>
          <cell r="EC764">
            <v>0</v>
          </cell>
          <cell r="ED764">
            <v>0</v>
          </cell>
          <cell r="EE764">
            <v>0</v>
          </cell>
          <cell r="EF764">
            <v>0</v>
          </cell>
          <cell r="EG764">
            <v>0</v>
          </cell>
          <cell r="EH764">
            <v>0</v>
          </cell>
          <cell r="EI764">
            <v>0</v>
          </cell>
          <cell r="EK764">
            <v>0</v>
          </cell>
          <cell r="EL764">
            <v>0</v>
          </cell>
          <cell r="EM764">
            <v>0</v>
          </cell>
          <cell r="EN764">
            <v>0</v>
          </cell>
          <cell r="EO764">
            <v>0</v>
          </cell>
          <cell r="EP764">
            <v>0</v>
          </cell>
          <cell r="EQ764">
            <v>0</v>
          </cell>
          <cell r="ER764">
            <v>0</v>
          </cell>
          <cell r="ES764">
            <v>0</v>
          </cell>
          <cell r="ET764">
            <v>0</v>
          </cell>
          <cell r="EU764">
            <v>0</v>
          </cell>
          <cell r="EV764">
            <v>0</v>
          </cell>
          <cell r="EW764">
            <v>0</v>
          </cell>
          <cell r="EY764">
            <v>0</v>
          </cell>
          <cell r="EZ764">
            <v>8</v>
          </cell>
          <cell r="FA764">
            <v>0</v>
          </cell>
          <cell r="FB764">
            <v>0</v>
          </cell>
          <cell r="FC764">
            <v>8.6</v>
          </cell>
          <cell r="FD764">
            <v>0</v>
          </cell>
          <cell r="FE764">
            <v>0</v>
          </cell>
          <cell r="FF764">
            <v>0</v>
          </cell>
          <cell r="FH764">
            <v>0</v>
          </cell>
        </row>
        <row r="765">
          <cell r="B765">
            <v>9900</v>
          </cell>
          <cell r="C765" t="str">
            <v>30.09.2011</v>
          </cell>
          <cell r="D765" t="str">
            <v>Lokhande Nitin Sudhakar</v>
          </cell>
          <cell r="F765">
            <v>0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W765">
            <v>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G765">
            <v>0</v>
          </cell>
          <cell r="AH765">
            <v>0</v>
          </cell>
          <cell r="AI765">
            <v>0</v>
          </cell>
          <cell r="AJ765">
            <v>0</v>
          </cell>
          <cell r="AK765">
            <v>0</v>
          </cell>
          <cell r="AL765">
            <v>0</v>
          </cell>
          <cell r="AM765">
            <v>0</v>
          </cell>
          <cell r="AN765">
            <v>0</v>
          </cell>
          <cell r="AO765">
            <v>0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  <cell r="AU765">
            <v>0</v>
          </cell>
          <cell r="AV765">
            <v>0</v>
          </cell>
          <cell r="AW765">
            <v>0</v>
          </cell>
          <cell r="AX765">
            <v>0</v>
          </cell>
          <cell r="AY765">
            <v>0</v>
          </cell>
          <cell r="BA765">
            <v>0</v>
          </cell>
          <cell r="BB765">
            <v>0</v>
          </cell>
          <cell r="BC765">
            <v>0</v>
          </cell>
          <cell r="BD765">
            <v>0</v>
          </cell>
          <cell r="BE765">
            <v>0</v>
          </cell>
          <cell r="BF765">
            <v>0</v>
          </cell>
          <cell r="BG765">
            <v>0</v>
          </cell>
          <cell r="BH765">
            <v>0</v>
          </cell>
          <cell r="BI765">
            <v>0</v>
          </cell>
          <cell r="BK765">
            <v>0</v>
          </cell>
          <cell r="BL765">
            <v>0</v>
          </cell>
          <cell r="BM765">
            <v>0</v>
          </cell>
          <cell r="BN765">
            <v>0</v>
          </cell>
          <cell r="BO765">
            <v>0</v>
          </cell>
          <cell r="BP765">
            <v>0</v>
          </cell>
          <cell r="BQ765">
            <v>0</v>
          </cell>
          <cell r="BR765">
            <v>0</v>
          </cell>
          <cell r="BS765">
            <v>0</v>
          </cell>
          <cell r="BU765">
            <v>0</v>
          </cell>
          <cell r="BV765">
            <v>0</v>
          </cell>
          <cell r="BW765">
            <v>0</v>
          </cell>
          <cell r="BX765">
            <v>0</v>
          </cell>
          <cell r="BY765">
            <v>0</v>
          </cell>
          <cell r="BZ765">
            <v>0</v>
          </cell>
          <cell r="CA765">
            <v>0</v>
          </cell>
          <cell r="CB765">
            <v>0</v>
          </cell>
          <cell r="CC765">
            <v>0</v>
          </cell>
          <cell r="CE765">
            <v>0</v>
          </cell>
          <cell r="CF765">
            <v>0</v>
          </cell>
          <cell r="CG765">
            <v>0</v>
          </cell>
          <cell r="CH765">
            <v>0</v>
          </cell>
          <cell r="CI765">
            <v>0</v>
          </cell>
          <cell r="CJ765">
            <v>0</v>
          </cell>
          <cell r="CK765">
            <v>0</v>
          </cell>
          <cell r="CL765">
            <v>0</v>
          </cell>
          <cell r="CM765">
            <v>0</v>
          </cell>
          <cell r="CO765">
            <v>0</v>
          </cell>
          <cell r="CP765">
            <v>0</v>
          </cell>
          <cell r="CQ765">
            <v>0</v>
          </cell>
          <cell r="CR765">
            <v>0</v>
          </cell>
          <cell r="CS765">
            <v>0</v>
          </cell>
          <cell r="CT765">
            <v>0</v>
          </cell>
          <cell r="CU765">
            <v>0</v>
          </cell>
          <cell r="CV765">
            <v>0</v>
          </cell>
          <cell r="CW765">
            <v>0</v>
          </cell>
          <cell r="CY765">
            <v>0</v>
          </cell>
          <cell r="CZ765">
            <v>0</v>
          </cell>
          <cell r="DA765">
            <v>0</v>
          </cell>
          <cell r="DB765">
            <v>0</v>
          </cell>
          <cell r="DC765">
            <v>0</v>
          </cell>
          <cell r="DD765">
            <v>0</v>
          </cell>
          <cell r="DE765">
            <v>0</v>
          </cell>
          <cell r="DF765">
            <v>0</v>
          </cell>
          <cell r="DG765">
            <v>0</v>
          </cell>
          <cell r="DI765">
            <v>0</v>
          </cell>
          <cell r="DJ765">
            <v>0</v>
          </cell>
          <cell r="DK765">
            <v>0</v>
          </cell>
          <cell r="DL765">
            <v>0</v>
          </cell>
          <cell r="DM765">
            <v>0</v>
          </cell>
          <cell r="DN765">
            <v>0</v>
          </cell>
          <cell r="DO765">
            <v>0</v>
          </cell>
          <cell r="DP765">
            <v>0</v>
          </cell>
          <cell r="DQ765">
            <v>0</v>
          </cell>
          <cell r="DR765">
            <v>0</v>
          </cell>
          <cell r="DS765">
            <v>0</v>
          </cell>
          <cell r="DT765">
            <v>0</v>
          </cell>
          <cell r="DU765">
            <v>0</v>
          </cell>
          <cell r="DW765">
            <v>0</v>
          </cell>
          <cell r="DX765">
            <v>0</v>
          </cell>
          <cell r="DY765">
            <v>0</v>
          </cell>
          <cell r="DZ765">
            <v>0</v>
          </cell>
          <cell r="EA765">
            <v>0</v>
          </cell>
          <cell r="EB765">
            <v>0</v>
          </cell>
          <cell r="EC765">
            <v>0</v>
          </cell>
          <cell r="ED765">
            <v>0</v>
          </cell>
          <cell r="EE765">
            <v>0</v>
          </cell>
          <cell r="EF765">
            <v>0</v>
          </cell>
          <cell r="EG765">
            <v>0</v>
          </cell>
          <cell r="EH765">
            <v>0</v>
          </cell>
          <cell r="EI765">
            <v>0</v>
          </cell>
          <cell r="EK765">
            <v>0</v>
          </cell>
          <cell r="EL765">
            <v>0</v>
          </cell>
          <cell r="EM765">
            <v>0</v>
          </cell>
          <cell r="EN765">
            <v>0</v>
          </cell>
          <cell r="EO765">
            <v>0</v>
          </cell>
          <cell r="EP765">
            <v>0</v>
          </cell>
          <cell r="EQ765">
            <v>0</v>
          </cell>
          <cell r="ER765">
            <v>0</v>
          </cell>
          <cell r="ES765">
            <v>0</v>
          </cell>
          <cell r="ET765">
            <v>0</v>
          </cell>
          <cell r="EU765">
            <v>0</v>
          </cell>
          <cell r="EV765">
            <v>0</v>
          </cell>
          <cell r="EW765">
            <v>0</v>
          </cell>
          <cell r="EY765">
            <v>0</v>
          </cell>
          <cell r="EZ765">
            <v>8</v>
          </cell>
          <cell r="FA765">
            <v>0</v>
          </cell>
          <cell r="FB765">
            <v>0</v>
          </cell>
          <cell r="FC765">
            <v>8.6</v>
          </cell>
          <cell r="FD765">
            <v>0</v>
          </cell>
          <cell r="FE765">
            <v>0</v>
          </cell>
          <cell r="FF765">
            <v>0</v>
          </cell>
          <cell r="FH765">
            <v>0</v>
          </cell>
        </row>
        <row r="766">
          <cell r="B766">
            <v>9889</v>
          </cell>
          <cell r="C766" t="str">
            <v>01.10.2011</v>
          </cell>
          <cell r="D766" t="str">
            <v>Tejale Prashant Suresh</v>
          </cell>
          <cell r="F766">
            <v>0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G766">
            <v>0</v>
          </cell>
          <cell r="AH766">
            <v>0</v>
          </cell>
          <cell r="AI766">
            <v>0</v>
          </cell>
          <cell r="AJ766">
            <v>0</v>
          </cell>
          <cell r="AK766">
            <v>0</v>
          </cell>
          <cell r="AL766">
            <v>0</v>
          </cell>
          <cell r="AM766">
            <v>0</v>
          </cell>
          <cell r="AN766">
            <v>0</v>
          </cell>
          <cell r="AO766">
            <v>0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  <cell r="AU766">
            <v>0</v>
          </cell>
          <cell r="AV766">
            <v>0</v>
          </cell>
          <cell r="AW766">
            <v>0</v>
          </cell>
          <cell r="AX766">
            <v>0</v>
          </cell>
          <cell r="AY766">
            <v>0</v>
          </cell>
          <cell r="BA766">
            <v>0</v>
          </cell>
          <cell r="BB766">
            <v>0</v>
          </cell>
          <cell r="BC766">
            <v>0</v>
          </cell>
          <cell r="BD766">
            <v>0</v>
          </cell>
          <cell r="BE766">
            <v>0</v>
          </cell>
          <cell r="BF766">
            <v>0</v>
          </cell>
          <cell r="BG766">
            <v>0</v>
          </cell>
          <cell r="BH766">
            <v>0</v>
          </cell>
          <cell r="BI766">
            <v>0</v>
          </cell>
          <cell r="BK766">
            <v>0</v>
          </cell>
          <cell r="BL766">
            <v>0</v>
          </cell>
          <cell r="BM766">
            <v>0</v>
          </cell>
          <cell r="BN766">
            <v>0</v>
          </cell>
          <cell r="BO766">
            <v>0</v>
          </cell>
          <cell r="BP766">
            <v>0</v>
          </cell>
          <cell r="BQ766">
            <v>0</v>
          </cell>
          <cell r="BR766">
            <v>0</v>
          </cell>
          <cell r="BS766">
            <v>0</v>
          </cell>
          <cell r="BU766">
            <v>0</v>
          </cell>
          <cell r="BV766">
            <v>0</v>
          </cell>
          <cell r="BW766">
            <v>0</v>
          </cell>
          <cell r="BX766">
            <v>0</v>
          </cell>
          <cell r="BY766">
            <v>0</v>
          </cell>
          <cell r="BZ766">
            <v>0</v>
          </cell>
          <cell r="CA766">
            <v>0</v>
          </cell>
          <cell r="CB766">
            <v>0</v>
          </cell>
          <cell r="CC766">
            <v>0</v>
          </cell>
          <cell r="CE766">
            <v>0</v>
          </cell>
          <cell r="CF766">
            <v>0</v>
          </cell>
          <cell r="CG766">
            <v>0</v>
          </cell>
          <cell r="CH766">
            <v>0</v>
          </cell>
          <cell r="CI766">
            <v>0</v>
          </cell>
          <cell r="CJ766">
            <v>0</v>
          </cell>
          <cell r="CK766">
            <v>0</v>
          </cell>
          <cell r="CL766">
            <v>0</v>
          </cell>
          <cell r="CM766">
            <v>0</v>
          </cell>
          <cell r="CO766">
            <v>0</v>
          </cell>
          <cell r="CP766">
            <v>0</v>
          </cell>
          <cell r="CQ766">
            <v>0</v>
          </cell>
          <cell r="CR766">
            <v>0</v>
          </cell>
          <cell r="CS766">
            <v>0</v>
          </cell>
          <cell r="CT766">
            <v>0</v>
          </cell>
          <cell r="CU766">
            <v>0</v>
          </cell>
          <cell r="CV766">
            <v>0</v>
          </cell>
          <cell r="CW766">
            <v>0</v>
          </cell>
          <cell r="CY766">
            <v>0</v>
          </cell>
          <cell r="CZ766">
            <v>0</v>
          </cell>
          <cell r="DA766">
            <v>0</v>
          </cell>
          <cell r="DB766">
            <v>0</v>
          </cell>
          <cell r="DC766">
            <v>0</v>
          </cell>
          <cell r="DD766">
            <v>0</v>
          </cell>
          <cell r="DE766">
            <v>0</v>
          </cell>
          <cell r="DF766">
            <v>0</v>
          </cell>
          <cell r="DG766">
            <v>0</v>
          </cell>
          <cell r="DI766">
            <v>0</v>
          </cell>
          <cell r="DJ766">
            <v>0</v>
          </cell>
          <cell r="DK766">
            <v>0</v>
          </cell>
          <cell r="DL766">
            <v>0</v>
          </cell>
          <cell r="DM766">
            <v>0</v>
          </cell>
          <cell r="DN766">
            <v>0</v>
          </cell>
          <cell r="DO766">
            <v>0</v>
          </cell>
          <cell r="DP766">
            <v>0</v>
          </cell>
          <cell r="DQ766">
            <v>0</v>
          </cell>
          <cell r="DR766">
            <v>0</v>
          </cell>
          <cell r="DS766">
            <v>0</v>
          </cell>
          <cell r="DT766">
            <v>0</v>
          </cell>
          <cell r="DU766">
            <v>0</v>
          </cell>
          <cell r="DW766">
            <v>0</v>
          </cell>
          <cell r="DX766">
            <v>0</v>
          </cell>
          <cell r="DY766">
            <v>0</v>
          </cell>
          <cell r="DZ766">
            <v>0</v>
          </cell>
          <cell r="EA766">
            <v>0</v>
          </cell>
          <cell r="EB766">
            <v>0</v>
          </cell>
          <cell r="EC766">
            <v>0</v>
          </cell>
          <cell r="ED766">
            <v>0</v>
          </cell>
          <cell r="EE766">
            <v>0</v>
          </cell>
          <cell r="EF766">
            <v>0</v>
          </cell>
          <cell r="EG766">
            <v>0</v>
          </cell>
          <cell r="EH766">
            <v>0</v>
          </cell>
          <cell r="EI766">
            <v>0</v>
          </cell>
          <cell r="EK766">
            <v>0</v>
          </cell>
          <cell r="EL766">
            <v>0</v>
          </cell>
          <cell r="EM766">
            <v>0</v>
          </cell>
          <cell r="EN766">
            <v>0</v>
          </cell>
          <cell r="EO766">
            <v>0</v>
          </cell>
          <cell r="EP766">
            <v>0</v>
          </cell>
          <cell r="EQ766">
            <v>0</v>
          </cell>
          <cell r="ER766">
            <v>0</v>
          </cell>
          <cell r="ES766">
            <v>0</v>
          </cell>
          <cell r="ET766">
            <v>0</v>
          </cell>
          <cell r="EU766">
            <v>0</v>
          </cell>
          <cell r="EV766">
            <v>0</v>
          </cell>
          <cell r="EW766">
            <v>0</v>
          </cell>
          <cell r="EY766">
            <v>0</v>
          </cell>
          <cell r="EZ766">
            <v>8</v>
          </cell>
          <cell r="FA766">
            <v>0</v>
          </cell>
          <cell r="FB766">
            <v>0</v>
          </cell>
          <cell r="FC766">
            <v>8.6</v>
          </cell>
          <cell r="FD766">
            <v>0</v>
          </cell>
          <cell r="FE766">
            <v>0</v>
          </cell>
          <cell r="FF766">
            <v>0</v>
          </cell>
          <cell r="FH766">
            <v>0</v>
          </cell>
        </row>
        <row r="767">
          <cell r="B767">
            <v>9901</v>
          </cell>
          <cell r="C767" t="str">
            <v>01.10.2011</v>
          </cell>
          <cell r="D767" t="str">
            <v>Tejale Kishor Gautam</v>
          </cell>
          <cell r="F767">
            <v>0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G767">
            <v>0</v>
          </cell>
          <cell r="AH767">
            <v>0</v>
          </cell>
          <cell r="AI767">
            <v>0</v>
          </cell>
          <cell r="AJ767">
            <v>0</v>
          </cell>
          <cell r="AK767">
            <v>0</v>
          </cell>
          <cell r="AL767">
            <v>0</v>
          </cell>
          <cell r="AM767">
            <v>0</v>
          </cell>
          <cell r="AN767">
            <v>0</v>
          </cell>
          <cell r="AO767">
            <v>0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  <cell r="AU767">
            <v>0</v>
          </cell>
          <cell r="AV767">
            <v>0</v>
          </cell>
          <cell r="AW767">
            <v>0</v>
          </cell>
          <cell r="AX767">
            <v>0</v>
          </cell>
          <cell r="AY767">
            <v>0</v>
          </cell>
          <cell r="BA767">
            <v>0</v>
          </cell>
          <cell r="BB767">
            <v>0</v>
          </cell>
          <cell r="BC767">
            <v>0</v>
          </cell>
          <cell r="BD767">
            <v>0</v>
          </cell>
          <cell r="BE767">
            <v>0</v>
          </cell>
          <cell r="BF767">
            <v>0</v>
          </cell>
          <cell r="BG767">
            <v>0</v>
          </cell>
          <cell r="BH767">
            <v>0</v>
          </cell>
          <cell r="BI767">
            <v>0</v>
          </cell>
          <cell r="BK767">
            <v>0</v>
          </cell>
          <cell r="BL767">
            <v>0</v>
          </cell>
          <cell r="BM767">
            <v>0</v>
          </cell>
          <cell r="BN767">
            <v>0</v>
          </cell>
          <cell r="BO767">
            <v>0</v>
          </cell>
          <cell r="BP767">
            <v>0</v>
          </cell>
          <cell r="BQ767">
            <v>0</v>
          </cell>
          <cell r="BR767">
            <v>0</v>
          </cell>
          <cell r="BS767">
            <v>0</v>
          </cell>
          <cell r="BU767">
            <v>0</v>
          </cell>
          <cell r="BV767">
            <v>0</v>
          </cell>
          <cell r="BW767">
            <v>0</v>
          </cell>
          <cell r="BX767">
            <v>0</v>
          </cell>
          <cell r="BY767">
            <v>0</v>
          </cell>
          <cell r="BZ767">
            <v>0</v>
          </cell>
          <cell r="CA767">
            <v>0</v>
          </cell>
          <cell r="CB767">
            <v>0</v>
          </cell>
          <cell r="CC767">
            <v>0</v>
          </cell>
          <cell r="CE767">
            <v>0</v>
          </cell>
          <cell r="CF767">
            <v>0</v>
          </cell>
          <cell r="CG767">
            <v>0</v>
          </cell>
          <cell r="CH767">
            <v>0</v>
          </cell>
          <cell r="CI767">
            <v>0</v>
          </cell>
          <cell r="CJ767">
            <v>0</v>
          </cell>
          <cell r="CK767">
            <v>0</v>
          </cell>
          <cell r="CL767">
            <v>0</v>
          </cell>
          <cell r="CM767">
            <v>0</v>
          </cell>
          <cell r="CO767">
            <v>0</v>
          </cell>
          <cell r="CP767">
            <v>0</v>
          </cell>
          <cell r="CQ767">
            <v>0</v>
          </cell>
          <cell r="CR767">
            <v>0</v>
          </cell>
          <cell r="CS767">
            <v>0</v>
          </cell>
          <cell r="CT767">
            <v>0</v>
          </cell>
          <cell r="CU767">
            <v>0</v>
          </cell>
          <cell r="CV767">
            <v>0</v>
          </cell>
          <cell r="CW767">
            <v>0</v>
          </cell>
          <cell r="CY767">
            <v>0</v>
          </cell>
          <cell r="CZ767">
            <v>0</v>
          </cell>
          <cell r="DA767">
            <v>0</v>
          </cell>
          <cell r="DB767">
            <v>0</v>
          </cell>
          <cell r="DC767">
            <v>0</v>
          </cell>
          <cell r="DD767">
            <v>0</v>
          </cell>
          <cell r="DE767">
            <v>0</v>
          </cell>
          <cell r="DF767">
            <v>0</v>
          </cell>
          <cell r="DG767">
            <v>0</v>
          </cell>
          <cell r="DI767">
            <v>0</v>
          </cell>
          <cell r="DJ767">
            <v>0</v>
          </cell>
          <cell r="DK767">
            <v>0</v>
          </cell>
          <cell r="DL767">
            <v>0</v>
          </cell>
          <cell r="DM767">
            <v>0</v>
          </cell>
          <cell r="DN767">
            <v>0</v>
          </cell>
          <cell r="DO767">
            <v>0</v>
          </cell>
          <cell r="DP767">
            <v>0</v>
          </cell>
          <cell r="DQ767">
            <v>0</v>
          </cell>
          <cell r="DR767">
            <v>0</v>
          </cell>
          <cell r="DS767">
            <v>0</v>
          </cell>
          <cell r="DT767">
            <v>0</v>
          </cell>
          <cell r="DU767">
            <v>0</v>
          </cell>
          <cell r="DW767">
            <v>0</v>
          </cell>
          <cell r="DX767">
            <v>0</v>
          </cell>
          <cell r="DY767">
            <v>0</v>
          </cell>
          <cell r="DZ767">
            <v>0</v>
          </cell>
          <cell r="EA767">
            <v>0</v>
          </cell>
          <cell r="EB767">
            <v>0</v>
          </cell>
          <cell r="EC767">
            <v>0</v>
          </cell>
          <cell r="ED767">
            <v>0</v>
          </cell>
          <cell r="EE767">
            <v>0</v>
          </cell>
          <cell r="EF767">
            <v>0</v>
          </cell>
          <cell r="EG767">
            <v>0</v>
          </cell>
          <cell r="EH767">
            <v>0</v>
          </cell>
          <cell r="EI767">
            <v>0</v>
          </cell>
          <cell r="EK767">
            <v>0</v>
          </cell>
          <cell r="EL767">
            <v>0</v>
          </cell>
          <cell r="EM767">
            <v>0</v>
          </cell>
          <cell r="EN767">
            <v>0</v>
          </cell>
          <cell r="EO767">
            <v>0</v>
          </cell>
          <cell r="EP767">
            <v>0</v>
          </cell>
          <cell r="EQ767">
            <v>0</v>
          </cell>
          <cell r="ER767">
            <v>0</v>
          </cell>
          <cell r="ES767">
            <v>0</v>
          </cell>
          <cell r="ET767">
            <v>0</v>
          </cell>
          <cell r="EU767">
            <v>0</v>
          </cell>
          <cell r="EV767">
            <v>0</v>
          </cell>
          <cell r="EW767">
            <v>0</v>
          </cell>
          <cell r="EY767">
            <v>0</v>
          </cell>
          <cell r="EZ767">
            <v>8</v>
          </cell>
          <cell r="FA767">
            <v>0</v>
          </cell>
          <cell r="FB767">
            <v>0</v>
          </cell>
          <cell r="FC767">
            <v>8.6</v>
          </cell>
          <cell r="FD767">
            <v>0</v>
          </cell>
          <cell r="FE767">
            <v>0</v>
          </cell>
          <cell r="FF767">
            <v>0</v>
          </cell>
          <cell r="FH767">
            <v>0</v>
          </cell>
        </row>
        <row r="768">
          <cell r="B768">
            <v>9902</v>
          </cell>
          <cell r="C768" t="str">
            <v>02.10.2011</v>
          </cell>
          <cell r="D768" t="str">
            <v>Bote Sadanand Ravindra</v>
          </cell>
          <cell r="F768">
            <v>0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G768">
            <v>0</v>
          </cell>
          <cell r="AH768">
            <v>0</v>
          </cell>
          <cell r="AI768">
            <v>0</v>
          </cell>
          <cell r="AJ768">
            <v>0</v>
          </cell>
          <cell r="AK768">
            <v>0</v>
          </cell>
          <cell r="AL768">
            <v>0</v>
          </cell>
          <cell r="AM768">
            <v>0</v>
          </cell>
          <cell r="AN768">
            <v>0</v>
          </cell>
          <cell r="AO768">
            <v>0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  <cell r="AU768">
            <v>0</v>
          </cell>
          <cell r="AV768">
            <v>0</v>
          </cell>
          <cell r="AW768">
            <v>0</v>
          </cell>
          <cell r="AX768">
            <v>0</v>
          </cell>
          <cell r="AY768">
            <v>0</v>
          </cell>
          <cell r="BA768">
            <v>0</v>
          </cell>
          <cell r="BB768">
            <v>0</v>
          </cell>
          <cell r="BC768">
            <v>0</v>
          </cell>
          <cell r="BD768">
            <v>0</v>
          </cell>
          <cell r="BE768">
            <v>0</v>
          </cell>
          <cell r="BF768">
            <v>0</v>
          </cell>
          <cell r="BG768">
            <v>0</v>
          </cell>
          <cell r="BH768">
            <v>0</v>
          </cell>
          <cell r="BI768">
            <v>0</v>
          </cell>
          <cell r="BK768">
            <v>0</v>
          </cell>
          <cell r="BL768">
            <v>0</v>
          </cell>
          <cell r="BM768">
            <v>0</v>
          </cell>
          <cell r="BN768">
            <v>0</v>
          </cell>
          <cell r="BO768">
            <v>0</v>
          </cell>
          <cell r="BP768">
            <v>0</v>
          </cell>
          <cell r="BQ768">
            <v>0</v>
          </cell>
          <cell r="BR768">
            <v>0</v>
          </cell>
          <cell r="BS768">
            <v>0</v>
          </cell>
          <cell r="BU768">
            <v>0</v>
          </cell>
          <cell r="BV768">
            <v>0</v>
          </cell>
          <cell r="BW768">
            <v>0</v>
          </cell>
          <cell r="BX768">
            <v>0</v>
          </cell>
          <cell r="BY768">
            <v>0</v>
          </cell>
          <cell r="BZ768">
            <v>0</v>
          </cell>
          <cell r="CA768">
            <v>0</v>
          </cell>
          <cell r="CB768">
            <v>0</v>
          </cell>
          <cell r="CC768">
            <v>0</v>
          </cell>
          <cell r="CE768">
            <v>0</v>
          </cell>
          <cell r="CF768">
            <v>0</v>
          </cell>
          <cell r="CG768">
            <v>0</v>
          </cell>
          <cell r="CH768">
            <v>0</v>
          </cell>
          <cell r="CI768">
            <v>0</v>
          </cell>
          <cell r="CJ768">
            <v>0</v>
          </cell>
          <cell r="CK768">
            <v>0</v>
          </cell>
          <cell r="CL768">
            <v>0</v>
          </cell>
          <cell r="CM768">
            <v>0</v>
          </cell>
          <cell r="CO768">
            <v>0</v>
          </cell>
          <cell r="CP768">
            <v>0</v>
          </cell>
          <cell r="CQ768">
            <v>0</v>
          </cell>
          <cell r="CR768">
            <v>0</v>
          </cell>
          <cell r="CS768">
            <v>0</v>
          </cell>
          <cell r="CT768">
            <v>0</v>
          </cell>
          <cell r="CU768">
            <v>0</v>
          </cell>
          <cell r="CV768">
            <v>0</v>
          </cell>
          <cell r="CW768">
            <v>0</v>
          </cell>
          <cell r="CY768">
            <v>0</v>
          </cell>
          <cell r="CZ768">
            <v>0</v>
          </cell>
          <cell r="DA768">
            <v>0</v>
          </cell>
          <cell r="DB768">
            <v>0</v>
          </cell>
          <cell r="DC768">
            <v>0</v>
          </cell>
          <cell r="DD768">
            <v>0</v>
          </cell>
          <cell r="DE768">
            <v>0</v>
          </cell>
          <cell r="DF768">
            <v>0</v>
          </cell>
          <cell r="DG768">
            <v>0</v>
          </cell>
          <cell r="DI768">
            <v>0</v>
          </cell>
          <cell r="DJ768">
            <v>0</v>
          </cell>
          <cell r="DK768">
            <v>0</v>
          </cell>
          <cell r="DL768">
            <v>0</v>
          </cell>
          <cell r="DM768">
            <v>0</v>
          </cell>
          <cell r="DN768">
            <v>0</v>
          </cell>
          <cell r="DO768">
            <v>0</v>
          </cell>
          <cell r="DP768">
            <v>0</v>
          </cell>
          <cell r="DQ768">
            <v>0</v>
          </cell>
          <cell r="DR768">
            <v>0</v>
          </cell>
          <cell r="DS768">
            <v>0</v>
          </cell>
          <cell r="DT768">
            <v>0</v>
          </cell>
          <cell r="DU768">
            <v>0</v>
          </cell>
          <cell r="DW768">
            <v>0</v>
          </cell>
          <cell r="DX768">
            <v>0</v>
          </cell>
          <cell r="DY768">
            <v>0</v>
          </cell>
          <cell r="DZ768">
            <v>0</v>
          </cell>
          <cell r="EA768">
            <v>0</v>
          </cell>
          <cell r="EB768">
            <v>0</v>
          </cell>
          <cell r="EC768">
            <v>0</v>
          </cell>
          <cell r="ED768">
            <v>0</v>
          </cell>
          <cell r="EE768">
            <v>0</v>
          </cell>
          <cell r="EF768">
            <v>0</v>
          </cell>
          <cell r="EG768">
            <v>0</v>
          </cell>
          <cell r="EH768">
            <v>0</v>
          </cell>
          <cell r="EI768">
            <v>0</v>
          </cell>
          <cell r="EK768">
            <v>0</v>
          </cell>
          <cell r="EL768">
            <v>0</v>
          </cell>
          <cell r="EM768">
            <v>0</v>
          </cell>
          <cell r="EN768">
            <v>0</v>
          </cell>
          <cell r="EO768">
            <v>0</v>
          </cell>
          <cell r="EP768">
            <v>0</v>
          </cell>
          <cell r="EQ768">
            <v>0</v>
          </cell>
          <cell r="ER768">
            <v>0</v>
          </cell>
          <cell r="ES768">
            <v>0</v>
          </cell>
          <cell r="ET768">
            <v>0</v>
          </cell>
          <cell r="EU768">
            <v>0</v>
          </cell>
          <cell r="EV768">
            <v>0</v>
          </cell>
          <cell r="EW768">
            <v>0</v>
          </cell>
          <cell r="EY768">
            <v>0</v>
          </cell>
          <cell r="EZ768">
            <v>8</v>
          </cell>
          <cell r="FA768">
            <v>0</v>
          </cell>
          <cell r="FB768">
            <v>0</v>
          </cell>
          <cell r="FC768">
            <v>8.6</v>
          </cell>
          <cell r="FD768">
            <v>0</v>
          </cell>
          <cell r="FE768">
            <v>0</v>
          </cell>
          <cell r="FF768">
            <v>0</v>
          </cell>
          <cell r="FH768">
            <v>0</v>
          </cell>
        </row>
        <row r="769">
          <cell r="B769">
            <v>9903</v>
          </cell>
          <cell r="C769" t="str">
            <v>03.10.2011</v>
          </cell>
          <cell r="D769" t="str">
            <v>Gangurde Yogesh Ramesh</v>
          </cell>
          <cell r="F769">
            <v>0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G769">
            <v>0</v>
          </cell>
          <cell r="AH769">
            <v>0</v>
          </cell>
          <cell r="AI769">
            <v>0</v>
          </cell>
          <cell r="AJ769">
            <v>0</v>
          </cell>
          <cell r="AK769">
            <v>0</v>
          </cell>
          <cell r="AL769">
            <v>0</v>
          </cell>
          <cell r="AM769">
            <v>0</v>
          </cell>
          <cell r="AN769">
            <v>0</v>
          </cell>
          <cell r="AO769">
            <v>0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0</v>
          </cell>
          <cell r="BA769">
            <v>0</v>
          </cell>
          <cell r="BB769">
            <v>0</v>
          </cell>
          <cell r="BC769">
            <v>0</v>
          </cell>
          <cell r="BD769">
            <v>0</v>
          </cell>
          <cell r="BE769">
            <v>0</v>
          </cell>
          <cell r="BF769">
            <v>0</v>
          </cell>
          <cell r="BG769">
            <v>0</v>
          </cell>
          <cell r="BH769">
            <v>0</v>
          </cell>
          <cell r="BI769">
            <v>0</v>
          </cell>
          <cell r="BK769">
            <v>0</v>
          </cell>
          <cell r="BL769">
            <v>0</v>
          </cell>
          <cell r="BM769">
            <v>0</v>
          </cell>
          <cell r="BN769">
            <v>0</v>
          </cell>
          <cell r="BO769">
            <v>0</v>
          </cell>
          <cell r="BP769">
            <v>0</v>
          </cell>
          <cell r="BQ769">
            <v>0</v>
          </cell>
          <cell r="BR769">
            <v>0</v>
          </cell>
          <cell r="BS769">
            <v>0</v>
          </cell>
          <cell r="BU769">
            <v>0</v>
          </cell>
          <cell r="BV769">
            <v>0</v>
          </cell>
          <cell r="BW769">
            <v>0</v>
          </cell>
          <cell r="BX769">
            <v>0</v>
          </cell>
          <cell r="BY769">
            <v>0</v>
          </cell>
          <cell r="BZ769">
            <v>0</v>
          </cell>
          <cell r="CA769">
            <v>0</v>
          </cell>
          <cell r="CB769">
            <v>0</v>
          </cell>
          <cell r="CC769">
            <v>0</v>
          </cell>
          <cell r="CE769">
            <v>0</v>
          </cell>
          <cell r="CF769">
            <v>0</v>
          </cell>
          <cell r="CG769">
            <v>0</v>
          </cell>
          <cell r="CH769">
            <v>0</v>
          </cell>
          <cell r="CI769">
            <v>0</v>
          </cell>
          <cell r="CJ769">
            <v>0</v>
          </cell>
          <cell r="CK769">
            <v>0</v>
          </cell>
          <cell r="CL769">
            <v>0</v>
          </cell>
          <cell r="CM769">
            <v>0</v>
          </cell>
          <cell r="CO769">
            <v>0</v>
          </cell>
          <cell r="CP769">
            <v>0</v>
          </cell>
          <cell r="CQ769">
            <v>0</v>
          </cell>
          <cell r="CR769">
            <v>0</v>
          </cell>
          <cell r="CS769">
            <v>0</v>
          </cell>
          <cell r="CT769">
            <v>0</v>
          </cell>
          <cell r="CU769">
            <v>0</v>
          </cell>
          <cell r="CV769">
            <v>0</v>
          </cell>
          <cell r="CW769">
            <v>0</v>
          </cell>
          <cell r="CY769">
            <v>0</v>
          </cell>
          <cell r="CZ769">
            <v>0</v>
          </cell>
          <cell r="DA769">
            <v>0</v>
          </cell>
          <cell r="DB769">
            <v>0</v>
          </cell>
          <cell r="DC769">
            <v>0</v>
          </cell>
          <cell r="DD769">
            <v>0</v>
          </cell>
          <cell r="DE769">
            <v>0</v>
          </cell>
          <cell r="DF769">
            <v>0</v>
          </cell>
          <cell r="DG769">
            <v>0</v>
          </cell>
          <cell r="DI769">
            <v>0</v>
          </cell>
          <cell r="DJ769">
            <v>0</v>
          </cell>
          <cell r="DK769">
            <v>0</v>
          </cell>
          <cell r="DL769">
            <v>0</v>
          </cell>
          <cell r="DM769">
            <v>0</v>
          </cell>
          <cell r="DN769">
            <v>0</v>
          </cell>
          <cell r="DO769">
            <v>0</v>
          </cell>
          <cell r="DP769">
            <v>0</v>
          </cell>
          <cell r="DQ769">
            <v>0</v>
          </cell>
          <cell r="DR769">
            <v>0</v>
          </cell>
          <cell r="DS769">
            <v>0</v>
          </cell>
          <cell r="DT769">
            <v>0</v>
          </cell>
          <cell r="DU769">
            <v>0</v>
          </cell>
          <cell r="DW769">
            <v>0</v>
          </cell>
          <cell r="DX769">
            <v>0</v>
          </cell>
          <cell r="DY769">
            <v>0</v>
          </cell>
          <cell r="DZ769">
            <v>0</v>
          </cell>
          <cell r="EA769">
            <v>0</v>
          </cell>
          <cell r="EB769">
            <v>0</v>
          </cell>
          <cell r="EC769">
            <v>0</v>
          </cell>
          <cell r="ED769">
            <v>0</v>
          </cell>
          <cell r="EE769">
            <v>0</v>
          </cell>
          <cell r="EF769">
            <v>0</v>
          </cell>
          <cell r="EG769">
            <v>0</v>
          </cell>
          <cell r="EH769">
            <v>0</v>
          </cell>
          <cell r="EI769">
            <v>0</v>
          </cell>
          <cell r="EK769">
            <v>0</v>
          </cell>
          <cell r="EL769">
            <v>0</v>
          </cell>
          <cell r="EM769">
            <v>0</v>
          </cell>
          <cell r="EN769">
            <v>0</v>
          </cell>
          <cell r="EO769">
            <v>0</v>
          </cell>
          <cell r="EP769">
            <v>0</v>
          </cell>
          <cell r="EQ769">
            <v>0</v>
          </cell>
          <cell r="ER769">
            <v>0</v>
          </cell>
          <cell r="ES769">
            <v>0</v>
          </cell>
          <cell r="ET769">
            <v>0</v>
          </cell>
          <cell r="EU769">
            <v>0</v>
          </cell>
          <cell r="EV769">
            <v>0</v>
          </cell>
          <cell r="EW769">
            <v>0</v>
          </cell>
          <cell r="EY769">
            <v>0</v>
          </cell>
          <cell r="EZ769">
            <v>8</v>
          </cell>
          <cell r="FA769">
            <v>0</v>
          </cell>
          <cell r="FB769">
            <v>0</v>
          </cell>
          <cell r="FC769">
            <v>8.6</v>
          </cell>
          <cell r="FD769">
            <v>0</v>
          </cell>
          <cell r="FE769">
            <v>0</v>
          </cell>
          <cell r="FF769">
            <v>0</v>
          </cell>
          <cell r="FH769">
            <v>0</v>
          </cell>
        </row>
        <row r="770">
          <cell r="B770">
            <v>9904</v>
          </cell>
          <cell r="C770" t="str">
            <v>04.10.2011</v>
          </cell>
          <cell r="D770" t="str">
            <v>Maru Pravin Keshav</v>
          </cell>
          <cell r="F770">
            <v>0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0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G770">
            <v>0</v>
          </cell>
          <cell r="AH770">
            <v>0</v>
          </cell>
          <cell r="AI770">
            <v>0</v>
          </cell>
          <cell r="AJ770">
            <v>0</v>
          </cell>
          <cell r="AK770">
            <v>0</v>
          </cell>
          <cell r="AL770">
            <v>0</v>
          </cell>
          <cell r="AM770">
            <v>0</v>
          </cell>
          <cell r="AN770">
            <v>0</v>
          </cell>
          <cell r="AO770">
            <v>0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  <cell r="AU770">
            <v>0</v>
          </cell>
          <cell r="AV770">
            <v>0</v>
          </cell>
          <cell r="AW770">
            <v>0</v>
          </cell>
          <cell r="AX770">
            <v>0</v>
          </cell>
          <cell r="AY770">
            <v>0</v>
          </cell>
          <cell r="BA770">
            <v>0</v>
          </cell>
          <cell r="BB770">
            <v>0</v>
          </cell>
          <cell r="BC770">
            <v>0</v>
          </cell>
          <cell r="BD770">
            <v>0</v>
          </cell>
          <cell r="BE770">
            <v>0</v>
          </cell>
          <cell r="BF770">
            <v>0</v>
          </cell>
          <cell r="BG770">
            <v>0</v>
          </cell>
          <cell r="BH770">
            <v>0</v>
          </cell>
          <cell r="BI770">
            <v>0</v>
          </cell>
          <cell r="BK770">
            <v>0</v>
          </cell>
          <cell r="BL770">
            <v>0</v>
          </cell>
          <cell r="BM770">
            <v>0</v>
          </cell>
          <cell r="BN770">
            <v>0</v>
          </cell>
          <cell r="BO770">
            <v>0</v>
          </cell>
          <cell r="BP770">
            <v>0</v>
          </cell>
          <cell r="BQ770">
            <v>0</v>
          </cell>
          <cell r="BR770">
            <v>0</v>
          </cell>
          <cell r="BS770">
            <v>0</v>
          </cell>
          <cell r="BU770">
            <v>0</v>
          </cell>
          <cell r="BV770">
            <v>0</v>
          </cell>
          <cell r="BW770">
            <v>0</v>
          </cell>
          <cell r="BX770">
            <v>0</v>
          </cell>
          <cell r="BY770">
            <v>0</v>
          </cell>
          <cell r="BZ770">
            <v>0</v>
          </cell>
          <cell r="CA770">
            <v>0</v>
          </cell>
          <cell r="CB770">
            <v>0</v>
          </cell>
          <cell r="CC770">
            <v>0</v>
          </cell>
          <cell r="CE770">
            <v>0</v>
          </cell>
          <cell r="CF770">
            <v>0</v>
          </cell>
          <cell r="CG770">
            <v>0</v>
          </cell>
          <cell r="CH770">
            <v>0</v>
          </cell>
          <cell r="CI770">
            <v>0</v>
          </cell>
          <cell r="CJ770">
            <v>0</v>
          </cell>
          <cell r="CK770">
            <v>0</v>
          </cell>
          <cell r="CL770">
            <v>0</v>
          </cell>
          <cell r="CM770">
            <v>0</v>
          </cell>
          <cell r="CO770">
            <v>0</v>
          </cell>
          <cell r="CP770">
            <v>0</v>
          </cell>
          <cell r="CQ770">
            <v>0</v>
          </cell>
          <cell r="CR770">
            <v>0</v>
          </cell>
          <cell r="CS770">
            <v>0</v>
          </cell>
          <cell r="CT770">
            <v>0</v>
          </cell>
          <cell r="CU770">
            <v>0</v>
          </cell>
          <cell r="CV770">
            <v>0</v>
          </cell>
          <cell r="CW770">
            <v>0</v>
          </cell>
          <cell r="CY770">
            <v>0</v>
          </cell>
          <cell r="CZ770">
            <v>0</v>
          </cell>
          <cell r="DA770">
            <v>0</v>
          </cell>
          <cell r="DB770">
            <v>0</v>
          </cell>
          <cell r="DC770">
            <v>0</v>
          </cell>
          <cell r="DD770">
            <v>0</v>
          </cell>
          <cell r="DE770">
            <v>0</v>
          </cell>
          <cell r="DF770">
            <v>0</v>
          </cell>
          <cell r="DG770">
            <v>0</v>
          </cell>
          <cell r="DI770">
            <v>0</v>
          </cell>
          <cell r="DJ770">
            <v>0</v>
          </cell>
          <cell r="DK770">
            <v>0</v>
          </cell>
          <cell r="DL770">
            <v>0</v>
          </cell>
          <cell r="DM770">
            <v>0</v>
          </cell>
          <cell r="DN770">
            <v>0</v>
          </cell>
          <cell r="DO770">
            <v>0</v>
          </cell>
          <cell r="DP770">
            <v>0</v>
          </cell>
          <cell r="DQ770">
            <v>0</v>
          </cell>
          <cell r="DR770">
            <v>0</v>
          </cell>
          <cell r="DS770">
            <v>0</v>
          </cell>
          <cell r="DT770">
            <v>0</v>
          </cell>
          <cell r="DU770">
            <v>0</v>
          </cell>
          <cell r="DW770">
            <v>0</v>
          </cell>
          <cell r="DX770">
            <v>0</v>
          </cell>
          <cell r="DY770">
            <v>0</v>
          </cell>
          <cell r="DZ770">
            <v>0</v>
          </cell>
          <cell r="EA770">
            <v>0</v>
          </cell>
          <cell r="EB770">
            <v>0</v>
          </cell>
          <cell r="EC770">
            <v>0</v>
          </cell>
          <cell r="ED770">
            <v>0</v>
          </cell>
          <cell r="EE770">
            <v>0</v>
          </cell>
          <cell r="EF770">
            <v>0</v>
          </cell>
          <cell r="EG770">
            <v>0</v>
          </cell>
          <cell r="EH770">
            <v>0</v>
          </cell>
          <cell r="EI770">
            <v>0</v>
          </cell>
          <cell r="EK770">
            <v>0</v>
          </cell>
          <cell r="EL770">
            <v>0</v>
          </cell>
          <cell r="EM770">
            <v>0</v>
          </cell>
          <cell r="EN770">
            <v>0</v>
          </cell>
          <cell r="EO770">
            <v>0</v>
          </cell>
          <cell r="EP770">
            <v>0</v>
          </cell>
          <cell r="EQ770">
            <v>0</v>
          </cell>
          <cell r="ER770">
            <v>0</v>
          </cell>
          <cell r="ES770">
            <v>0</v>
          </cell>
          <cell r="ET770">
            <v>0</v>
          </cell>
          <cell r="EU770">
            <v>0</v>
          </cell>
          <cell r="EV770">
            <v>0</v>
          </cell>
          <cell r="EW770">
            <v>0</v>
          </cell>
          <cell r="EY770">
            <v>0</v>
          </cell>
          <cell r="EZ770">
            <v>8</v>
          </cell>
          <cell r="FA770">
            <v>0</v>
          </cell>
          <cell r="FB770">
            <v>0</v>
          </cell>
          <cell r="FC770">
            <v>8.6</v>
          </cell>
          <cell r="FD770">
            <v>0</v>
          </cell>
          <cell r="FE770">
            <v>0</v>
          </cell>
          <cell r="FF770">
            <v>0</v>
          </cell>
          <cell r="FH770">
            <v>0</v>
          </cell>
        </row>
        <row r="771">
          <cell r="B771">
            <v>9905</v>
          </cell>
          <cell r="C771" t="str">
            <v>04.10.2011</v>
          </cell>
          <cell r="D771" t="str">
            <v>Bagul Nitin Arjun</v>
          </cell>
          <cell r="F771">
            <v>0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W771">
            <v>0</v>
          </cell>
          <cell r="X771">
            <v>0</v>
          </cell>
          <cell r="Y771">
            <v>0</v>
          </cell>
          <cell r="Z771">
            <v>0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G771">
            <v>0</v>
          </cell>
          <cell r="AH771">
            <v>0</v>
          </cell>
          <cell r="AI771">
            <v>0</v>
          </cell>
          <cell r="AJ771">
            <v>0</v>
          </cell>
          <cell r="AK771">
            <v>0</v>
          </cell>
          <cell r="AL771">
            <v>0</v>
          </cell>
          <cell r="AM771">
            <v>0</v>
          </cell>
          <cell r="AN771">
            <v>0</v>
          </cell>
          <cell r="AO771">
            <v>0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  <cell r="AU771">
            <v>0</v>
          </cell>
          <cell r="AV771">
            <v>0</v>
          </cell>
          <cell r="AW771">
            <v>0</v>
          </cell>
          <cell r="AX771">
            <v>0</v>
          </cell>
          <cell r="AY771">
            <v>0</v>
          </cell>
          <cell r="BA771">
            <v>0</v>
          </cell>
          <cell r="BB771">
            <v>0</v>
          </cell>
          <cell r="BC771">
            <v>0</v>
          </cell>
          <cell r="BD771">
            <v>0</v>
          </cell>
          <cell r="BE771">
            <v>0</v>
          </cell>
          <cell r="BF771">
            <v>0</v>
          </cell>
          <cell r="BG771">
            <v>0</v>
          </cell>
          <cell r="BH771">
            <v>0</v>
          </cell>
          <cell r="BI771">
            <v>0</v>
          </cell>
          <cell r="BK771">
            <v>0</v>
          </cell>
          <cell r="BL771">
            <v>0</v>
          </cell>
          <cell r="BM771">
            <v>0</v>
          </cell>
          <cell r="BN771">
            <v>0</v>
          </cell>
          <cell r="BO771">
            <v>0</v>
          </cell>
          <cell r="BP771">
            <v>0</v>
          </cell>
          <cell r="BQ771">
            <v>0</v>
          </cell>
          <cell r="BR771">
            <v>0</v>
          </cell>
          <cell r="BS771">
            <v>0</v>
          </cell>
          <cell r="BU771">
            <v>0</v>
          </cell>
          <cell r="BV771">
            <v>0</v>
          </cell>
          <cell r="BW771">
            <v>0</v>
          </cell>
          <cell r="BX771">
            <v>0</v>
          </cell>
          <cell r="BY771">
            <v>0</v>
          </cell>
          <cell r="BZ771">
            <v>0</v>
          </cell>
          <cell r="CA771">
            <v>0</v>
          </cell>
          <cell r="CB771">
            <v>0</v>
          </cell>
          <cell r="CC771">
            <v>0</v>
          </cell>
          <cell r="CE771">
            <v>0</v>
          </cell>
          <cell r="CF771">
            <v>0</v>
          </cell>
          <cell r="CG771">
            <v>0</v>
          </cell>
          <cell r="CH771">
            <v>0</v>
          </cell>
          <cell r="CI771">
            <v>0</v>
          </cell>
          <cell r="CJ771">
            <v>0</v>
          </cell>
          <cell r="CK771">
            <v>0</v>
          </cell>
          <cell r="CL771">
            <v>0</v>
          </cell>
          <cell r="CM771">
            <v>0</v>
          </cell>
          <cell r="CO771">
            <v>0</v>
          </cell>
          <cell r="CP771">
            <v>0</v>
          </cell>
          <cell r="CQ771">
            <v>0</v>
          </cell>
          <cell r="CR771">
            <v>0</v>
          </cell>
          <cell r="CS771">
            <v>0</v>
          </cell>
          <cell r="CT771">
            <v>0</v>
          </cell>
          <cell r="CU771">
            <v>0</v>
          </cell>
          <cell r="CV771">
            <v>0</v>
          </cell>
          <cell r="CW771">
            <v>0</v>
          </cell>
          <cell r="CY771">
            <v>0</v>
          </cell>
          <cell r="CZ771">
            <v>0</v>
          </cell>
          <cell r="DA771">
            <v>0</v>
          </cell>
          <cell r="DB771">
            <v>0</v>
          </cell>
          <cell r="DC771">
            <v>0</v>
          </cell>
          <cell r="DD771">
            <v>0</v>
          </cell>
          <cell r="DE771">
            <v>0</v>
          </cell>
          <cell r="DF771">
            <v>0</v>
          </cell>
          <cell r="DG771">
            <v>0</v>
          </cell>
          <cell r="DI771">
            <v>0</v>
          </cell>
          <cell r="DJ771">
            <v>0</v>
          </cell>
          <cell r="DK771">
            <v>0</v>
          </cell>
          <cell r="DL771">
            <v>0</v>
          </cell>
          <cell r="DM771">
            <v>0</v>
          </cell>
          <cell r="DN771">
            <v>0</v>
          </cell>
          <cell r="DO771">
            <v>0</v>
          </cell>
          <cell r="DP771">
            <v>0</v>
          </cell>
          <cell r="DQ771">
            <v>0</v>
          </cell>
          <cell r="DR771">
            <v>0</v>
          </cell>
          <cell r="DS771">
            <v>0</v>
          </cell>
          <cell r="DT771">
            <v>0</v>
          </cell>
          <cell r="DU771">
            <v>0</v>
          </cell>
          <cell r="DW771">
            <v>0</v>
          </cell>
          <cell r="DX771">
            <v>0</v>
          </cell>
          <cell r="DY771">
            <v>0</v>
          </cell>
          <cell r="DZ771">
            <v>0</v>
          </cell>
          <cell r="EA771">
            <v>0</v>
          </cell>
          <cell r="EB771">
            <v>0</v>
          </cell>
          <cell r="EC771">
            <v>0</v>
          </cell>
          <cell r="ED771">
            <v>0</v>
          </cell>
          <cell r="EE771">
            <v>0</v>
          </cell>
          <cell r="EF771">
            <v>0</v>
          </cell>
          <cell r="EG771">
            <v>0</v>
          </cell>
          <cell r="EH771">
            <v>0</v>
          </cell>
          <cell r="EI771">
            <v>0</v>
          </cell>
          <cell r="EK771">
            <v>0</v>
          </cell>
          <cell r="EL771">
            <v>0</v>
          </cell>
          <cell r="EM771">
            <v>0</v>
          </cell>
          <cell r="EN771">
            <v>0</v>
          </cell>
          <cell r="EO771">
            <v>0</v>
          </cell>
          <cell r="EP771">
            <v>0</v>
          </cell>
          <cell r="EQ771">
            <v>0</v>
          </cell>
          <cell r="ER771">
            <v>0</v>
          </cell>
          <cell r="ES771">
            <v>0</v>
          </cell>
          <cell r="ET771">
            <v>0</v>
          </cell>
          <cell r="EU771">
            <v>0</v>
          </cell>
          <cell r="EV771">
            <v>0</v>
          </cell>
          <cell r="EW771">
            <v>0</v>
          </cell>
          <cell r="EY771">
            <v>0</v>
          </cell>
          <cell r="EZ771">
            <v>8</v>
          </cell>
          <cell r="FA771">
            <v>0</v>
          </cell>
          <cell r="FB771">
            <v>0</v>
          </cell>
          <cell r="FC771">
            <v>8.6</v>
          </cell>
          <cell r="FD771">
            <v>0</v>
          </cell>
          <cell r="FE771">
            <v>0</v>
          </cell>
          <cell r="FF771">
            <v>0</v>
          </cell>
          <cell r="FH771">
            <v>0</v>
          </cell>
        </row>
        <row r="772">
          <cell r="B772">
            <v>9907</v>
          </cell>
          <cell r="C772" t="str">
            <v>04.10.2011</v>
          </cell>
          <cell r="D772" t="str">
            <v>Divekar Amol Rajan</v>
          </cell>
          <cell r="F772">
            <v>0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0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G772">
            <v>0</v>
          </cell>
          <cell r="AH772">
            <v>0</v>
          </cell>
          <cell r="AI772">
            <v>0</v>
          </cell>
          <cell r="AJ772">
            <v>0</v>
          </cell>
          <cell r="AK772">
            <v>0</v>
          </cell>
          <cell r="AL772">
            <v>0</v>
          </cell>
          <cell r="AM772">
            <v>0</v>
          </cell>
          <cell r="AN772">
            <v>0</v>
          </cell>
          <cell r="AO772">
            <v>0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  <cell r="AU772">
            <v>0</v>
          </cell>
          <cell r="AV772">
            <v>0</v>
          </cell>
          <cell r="AW772">
            <v>0</v>
          </cell>
          <cell r="AX772">
            <v>0</v>
          </cell>
          <cell r="AY772">
            <v>0</v>
          </cell>
          <cell r="BA772">
            <v>0</v>
          </cell>
          <cell r="BB772">
            <v>0</v>
          </cell>
          <cell r="BC772">
            <v>0</v>
          </cell>
          <cell r="BD772">
            <v>0</v>
          </cell>
          <cell r="BE772">
            <v>0</v>
          </cell>
          <cell r="BF772">
            <v>0</v>
          </cell>
          <cell r="BG772">
            <v>0</v>
          </cell>
          <cell r="BH772">
            <v>0</v>
          </cell>
          <cell r="BI772">
            <v>0</v>
          </cell>
          <cell r="BK772">
            <v>0</v>
          </cell>
          <cell r="BL772">
            <v>0</v>
          </cell>
          <cell r="BM772">
            <v>0</v>
          </cell>
          <cell r="BN772">
            <v>0</v>
          </cell>
          <cell r="BO772">
            <v>0</v>
          </cell>
          <cell r="BP772">
            <v>0</v>
          </cell>
          <cell r="BQ772">
            <v>0</v>
          </cell>
          <cell r="BR772">
            <v>0</v>
          </cell>
          <cell r="BS772">
            <v>0</v>
          </cell>
          <cell r="BU772">
            <v>0</v>
          </cell>
          <cell r="BV772">
            <v>0</v>
          </cell>
          <cell r="BW772">
            <v>0</v>
          </cell>
          <cell r="BX772">
            <v>0</v>
          </cell>
          <cell r="BY772">
            <v>0</v>
          </cell>
          <cell r="BZ772">
            <v>0</v>
          </cell>
          <cell r="CA772">
            <v>0</v>
          </cell>
          <cell r="CB772">
            <v>0</v>
          </cell>
          <cell r="CC772">
            <v>0</v>
          </cell>
          <cell r="CE772">
            <v>0</v>
          </cell>
          <cell r="CF772">
            <v>0</v>
          </cell>
          <cell r="CG772">
            <v>0</v>
          </cell>
          <cell r="CH772">
            <v>0</v>
          </cell>
          <cell r="CI772">
            <v>0</v>
          </cell>
          <cell r="CJ772">
            <v>0</v>
          </cell>
          <cell r="CK772">
            <v>0</v>
          </cell>
          <cell r="CL772">
            <v>0</v>
          </cell>
          <cell r="CM772">
            <v>0</v>
          </cell>
          <cell r="CO772">
            <v>0</v>
          </cell>
          <cell r="CP772">
            <v>0</v>
          </cell>
          <cell r="CQ772">
            <v>0</v>
          </cell>
          <cell r="CR772">
            <v>0</v>
          </cell>
          <cell r="CS772">
            <v>0</v>
          </cell>
          <cell r="CT772">
            <v>0</v>
          </cell>
          <cell r="CU772">
            <v>0</v>
          </cell>
          <cell r="CV772">
            <v>0</v>
          </cell>
          <cell r="CW772">
            <v>0</v>
          </cell>
          <cell r="CY772">
            <v>0</v>
          </cell>
          <cell r="CZ772">
            <v>0</v>
          </cell>
          <cell r="DA772">
            <v>0</v>
          </cell>
          <cell r="DB772">
            <v>0</v>
          </cell>
          <cell r="DC772">
            <v>0</v>
          </cell>
          <cell r="DD772">
            <v>0</v>
          </cell>
          <cell r="DE772">
            <v>0</v>
          </cell>
          <cell r="DF772">
            <v>0</v>
          </cell>
          <cell r="DG772">
            <v>0</v>
          </cell>
          <cell r="DI772">
            <v>0</v>
          </cell>
          <cell r="DJ772">
            <v>0</v>
          </cell>
          <cell r="DK772">
            <v>0</v>
          </cell>
          <cell r="DL772">
            <v>0</v>
          </cell>
          <cell r="DM772">
            <v>0</v>
          </cell>
          <cell r="DN772">
            <v>0</v>
          </cell>
          <cell r="DO772">
            <v>0</v>
          </cell>
          <cell r="DP772">
            <v>0</v>
          </cell>
          <cell r="DQ772">
            <v>0</v>
          </cell>
          <cell r="DR772">
            <v>0</v>
          </cell>
          <cell r="DS772">
            <v>0</v>
          </cell>
          <cell r="DT772">
            <v>0</v>
          </cell>
          <cell r="DU772">
            <v>0</v>
          </cell>
          <cell r="DW772">
            <v>0</v>
          </cell>
          <cell r="DX772">
            <v>0</v>
          </cell>
          <cell r="DY772">
            <v>0</v>
          </cell>
          <cell r="DZ772">
            <v>0</v>
          </cell>
          <cell r="EA772">
            <v>0</v>
          </cell>
          <cell r="EB772">
            <v>0</v>
          </cell>
          <cell r="EC772">
            <v>0</v>
          </cell>
          <cell r="ED772">
            <v>0</v>
          </cell>
          <cell r="EE772">
            <v>0</v>
          </cell>
          <cell r="EF772">
            <v>0</v>
          </cell>
          <cell r="EG772">
            <v>0</v>
          </cell>
          <cell r="EH772">
            <v>0</v>
          </cell>
          <cell r="EI772">
            <v>0</v>
          </cell>
          <cell r="EK772">
            <v>0</v>
          </cell>
          <cell r="EL772">
            <v>0</v>
          </cell>
          <cell r="EM772">
            <v>0</v>
          </cell>
          <cell r="EN772">
            <v>0</v>
          </cell>
          <cell r="EO772">
            <v>0</v>
          </cell>
          <cell r="EP772">
            <v>0</v>
          </cell>
          <cell r="EQ772">
            <v>0</v>
          </cell>
          <cell r="ER772">
            <v>0</v>
          </cell>
          <cell r="ES772">
            <v>0</v>
          </cell>
          <cell r="ET772">
            <v>0</v>
          </cell>
          <cell r="EU772">
            <v>0</v>
          </cell>
          <cell r="EV772">
            <v>0</v>
          </cell>
          <cell r="EW772">
            <v>0</v>
          </cell>
          <cell r="EY772">
            <v>0</v>
          </cell>
          <cell r="EZ772">
            <v>8</v>
          </cell>
          <cell r="FA772">
            <v>0</v>
          </cell>
          <cell r="FB772">
            <v>0</v>
          </cell>
          <cell r="FC772">
            <v>8.6</v>
          </cell>
          <cell r="FD772">
            <v>0</v>
          </cell>
          <cell r="FE772">
            <v>0</v>
          </cell>
          <cell r="FF772">
            <v>0</v>
          </cell>
          <cell r="FH772">
            <v>0</v>
          </cell>
        </row>
        <row r="773">
          <cell r="B773">
            <v>9908</v>
          </cell>
          <cell r="C773" t="str">
            <v>05.10.2011</v>
          </cell>
          <cell r="D773" t="str">
            <v>Pivhal Jitu Laxman</v>
          </cell>
          <cell r="F773">
            <v>0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0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G773">
            <v>0</v>
          </cell>
          <cell r="AH773">
            <v>0</v>
          </cell>
          <cell r="AI773">
            <v>0</v>
          </cell>
          <cell r="AJ773">
            <v>0</v>
          </cell>
          <cell r="AK773">
            <v>0</v>
          </cell>
          <cell r="AL773">
            <v>0</v>
          </cell>
          <cell r="AM773">
            <v>0</v>
          </cell>
          <cell r="AN773">
            <v>0</v>
          </cell>
          <cell r="AO773">
            <v>0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  <cell r="AU773">
            <v>0</v>
          </cell>
          <cell r="AV773">
            <v>0</v>
          </cell>
          <cell r="AW773">
            <v>0</v>
          </cell>
          <cell r="AX773">
            <v>0</v>
          </cell>
          <cell r="AY773">
            <v>0</v>
          </cell>
          <cell r="BA773">
            <v>0</v>
          </cell>
          <cell r="BB773">
            <v>0</v>
          </cell>
          <cell r="BC773">
            <v>0</v>
          </cell>
          <cell r="BD773">
            <v>0</v>
          </cell>
          <cell r="BE773">
            <v>0</v>
          </cell>
          <cell r="BF773">
            <v>0</v>
          </cell>
          <cell r="BG773">
            <v>0</v>
          </cell>
          <cell r="BH773">
            <v>0</v>
          </cell>
          <cell r="BI773">
            <v>0</v>
          </cell>
          <cell r="BK773">
            <v>0</v>
          </cell>
          <cell r="BL773">
            <v>0</v>
          </cell>
          <cell r="BM773">
            <v>0</v>
          </cell>
          <cell r="BN773">
            <v>0</v>
          </cell>
          <cell r="BO773">
            <v>0</v>
          </cell>
          <cell r="BP773">
            <v>0</v>
          </cell>
          <cell r="BQ773">
            <v>0</v>
          </cell>
          <cell r="BR773">
            <v>0</v>
          </cell>
          <cell r="BS773">
            <v>0</v>
          </cell>
          <cell r="BU773">
            <v>0</v>
          </cell>
          <cell r="BV773">
            <v>0</v>
          </cell>
          <cell r="BW773">
            <v>0</v>
          </cell>
          <cell r="BX773">
            <v>0</v>
          </cell>
          <cell r="BY773">
            <v>0</v>
          </cell>
          <cell r="BZ773">
            <v>0</v>
          </cell>
          <cell r="CA773">
            <v>0</v>
          </cell>
          <cell r="CB773">
            <v>0</v>
          </cell>
          <cell r="CC773">
            <v>0</v>
          </cell>
          <cell r="CE773">
            <v>0</v>
          </cell>
          <cell r="CF773">
            <v>0</v>
          </cell>
          <cell r="CG773">
            <v>0</v>
          </cell>
          <cell r="CH773">
            <v>0</v>
          </cell>
          <cell r="CI773">
            <v>0</v>
          </cell>
          <cell r="CJ773">
            <v>0</v>
          </cell>
          <cell r="CK773">
            <v>0</v>
          </cell>
          <cell r="CL773">
            <v>0</v>
          </cell>
          <cell r="CM773">
            <v>0</v>
          </cell>
          <cell r="CO773">
            <v>0</v>
          </cell>
          <cell r="CP773">
            <v>0</v>
          </cell>
          <cell r="CQ773">
            <v>0</v>
          </cell>
          <cell r="CR773">
            <v>0</v>
          </cell>
          <cell r="CS773">
            <v>0</v>
          </cell>
          <cell r="CT773">
            <v>0</v>
          </cell>
          <cell r="CU773">
            <v>0</v>
          </cell>
          <cell r="CV773">
            <v>0</v>
          </cell>
          <cell r="CW773">
            <v>0</v>
          </cell>
          <cell r="CY773">
            <v>0</v>
          </cell>
          <cell r="CZ773">
            <v>0</v>
          </cell>
          <cell r="DA773">
            <v>0</v>
          </cell>
          <cell r="DB773">
            <v>0</v>
          </cell>
          <cell r="DC773">
            <v>0</v>
          </cell>
          <cell r="DD773">
            <v>0</v>
          </cell>
          <cell r="DE773">
            <v>0</v>
          </cell>
          <cell r="DF773">
            <v>0</v>
          </cell>
          <cell r="DG773">
            <v>0</v>
          </cell>
          <cell r="DI773">
            <v>0</v>
          </cell>
          <cell r="DJ773">
            <v>0</v>
          </cell>
          <cell r="DK773">
            <v>0</v>
          </cell>
          <cell r="DL773">
            <v>0</v>
          </cell>
          <cell r="DM773">
            <v>0</v>
          </cell>
          <cell r="DN773">
            <v>0</v>
          </cell>
          <cell r="DO773">
            <v>0</v>
          </cell>
          <cell r="DP773">
            <v>0</v>
          </cell>
          <cell r="DQ773">
            <v>0</v>
          </cell>
          <cell r="DR773">
            <v>0</v>
          </cell>
          <cell r="DS773">
            <v>0</v>
          </cell>
          <cell r="DT773">
            <v>0</v>
          </cell>
          <cell r="DU773">
            <v>0</v>
          </cell>
          <cell r="DW773">
            <v>0</v>
          </cell>
          <cell r="DX773">
            <v>0</v>
          </cell>
          <cell r="DY773">
            <v>0</v>
          </cell>
          <cell r="DZ773">
            <v>0</v>
          </cell>
          <cell r="EA773">
            <v>0</v>
          </cell>
          <cell r="EB773">
            <v>0</v>
          </cell>
          <cell r="EC773">
            <v>0</v>
          </cell>
          <cell r="ED773">
            <v>0</v>
          </cell>
          <cell r="EE773">
            <v>0</v>
          </cell>
          <cell r="EF773">
            <v>0</v>
          </cell>
          <cell r="EG773">
            <v>0</v>
          </cell>
          <cell r="EH773">
            <v>0</v>
          </cell>
          <cell r="EI773">
            <v>0</v>
          </cell>
          <cell r="EK773">
            <v>0</v>
          </cell>
          <cell r="EL773">
            <v>0</v>
          </cell>
          <cell r="EM773">
            <v>0</v>
          </cell>
          <cell r="EN773">
            <v>0</v>
          </cell>
          <cell r="EO773">
            <v>0</v>
          </cell>
          <cell r="EP773">
            <v>0</v>
          </cell>
          <cell r="EQ773">
            <v>0</v>
          </cell>
          <cell r="ER773">
            <v>0</v>
          </cell>
          <cell r="ES773">
            <v>0</v>
          </cell>
          <cell r="ET773">
            <v>0</v>
          </cell>
          <cell r="EU773">
            <v>0</v>
          </cell>
          <cell r="EV773">
            <v>0</v>
          </cell>
          <cell r="EW773">
            <v>0</v>
          </cell>
          <cell r="EY773">
            <v>0</v>
          </cell>
          <cell r="EZ773">
            <v>8</v>
          </cell>
          <cell r="FA773">
            <v>0</v>
          </cell>
          <cell r="FB773">
            <v>0</v>
          </cell>
          <cell r="FC773">
            <v>8.6</v>
          </cell>
          <cell r="FD773">
            <v>0</v>
          </cell>
          <cell r="FE773">
            <v>0</v>
          </cell>
          <cell r="FF773">
            <v>0</v>
          </cell>
          <cell r="FH773">
            <v>0</v>
          </cell>
        </row>
        <row r="774">
          <cell r="B774">
            <v>9909</v>
          </cell>
          <cell r="C774" t="str">
            <v>05.10.2011</v>
          </cell>
          <cell r="D774" t="str">
            <v>Lokhande Dhanraj Chandrakant</v>
          </cell>
          <cell r="F774">
            <v>0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0</v>
          </cell>
          <cell r="AK774">
            <v>0</v>
          </cell>
          <cell r="AL774">
            <v>0</v>
          </cell>
          <cell r="AM774">
            <v>0</v>
          </cell>
          <cell r="AN774">
            <v>0</v>
          </cell>
          <cell r="AO774">
            <v>0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BA774">
            <v>0</v>
          </cell>
          <cell r="BB774">
            <v>0</v>
          </cell>
          <cell r="BC774">
            <v>0</v>
          </cell>
          <cell r="BD774">
            <v>0</v>
          </cell>
          <cell r="BE774">
            <v>0</v>
          </cell>
          <cell r="BF774">
            <v>0</v>
          </cell>
          <cell r="BG774">
            <v>0</v>
          </cell>
          <cell r="BH774">
            <v>0</v>
          </cell>
          <cell r="BI774">
            <v>0</v>
          </cell>
          <cell r="BK774">
            <v>0</v>
          </cell>
          <cell r="BL774">
            <v>0</v>
          </cell>
          <cell r="BM774">
            <v>0</v>
          </cell>
          <cell r="BN774">
            <v>0</v>
          </cell>
          <cell r="BO774">
            <v>0</v>
          </cell>
          <cell r="BP774">
            <v>0</v>
          </cell>
          <cell r="BQ774">
            <v>0</v>
          </cell>
          <cell r="BR774">
            <v>0</v>
          </cell>
          <cell r="BS774">
            <v>0</v>
          </cell>
          <cell r="BU774">
            <v>0</v>
          </cell>
          <cell r="BV774">
            <v>0</v>
          </cell>
          <cell r="BW774">
            <v>0</v>
          </cell>
          <cell r="BX774">
            <v>0</v>
          </cell>
          <cell r="BY774">
            <v>0</v>
          </cell>
          <cell r="BZ774">
            <v>0</v>
          </cell>
          <cell r="CA774">
            <v>0</v>
          </cell>
          <cell r="CB774">
            <v>0</v>
          </cell>
          <cell r="CC774">
            <v>0</v>
          </cell>
          <cell r="CE774">
            <v>0</v>
          </cell>
          <cell r="CF774">
            <v>0</v>
          </cell>
          <cell r="CG774">
            <v>0</v>
          </cell>
          <cell r="CH774">
            <v>0</v>
          </cell>
          <cell r="CI774">
            <v>0</v>
          </cell>
          <cell r="CJ774">
            <v>0</v>
          </cell>
          <cell r="CK774">
            <v>0</v>
          </cell>
          <cell r="CL774">
            <v>0</v>
          </cell>
          <cell r="CM774">
            <v>0</v>
          </cell>
          <cell r="CO774">
            <v>0</v>
          </cell>
          <cell r="CP774">
            <v>0</v>
          </cell>
          <cell r="CQ774">
            <v>0</v>
          </cell>
          <cell r="CR774">
            <v>0</v>
          </cell>
          <cell r="CS774">
            <v>0</v>
          </cell>
          <cell r="CT774">
            <v>0</v>
          </cell>
          <cell r="CU774">
            <v>0</v>
          </cell>
          <cell r="CV774">
            <v>0</v>
          </cell>
          <cell r="CW774">
            <v>0</v>
          </cell>
          <cell r="CY774">
            <v>0</v>
          </cell>
          <cell r="CZ774">
            <v>0</v>
          </cell>
          <cell r="DA774">
            <v>0</v>
          </cell>
          <cell r="DB774">
            <v>0</v>
          </cell>
          <cell r="DC774">
            <v>0</v>
          </cell>
          <cell r="DD774">
            <v>0</v>
          </cell>
          <cell r="DE774">
            <v>0</v>
          </cell>
          <cell r="DF774">
            <v>0</v>
          </cell>
          <cell r="DG774">
            <v>0</v>
          </cell>
          <cell r="DI774">
            <v>0</v>
          </cell>
          <cell r="DJ774">
            <v>0</v>
          </cell>
          <cell r="DK774">
            <v>0</v>
          </cell>
          <cell r="DL774">
            <v>0</v>
          </cell>
          <cell r="DM774">
            <v>0</v>
          </cell>
          <cell r="DN774">
            <v>0</v>
          </cell>
          <cell r="DO774">
            <v>0</v>
          </cell>
          <cell r="DP774">
            <v>0</v>
          </cell>
          <cell r="DQ774">
            <v>0</v>
          </cell>
          <cell r="DR774">
            <v>0</v>
          </cell>
          <cell r="DS774">
            <v>0</v>
          </cell>
          <cell r="DT774">
            <v>0</v>
          </cell>
          <cell r="DU774">
            <v>0</v>
          </cell>
          <cell r="DW774">
            <v>0</v>
          </cell>
          <cell r="DX774">
            <v>0</v>
          </cell>
          <cell r="DY774">
            <v>0</v>
          </cell>
          <cell r="DZ774">
            <v>0</v>
          </cell>
          <cell r="EA774">
            <v>0</v>
          </cell>
          <cell r="EB774">
            <v>0</v>
          </cell>
          <cell r="EC774">
            <v>0</v>
          </cell>
          <cell r="ED774">
            <v>0</v>
          </cell>
          <cell r="EE774">
            <v>0</v>
          </cell>
          <cell r="EF774">
            <v>0</v>
          </cell>
          <cell r="EG774">
            <v>0</v>
          </cell>
          <cell r="EH774">
            <v>0</v>
          </cell>
          <cell r="EI774">
            <v>0</v>
          </cell>
          <cell r="EK774">
            <v>0</v>
          </cell>
          <cell r="EL774">
            <v>0</v>
          </cell>
          <cell r="EM774">
            <v>0</v>
          </cell>
          <cell r="EN774">
            <v>0</v>
          </cell>
          <cell r="EO774">
            <v>0</v>
          </cell>
          <cell r="EP774">
            <v>0</v>
          </cell>
          <cell r="EQ774">
            <v>0</v>
          </cell>
          <cell r="ER774">
            <v>0</v>
          </cell>
          <cell r="ES774">
            <v>0</v>
          </cell>
          <cell r="ET774">
            <v>0</v>
          </cell>
          <cell r="EU774">
            <v>0</v>
          </cell>
          <cell r="EV774">
            <v>0</v>
          </cell>
          <cell r="EW774">
            <v>0</v>
          </cell>
          <cell r="EY774">
            <v>0</v>
          </cell>
          <cell r="EZ774">
            <v>8</v>
          </cell>
          <cell r="FA774">
            <v>0</v>
          </cell>
          <cell r="FB774">
            <v>0</v>
          </cell>
          <cell r="FC774">
            <v>8.6</v>
          </cell>
          <cell r="FD774">
            <v>0</v>
          </cell>
          <cell r="FE774">
            <v>0</v>
          </cell>
          <cell r="FF774">
            <v>0</v>
          </cell>
          <cell r="FH774">
            <v>0</v>
          </cell>
        </row>
        <row r="775">
          <cell r="B775">
            <v>9910</v>
          </cell>
          <cell r="C775" t="str">
            <v>18.10.2011</v>
          </cell>
          <cell r="D775" t="str">
            <v>Ghorpade Arun Suresh</v>
          </cell>
          <cell r="F775">
            <v>0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0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G775">
            <v>0</v>
          </cell>
          <cell r="AH775">
            <v>0</v>
          </cell>
          <cell r="AI775">
            <v>0</v>
          </cell>
          <cell r="AJ775">
            <v>0</v>
          </cell>
          <cell r="AK775">
            <v>0</v>
          </cell>
          <cell r="AL775">
            <v>0</v>
          </cell>
          <cell r="AM775">
            <v>0</v>
          </cell>
          <cell r="AN775">
            <v>0</v>
          </cell>
          <cell r="AO775">
            <v>0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  <cell r="AU775">
            <v>0</v>
          </cell>
          <cell r="AV775">
            <v>0</v>
          </cell>
          <cell r="AW775">
            <v>0</v>
          </cell>
          <cell r="AX775">
            <v>0</v>
          </cell>
          <cell r="AY775">
            <v>0</v>
          </cell>
          <cell r="BA775">
            <v>0</v>
          </cell>
          <cell r="BB775">
            <v>0</v>
          </cell>
          <cell r="BC775">
            <v>0</v>
          </cell>
          <cell r="BD775">
            <v>0</v>
          </cell>
          <cell r="BE775">
            <v>0</v>
          </cell>
          <cell r="BF775">
            <v>0</v>
          </cell>
          <cell r="BG775">
            <v>0</v>
          </cell>
          <cell r="BH775">
            <v>0</v>
          </cell>
          <cell r="BI775">
            <v>0</v>
          </cell>
          <cell r="BK775">
            <v>0</v>
          </cell>
          <cell r="BL775">
            <v>0</v>
          </cell>
          <cell r="BM775">
            <v>0</v>
          </cell>
          <cell r="BN775">
            <v>0</v>
          </cell>
          <cell r="BO775">
            <v>0</v>
          </cell>
          <cell r="BP775">
            <v>0</v>
          </cell>
          <cell r="BQ775">
            <v>0</v>
          </cell>
          <cell r="BR775">
            <v>0</v>
          </cell>
          <cell r="BS775">
            <v>0</v>
          </cell>
          <cell r="BU775">
            <v>0</v>
          </cell>
          <cell r="BV775">
            <v>0</v>
          </cell>
          <cell r="BW775">
            <v>0</v>
          </cell>
          <cell r="BX775">
            <v>0</v>
          </cell>
          <cell r="BY775">
            <v>0</v>
          </cell>
          <cell r="BZ775">
            <v>0</v>
          </cell>
          <cell r="CA775">
            <v>0</v>
          </cell>
          <cell r="CB775">
            <v>0</v>
          </cell>
          <cell r="CC775">
            <v>0</v>
          </cell>
          <cell r="CE775">
            <v>0</v>
          </cell>
          <cell r="CF775">
            <v>0</v>
          </cell>
          <cell r="CG775">
            <v>0</v>
          </cell>
          <cell r="CH775">
            <v>0</v>
          </cell>
          <cell r="CI775">
            <v>0</v>
          </cell>
          <cell r="CJ775">
            <v>0</v>
          </cell>
          <cell r="CK775">
            <v>0</v>
          </cell>
          <cell r="CL775">
            <v>0</v>
          </cell>
          <cell r="CM775">
            <v>0</v>
          </cell>
          <cell r="CO775">
            <v>0</v>
          </cell>
          <cell r="CP775">
            <v>0</v>
          </cell>
          <cell r="CQ775">
            <v>0</v>
          </cell>
          <cell r="CR775">
            <v>0</v>
          </cell>
          <cell r="CS775">
            <v>0</v>
          </cell>
          <cell r="CT775">
            <v>0</v>
          </cell>
          <cell r="CU775">
            <v>0</v>
          </cell>
          <cell r="CV775">
            <v>0</v>
          </cell>
          <cell r="CW775">
            <v>0</v>
          </cell>
          <cell r="CY775">
            <v>0</v>
          </cell>
          <cell r="CZ775">
            <v>0</v>
          </cell>
          <cell r="DA775">
            <v>0</v>
          </cell>
          <cell r="DB775">
            <v>0</v>
          </cell>
          <cell r="DC775">
            <v>0</v>
          </cell>
          <cell r="DD775">
            <v>0</v>
          </cell>
          <cell r="DE775">
            <v>0</v>
          </cell>
          <cell r="DF775">
            <v>0</v>
          </cell>
          <cell r="DG775">
            <v>0</v>
          </cell>
          <cell r="DI775">
            <v>0</v>
          </cell>
          <cell r="DJ775">
            <v>0</v>
          </cell>
          <cell r="DK775">
            <v>0</v>
          </cell>
          <cell r="DL775">
            <v>0</v>
          </cell>
          <cell r="DM775">
            <v>0</v>
          </cell>
          <cell r="DN775">
            <v>0</v>
          </cell>
          <cell r="DO775">
            <v>0</v>
          </cell>
          <cell r="DP775">
            <v>0</v>
          </cell>
          <cell r="DQ775">
            <v>0</v>
          </cell>
          <cell r="DR775">
            <v>0</v>
          </cell>
          <cell r="DS775">
            <v>0</v>
          </cell>
          <cell r="DT775">
            <v>0</v>
          </cell>
          <cell r="DU775">
            <v>0</v>
          </cell>
          <cell r="DW775">
            <v>0</v>
          </cell>
          <cell r="DX775">
            <v>0</v>
          </cell>
          <cell r="DY775">
            <v>0</v>
          </cell>
          <cell r="DZ775">
            <v>0</v>
          </cell>
          <cell r="EA775">
            <v>0</v>
          </cell>
          <cell r="EB775">
            <v>0</v>
          </cell>
          <cell r="EC775">
            <v>0</v>
          </cell>
          <cell r="ED775">
            <v>0</v>
          </cell>
          <cell r="EE775">
            <v>0</v>
          </cell>
          <cell r="EF775">
            <v>0</v>
          </cell>
          <cell r="EG775">
            <v>0</v>
          </cell>
          <cell r="EH775">
            <v>0</v>
          </cell>
          <cell r="EI775">
            <v>0</v>
          </cell>
          <cell r="EK775">
            <v>0</v>
          </cell>
          <cell r="EL775">
            <v>0</v>
          </cell>
          <cell r="EM775">
            <v>0</v>
          </cell>
          <cell r="EN775">
            <v>0</v>
          </cell>
          <cell r="EO775">
            <v>0</v>
          </cell>
          <cell r="EP775">
            <v>0</v>
          </cell>
          <cell r="EQ775">
            <v>0</v>
          </cell>
          <cell r="ER775">
            <v>0</v>
          </cell>
          <cell r="ES775">
            <v>0</v>
          </cell>
          <cell r="ET775">
            <v>0</v>
          </cell>
          <cell r="EU775">
            <v>0</v>
          </cell>
          <cell r="EV775">
            <v>0</v>
          </cell>
          <cell r="EW775">
            <v>0</v>
          </cell>
          <cell r="EY775">
            <v>0</v>
          </cell>
          <cell r="EZ775">
            <v>8</v>
          </cell>
          <cell r="FA775">
            <v>0</v>
          </cell>
          <cell r="FB775">
            <v>0</v>
          </cell>
          <cell r="FC775">
            <v>8.6</v>
          </cell>
          <cell r="FD775">
            <v>0</v>
          </cell>
          <cell r="FE775">
            <v>0</v>
          </cell>
          <cell r="FF775">
            <v>0</v>
          </cell>
          <cell r="FH775">
            <v>0</v>
          </cell>
        </row>
        <row r="776">
          <cell r="B776">
            <v>9911</v>
          </cell>
          <cell r="C776" t="str">
            <v>18.10.2011</v>
          </cell>
          <cell r="D776" t="str">
            <v>Pagare Aakash Narayan</v>
          </cell>
          <cell r="F776">
            <v>0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0</v>
          </cell>
          <cell r="AA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G776">
            <v>0</v>
          </cell>
          <cell r="AH776">
            <v>0</v>
          </cell>
          <cell r="AI776">
            <v>0</v>
          </cell>
          <cell r="AJ776">
            <v>0</v>
          </cell>
          <cell r="AK776">
            <v>0</v>
          </cell>
          <cell r="AL776">
            <v>0</v>
          </cell>
          <cell r="AM776">
            <v>0</v>
          </cell>
          <cell r="AN776">
            <v>0</v>
          </cell>
          <cell r="AO776">
            <v>0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  <cell r="BA776">
            <v>0</v>
          </cell>
          <cell r="BB776">
            <v>0</v>
          </cell>
          <cell r="BC776">
            <v>0</v>
          </cell>
          <cell r="BD776">
            <v>0</v>
          </cell>
          <cell r="BE776">
            <v>0</v>
          </cell>
          <cell r="BF776">
            <v>0</v>
          </cell>
          <cell r="BG776">
            <v>0</v>
          </cell>
          <cell r="BH776">
            <v>0</v>
          </cell>
          <cell r="BI776">
            <v>0</v>
          </cell>
          <cell r="BK776">
            <v>0</v>
          </cell>
          <cell r="BL776">
            <v>0</v>
          </cell>
          <cell r="BM776">
            <v>0</v>
          </cell>
          <cell r="BN776">
            <v>0</v>
          </cell>
          <cell r="BO776">
            <v>0</v>
          </cell>
          <cell r="BP776">
            <v>0</v>
          </cell>
          <cell r="BQ776">
            <v>0</v>
          </cell>
          <cell r="BR776">
            <v>0</v>
          </cell>
          <cell r="BS776">
            <v>0</v>
          </cell>
          <cell r="BU776">
            <v>0</v>
          </cell>
          <cell r="BV776">
            <v>0</v>
          </cell>
          <cell r="BW776">
            <v>0</v>
          </cell>
          <cell r="BX776">
            <v>0</v>
          </cell>
          <cell r="BY776">
            <v>0</v>
          </cell>
          <cell r="BZ776">
            <v>0</v>
          </cell>
          <cell r="CA776">
            <v>0</v>
          </cell>
          <cell r="CB776">
            <v>0</v>
          </cell>
          <cell r="CC776">
            <v>0</v>
          </cell>
          <cell r="CE776">
            <v>0</v>
          </cell>
          <cell r="CF776">
            <v>0</v>
          </cell>
          <cell r="CG776">
            <v>0</v>
          </cell>
          <cell r="CH776">
            <v>0</v>
          </cell>
          <cell r="CI776">
            <v>0</v>
          </cell>
          <cell r="CJ776">
            <v>0</v>
          </cell>
          <cell r="CK776">
            <v>0</v>
          </cell>
          <cell r="CL776">
            <v>0</v>
          </cell>
          <cell r="CM776">
            <v>0</v>
          </cell>
          <cell r="CO776">
            <v>0</v>
          </cell>
          <cell r="CP776">
            <v>0</v>
          </cell>
          <cell r="CQ776">
            <v>0</v>
          </cell>
          <cell r="CR776">
            <v>0</v>
          </cell>
          <cell r="CS776">
            <v>0</v>
          </cell>
          <cell r="CT776">
            <v>0</v>
          </cell>
          <cell r="CU776">
            <v>0</v>
          </cell>
          <cell r="CV776">
            <v>0</v>
          </cell>
          <cell r="CW776">
            <v>0</v>
          </cell>
          <cell r="CY776">
            <v>0</v>
          </cell>
          <cell r="CZ776">
            <v>0</v>
          </cell>
          <cell r="DA776">
            <v>0</v>
          </cell>
          <cell r="DB776">
            <v>0</v>
          </cell>
          <cell r="DC776">
            <v>0</v>
          </cell>
          <cell r="DD776">
            <v>0</v>
          </cell>
          <cell r="DE776">
            <v>0</v>
          </cell>
          <cell r="DF776">
            <v>0</v>
          </cell>
          <cell r="DG776">
            <v>0</v>
          </cell>
          <cell r="DI776">
            <v>0</v>
          </cell>
          <cell r="DJ776">
            <v>0</v>
          </cell>
          <cell r="DK776">
            <v>0</v>
          </cell>
          <cell r="DL776">
            <v>0</v>
          </cell>
          <cell r="DM776">
            <v>0</v>
          </cell>
          <cell r="DN776">
            <v>0</v>
          </cell>
          <cell r="DO776">
            <v>0</v>
          </cell>
          <cell r="DP776">
            <v>0</v>
          </cell>
          <cell r="DQ776">
            <v>0</v>
          </cell>
          <cell r="DR776">
            <v>0</v>
          </cell>
          <cell r="DS776">
            <v>0</v>
          </cell>
          <cell r="DT776">
            <v>0</v>
          </cell>
          <cell r="DU776">
            <v>0</v>
          </cell>
          <cell r="DW776">
            <v>0</v>
          </cell>
          <cell r="DX776">
            <v>0</v>
          </cell>
          <cell r="DY776">
            <v>0</v>
          </cell>
          <cell r="DZ776">
            <v>0</v>
          </cell>
          <cell r="EA776">
            <v>0</v>
          </cell>
          <cell r="EB776">
            <v>0</v>
          </cell>
          <cell r="EC776">
            <v>0</v>
          </cell>
          <cell r="ED776">
            <v>0</v>
          </cell>
          <cell r="EE776">
            <v>0</v>
          </cell>
          <cell r="EF776">
            <v>0</v>
          </cell>
          <cell r="EG776">
            <v>0</v>
          </cell>
          <cell r="EH776">
            <v>0</v>
          </cell>
          <cell r="EI776">
            <v>0</v>
          </cell>
          <cell r="EK776">
            <v>0</v>
          </cell>
          <cell r="EL776">
            <v>0</v>
          </cell>
          <cell r="EM776">
            <v>0</v>
          </cell>
          <cell r="EN776">
            <v>0</v>
          </cell>
          <cell r="EO776">
            <v>0</v>
          </cell>
          <cell r="EP776">
            <v>0</v>
          </cell>
          <cell r="EQ776">
            <v>0</v>
          </cell>
          <cell r="ER776">
            <v>0</v>
          </cell>
          <cell r="ES776">
            <v>0</v>
          </cell>
          <cell r="ET776">
            <v>0</v>
          </cell>
          <cell r="EU776">
            <v>0</v>
          </cell>
          <cell r="EV776">
            <v>0</v>
          </cell>
          <cell r="EW776">
            <v>0</v>
          </cell>
          <cell r="EY776">
            <v>0</v>
          </cell>
          <cell r="EZ776">
            <v>8</v>
          </cell>
          <cell r="FA776">
            <v>0</v>
          </cell>
          <cell r="FB776">
            <v>0</v>
          </cell>
          <cell r="FC776">
            <v>8.6</v>
          </cell>
          <cell r="FD776">
            <v>0</v>
          </cell>
          <cell r="FE776">
            <v>0</v>
          </cell>
          <cell r="FF776">
            <v>0</v>
          </cell>
          <cell r="FH776">
            <v>0</v>
          </cell>
        </row>
        <row r="777">
          <cell r="B777">
            <v>9912</v>
          </cell>
          <cell r="C777" t="str">
            <v>18.10.2011</v>
          </cell>
          <cell r="D777" t="str">
            <v>Bhalerao Vishwas Balu</v>
          </cell>
          <cell r="F777">
            <v>0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0</v>
          </cell>
          <cell r="AK777">
            <v>0</v>
          </cell>
          <cell r="AL777">
            <v>0</v>
          </cell>
          <cell r="AM777">
            <v>0</v>
          </cell>
          <cell r="AN777">
            <v>0</v>
          </cell>
          <cell r="AO777">
            <v>0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BA777">
            <v>0</v>
          </cell>
          <cell r="BB777">
            <v>0</v>
          </cell>
          <cell r="BC777">
            <v>0</v>
          </cell>
          <cell r="BD777">
            <v>0</v>
          </cell>
          <cell r="BE777">
            <v>0</v>
          </cell>
          <cell r="BF777">
            <v>0</v>
          </cell>
          <cell r="BG777">
            <v>0</v>
          </cell>
          <cell r="BH777">
            <v>0</v>
          </cell>
          <cell r="BI777">
            <v>0</v>
          </cell>
          <cell r="BK777">
            <v>0</v>
          </cell>
          <cell r="BL777">
            <v>0</v>
          </cell>
          <cell r="BM777">
            <v>0</v>
          </cell>
          <cell r="BN777">
            <v>0</v>
          </cell>
          <cell r="BO777">
            <v>0</v>
          </cell>
          <cell r="BP777">
            <v>0</v>
          </cell>
          <cell r="BQ777">
            <v>0</v>
          </cell>
          <cell r="BR777">
            <v>0</v>
          </cell>
          <cell r="BS777">
            <v>0</v>
          </cell>
          <cell r="BU777">
            <v>0</v>
          </cell>
          <cell r="BV777">
            <v>0</v>
          </cell>
          <cell r="BW777">
            <v>0</v>
          </cell>
          <cell r="BX777">
            <v>0</v>
          </cell>
          <cell r="BY777">
            <v>0</v>
          </cell>
          <cell r="BZ777">
            <v>0</v>
          </cell>
          <cell r="CA777">
            <v>0</v>
          </cell>
          <cell r="CB777">
            <v>0</v>
          </cell>
          <cell r="CC777">
            <v>0</v>
          </cell>
          <cell r="CE777">
            <v>0</v>
          </cell>
          <cell r="CF777">
            <v>0</v>
          </cell>
          <cell r="CG777">
            <v>0</v>
          </cell>
          <cell r="CH777">
            <v>0</v>
          </cell>
          <cell r="CI777">
            <v>0</v>
          </cell>
          <cell r="CJ777">
            <v>0</v>
          </cell>
          <cell r="CK777">
            <v>0</v>
          </cell>
          <cell r="CL777">
            <v>0</v>
          </cell>
          <cell r="CM777">
            <v>0</v>
          </cell>
          <cell r="CO777">
            <v>0</v>
          </cell>
          <cell r="CP777">
            <v>0</v>
          </cell>
          <cell r="CQ777">
            <v>0</v>
          </cell>
          <cell r="CR777">
            <v>0</v>
          </cell>
          <cell r="CS777">
            <v>0</v>
          </cell>
          <cell r="CT777">
            <v>0</v>
          </cell>
          <cell r="CU777">
            <v>0</v>
          </cell>
          <cell r="CV777">
            <v>0</v>
          </cell>
          <cell r="CW777">
            <v>0</v>
          </cell>
          <cell r="CY777">
            <v>0</v>
          </cell>
          <cell r="CZ777">
            <v>0</v>
          </cell>
          <cell r="DA777">
            <v>0</v>
          </cell>
          <cell r="DB777">
            <v>0</v>
          </cell>
          <cell r="DC777">
            <v>0</v>
          </cell>
          <cell r="DD777">
            <v>0</v>
          </cell>
          <cell r="DE777">
            <v>0</v>
          </cell>
          <cell r="DF777">
            <v>0</v>
          </cell>
          <cell r="DG777">
            <v>0</v>
          </cell>
          <cell r="DI777">
            <v>0</v>
          </cell>
          <cell r="DJ777">
            <v>0</v>
          </cell>
          <cell r="DK777">
            <v>0</v>
          </cell>
          <cell r="DL777">
            <v>0</v>
          </cell>
          <cell r="DM777">
            <v>0</v>
          </cell>
          <cell r="DN777">
            <v>0</v>
          </cell>
          <cell r="DO777">
            <v>0</v>
          </cell>
          <cell r="DP777">
            <v>0</v>
          </cell>
          <cell r="DQ777">
            <v>0</v>
          </cell>
          <cell r="DR777">
            <v>0</v>
          </cell>
          <cell r="DS777">
            <v>0</v>
          </cell>
          <cell r="DT777">
            <v>0</v>
          </cell>
          <cell r="DU777">
            <v>0</v>
          </cell>
          <cell r="DW777">
            <v>0</v>
          </cell>
          <cell r="DX777">
            <v>0</v>
          </cell>
          <cell r="DY777">
            <v>0</v>
          </cell>
          <cell r="DZ777">
            <v>0</v>
          </cell>
          <cell r="EA777">
            <v>0</v>
          </cell>
          <cell r="EB777">
            <v>0</v>
          </cell>
          <cell r="EC777">
            <v>0</v>
          </cell>
          <cell r="ED777">
            <v>0</v>
          </cell>
          <cell r="EE777">
            <v>0</v>
          </cell>
          <cell r="EF777">
            <v>0</v>
          </cell>
          <cell r="EG777">
            <v>0</v>
          </cell>
          <cell r="EH777">
            <v>0</v>
          </cell>
          <cell r="EI777">
            <v>0</v>
          </cell>
          <cell r="EK777">
            <v>0</v>
          </cell>
          <cell r="EL777">
            <v>0</v>
          </cell>
          <cell r="EM777">
            <v>0</v>
          </cell>
          <cell r="EN777">
            <v>0</v>
          </cell>
          <cell r="EO777">
            <v>0</v>
          </cell>
          <cell r="EP777">
            <v>0</v>
          </cell>
          <cell r="EQ777">
            <v>0</v>
          </cell>
          <cell r="ER777">
            <v>0</v>
          </cell>
          <cell r="ES777">
            <v>0</v>
          </cell>
          <cell r="ET777">
            <v>0</v>
          </cell>
          <cell r="EU777">
            <v>0</v>
          </cell>
          <cell r="EV777">
            <v>0</v>
          </cell>
          <cell r="EW777">
            <v>0</v>
          </cell>
          <cell r="EY777">
            <v>0</v>
          </cell>
          <cell r="EZ777">
            <v>8</v>
          </cell>
          <cell r="FA777">
            <v>0</v>
          </cell>
          <cell r="FB777">
            <v>0</v>
          </cell>
          <cell r="FC777">
            <v>8.6</v>
          </cell>
          <cell r="FD777">
            <v>0</v>
          </cell>
          <cell r="FE777">
            <v>0</v>
          </cell>
          <cell r="FF777">
            <v>0</v>
          </cell>
          <cell r="FH777">
            <v>0</v>
          </cell>
        </row>
        <row r="778">
          <cell r="B778">
            <v>9913</v>
          </cell>
          <cell r="C778" t="str">
            <v>22.10.2011</v>
          </cell>
          <cell r="D778" t="str">
            <v>Dhalwale Laxman Hiraman</v>
          </cell>
          <cell r="F778">
            <v>0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G778">
            <v>0</v>
          </cell>
          <cell r="AH778">
            <v>0</v>
          </cell>
          <cell r="AI778">
            <v>0</v>
          </cell>
          <cell r="AJ778">
            <v>0</v>
          </cell>
          <cell r="AK778">
            <v>0</v>
          </cell>
          <cell r="AL778">
            <v>0</v>
          </cell>
          <cell r="AM778">
            <v>0</v>
          </cell>
          <cell r="AN778">
            <v>0</v>
          </cell>
          <cell r="AO778">
            <v>0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  <cell r="AU778">
            <v>0</v>
          </cell>
          <cell r="AV778">
            <v>0</v>
          </cell>
          <cell r="AW778">
            <v>0</v>
          </cell>
          <cell r="AX778">
            <v>0</v>
          </cell>
          <cell r="AY778">
            <v>0</v>
          </cell>
          <cell r="BA778">
            <v>0</v>
          </cell>
          <cell r="BB778">
            <v>0</v>
          </cell>
          <cell r="BC778">
            <v>0</v>
          </cell>
          <cell r="BD778">
            <v>0</v>
          </cell>
          <cell r="BE778">
            <v>0</v>
          </cell>
          <cell r="BF778">
            <v>0</v>
          </cell>
          <cell r="BG778">
            <v>0</v>
          </cell>
          <cell r="BH778">
            <v>0</v>
          </cell>
          <cell r="BI778">
            <v>0</v>
          </cell>
          <cell r="BK778">
            <v>0</v>
          </cell>
          <cell r="BL778">
            <v>0</v>
          </cell>
          <cell r="BM778">
            <v>0</v>
          </cell>
          <cell r="BN778">
            <v>0</v>
          </cell>
          <cell r="BO778">
            <v>0</v>
          </cell>
          <cell r="BP778">
            <v>0</v>
          </cell>
          <cell r="BQ778">
            <v>0</v>
          </cell>
          <cell r="BR778">
            <v>0</v>
          </cell>
          <cell r="BS778">
            <v>0</v>
          </cell>
          <cell r="BU778">
            <v>0</v>
          </cell>
          <cell r="BV778">
            <v>0</v>
          </cell>
          <cell r="BW778">
            <v>0</v>
          </cell>
          <cell r="BX778">
            <v>0</v>
          </cell>
          <cell r="BY778">
            <v>0</v>
          </cell>
          <cell r="BZ778">
            <v>0</v>
          </cell>
          <cell r="CA778">
            <v>0</v>
          </cell>
          <cell r="CB778">
            <v>0</v>
          </cell>
          <cell r="CC778">
            <v>0</v>
          </cell>
          <cell r="CE778">
            <v>0</v>
          </cell>
          <cell r="CF778">
            <v>0</v>
          </cell>
          <cell r="CG778">
            <v>0</v>
          </cell>
          <cell r="CH778">
            <v>0</v>
          </cell>
          <cell r="CI778">
            <v>0</v>
          </cell>
          <cell r="CJ778">
            <v>0</v>
          </cell>
          <cell r="CK778">
            <v>0</v>
          </cell>
          <cell r="CL778">
            <v>0</v>
          </cell>
          <cell r="CM778">
            <v>0</v>
          </cell>
          <cell r="CO778">
            <v>0</v>
          </cell>
          <cell r="CP778">
            <v>0</v>
          </cell>
          <cell r="CQ778">
            <v>0</v>
          </cell>
          <cell r="CR778">
            <v>0</v>
          </cell>
          <cell r="CS778">
            <v>0</v>
          </cell>
          <cell r="CT778">
            <v>0</v>
          </cell>
          <cell r="CU778">
            <v>0</v>
          </cell>
          <cell r="CV778">
            <v>0</v>
          </cell>
          <cell r="CW778">
            <v>0</v>
          </cell>
          <cell r="CY778">
            <v>0</v>
          </cell>
          <cell r="CZ778">
            <v>0</v>
          </cell>
          <cell r="DA778">
            <v>0</v>
          </cell>
          <cell r="DB778">
            <v>0</v>
          </cell>
          <cell r="DC778">
            <v>0</v>
          </cell>
          <cell r="DD778">
            <v>0</v>
          </cell>
          <cell r="DE778">
            <v>0</v>
          </cell>
          <cell r="DF778">
            <v>0</v>
          </cell>
          <cell r="DG778">
            <v>0</v>
          </cell>
          <cell r="DI778">
            <v>0</v>
          </cell>
          <cell r="DJ778">
            <v>0</v>
          </cell>
          <cell r="DK778">
            <v>0</v>
          </cell>
          <cell r="DL778">
            <v>0</v>
          </cell>
          <cell r="DM778">
            <v>0</v>
          </cell>
          <cell r="DN778">
            <v>0</v>
          </cell>
          <cell r="DO778">
            <v>0</v>
          </cell>
          <cell r="DP778">
            <v>0</v>
          </cell>
          <cell r="DQ778">
            <v>0</v>
          </cell>
          <cell r="DR778">
            <v>0</v>
          </cell>
          <cell r="DS778">
            <v>0</v>
          </cell>
          <cell r="DT778">
            <v>0</v>
          </cell>
          <cell r="DU778">
            <v>0</v>
          </cell>
          <cell r="DW778">
            <v>0</v>
          </cell>
          <cell r="DX778">
            <v>0</v>
          </cell>
          <cell r="DY778">
            <v>0</v>
          </cell>
          <cell r="DZ778">
            <v>0</v>
          </cell>
          <cell r="EA778">
            <v>0</v>
          </cell>
          <cell r="EB778">
            <v>0</v>
          </cell>
          <cell r="EC778">
            <v>0</v>
          </cell>
          <cell r="ED778">
            <v>0</v>
          </cell>
          <cell r="EE778">
            <v>0</v>
          </cell>
          <cell r="EF778">
            <v>0</v>
          </cell>
          <cell r="EG778">
            <v>0</v>
          </cell>
          <cell r="EH778">
            <v>0</v>
          </cell>
          <cell r="EI778">
            <v>0</v>
          </cell>
          <cell r="EK778">
            <v>0</v>
          </cell>
          <cell r="EL778">
            <v>0</v>
          </cell>
          <cell r="EM778">
            <v>0</v>
          </cell>
          <cell r="EN778">
            <v>0</v>
          </cell>
          <cell r="EO778">
            <v>0</v>
          </cell>
          <cell r="EP778">
            <v>0</v>
          </cell>
          <cell r="EQ778">
            <v>0</v>
          </cell>
          <cell r="ER778">
            <v>0</v>
          </cell>
          <cell r="ES778">
            <v>0</v>
          </cell>
          <cell r="ET778">
            <v>0</v>
          </cell>
          <cell r="EU778">
            <v>0</v>
          </cell>
          <cell r="EV778">
            <v>0</v>
          </cell>
          <cell r="EW778">
            <v>0</v>
          </cell>
          <cell r="EY778">
            <v>0</v>
          </cell>
          <cell r="EZ778">
            <v>8</v>
          </cell>
          <cell r="FA778">
            <v>0</v>
          </cell>
          <cell r="FB778">
            <v>0</v>
          </cell>
          <cell r="FC778">
            <v>8.6</v>
          </cell>
          <cell r="FD778">
            <v>0</v>
          </cell>
          <cell r="FE778">
            <v>0</v>
          </cell>
          <cell r="FF778">
            <v>0</v>
          </cell>
          <cell r="FH778">
            <v>0</v>
          </cell>
        </row>
        <row r="779">
          <cell r="B779">
            <v>9914</v>
          </cell>
          <cell r="C779" t="str">
            <v>16.11.2011</v>
          </cell>
          <cell r="D779" t="str">
            <v>Tak Sandip Surajbhan</v>
          </cell>
          <cell r="F779">
            <v>0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0</v>
          </cell>
          <cell r="AK779">
            <v>0</v>
          </cell>
          <cell r="AL779">
            <v>0</v>
          </cell>
          <cell r="AM779">
            <v>0</v>
          </cell>
          <cell r="AN779">
            <v>0</v>
          </cell>
          <cell r="AO779">
            <v>0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BA779">
            <v>0</v>
          </cell>
          <cell r="BB779">
            <v>0</v>
          </cell>
          <cell r="BC779">
            <v>0</v>
          </cell>
          <cell r="BD779">
            <v>0</v>
          </cell>
          <cell r="BE779">
            <v>0</v>
          </cell>
          <cell r="BF779">
            <v>0</v>
          </cell>
          <cell r="BG779">
            <v>0</v>
          </cell>
          <cell r="BH779">
            <v>0</v>
          </cell>
          <cell r="BI779">
            <v>0</v>
          </cell>
          <cell r="BK779">
            <v>0</v>
          </cell>
          <cell r="BL779">
            <v>0</v>
          </cell>
          <cell r="BM779">
            <v>0</v>
          </cell>
          <cell r="BN779">
            <v>0</v>
          </cell>
          <cell r="BO779">
            <v>0</v>
          </cell>
          <cell r="BP779">
            <v>0</v>
          </cell>
          <cell r="BQ779">
            <v>0</v>
          </cell>
          <cell r="BR779">
            <v>0</v>
          </cell>
          <cell r="BS779">
            <v>0</v>
          </cell>
          <cell r="BU779">
            <v>0</v>
          </cell>
          <cell r="BV779">
            <v>0</v>
          </cell>
          <cell r="BW779">
            <v>0</v>
          </cell>
          <cell r="BX779">
            <v>0</v>
          </cell>
          <cell r="BY779">
            <v>0</v>
          </cell>
          <cell r="BZ779">
            <v>0</v>
          </cell>
          <cell r="CA779">
            <v>0</v>
          </cell>
          <cell r="CB779">
            <v>0</v>
          </cell>
          <cell r="CC779">
            <v>0</v>
          </cell>
          <cell r="CE779">
            <v>0</v>
          </cell>
          <cell r="CF779">
            <v>0</v>
          </cell>
          <cell r="CG779">
            <v>0</v>
          </cell>
          <cell r="CH779">
            <v>0</v>
          </cell>
          <cell r="CI779">
            <v>0</v>
          </cell>
          <cell r="CJ779">
            <v>0</v>
          </cell>
          <cell r="CK779">
            <v>0</v>
          </cell>
          <cell r="CL779">
            <v>0</v>
          </cell>
          <cell r="CM779">
            <v>0</v>
          </cell>
          <cell r="CO779">
            <v>0</v>
          </cell>
          <cell r="CP779">
            <v>0</v>
          </cell>
          <cell r="CQ779">
            <v>0</v>
          </cell>
          <cell r="CR779">
            <v>0</v>
          </cell>
          <cell r="CS779">
            <v>0</v>
          </cell>
          <cell r="CT779">
            <v>0</v>
          </cell>
          <cell r="CU779">
            <v>0</v>
          </cell>
          <cell r="CV779">
            <v>0</v>
          </cell>
          <cell r="CW779">
            <v>0</v>
          </cell>
          <cell r="CY779">
            <v>0</v>
          </cell>
          <cell r="CZ779">
            <v>0</v>
          </cell>
          <cell r="DA779">
            <v>0</v>
          </cell>
          <cell r="DB779">
            <v>0</v>
          </cell>
          <cell r="DC779">
            <v>0</v>
          </cell>
          <cell r="DD779">
            <v>0</v>
          </cell>
          <cell r="DE779">
            <v>0</v>
          </cell>
          <cell r="DF779">
            <v>0</v>
          </cell>
          <cell r="DG779">
            <v>0</v>
          </cell>
          <cell r="DI779">
            <v>0</v>
          </cell>
          <cell r="DJ779">
            <v>0</v>
          </cell>
          <cell r="DK779">
            <v>0</v>
          </cell>
          <cell r="DL779">
            <v>0</v>
          </cell>
          <cell r="DM779">
            <v>0</v>
          </cell>
          <cell r="DN779">
            <v>0</v>
          </cell>
          <cell r="DO779">
            <v>0</v>
          </cell>
          <cell r="DP779">
            <v>0</v>
          </cell>
          <cell r="DQ779">
            <v>0</v>
          </cell>
          <cell r="DR779">
            <v>0</v>
          </cell>
          <cell r="DS779">
            <v>0</v>
          </cell>
          <cell r="DT779">
            <v>0</v>
          </cell>
          <cell r="DU779">
            <v>0</v>
          </cell>
          <cell r="DW779">
            <v>0</v>
          </cell>
          <cell r="DX779">
            <v>0</v>
          </cell>
          <cell r="DY779">
            <v>0</v>
          </cell>
          <cell r="DZ779">
            <v>0</v>
          </cell>
          <cell r="EA779">
            <v>0</v>
          </cell>
          <cell r="EB779">
            <v>0</v>
          </cell>
          <cell r="EC779">
            <v>0</v>
          </cell>
          <cell r="ED779">
            <v>0</v>
          </cell>
          <cell r="EE779">
            <v>0</v>
          </cell>
          <cell r="EF779">
            <v>0</v>
          </cell>
          <cell r="EG779">
            <v>0</v>
          </cell>
          <cell r="EH779">
            <v>0</v>
          </cell>
          <cell r="EI779">
            <v>0</v>
          </cell>
          <cell r="EK779">
            <v>0</v>
          </cell>
          <cell r="EL779">
            <v>0</v>
          </cell>
          <cell r="EM779">
            <v>0</v>
          </cell>
          <cell r="EN779">
            <v>0</v>
          </cell>
          <cell r="EO779">
            <v>0</v>
          </cell>
          <cell r="EP779">
            <v>0</v>
          </cell>
          <cell r="EQ779">
            <v>0</v>
          </cell>
          <cell r="ER779">
            <v>0</v>
          </cell>
          <cell r="ES779">
            <v>0</v>
          </cell>
          <cell r="ET779">
            <v>0</v>
          </cell>
          <cell r="EU779">
            <v>0</v>
          </cell>
          <cell r="EV779">
            <v>0</v>
          </cell>
          <cell r="EW779">
            <v>0</v>
          </cell>
          <cell r="EY779">
            <v>0</v>
          </cell>
          <cell r="EZ779">
            <v>8</v>
          </cell>
          <cell r="FA779">
            <v>0</v>
          </cell>
          <cell r="FB779">
            <v>0</v>
          </cell>
          <cell r="FC779">
            <v>8.6</v>
          </cell>
          <cell r="FD779">
            <v>0</v>
          </cell>
          <cell r="FE779">
            <v>0</v>
          </cell>
          <cell r="FF779">
            <v>0</v>
          </cell>
          <cell r="FH779">
            <v>0</v>
          </cell>
        </row>
        <row r="780">
          <cell r="B780">
            <v>9915</v>
          </cell>
          <cell r="C780" t="str">
            <v>24.11.2011</v>
          </cell>
          <cell r="D780" t="str">
            <v>Chavan Laxman Balasaheb</v>
          </cell>
          <cell r="F780">
            <v>0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BA780">
            <v>0</v>
          </cell>
          <cell r="BB780">
            <v>0</v>
          </cell>
          <cell r="BC780">
            <v>0</v>
          </cell>
          <cell r="BD780">
            <v>0</v>
          </cell>
          <cell r="BE780">
            <v>0</v>
          </cell>
          <cell r="BF780">
            <v>0</v>
          </cell>
          <cell r="BG780">
            <v>0</v>
          </cell>
          <cell r="BH780">
            <v>0</v>
          </cell>
          <cell r="BI780">
            <v>0</v>
          </cell>
          <cell r="BK780">
            <v>0</v>
          </cell>
          <cell r="BL780">
            <v>0</v>
          </cell>
          <cell r="BM780">
            <v>0</v>
          </cell>
          <cell r="BN780">
            <v>0</v>
          </cell>
          <cell r="BO780">
            <v>0</v>
          </cell>
          <cell r="BP780">
            <v>0</v>
          </cell>
          <cell r="BQ780">
            <v>0</v>
          </cell>
          <cell r="BR780">
            <v>0</v>
          </cell>
          <cell r="BS780">
            <v>0</v>
          </cell>
          <cell r="BU780">
            <v>0</v>
          </cell>
          <cell r="BV780">
            <v>0</v>
          </cell>
          <cell r="BW780">
            <v>0</v>
          </cell>
          <cell r="BX780">
            <v>0</v>
          </cell>
          <cell r="BY780">
            <v>0</v>
          </cell>
          <cell r="BZ780">
            <v>0</v>
          </cell>
          <cell r="CA780">
            <v>0</v>
          </cell>
          <cell r="CB780">
            <v>0</v>
          </cell>
          <cell r="CC780">
            <v>0</v>
          </cell>
          <cell r="CE780">
            <v>0</v>
          </cell>
          <cell r="CF780">
            <v>0</v>
          </cell>
          <cell r="CG780">
            <v>0</v>
          </cell>
          <cell r="CH780">
            <v>0</v>
          </cell>
          <cell r="CI780">
            <v>0</v>
          </cell>
          <cell r="CJ780">
            <v>0</v>
          </cell>
          <cell r="CK780">
            <v>0</v>
          </cell>
          <cell r="CL780">
            <v>0</v>
          </cell>
          <cell r="CM780">
            <v>0</v>
          </cell>
          <cell r="CO780">
            <v>0</v>
          </cell>
          <cell r="CP780">
            <v>0</v>
          </cell>
          <cell r="CQ780">
            <v>0</v>
          </cell>
          <cell r="CR780">
            <v>0</v>
          </cell>
          <cell r="CS780">
            <v>0</v>
          </cell>
          <cell r="CT780">
            <v>0</v>
          </cell>
          <cell r="CU780">
            <v>0</v>
          </cell>
          <cell r="CV780">
            <v>0</v>
          </cell>
          <cell r="CW780">
            <v>0</v>
          </cell>
          <cell r="CY780">
            <v>0</v>
          </cell>
          <cell r="CZ780">
            <v>0</v>
          </cell>
          <cell r="DA780">
            <v>0</v>
          </cell>
          <cell r="DB780">
            <v>0</v>
          </cell>
          <cell r="DC780">
            <v>0</v>
          </cell>
          <cell r="DD780">
            <v>0</v>
          </cell>
          <cell r="DE780">
            <v>0</v>
          </cell>
          <cell r="DF780">
            <v>0</v>
          </cell>
          <cell r="DG780">
            <v>0</v>
          </cell>
          <cell r="DI780">
            <v>0</v>
          </cell>
          <cell r="DJ780">
            <v>0</v>
          </cell>
          <cell r="DK780">
            <v>0</v>
          </cell>
          <cell r="DL780">
            <v>0</v>
          </cell>
          <cell r="DM780">
            <v>0</v>
          </cell>
          <cell r="DN780">
            <v>0</v>
          </cell>
          <cell r="DO780">
            <v>0</v>
          </cell>
          <cell r="DP780">
            <v>0</v>
          </cell>
          <cell r="DQ780">
            <v>0</v>
          </cell>
          <cell r="DR780">
            <v>0</v>
          </cell>
          <cell r="DS780">
            <v>0</v>
          </cell>
          <cell r="DT780">
            <v>0</v>
          </cell>
          <cell r="DU780">
            <v>0</v>
          </cell>
          <cell r="DW780">
            <v>0</v>
          </cell>
          <cell r="DX780">
            <v>0</v>
          </cell>
          <cell r="DY780">
            <v>0</v>
          </cell>
          <cell r="DZ780">
            <v>0</v>
          </cell>
          <cell r="EA780">
            <v>0</v>
          </cell>
          <cell r="EB780">
            <v>0</v>
          </cell>
          <cell r="EC780">
            <v>0</v>
          </cell>
          <cell r="ED780">
            <v>0</v>
          </cell>
          <cell r="EE780">
            <v>0</v>
          </cell>
          <cell r="EF780">
            <v>0</v>
          </cell>
          <cell r="EG780">
            <v>0</v>
          </cell>
          <cell r="EH780">
            <v>0</v>
          </cell>
          <cell r="EI780">
            <v>0</v>
          </cell>
          <cell r="EK780">
            <v>0</v>
          </cell>
          <cell r="EL780">
            <v>0</v>
          </cell>
          <cell r="EM780">
            <v>0</v>
          </cell>
          <cell r="EN780">
            <v>0</v>
          </cell>
          <cell r="EO780">
            <v>0</v>
          </cell>
          <cell r="EP780">
            <v>0</v>
          </cell>
          <cell r="EQ780">
            <v>0</v>
          </cell>
          <cell r="ER780">
            <v>0</v>
          </cell>
          <cell r="ES780">
            <v>0</v>
          </cell>
          <cell r="ET780">
            <v>0</v>
          </cell>
          <cell r="EU780">
            <v>0</v>
          </cell>
          <cell r="EV780">
            <v>0</v>
          </cell>
          <cell r="EW780">
            <v>0</v>
          </cell>
          <cell r="EY780">
            <v>0</v>
          </cell>
          <cell r="EZ780">
            <v>8</v>
          </cell>
          <cell r="FA780">
            <v>0</v>
          </cell>
          <cell r="FB780">
            <v>0</v>
          </cell>
          <cell r="FC780">
            <v>8.6</v>
          </cell>
          <cell r="FD780">
            <v>0</v>
          </cell>
          <cell r="FE780">
            <v>0</v>
          </cell>
          <cell r="FF780">
            <v>0</v>
          </cell>
          <cell r="FH780">
            <v>0</v>
          </cell>
        </row>
        <row r="781">
          <cell r="B781">
            <v>9916</v>
          </cell>
          <cell r="C781" t="str">
            <v>24.11.2011</v>
          </cell>
          <cell r="D781" t="str">
            <v>Birute Sagar Uttam</v>
          </cell>
          <cell r="F781">
            <v>0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0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0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BA781">
            <v>0</v>
          </cell>
          <cell r="BB781">
            <v>0</v>
          </cell>
          <cell r="BC781">
            <v>0</v>
          </cell>
          <cell r="BD781">
            <v>0</v>
          </cell>
          <cell r="BE781">
            <v>0</v>
          </cell>
          <cell r="BF781">
            <v>0</v>
          </cell>
          <cell r="BG781">
            <v>0</v>
          </cell>
          <cell r="BH781">
            <v>0</v>
          </cell>
          <cell r="BI781">
            <v>0</v>
          </cell>
          <cell r="BK781">
            <v>0</v>
          </cell>
          <cell r="BL781">
            <v>0</v>
          </cell>
          <cell r="BM781">
            <v>0</v>
          </cell>
          <cell r="BN781">
            <v>0</v>
          </cell>
          <cell r="BO781">
            <v>0</v>
          </cell>
          <cell r="BP781">
            <v>0</v>
          </cell>
          <cell r="BQ781">
            <v>0</v>
          </cell>
          <cell r="BR781">
            <v>0</v>
          </cell>
          <cell r="BS781">
            <v>0</v>
          </cell>
          <cell r="BU781">
            <v>0</v>
          </cell>
          <cell r="BV781">
            <v>0</v>
          </cell>
          <cell r="BW781">
            <v>0</v>
          </cell>
          <cell r="BX781">
            <v>0</v>
          </cell>
          <cell r="BY781">
            <v>0</v>
          </cell>
          <cell r="BZ781">
            <v>0</v>
          </cell>
          <cell r="CA781">
            <v>0</v>
          </cell>
          <cell r="CB781">
            <v>0</v>
          </cell>
          <cell r="CC781">
            <v>0</v>
          </cell>
          <cell r="CE781">
            <v>0</v>
          </cell>
          <cell r="CF781">
            <v>0</v>
          </cell>
          <cell r="CG781">
            <v>0</v>
          </cell>
          <cell r="CH781">
            <v>0</v>
          </cell>
          <cell r="CI781">
            <v>0</v>
          </cell>
          <cell r="CJ781">
            <v>0</v>
          </cell>
          <cell r="CK781">
            <v>0</v>
          </cell>
          <cell r="CL781">
            <v>0</v>
          </cell>
          <cell r="CM781">
            <v>0</v>
          </cell>
          <cell r="CO781">
            <v>0</v>
          </cell>
          <cell r="CP781">
            <v>0</v>
          </cell>
          <cell r="CQ781">
            <v>0</v>
          </cell>
          <cell r="CR781">
            <v>0</v>
          </cell>
          <cell r="CS781">
            <v>0</v>
          </cell>
          <cell r="CT781">
            <v>0</v>
          </cell>
          <cell r="CU781">
            <v>0</v>
          </cell>
          <cell r="CV781">
            <v>0</v>
          </cell>
          <cell r="CW781">
            <v>0</v>
          </cell>
          <cell r="CY781">
            <v>0</v>
          </cell>
          <cell r="CZ781">
            <v>0</v>
          </cell>
          <cell r="DA781">
            <v>0</v>
          </cell>
          <cell r="DB781">
            <v>0</v>
          </cell>
          <cell r="DC781">
            <v>0</v>
          </cell>
          <cell r="DD781">
            <v>0</v>
          </cell>
          <cell r="DE781">
            <v>0</v>
          </cell>
          <cell r="DF781">
            <v>0</v>
          </cell>
          <cell r="DG781">
            <v>0</v>
          </cell>
          <cell r="DI781">
            <v>0</v>
          </cell>
          <cell r="DJ781">
            <v>0</v>
          </cell>
          <cell r="DK781">
            <v>0</v>
          </cell>
          <cell r="DL781">
            <v>0</v>
          </cell>
          <cell r="DM781">
            <v>0</v>
          </cell>
          <cell r="DN781">
            <v>0</v>
          </cell>
          <cell r="DO781">
            <v>0</v>
          </cell>
          <cell r="DP781">
            <v>0</v>
          </cell>
          <cell r="DQ781">
            <v>0</v>
          </cell>
          <cell r="DR781">
            <v>0</v>
          </cell>
          <cell r="DS781">
            <v>0</v>
          </cell>
          <cell r="DT781">
            <v>0</v>
          </cell>
          <cell r="DU781">
            <v>0</v>
          </cell>
          <cell r="DW781">
            <v>0</v>
          </cell>
          <cell r="DX781">
            <v>0</v>
          </cell>
          <cell r="DY781">
            <v>0</v>
          </cell>
          <cell r="DZ781">
            <v>0</v>
          </cell>
          <cell r="EA781">
            <v>0</v>
          </cell>
          <cell r="EB781">
            <v>0</v>
          </cell>
          <cell r="EC781">
            <v>0</v>
          </cell>
          <cell r="ED781">
            <v>0</v>
          </cell>
          <cell r="EE781">
            <v>0</v>
          </cell>
          <cell r="EF781">
            <v>0</v>
          </cell>
          <cell r="EG781">
            <v>0</v>
          </cell>
          <cell r="EH781">
            <v>0</v>
          </cell>
          <cell r="EI781">
            <v>0</v>
          </cell>
          <cell r="EK781">
            <v>0</v>
          </cell>
          <cell r="EL781">
            <v>0</v>
          </cell>
          <cell r="EM781">
            <v>0</v>
          </cell>
          <cell r="EN781">
            <v>0</v>
          </cell>
          <cell r="EO781">
            <v>0</v>
          </cell>
          <cell r="EP781">
            <v>0</v>
          </cell>
          <cell r="EQ781">
            <v>0</v>
          </cell>
          <cell r="ER781">
            <v>0</v>
          </cell>
          <cell r="ES781">
            <v>0</v>
          </cell>
          <cell r="ET781">
            <v>0</v>
          </cell>
          <cell r="EU781">
            <v>0</v>
          </cell>
          <cell r="EV781">
            <v>0</v>
          </cell>
          <cell r="EW781">
            <v>0</v>
          </cell>
          <cell r="EY781">
            <v>0</v>
          </cell>
          <cell r="EZ781">
            <v>8</v>
          </cell>
          <cell r="FA781">
            <v>0</v>
          </cell>
          <cell r="FB781">
            <v>0</v>
          </cell>
          <cell r="FC781">
            <v>8.6</v>
          </cell>
          <cell r="FD781">
            <v>0</v>
          </cell>
          <cell r="FE781">
            <v>0</v>
          </cell>
          <cell r="FF781">
            <v>0</v>
          </cell>
          <cell r="FH781">
            <v>0</v>
          </cell>
        </row>
        <row r="782">
          <cell r="B782">
            <v>9917</v>
          </cell>
          <cell r="C782" t="str">
            <v>24.11.2011</v>
          </cell>
          <cell r="D782" t="str">
            <v>Chandaliya Poonam Ajay</v>
          </cell>
          <cell r="F782">
            <v>0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0</v>
          </cell>
          <cell r="AA782">
            <v>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BA782">
            <v>0</v>
          </cell>
          <cell r="BB782">
            <v>0</v>
          </cell>
          <cell r="BC782">
            <v>0</v>
          </cell>
          <cell r="BD782">
            <v>0</v>
          </cell>
          <cell r="BE782">
            <v>0</v>
          </cell>
          <cell r="BF782">
            <v>0</v>
          </cell>
          <cell r="BG782">
            <v>0</v>
          </cell>
          <cell r="BH782">
            <v>0</v>
          </cell>
          <cell r="BI782">
            <v>0</v>
          </cell>
          <cell r="BK782">
            <v>0</v>
          </cell>
          <cell r="BL782">
            <v>0</v>
          </cell>
          <cell r="BM782">
            <v>0</v>
          </cell>
          <cell r="BN782">
            <v>0</v>
          </cell>
          <cell r="BO782">
            <v>0</v>
          </cell>
          <cell r="BP782">
            <v>0</v>
          </cell>
          <cell r="BQ782">
            <v>0</v>
          </cell>
          <cell r="BR782">
            <v>0</v>
          </cell>
          <cell r="BS782">
            <v>0</v>
          </cell>
          <cell r="BU782">
            <v>0</v>
          </cell>
          <cell r="BV782">
            <v>0</v>
          </cell>
          <cell r="BW782">
            <v>0</v>
          </cell>
          <cell r="BX782">
            <v>0</v>
          </cell>
          <cell r="BY782">
            <v>0</v>
          </cell>
          <cell r="BZ782">
            <v>0</v>
          </cell>
          <cell r="CA782">
            <v>0</v>
          </cell>
          <cell r="CB782">
            <v>0</v>
          </cell>
          <cell r="CC782">
            <v>0</v>
          </cell>
          <cell r="CE782">
            <v>0</v>
          </cell>
          <cell r="CF782">
            <v>0</v>
          </cell>
          <cell r="CG782">
            <v>0</v>
          </cell>
          <cell r="CH782">
            <v>0</v>
          </cell>
          <cell r="CI782">
            <v>0</v>
          </cell>
          <cell r="CJ782">
            <v>0</v>
          </cell>
          <cell r="CK782">
            <v>0</v>
          </cell>
          <cell r="CL782">
            <v>0</v>
          </cell>
          <cell r="CM782">
            <v>0</v>
          </cell>
          <cell r="CO782">
            <v>0</v>
          </cell>
          <cell r="CP782">
            <v>0</v>
          </cell>
          <cell r="CQ782">
            <v>0</v>
          </cell>
          <cell r="CR782">
            <v>0</v>
          </cell>
          <cell r="CS782">
            <v>0</v>
          </cell>
          <cell r="CT782">
            <v>0</v>
          </cell>
          <cell r="CU782">
            <v>0</v>
          </cell>
          <cell r="CV782">
            <v>0</v>
          </cell>
          <cell r="CW782">
            <v>0</v>
          </cell>
          <cell r="CY782">
            <v>0</v>
          </cell>
          <cell r="CZ782">
            <v>0</v>
          </cell>
          <cell r="DA782">
            <v>0</v>
          </cell>
          <cell r="DB782">
            <v>0</v>
          </cell>
          <cell r="DC782">
            <v>0</v>
          </cell>
          <cell r="DD782">
            <v>0</v>
          </cell>
          <cell r="DE782">
            <v>0</v>
          </cell>
          <cell r="DF782">
            <v>0</v>
          </cell>
          <cell r="DG782">
            <v>0</v>
          </cell>
          <cell r="DI782">
            <v>0</v>
          </cell>
          <cell r="DJ782">
            <v>0</v>
          </cell>
          <cell r="DK782">
            <v>0</v>
          </cell>
          <cell r="DL782">
            <v>0</v>
          </cell>
          <cell r="DM782">
            <v>0</v>
          </cell>
          <cell r="DN782">
            <v>0</v>
          </cell>
          <cell r="DO782">
            <v>0</v>
          </cell>
          <cell r="DP782">
            <v>0</v>
          </cell>
          <cell r="DQ782">
            <v>0</v>
          </cell>
          <cell r="DR782">
            <v>0</v>
          </cell>
          <cell r="DS782">
            <v>0</v>
          </cell>
          <cell r="DT782">
            <v>0</v>
          </cell>
          <cell r="DU782">
            <v>0</v>
          </cell>
          <cell r="DW782">
            <v>0</v>
          </cell>
          <cell r="DX782">
            <v>0</v>
          </cell>
          <cell r="DY782">
            <v>0</v>
          </cell>
          <cell r="DZ782">
            <v>0</v>
          </cell>
          <cell r="EA782">
            <v>0</v>
          </cell>
          <cell r="EB782">
            <v>0</v>
          </cell>
          <cell r="EC782">
            <v>0</v>
          </cell>
          <cell r="ED782">
            <v>0</v>
          </cell>
          <cell r="EE782">
            <v>0</v>
          </cell>
          <cell r="EF782">
            <v>0</v>
          </cell>
          <cell r="EG782">
            <v>0</v>
          </cell>
          <cell r="EH782">
            <v>0</v>
          </cell>
          <cell r="EI782">
            <v>0</v>
          </cell>
          <cell r="EK782">
            <v>0</v>
          </cell>
          <cell r="EL782">
            <v>0</v>
          </cell>
          <cell r="EM782">
            <v>0</v>
          </cell>
          <cell r="EN782">
            <v>0</v>
          </cell>
          <cell r="EO782">
            <v>0</v>
          </cell>
          <cell r="EP782">
            <v>0</v>
          </cell>
          <cell r="EQ782">
            <v>0</v>
          </cell>
          <cell r="ER782">
            <v>0</v>
          </cell>
          <cell r="ES782">
            <v>0</v>
          </cell>
          <cell r="ET782">
            <v>0</v>
          </cell>
          <cell r="EU782">
            <v>0</v>
          </cell>
          <cell r="EV782">
            <v>0</v>
          </cell>
          <cell r="EW782">
            <v>0</v>
          </cell>
          <cell r="EY782">
            <v>0</v>
          </cell>
          <cell r="EZ782">
            <v>8</v>
          </cell>
          <cell r="FA782">
            <v>0</v>
          </cell>
          <cell r="FB782">
            <v>0</v>
          </cell>
          <cell r="FC782">
            <v>8.6</v>
          </cell>
          <cell r="FD782">
            <v>0</v>
          </cell>
          <cell r="FE782">
            <v>0</v>
          </cell>
          <cell r="FF782">
            <v>0</v>
          </cell>
          <cell r="FH782">
            <v>0</v>
          </cell>
        </row>
        <row r="783">
          <cell r="B783">
            <v>9918</v>
          </cell>
          <cell r="C783" t="str">
            <v>25.11.2011</v>
          </cell>
          <cell r="D783" t="str">
            <v>Kale Jagdish Kalu</v>
          </cell>
          <cell r="F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0</v>
          </cell>
          <cell r="AA783">
            <v>0</v>
          </cell>
          <cell r="AB783">
            <v>0</v>
          </cell>
          <cell r="AC783">
            <v>0</v>
          </cell>
          <cell r="AD783">
            <v>0</v>
          </cell>
          <cell r="AE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0</v>
          </cell>
          <cell r="AK783">
            <v>0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BA783">
            <v>0</v>
          </cell>
          <cell r="BB783">
            <v>0</v>
          </cell>
          <cell r="BC783">
            <v>0</v>
          </cell>
          <cell r="BD783">
            <v>0</v>
          </cell>
          <cell r="BE783">
            <v>0</v>
          </cell>
          <cell r="BF783">
            <v>0</v>
          </cell>
          <cell r="BG783">
            <v>0</v>
          </cell>
          <cell r="BH783">
            <v>0</v>
          </cell>
          <cell r="BI783">
            <v>0</v>
          </cell>
          <cell r="BK783">
            <v>0</v>
          </cell>
          <cell r="BL783">
            <v>0</v>
          </cell>
          <cell r="BM783">
            <v>0</v>
          </cell>
          <cell r="BN783">
            <v>0</v>
          </cell>
          <cell r="BO783">
            <v>0</v>
          </cell>
          <cell r="BP783">
            <v>0</v>
          </cell>
          <cell r="BQ783">
            <v>0</v>
          </cell>
          <cell r="BR783">
            <v>0</v>
          </cell>
          <cell r="BS783">
            <v>0</v>
          </cell>
          <cell r="BU783">
            <v>0</v>
          </cell>
          <cell r="BV783">
            <v>0</v>
          </cell>
          <cell r="BW783">
            <v>0</v>
          </cell>
          <cell r="BX783">
            <v>0</v>
          </cell>
          <cell r="BY783">
            <v>0</v>
          </cell>
          <cell r="BZ783">
            <v>0</v>
          </cell>
          <cell r="CA783">
            <v>0</v>
          </cell>
          <cell r="CB783">
            <v>0</v>
          </cell>
          <cell r="CC783">
            <v>0</v>
          </cell>
          <cell r="CE783">
            <v>0</v>
          </cell>
          <cell r="CF783">
            <v>0</v>
          </cell>
          <cell r="CG783">
            <v>0</v>
          </cell>
          <cell r="CH783">
            <v>0</v>
          </cell>
          <cell r="CI783">
            <v>0</v>
          </cell>
          <cell r="CJ783">
            <v>0</v>
          </cell>
          <cell r="CK783">
            <v>0</v>
          </cell>
          <cell r="CL783">
            <v>0</v>
          </cell>
          <cell r="CM783">
            <v>0</v>
          </cell>
          <cell r="CO783">
            <v>0</v>
          </cell>
          <cell r="CP783">
            <v>0</v>
          </cell>
          <cell r="CQ783">
            <v>0</v>
          </cell>
          <cell r="CR783">
            <v>0</v>
          </cell>
          <cell r="CS783">
            <v>0</v>
          </cell>
          <cell r="CT783">
            <v>0</v>
          </cell>
          <cell r="CU783">
            <v>0</v>
          </cell>
          <cell r="CV783">
            <v>0</v>
          </cell>
          <cell r="CW783">
            <v>0</v>
          </cell>
          <cell r="CY783">
            <v>0</v>
          </cell>
          <cell r="CZ783">
            <v>0</v>
          </cell>
          <cell r="DA783">
            <v>0</v>
          </cell>
          <cell r="DB783">
            <v>0</v>
          </cell>
          <cell r="DC783">
            <v>0</v>
          </cell>
          <cell r="DD783">
            <v>0</v>
          </cell>
          <cell r="DE783">
            <v>0</v>
          </cell>
          <cell r="DF783">
            <v>0</v>
          </cell>
          <cell r="DG783">
            <v>0</v>
          </cell>
          <cell r="DI783">
            <v>0</v>
          </cell>
          <cell r="DJ783">
            <v>0</v>
          </cell>
          <cell r="DK783">
            <v>0</v>
          </cell>
          <cell r="DL783">
            <v>0</v>
          </cell>
          <cell r="DM783">
            <v>0</v>
          </cell>
          <cell r="DN783">
            <v>0</v>
          </cell>
          <cell r="DO783">
            <v>0</v>
          </cell>
          <cell r="DP783">
            <v>0</v>
          </cell>
          <cell r="DQ783">
            <v>0</v>
          </cell>
          <cell r="DR783">
            <v>0</v>
          </cell>
          <cell r="DS783">
            <v>0</v>
          </cell>
          <cell r="DT783">
            <v>0</v>
          </cell>
          <cell r="DU783">
            <v>0</v>
          </cell>
          <cell r="DW783">
            <v>0</v>
          </cell>
          <cell r="DX783">
            <v>0</v>
          </cell>
          <cell r="DY783">
            <v>0</v>
          </cell>
          <cell r="DZ783">
            <v>0</v>
          </cell>
          <cell r="EA783">
            <v>0</v>
          </cell>
          <cell r="EB783">
            <v>0</v>
          </cell>
          <cell r="EC783">
            <v>0</v>
          </cell>
          <cell r="ED783">
            <v>0</v>
          </cell>
          <cell r="EE783">
            <v>0</v>
          </cell>
          <cell r="EF783">
            <v>0</v>
          </cell>
          <cell r="EG783">
            <v>0</v>
          </cell>
          <cell r="EH783">
            <v>0</v>
          </cell>
          <cell r="EI783">
            <v>0</v>
          </cell>
          <cell r="EK783">
            <v>0</v>
          </cell>
          <cell r="EL783">
            <v>0</v>
          </cell>
          <cell r="EM783">
            <v>0</v>
          </cell>
          <cell r="EN783">
            <v>0</v>
          </cell>
          <cell r="EO783">
            <v>0</v>
          </cell>
          <cell r="EP783">
            <v>0</v>
          </cell>
          <cell r="EQ783">
            <v>0</v>
          </cell>
          <cell r="ER783">
            <v>0</v>
          </cell>
          <cell r="ES783">
            <v>0</v>
          </cell>
          <cell r="ET783">
            <v>0</v>
          </cell>
          <cell r="EU783">
            <v>0</v>
          </cell>
          <cell r="EV783">
            <v>0</v>
          </cell>
          <cell r="EW783">
            <v>0</v>
          </cell>
          <cell r="EY783">
            <v>0</v>
          </cell>
          <cell r="EZ783">
            <v>8</v>
          </cell>
          <cell r="FA783">
            <v>0</v>
          </cell>
          <cell r="FB783">
            <v>0</v>
          </cell>
          <cell r="FC783">
            <v>8.6</v>
          </cell>
          <cell r="FD783">
            <v>0</v>
          </cell>
          <cell r="FE783">
            <v>0</v>
          </cell>
          <cell r="FF783">
            <v>0</v>
          </cell>
          <cell r="FH783">
            <v>0</v>
          </cell>
        </row>
        <row r="784">
          <cell r="B784">
            <v>9919</v>
          </cell>
          <cell r="C784" t="str">
            <v>28.11.2011</v>
          </cell>
          <cell r="D784" t="str">
            <v>Chandaliya Aakash Rajendra</v>
          </cell>
          <cell r="F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0</v>
          </cell>
          <cell r="AB784">
            <v>0</v>
          </cell>
          <cell r="AC784">
            <v>0</v>
          </cell>
          <cell r="AD784">
            <v>0</v>
          </cell>
          <cell r="AE784">
            <v>0</v>
          </cell>
          <cell r="AG784">
            <v>0</v>
          </cell>
          <cell r="AH784">
            <v>0</v>
          </cell>
          <cell r="AI784">
            <v>0</v>
          </cell>
          <cell r="AJ784">
            <v>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BA784">
            <v>0</v>
          </cell>
          <cell r="BB784">
            <v>0</v>
          </cell>
          <cell r="BC784">
            <v>0</v>
          </cell>
          <cell r="BD784">
            <v>0</v>
          </cell>
          <cell r="BE784">
            <v>0</v>
          </cell>
          <cell r="BF784">
            <v>0</v>
          </cell>
          <cell r="BG784">
            <v>0</v>
          </cell>
          <cell r="BH784">
            <v>0</v>
          </cell>
          <cell r="BI784">
            <v>0</v>
          </cell>
          <cell r="BK784">
            <v>0</v>
          </cell>
          <cell r="BL784">
            <v>0</v>
          </cell>
          <cell r="BM784">
            <v>0</v>
          </cell>
          <cell r="BN784">
            <v>0</v>
          </cell>
          <cell r="BO784">
            <v>0</v>
          </cell>
          <cell r="BP784">
            <v>0</v>
          </cell>
          <cell r="BQ784">
            <v>0</v>
          </cell>
          <cell r="BR784">
            <v>0</v>
          </cell>
          <cell r="BS784">
            <v>0</v>
          </cell>
          <cell r="BU784">
            <v>0</v>
          </cell>
          <cell r="BV784">
            <v>0</v>
          </cell>
          <cell r="BW784">
            <v>0</v>
          </cell>
          <cell r="BX784">
            <v>0</v>
          </cell>
          <cell r="BY784">
            <v>0</v>
          </cell>
          <cell r="BZ784">
            <v>0</v>
          </cell>
          <cell r="CA784">
            <v>0</v>
          </cell>
          <cell r="CB784">
            <v>0</v>
          </cell>
          <cell r="CC784">
            <v>0</v>
          </cell>
          <cell r="CE784">
            <v>0</v>
          </cell>
          <cell r="CF784">
            <v>0</v>
          </cell>
          <cell r="CG784">
            <v>0</v>
          </cell>
          <cell r="CH784">
            <v>0</v>
          </cell>
          <cell r="CI784">
            <v>0</v>
          </cell>
          <cell r="CJ784">
            <v>0</v>
          </cell>
          <cell r="CK784">
            <v>0</v>
          </cell>
          <cell r="CL784">
            <v>0</v>
          </cell>
          <cell r="CM784">
            <v>0</v>
          </cell>
          <cell r="CO784">
            <v>0</v>
          </cell>
          <cell r="CP784">
            <v>0</v>
          </cell>
          <cell r="CQ784">
            <v>0</v>
          </cell>
          <cell r="CR784">
            <v>0</v>
          </cell>
          <cell r="CS784">
            <v>0</v>
          </cell>
          <cell r="CT784">
            <v>0</v>
          </cell>
          <cell r="CU784">
            <v>0</v>
          </cell>
          <cell r="CV784">
            <v>0</v>
          </cell>
          <cell r="CW784">
            <v>0</v>
          </cell>
          <cell r="CY784">
            <v>0</v>
          </cell>
          <cell r="CZ784">
            <v>0</v>
          </cell>
          <cell r="DA784">
            <v>0</v>
          </cell>
          <cell r="DB784">
            <v>0</v>
          </cell>
          <cell r="DC784">
            <v>0</v>
          </cell>
          <cell r="DD784">
            <v>0</v>
          </cell>
          <cell r="DE784">
            <v>0</v>
          </cell>
          <cell r="DF784">
            <v>0</v>
          </cell>
          <cell r="DG784">
            <v>0</v>
          </cell>
          <cell r="DI784">
            <v>0</v>
          </cell>
          <cell r="DJ784">
            <v>0</v>
          </cell>
          <cell r="DK784">
            <v>0</v>
          </cell>
          <cell r="DL784">
            <v>0</v>
          </cell>
          <cell r="DM784">
            <v>0</v>
          </cell>
          <cell r="DN784">
            <v>0</v>
          </cell>
          <cell r="DO784">
            <v>0</v>
          </cell>
          <cell r="DP784">
            <v>0</v>
          </cell>
          <cell r="DQ784">
            <v>0</v>
          </cell>
          <cell r="DR784">
            <v>0</v>
          </cell>
          <cell r="DS784">
            <v>0</v>
          </cell>
          <cell r="DT784">
            <v>0</v>
          </cell>
          <cell r="DU784">
            <v>0</v>
          </cell>
          <cell r="DW784">
            <v>0</v>
          </cell>
          <cell r="DX784">
            <v>0</v>
          </cell>
          <cell r="DY784">
            <v>0</v>
          </cell>
          <cell r="DZ784">
            <v>0</v>
          </cell>
          <cell r="EA784">
            <v>0</v>
          </cell>
          <cell r="EB784">
            <v>0</v>
          </cell>
          <cell r="EC784">
            <v>0</v>
          </cell>
          <cell r="ED784">
            <v>0</v>
          </cell>
          <cell r="EE784">
            <v>0</v>
          </cell>
          <cell r="EF784">
            <v>0</v>
          </cell>
          <cell r="EG784">
            <v>0</v>
          </cell>
          <cell r="EH784">
            <v>0</v>
          </cell>
          <cell r="EI784">
            <v>0</v>
          </cell>
          <cell r="EK784">
            <v>0</v>
          </cell>
          <cell r="EL784">
            <v>0</v>
          </cell>
          <cell r="EM784">
            <v>0</v>
          </cell>
          <cell r="EN784">
            <v>0</v>
          </cell>
          <cell r="EO784">
            <v>0</v>
          </cell>
          <cell r="EP784">
            <v>0</v>
          </cell>
          <cell r="EQ784">
            <v>0</v>
          </cell>
          <cell r="ER784">
            <v>0</v>
          </cell>
          <cell r="ES784">
            <v>0</v>
          </cell>
          <cell r="ET784">
            <v>0</v>
          </cell>
          <cell r="EU784">
            <v>0</v>
          </cell>
          <cell r="EV784">
            <v>0</v>
          </cell>
          <cell r="EW784">
            <v>0</v>
          </cell>
          <cell r="EY784">
            <v>0</v>
          </cell>
          <cell r="EZ784">
            <v>8</v>
          </cell>
          <cell r="FA784">
            <v>0</v>
          </cell>
          <cell r="FB784">
            <v>0</v>
          </cell>
          <cell r="FC784">
            <v>8.6</v>
          </cell>
          <cell r="FD784">
            <v>0</v>
          </cell>
          <cell r="FE784">
            <v>0</v>
          </cell>
          <cell r="FF784">
            <v>0</v>
          </cell>
          <cell r="FH784">
            <v>0</v>
          </cell>
        </row>
        <row r="785">
          <cell r="B785">
            <v>9920</v>
          </cell>
          <cell r="C785" t="str">
            <v>03.12.2011</v>
          </cell>
          <cell r="D785" t="str">
            <v>Borisa Vishal Jetha</v>
          </cell>
          <cell r="F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0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G785">
            <v>0</v>
          </cell>
          <cell r="AH785">
            <v>0</v>
          </cell>
          <cell r="AI785">
            <v>0</v>
          </cell>
          <cell r="AJ785">
            <v>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BA785">
            <v>0</v>
          </cell>
          <cell r="BB785">
            <v>0</v>
          </cell>
          <cell r="BC785">
            <v>0</v>
          </cell>
          <cell r="BD785">
            <v>0</v>
          </cell>
          <cell r="BE785">
            <v>0</v>
          </cell>
          <cell r="BF785">
            <v>0</v>
          </cell>
          <cell r="BG785">
            <v>0</v>
          </cell>
          <cell r="BH785">
            <v>0</v>
          </cell>
          <cell r="BI785">
            <v>0</v>
          </cell>
          <cell r="BK785">
            <v>0</v>
          </cell>
          <cell r="BL785">
            <v>0</v>
          </cell>
          <cell r="BM785">
            <v>0</v>
          </cell>
          <cell r="BN785">
            <v>0</v>
          </cell>
          <cell r="BO785">
            <v>0</v>
          </cell>
          <cell r="BP785">
            <v>0</v>
          </cell>
          <cell r="BQ785">
            <v>0</v>
          </cell>
          <cell r="BR785">
            <v>0</v>
          </cell>
          <cell r="BS785">
            <v>0</v>
          </cell>
          <cell r="BU785">
            <v>0</v>
          </cell>
          <cell r="BV785">
            <v>0</v>
          </cell>
          <cell r="BW785">
            <v>0</v>
          </cell>
          <cell r="BX785">
            <v>0</v>
          </cell>
          <cell r="BY785">
            <v>0</v>
          </cell>
          <cell r="BZ785">
            <v>0</v>
          </cell>
          <cell r="CA785">
            <v>0</v>
          </cell>
          <cell r="CB785">
            <v>0</v>
          </cell>
          <cell r="CC785">
            <v>0</v>
          </cell>
          <cell r="CE785">
            <v>0</v>
          </cell>
          <cell r="CF785">
            <v>0</v>
          </cell>
          <cell r="CG785">
            <v>0</v>
          </cell>
          <cell r="CH785">
            <v>0</v>
          </cell>
          <cell r="CI785">
            <v>0</v>
          </cell>
          <cell r="CJ785">
            <v>0</v>
          </cell>
          <cell r="CK785">
            <v>0</v>
          </cell>
          <cell r="CL785">
            <v>0</v>
          </cell>
          <cell r="CM785">
            <v>0</v>
          </cell>
          <cell r="CO785">
            <v>0</v>
          </cell>
          <cell r="CP785">
            <v>0</v>
          </cell>
          <cell r="CQ785">
            <v>0</v>
          </cell>
          <cell r="CR785">
            <v>0</v>
          </cell>
          <cell r="CS785">
            <v>0</v>
          </cell>
          <cell r="CT785">
            <v>0</v>
          </cell>
          <cell r="CU785">
            <v>0</v>
          </cell>
          <cell r="CV785">
            <v>0</v>
          </cell>
          <cell r="CW785">
            <v>0</v>
          </cell>
          <cell r="CY785">
            <v>0</v>
          </cell>
          <cell r="CZ785">
            <v>0</v>
          </cell>
          <cell r="DA785">
            <v>0</v>
          </cell>
          <cell r="DB785">
            <v>0</v>
          </cell>
          <cell r="DC785">
            <v>0</v>
          </cell>
          <cell r="DD785">
            <v>0</v>
          </cell>
          <cell r="DE785">
            <v>0</v>
          </cell>
          <cell r="DF785">
            <v>0</v>
          </cell>
          <cell r="DG785">
            <v>0</v>
          </cell>
          <cell r="DI785">
            <v>0</v>
          </cell>
          <cell r="DJ785">
            <v>0</v>
          </cell>
          <cell r="DK785">
            <v>0</v>
          </cell>
          <cell r="DL785">
            <v>0</v>
          </cell>
          <cell r="DM785">
            <v>0</v>
          </cell>
          <cell r="DN785">
            <v>0</v>
          </cell>
          <cell r="DO785">
            <v>0</v>
          </cell>
          <cell r="DP785">
            <v>0</v>
          </cell>
          <cell r="DQ785">
            <v>0</v>
          </cell>
          <cell r="DR785">
            <v>0</v>
          </cell>
          <cell r="DS785">
            <v>0</v>
          </cell>
          <cell r="DT785">
            <v>0</v>
          </cell>
          <cell r="DU785">
            <v>0</v>
          </cell>
          <cell r="DW785">
            <v>0</v>
          </cell>
          <cell r="DX785">
            <v>0</v>
          </cell>
          <cell r="DY785">
            <v>0</v>
          </cell>
          <cell r="DZ785">
            <v>0</v>
          </cell>
          <cell r="EA785">
            <v>0</v>
          </cell>
          <cell r="EB785">
            <v>0</v>
          </cell>
          <cell r="EC785">
            <v>0</v>
          </cell>
          <cell r="ED785">
            <v>0</v>
          </cell>
          <cell r="EE785">
            <v>0</v>
          </cell>
          <cell r="EF785">
            <v>0</v>
          </cell>
          <cell r="EG785">
            <v>0</v>
          </cell>
          <cell r="EH785">
            <v>0</v>
          </cell>
          <cell r="EI785">
            <v>0</v>
          </cell>
          <cell r="EK785">
            <v>0</v>
          </cell>
          <cell r="EL785">
            <v>0</v>
          </cell>
          <cell r="EM785">
            <v>0</v>
          </cell>
          <cell r="EN785">
            <v>0</v>
          </cell>
          <cell r="EO785">
            <v>0</v>
          </cell>
          <cell r="EP785">
            <v>0</v>
          </cell>
          <cell r="EQ785">
            <v>0</v>
          </cell>
          <cell r="ER785">
            <v>0</v>
          </cell>
          <cell r="ES785">
            <v>0</v>
          </cell>
          <cell r="ET785">
            <v>0</v>
          </cell>
          <cell r="EU785">
            <v>0</v>
          </cell>
          <cell r="EV785">
            <v>0</v>
          </cell>
          <cell r="EW785">
            <v>0</v>
          </cell>
          <cell r="EY785">
            <v>0</v>
          </cell>
          <cell r="EZ785">
            <v>8</v>
          </cell>
          <cell r="FA785">
            <v>0</v>
          </cell>
          <cell r="FB785">
            <v>0</v>
          </cell>
          <cell r="FC785">
            <v>8.6</v>
          </cell>
          <cell r="FD785">
            <v>0</v>
          </cell>
          <cell r="FE785">
            <v>0</v>
          </cell>
          <cell r="FF785">
            <v>0</v>
          </cell>
          <cell r="FH785">
            <v>0</v>
          </cell>
        </row>
        <row r="786">
          <cell r="B786">
            <v>9921</v>
          </cell>
          <cell r="C786" t="str">
            <v>07.12.2011</v>
          </cell>
          <cell r="D786" t="str">
            <v>Barve Bharati Kailas</v>
          </cell>
          <cell r="F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BA786">
            <v>0</v>
          </cell>
          <cell r="BB786">
            <v>0</v>
          </cell>
          <cell r="BC786">
            <v>0</v>
          </cell>
          <cell r="BD786">
            <v>0</v>
          </cell>
          <cell r="BE786">
            <v>0</v>
          </cell>
          <cell r="BF786">
            <v>0</v>
          </cell>
          <cell r="BG786">
            <v>0</v>
          </cell>
          <cell r="BH786">
            <v>0</v>
          </cell>
          <cell r="BI786">
            <v>0</v>
          </cell>
          <cell r="BK786">
            <v>0</v>
          </cell>
          <cell r="BL786">
            <v>0</v>
          </cell>
          <cell r="BM786">
            <v>0</v>
          </cell>
          <cell r="BN786">
            <v>0</v>
          </cell>
          <cell r="BO786">
            <v>0</v>
          </cell>
          <cell r="BP786">
            <v>0</v>
          </cell>
          <cell r="BQ786">
            <v>0</v>
          </cell>
          <cell r="BR786">
            <v>0</v>
          </cell>
          <cell r="BS786">
            <v>0</v>
          </cell>
          <cell r="BU786">
            <v>0</v>
          </cell>
          <cell r="BV786">
            <v>0</v>
          </cell>
          <cell r="BW786">
            <v>0</v>
          </cell>
          <cell r="BX786">
            <v>0</v>
          </cell>
          <cell r="BY786">
            <v>0</v>
          </cell>
          <cell r="BZ786">
            <v>0</v>
          </cell>
          <cell r="CA786">
            <v>0</v>
          </cell>
          <cell r="CB786">
            <v>0</v>
          </cell>
          <cell r="CC786">
            <v>0</v>
          </cell>
          <cell r="CE786">
            <v>0</v>
          </cell>
          <cell r="CF786">
            <v>0</v>
          </cell>
          <cell r="CG786">
            <v>0</v>
          </cell>
          <cell r="CH786">
            <v>0</v>
          </cell>
          <cell r="CI786">
            <v>0</v>
          </cell>
          <cell r="CJ786">
            <v>0</v>
          </cell>
          <cell r="CK786">
            <v>0</v>
          </cell>
          <cell r="CL786">
            <v>0</v>
          </cell>
          <cell r="CM786">
            <v>0</v>
          </cell>
          <cell r="CO786">
            <v>0</v>
          </cell>
          <cell r="CP786">
            <v>0</v>
          </cell>
          <cell r="CQ786">
            <v>0</v>
          </cell>
          <cell r="CR786">
            <v>0</v>
          </cell>
          <cell r="CS786">
            <v>0</v>
          </cell>
          <cell r="CT786">
            <v>0</v>
          </cell>
          <cell r="CU786">
            <v>0</v>
          </cell>
          <cell r="CV786">
            <v>0</v>
          </cell>
          <cell r="CW786">
            <v>0</v>
          </cell>
          <cell r="CY786">
            <v>0</v>
          </cell>
          <cell r="CZ786">
            <v>0</v>
          </cell>
          <cell r="DA786">
            <v>0</v>
          </cell>
          <cell r="DB786">
            <v>0</v>
          </cell>
          <cell r="DC786">
            <v>0</v>
          </cell>
          <cell r="DD786">
            <v>0</v>
          </cell>
          <cell r="DE786">
            <v>0</v>
          </cell>
          <cell r="DF786">
            <v>0</v>
          </cell>
          <cell r="DG786">
            <v>0</v>
          </cell>
          <cell r="DI786">
            <v>0</v>
          </cell>
          <cell r="DJ786">
            <v>0</v>
          </cell>
          <cell r="DK786">
            <v>0</v>
          </cell>
          <cell r="DL786">
            <v>0</v>
          </cell>
          <cell r="DM786">
            <v>0</v>
          </cell>
          <cell r="DN786">
            <v>0</v>
          </cell>
          <cell r="DO786">
            <v>0</v>
          </cell>
          <cell r="DP786">
            <v>0</v>
          </cell>
          <cell r="DQ786">
            <v>0</v>
          </cell>
          <cell r="DR786">
            <v>0</v>
          </cell>
          <cell r="DS786">
            <v>0</v>
          </cell>
          <cell r="DT786">
            <v>0</v>
          </cell>
          <cell r="DU786">
            <v>0</v>
          </cell>
          <cell r="DW786">
            <v>0</v>
          </cell>
          <cell r="DX786">
            <v>0</v>
          </cell>
          <cell r="DY786">
            <v>0</v>
          </cell>
          <cell r="DZ786">
            <v>0</v>
          </cell>
          <cell r="EA786">
            <v>0</v>
          </cell>
          <cell r="EB786">
            <v>0</v>
          </cell>
          <cell r="EC786">
            <v>0</v>
          </cell>
          <cell r="ED786">
            <v>0</v>
          </cell>
          <cell r="EE786">
            <v>0</v>
          </cell>
          <cell r="EF786">
            <v>0</v>
          </cell>
          <cell r="EG786">
            <v>0</v>
          </cell>
          <cell r="EH786">
            <v>0</v>
          </cell>
          <cell r="EI786">
            <v>0</v>
          </cell>
          <cell r="EK786">
            <v>0</v>
          </cell>
          <cell r="EL786">
            <v>0</v>
          </cell>
          <cell r="EM786">
            <v>0</v>
          </cell>
          <cell r="EN786">
            <v>0</v>
          </cell>
          <cell r="EO786">
            <v>0</v>
          </cell>
          <cell r="EP786">
            <v>0</v>
          </cell>
          <cell r="EQ786">
            <v>0</v>
          </cell>
          <cell r="ER786">
            <v>0</v>
          </cell>
          <cell r="ES786">
            <v>0</v>
          </cell>
          <cell r="ET786">
            <v>0</v>
          </cell>
          <cell r="EU786">
            <v>0</v>
          </cell>
          <cell r="EV786">
            <v>0</v>
          </cell>
          <cell r="EW786">
            <v>0</v>
          </cell>
          <cell r="EY786">
            <v>0</v>
          </cell>
          <cell r="EZ786">
            <v>8</v>
          </cell>
          <cell r="FA786">
            <v>0</v>
          </cell>
          <cell r="FB786">
            <v>0</v>
          </cell>
          <cell r="FC786">
            <v>8.6</v>
          </cell>
          <cell r="FD786">
            <v>0</v>
          </cell>
          <cell r="FE786">
            <v>0</v>
          </cell>
          <cell r="FF786">
            <v>0</v>
          </cell>
          <cell r="FH786">
            <v>0</v>
          </cell>
        </row>
        <row r="787">
          <cell r="B787">
            <v>9924</v>
          </cell>
          <cell r="C787" t="str">
            <v>08.12.2011</v>
          </cell>
          <cell r="D787" t="str">
            <v>Bidlon Rakesh Randhir</v>
          </cell>
          <cell r="F787">
            <v>0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0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0</v>
          </cell>
          <cell r="AK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BA787">
            <v>0</v>
          </cell>
          <cell r="BB787">
            <v>0</v>
          </cell>
          <cell r="BC787">
            <v>0</v>
          </cell>
          <cell r="BD787">
            <v>0</v>
          </cell>
          <cell r="BE787">
            <v>0</v>
          </cell>
          <cell r="BF787">
            <v>0</v>
          </cell>
          <cell r="BG787">
            <v>0</v>
          </cell>
          <cell r="BH787">
            <v>0</v>
          </cell>
          <cell r="BI787">
            <v>0</v>
          </cell>
          <cell r="BK787">
            <v>0</v>
          </cell>
          <cell r="BL787">
            <v>0</v>
          </cell>
          <cell r="BM787">
            <v>0</v>
          </cell>
          <cell r="BN787">
            <v>0</v>
          </cell>
          <cell r="BO787">
            <v>0</v>
          </cell>
          <cell r="BP787">
            <v>0</v>
          </cell>
          <cell r="BQ787">
            <v>0</v>
          </cell>
          <cell r="BR787">
            <v>0</v>
          </cell>
          <cell r="BS787">
            <v>0</v>
          </cell>
          <cell r="BU787">
            <v>0</v>
          </cell>
          <cell r="BV787">
            <v>0</v>
          </cell>
          <cell r="BW787">
            <v>0</v>
          </cell>
          <cell r="BX787">
            <v>0</v>
          </cell>
          <cell r="BY787">
            <v>0</v>
          </cell>
          <cell r="BZ787">
            <v>0</v>
          </cell>
          <cell r="CA787">
            <v>0</v>
          </cell>
          <cell r="CB787">
            <v>0</v>
          </cell>
          <cell r="CC787">
            <v>0</v>
          </cell>
          <cell r="CE787">
            <v>0</v>
          </cell>
          <cell r="CF787">
            <v>0</v>
          </cell>
          <cell r="CG787">
            <v>0</v>
          </cell>
          <cell r="CH787">
            <v>0</v>
          </cell>
          <cell r="CI787">
            <v>0</v>
          </cell>
          <cell r="CJ787">
            <v>0</v>
          </cell>
          <cell r="CK787">
            <v>0</v>
          </cell>
          <cell r="CL787">
            <v>0</v>
          </cell>
          <cell r="CM787">
            <v>0</v>
          </cell>
          <cell r="CO787">
            <v>0</v>
          </cell>
          <cell r="CP787">
            <v>0</v>
          </cell>
          <cell r="CQ787">
            <v>0</v>
          </cell>
          <cell r="CR787">
            <v>0</v>
          </cell>
          <cell r="CS787">
            <v>0</v>
          </cell>
          <cell r="CT787">
            <v>0</v>
          </cell>
          <cell r="CU787">
            <v>0</v>
          </cell>
          <cell r="CV787">
            <v>0</v>
          </cell>
          <cell r="CW787">
            <v>0</v>
          </cell>
          <cell r="CY787">
            <v>0</v>
          </cell>
          <cell r="CZ787">
            <v>0</v>
          </cell>
          <cell r="DA787">
            <v>0</v>
          </cell>
          <cell r="DB787">
            <v>0</v>
          </cell>
          <cell r="DC787">
            <v>0</v>
          </cell>
          <cell r="DD787">
            <v>0</v>
          </cell>
          <cell r="DE787">
            <v>0</v>
          </cell>
          <cell r="DF787">
            <v>0</v>
          </cell>
          <cell r="DG787">
            <v>0</v>
          </cell>
          <cell r="DI787">
            <v>0</v>
          </cell>
          <cell r="DJ787">
            <v>0</v>
          </cell>
          <cell r="DK787">
            <v>0</v>
          </cell>
          <cell r="DL787">
            <v>0</v>
          </cell>
          <cell r="DM787">
            <v>0</v>
          </cell>
          <cell r="DN787">
            <v>0</v>
          </cell>
          <cell r="DO787">
            <v>0</v>
          </cell>
          <cell r="DP787">
            <v>0</v>
          </cell>
          <cell r="DQ787">
            <v>0</v>
          </cell>
          <cell r="DR787">
            <v>0</v>
          </cell>
          <cell r="DS787">
            <v>0</v>
          </cell>
          <cell r="DT787">
            <v>0</v>
          </cell>
          <cell r="DU787">
            <v>0</v>
          </cell>
          <cell r="DW787">
            <v>0</v>
          </cell>
          <cell r="DX787">
            <v>0</v>
          </cell>
          <cell r="DY787">
            <v>0</v>
          </cell>
          <cell r="DZ787">
            <v>0</v>
          </cell>
          <cell r="EA787">
            <v>0</v>
          </cell>
          <cell r="EB787">
            <v>0</v>
          </cell>
          <cell r="EC787">
            <v>0</v>
          </cell>
          <cell r="ED787">
            <v>0</v>
          </cell>
          <cell r="EE787">
            <v>0</v>
          </cell>
          <cell r="EF787">
            <v>0</v>
          </cell>
          <cell r="EG787">
            <v>0</v>
          </cell>
          <cell r="EH787">
            <v>0</v>
          </cell>
          <cell r="EI787">
            <v>0</v>
          </cell>
          <cell r="EK787">
            <v>0</v>
          </cell>
          <cell r="EL787">
            <v>0</v>
          </cell>
          <cell r="EM787">
            <v>0</v>
          </cell>
          <cell r="EN787">
            <v>0</v>
          </cell>
          <cell r="EO787">
            <v>0</v>
          </cell>
          <cell r="EP787">
            <v>0</v>
          </cell>
          <cell r="EQ787">
            <v>0</v>
          </cell>
          <cell r="ER787">
            <v>0</v>
          </cell>
          <cell r="ES787">
            <v>0</v>
          </cell>
          <cell r="ET787">
            <v>0</v>
          </cell>
          <cell r="EU787">
            <v>0</v>
          </cell>
          <cell r="EV787">
            <v>0</v>
          </cell>
          <cell r="EW787">
            <v>0</v>
          </cell>
          <cell r="EY787">
            <v>0</v>
          </cell>
          <cell r="EZ787">
            <v>8</v>
          </cell>
          <cell r="FA787">
            <v>0</v>
          </cell>
          <cell r="FB787">
            <v>0</v>
          </cell>
          <cell r="FC787">
            <v>8.6</v>
          </cell>
          <cell r="FD787">
            <v>0</v>
          </cell>
          <cell r="FE787">
            <v>0</v>
          </cell>
          <cell r="FF787">
            <v>0</v>
          </cell>
          <cell r="FH787">
            <v>0</v>
          </cell>
        </row>
        <row r="788">
          <cell r="B788">
            <v>9922</v>
          </cell>
          <cell r="C788" t="str">
            <v>09.12.2011</v>
          </cell>
          <cell r="D788" t="str">
            <v>Borisa Prakash Ganpat</v>
          </cell>
          <cell r="F788">
            <v>0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BA788">
            <v>0</v>
          </cell>
          <cell r="BB788">
            <v>0</v>
          </cell>
          <cell r="BC788">
            <v>0</v>
          </cell>
          <cell r="BD788">
            <v>0</v>
          </cell>
          <cell r="BE788">
            <v>0</v>
          </cell>
          <cell r="BF788">
            <v>0</v>
          </cell>
          <cell r="BG788">
            <v>0</v>
          </cell>
          <cell r="BH788">
            <v>0</v>
          </cell>
          <cell r="BI788">
            <v>0</v>
          </cell>
          <cell r="BK788">
            <v>0</v>
          </cell>
          <cell r="BL788">
            <v>0</v>
          </cell>
          <cell r="BM788">
            <v>0</v>
          </cell>
          <cell r="BN788">
            <v>0</v>
          </cell>
          <cell r="BO788">
            <v>0</v>
          </cell>
          <cell r="BP788">
            <v>0</v>
          </cell>
          <cell r="BQ788">
            <v>0</v>
          </cell>
          <cell r="BR788">
            <v>0</v>
          </cell>
          <cell r="BS788">
            <v>0</v>
          </cell>
          <cell r="BU788">
            <v>0</v>
          </cell>
          <cell r="BV788">
            <v>0</v>
          </cell>
          <cell r="BW788">
            <v>0</v>
          </cell>
          <cell r="BX788">
            <v>0</v>
          </cell>
          <cell r="BY788">
            <v>0</v>
          </cell>
          <cell r="BZ788">
            <v>0</v>
          </cell>
          <cell r="CA788">
            <v>0</v>
          </cell>
          <cell r="CB788">
            <v>0</v>
          </cell>
          <cell r="CC788">
            <v>0</v>
          </cell>
          <cell r="CE788">
            <v>0</v>
          </cell>
          <cell r="CF788">
            <v>0</v>
          </cell>
          <cell r="CG788">
            <v>0</v>
          </cell>
          <cell r="CH788">
            <v>0</v>
          </cell>
          <cell r="CI788">
            <v>0</v>
          </cell>
          <cell r="CJ788">
            <v>0</v>
          </cell>
          <cell r="CK788">
            <v>0</v>
          </cell>
          <cell r="CL788">
            <v>0</v>
          </cell>
          <cell r="CM788">
            <v>0</v>
          </cell>
          <cell r="CO788">
            <v>0</v>
          </cell>
          <cell r="CP788">
            <v>0</v>
          </cell>
          <cell r="CQ788">
            <v>0</v>
          </cell>
          <cell r="CR788">
            <v>0</v>
          </cell>
          <cell r="CS788">
            <v>0</v>
          </cell>
          <cell r="CT788">
            <v>0</v>
          </cell>
          <cell r="CU788">
            <v>0</v>
          </cell>
          <cell r="CV788">
            <v>0</v>
          </cell>
          <cell r="CW788">
            <v>0</v>
          </cell>
          <cell r="CY788">
            <v>0</v>
          </cell>
          <cell r="CZ788">
            <v>0</v>
          </cell>
          <cell r="DA788">
            <v>0</v>
          </cell>
          <cell r="DB788">
            <v>0</v>
          </cell>
          <cell r="DC788">
            <v>0</v>
          </cell>
          <cell r="DD788">
            <v>0</v>
          </cell>
          <cell r="DE788">
            <v>0</v>
          </cell>
          <cell r="DF788">
            <v>0</v>
          </cell>
          <cell r="DG788">
            <v>0</v>
          </cell>
          <cell r="DI788">
            <v>0</v>
          </cell>
          <cell r="DJ788">
            <v>0</v>
          </cell>
          <cell r="DK788">
            <v>0</v>
          </cell>
          <cell r="DL788">
            <v>0</v>
          </cell>
          <cell r="DM788">
            <v>0</v>
          </cell>
          <cell r="DN788">
            <v>0</v>
          </cell>
          <cell r="DO788">
            <v>0</v>
          </cell>
          <cell r="DP788">
            <v>0</v>
          </cell>
          <cell r="DQ788">
            <v>0</v>
          </cell>
          <cell r="DR788">
            <v>0</v>
          </cell>
          <cell r="DS788">
            <v>0</v>
          </cell>
          <cell r="DT788">
            <v>0</v>
          </cell>
          <cell r="DU788">
            <v>0</v>
          </cell>
          <cell r="DW788">
            <v>0</v>
          </cell>
          <cell r="DX788">
            <v>0</v>
          </cell>
          <cell r="DY788">
            <v>0</v>
          </cell>
          <cell r="DZ788">
            <v>0</v>
          </cell>
          <cell r="EA788">
            <v>0</v>
          </cell>
          <cell r="EB788">
            <v>0</v>
          </cell>
          <cell r="EC788">
            <v>0</v>
          </cell>
          <cell r="ED788">
            <v>0</v>
          </cell>
          <cell r="EE788">
            <v>0</v>
          </cell>
          <cell r="EF788">
            <v>0</v>
          </cell>
          <cell r="EG788">
            <v>0</v>
          </cell>
          <cell r="EH788">
            <v>0</v>
          </cell>
          <cell r="EI788">
            <v>0</v>
          </cell>
          <cell r="EK788">
            <v>0</v>
          </cell>
          <cell r="EL788">
            <v>0</v>
          </cell>
          <cell r="EM788">
            <v>0</v>
          </cell>
          <cell r="EN788">
            <v>0</v>
          </cell>
          <cell r="EO788">
            <v>0</v>
          </cell>
          <cell r="EP788">
            <v>0</v>
          </cell>
          <cell r="EQ788">
            <v>0</v>
          </cell>
          <cell r="ER788">
            <v>0</v>
          </cell>
          <cell r="ES788">
            <v>0</v>
          </cell>
          <cell r="ET788">
            <v>0</v>
          </cell>
          <cell r="EU788">
            <v>0</v>
          </cell>
          <cell r="EV788">
            <v>0</v>
          </cell>
          <cell r="EW788">
            <v>0</v>
          </cell>
          <cell r="EY788">
            <v>0</v>
          </cell>
          <cell r="EZ788">
            <v>8</v>
          </cell>
          <cell r="FA788">
            <v>0</v>
          </cell>
          <cell r="FB788">
            <v>0</v>
          </cell>
          <cell r="FC788">
            <v>8.6</v>
          </cell>
          <cell r="FD788">
            <v>0</v>
          </cell>
          <cell r="FE788">
            <v>0</v>
          </cell>
          <cell r="FF788">
            <v>0</v>
          </cell>
          <cell r="FH788">
            <v>0</v>
          </cell>
        </row>
        <row r="789">
          <cell r="B789">
            <v>9923</v>
          </cell>
          <cell r="C789" t="str">
            <v>09.12.2011</v>
          </cell>
          <cell r="D789" t="str">
            <v>Pawar Suraj Anil</v>
          </cell>
          <cell r="F789">
            <v>0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G789">
            <v>0</v>
          </cell>
          <cell r="AH789">
            <v>0</v>
          </cell>
          <cell r="AI789">
            <v>0</v>
          </cell>
          <cell r="AJ789">
            <v>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BA789">
            <v>0</v>
          </cell>
          <cell r="BB789">
            <v>0</v>
          </cell>
          <cell r="BC789">
            <v>0</v>
          </cell>
          <cell r="BD789">
            <v>0</v>
          </cell>
          <cell r="BE789">
            <v>0</v>
          </cell>
          <cell r="BF789">
            <v>0</v>
          </cell>
          <cell r="BG789">
            <v>0</v>
          </cell>
          <cell r="BH789">
            <v>0</v>
          </cell>
          <cell r="BI789">
            <v>0</v>
          </cell>
          <cell r="BK789">
            <v>0</v>
          </cell>
          <cell r="BL789">
            <v>0</v>
          </cell>
          <cell r="BM789">
            <v>0</v>
          </cell>
          <cell r="BN789">
            <v>0</v>
          </cell>
          <cell r="BO789">
            <v>0</v>
          </cell>
          <cell r="BP789">
            <v>0</v>
          </cell>
          <cell r="BQ789">
            <v>0</v>
          </cell>
          <cell r="BR789">
            <v>0</v>
          </cell>
          <cell r="BS789">
            <v>0</v>
          </cell>
          <cell r="BU789">
            <v>0</v>
          </cell>
          <cell r="BV789">
            <v>0</v>
          </cell>
          <cell r="BW789">
            <v>0</v>
          </cell>
          <cell r="BX789">
            <v>0</v>
          </cell>
          <cell r="BY789">
            <v>0</v>
          </cell>
          <cell r="BZ789">
            <v>0</v>
          </cell>
          <cell r="CA789">
            <v>0</v>
          </cell>
          <cell r="CB789">
            <v>0</v>
          </cell>
          <cell r="CC789">
            <v>0</v>
          </cell>
          <cell r="CE789">
            <v>0</v>
          </cell>
          <cell r="CF789">
            <v>0</v>
          </cell>
          <cell r="CG789">
            <v>0</v>
          </cell>
          <cell r="CH789">
            <v>0</v>
          </cell>
          <cell r="CI789">
            <v>0</v>
          </cell>
          <cell r="CJ789">
            <v>0</v>
          </cell>
          <cell r="CK789">
            <v>0</v>
          </cell>
          <cell r="CL789">
            <v>0</v>
          </cell>
          <cell r="CM789">
            <v>0</v>
          </cell>
          <cell r="CO789">
            <v>0</v>
          </cell>
          <cell r="CP789">
            <v>0</v>
          </cell>
          <cell r="CQ789">
            <v>0</v>
          </cell>
          <cell r="CR789">
            <v>0</v>
          </cell>
          <cell r="CS789">
            <v>0</v>
          </cell>
          <cell r="CT789">
            <v>0</v>
          </cell>
          <cell r="CU789">
            <v>0</v>
          </cell>
          <cell r="CV789">
            <v>0</v>
          </cell>
          <cell r="CW789">
            <v>0</v>
          </cell>
          <cell r="CY789">
            <v>0</v>
          </cell>
          <cell r="CZ789">
            <v>0</v>
          </cell>
          <cell r="DA789">
            <v>0</v>
          </cell>
          <cell r="DB789">
            <v>0</v>
          </cell>
          <cell r="DC789">
            <v>0</v>
          </cell>
          <cell r="DD789">
            <v>0</v>
          </cell>
          <cell r="DE789">
            <v>0</v>
          </cell>
          <cell r="DF789">
            <v>0</v>
          </cell>
          <cell r="DG789">
            <v>0</v>
          </cell>
          <cell r="DI789">
            <v>0</v>
          </cell>
          <cell r="DJ789">
            <v>0</v>
          </cell>
          <cell r="DK789">
            <v>0</v>
          </cell>
          <cell r="DL789">
            <v>0</v>
          </cell>
          <cell r="DM789">
            <v>0</v>
          </cell>
          <cell r="DN789">
            <v>0</v>
          </cell>
          <cell r="DO789">
            <v>0</v>
          </cell>
          <cell r="DP789">
            <v>0</v>
          </cell>
          <cell r="DQ789">
            <v>0</v>
          </cell>
          <cell r="DR789">
            <v>0</v>
          </cell>
          <cell r="DS789">
            <v>0</v>
          </cell>
          <cell r="DT789">
            <v>0</v>
          </cell>
          <cell r="DU789">
            <v>0</v>
          </cell>
          <cell r="DW789">
            <v>0</v>
          </cell>
          <cell r="DX789">
            <v>0</v>
          </cell>
          <cell r="DY789">
            <v>0</v>
          </cell>
          <cell r="DZ789">
            <v>0</v>
          </cell>
          <cell r="EA789">
            <v>0</v>
          </cell>
          <cell r="EB789">
            <v>0</v>
          </cell>
          <cell r="EC789">
            <v>0</v>
          </cell>
          <cell r="ED789">
            <v>0</v>
          </cell>
          <cell r="EE789">
            <v>0</v>
          </cell>
          <cell r="EF789">
            <v>0</v>
          </cell>
          <cell r="EG789">
            <v>0</v>
          </cell>
          <cell r="EH789">
            <v>0</v>
          </cell>
          <cell r="EI789">
            <v>0</v>
          </cell>
          <cell r="EK789">
            <v>0</v>
          </cell>
          <cell r="EL789">
            <v>0</v>
          </cell>
          <cell r="EM789">
            <v>0</v>
          </cell>
          <cell r="EN789">
            <v>0</v>
          </cell>
          <cell r="EO789">
            <v>0</v>
          </cell>
          <cell r="EP789">
            <v>0</v>
          </cell>
          <cell r="EQ789">
            <v>0</v>
          </cell>
          <cell r="ER789">
            <v>0</v>
          </cell>
          <cell r="ES789">
            <v>0</v>
          </cell>
          <cell r="ET789">
            <v>0</v>
          </cell>
          <cell r="EU789">
            <v>0</v>
          </cell>
          <cell r="EV789">
            <v>0</v>
          </cell>
          <cell r="EW789">
            <v>0</v>
          </cell>
          <cell r="EY789">
            <v>0</v>
          </cell>
          <cell r="EZ789">
            <v>8</v>
          </cell>
          <cell r="FA789">
            <v>0</v>
          </cell>
          <cell r="FB789">
            <v>0</v>
          </cell>
          <cell r="FC789">
            <v>8.6</v>
          </cell>
          <cell r="FD789">
            <v>0</v>
          </cell>
          <cell r="FE789">
            <v>0</v>
          </cell>
          <cell r="FF789">
            <v>0</v>
          </cell>
          <cell r="FH789">
            <v>0</v>
          </cell>
        </row>
        <row r="790">
          <cell r="B790">
            <v>9926</v>
          </cell>
          <cell r="C790" t="str">
            <v>13.12.2011</v>
          </cell>
          <cell r="D790" t="str">
            <v>Musale Roshan Murlidhar</v>
          </cell>
          <cell r="F790">
            <v>0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BA790">
            <v>0</v>
          </cell>
          <cell r="BB790">
            <v>0</v>
          </cell>
          <cell r="BC790">
            <v>0</v>
          </cell>
          <cell r="BD790">
            <v>0</v>
          </cell>
          <cell r="BE790">
            <v>0</v>
          </cell>
          <cell r="BF790">
            <v>0</v>
          </cell>
          <cell r="BG790">
            <v>0</v>
          </cell>
          <cell r="BH790">
            <v>0</v>
          </cell>
          <cell r="BI790">
            <v>0</v>
          </cell>
          <cell r="BK790">
            <v>0</v>
          </cell>
          <cell r="BL790">
            <v>0</v>
          </cell>
          <cell r="BM790">
            <v>0</v>
          </cell>
          <cell r="BN790">
            <v>0</v>
          </cell>
          <cell r="BO790">
            <v>0</v>
          </cell>
          <cell r="BP790">
            <v>0</v>
          </cell>
          <cell r="BQ790">
            <v>0</v>
          </cell>
          <cell r="BR790">
            <v>0</v>
          </cell>
          <cell r="BS790">
            <v>0</v>
          </cell>
          <cell r="BU790">
            <v>0</v>
          </cell>
          <cell r="BV790">
            <v>0</v>
          </cell>
          <cell r="BW790">
            <v>0</v>
          </cell>
          <cell r="BX790">
            <v>0</v>
          </cell>
          <cell r="BY790">
            <v>0</v>
          </cell>
          <cell r="BZ790">
            <v>0</v>
          </cell>
          <cell r="CA790">
            <v>0</v>
          </cell>
          <cell r="CB790">
            <v>0</v>
          </cell>
          <cell r="CC790">
            <v>0</v>
          </cell>
          <cell r="CE790">
            <v>0</v>
          </cell>
          <cell r="CF790">
            <v>0</v>
          </cell>
          <cell r="CG790">
            <v>0</v>
          </cell>
          <cell r="CH790">
            <v>0</v>
          </cell>
          <cell r="CI790">
            <v>0</v>
          </cell>
          <cell r="CJ790">
            <v>0</v>
          </cell>
          <cell r="CK790">
            <v>0</v>
          </cell>
          <cell r="CL790">
            <v>0</v>
          </cell>
          <cell r="CM790">
            <v>0</v>
          </cell>
          <cell r="CO790">
            <v>0</v>
          </cell>
          <cell r="CP790">
            <v>0</v>
          </cell>
          <cell r="CQ790">
            <v>0</v>
          </cell>
          <cell r="CR790">
            <v>0</v>
          </cell>
          <cell r="CS790">
            <v>0</v>
          </cell>
          <cell r="CT790">
            <v>0</v>
          </cell>
          <cell r="CU790">
            <v>0</v>
          </cell>
          <cell r="CV790">
            <v>0</v>
          </cell>
          <cell r="CW790">
            <v>0</v>
          </cell>
          <cell r="CY790">
            <v>0</v>
          </cell>
          <cell r="CZ790">
            <v>0</v>
          </cell>
          <cell r="DA790">
            <v>0</v>
          </cell>
          <cell r="DB790">
            <v>0</v>
          </cell>
          <cell r="DC790">
            <v>0</v>
          </cell>
          <cell r="DD790">
            <v>0</v>
          </cell>
          <cell r="DE790">
            <v>0</v>
          </cell>
          <cell r="DF790">
            <v>0</v>
          </cell>
          <cell r="DG790">
            <v>0</v>
          </cell>
          <cell r="DI790">
            <v>0</v>
          </cell>
          <cell r="DJ790">
            <v>0</v>
          </cell>
          <cell r="DK790">
            <v>0</v>
          </cell>
          <cell r="DL790">
            <v>0</v>
          </cell>
          <cell r="DM790">
            <v>0</v>
          </cell>
          <cell r="DN790">
            <v>0</v>
          </cell>
          <cell r="DO790">
            <v>0</v>
          </cell>
          <cell r="DP790">
            <v>0</v>
          </cell>
          <cell r="DQ790">
            <v>0</v>
          </cell>
          <cell r="DR790">
            <v>0</v>
          </cell>
          <cell r="DS790">
            <v>0</v>
          </cell>
          <cell r="DT790">
            <v>0</v>
          </cell>
          <cell r="DU790">
            <v>0</v>
          </cell>
          <cell r="DW790">
            <v>0</v>
          </cell>
          <cell r="DX790">
            <v>0</v>
          </cell>
          <cell r="DY790">
            <v>0</v>
          </cell>
          <cell r="DZ790">
            <v>0</v>
          </cell>
          <cell r="EA790">
            <v>0</v>
          </cell>
          <cell r="EB790">
            <v>0</v>
          </cell>
          <cell r="EC790">
            <v>0</v>
          </cell>
          <cell r="ED790">
            <v>0</v>
          </cell>
          <cell r="EE790">
            <v>0</v>
          </cell>
          <cell r="EF790">
            <v>0</v>
          </cell>
          <cell r="EG790">
            <v>0</v>
          </cell>
          <cell r="EH790">
            <v>0</v>
          </cell>
          <cell r="EI790">
            <v>0</v>
          </cell>
          <cell r="EK790">
            <v>0</v>
          </cell>
          <cell r="EL790">
            <v>0</v>
          </cell>
          <cell r="EM790">
            <v>0</v>
          </cell>
          <cell r="EN790">
            <v>0</v>
          </cell>
          <cell r="EO790">
            <v>0</v>
          </cell>
          <cell r="EP790">
            <v>0</v>
          </cell>
          <cell r="EQ790">
            <v>0</v>
          </cell>
          <cell r="ER790">
            <v>0</v>
          </cell>
          <cell r="ES790">
            <v>0</v>
          </cell>
          <cell r="ET790">
            <v>0</v>
          </cell>
          <cell r="EU790">
            <v>0</v>
          </cell>
          <cell r="EV790">
            <v>0</v>
          </cell>
          <cell r="EW790">
            <v>0</v>
          </cell>
          <cell r="EY790">
            <v>0</v>
          </cell>
          <cell r="EZ790">
            <v>8</v>
          </cell>
          <cell r="FA790">
            <v>0</v>
          </cell>
          <cell r="FB790">
            <v>0</v>
          </cell>
          <cell r="FC790">
            <v>8.6</v>
          </cell>
          <cell r="FD790">
            <v>0</v>
          </cell>
          <cell r="FE790">
            <v>0</v>
          </cell>
          <cell r="FF790">
            <v>0</v>
          </cell>
          <cell r="FH790">
            <v>0</v>
          </cell>
        </row>
        <row r="791">
          <cell r="B791">
            <v>9927</v>
          </cell>
          <cell r="C791" t="str">
            <v>13.12.2011</v>
          </cell>
          <cell r="D791" t="str">
            <v>Bagul Amol Shivaji</v>
          </cell>
          <cell r="F791">
            <v>0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G791">
            <v>0</v>
          </cell>
          <cell r="AH791">
            <v>0</v>
          </cell>
          <cell r="AI791">
            <v>0</v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BA791">
            <v>0</v>
          </cell>
          <cell r="BB791">
            <v>0</v>
          </cell>
          <cell r="BC791">
            <v>0</v>
          </cell>
          <cell r="BD791">
            <v>0</v>
          </cell>
          <cell r="BE791">
            <v>0</v>
          </cell>
          <cell r="BF791">
            <v>0</v>
          </cell>
          <cell r="BG791">
            <v>0</v>
          </cell>
          <cell r="BH791">
            <v>0</v>
          </cell>
          <cell r="BI791">
            <v>0</v>
          </cell>
          <cell r="BK791">
            <v>0</v>
          </cell>
          <cell r="BL791">
            <v>0</v>
          </cell>
          <cell r="BM791">
            <v>0</v>
          </cell>
          <cell r="BN791">
            <v>0</v>
          </cell>
          <cell r="BO791">
            <v>0</v>
          </cell>
          <cell r="BP791">
            <v>0</v>
          </cell>
          <cell r="BQ791">
            <v>0</v>
          </cell>
          <cell r="BR791">
            <v>0</v>
          </cell>
          <cell r="BS791">
            <v>0</v>
          </cell>
          <cell r="BU791">
            <v>0</v>
          </cell>
          <cell r="BV791">
            <v>0</v>
          </cell>
          <cell r="BW791">
            <v>0</v>
          </cell>
          <cell r="BX791">
            <v>0</v>
          </cell>
          <cell r="BY791">
            <v>0</v>
          </cell>
          <cell r="BZ791">
            <v>0</v>
          </cell>
          <cell r="CA791">
            <v>0</v>
          </cell>
          <cell r="CB791">
            <v>0</v>
          </cell>
          <cell r="CC791">
            <v>0</v>
          </cell>
          <cell r="CE791">
            <v>0</v>
          </cell>
          <cell r="CF791">
            <v>0</v>
          </cell>
          <cell r="CG791">
            <v>0</v>
          </cell>
          <cell r="CH791">
            <v>0</v>
          </cell>
          <cell r="CI791">
            <v>0</v>
          </cell>
          <cell r="CJ791">
            <v>0</v>
          </cell>
          <cell r="CK791">
            <v>0</v>
          </cell>
          <cell r="CL791">
            <v>0</v>
          </cell>
          <cell r="CM791">
            <v>0</v>
          </cell>
          <cell r="CO791">
            <v>0</v>
          </cell>
          <cell r="CP791">
            <v>0</v>
          </cell>
          <cell r="CQ791">
            <v>0</v>
          </cell>
          <cell r="CR791">
            <v>0</v>
          </cell>
          <cell r="CS791">
            <v>0</v>
          </cell>
          <cell r="CT791">
            <v>0</v>
          </cell>
          <cell r="CU791">
            <v>0</v>
          </cell>
          <cell r="CV791">
            <v>0</v>
          </cell>
          <cell r="CW791">
            <v>0</v>
          </cell>
          <cell r="CY791">
            <v>0</v>
          </cell>
          <cell r="CZ791">
            <v>0</v>
          </cell>
          <cell r="DA791">
            <v>0</v>
          </cell>
          <cell r="DB791">
            <v>0</v>
          </cell>
          <cell r="DC791">
            <v>0</v>
          </cell>
          <cell r="DD791">
            <v>0</v>
          </cell>
          <cell r="DE791">
            <v>0</v>
          </cell>
          <cell r="DF791">
            <v>0</v>
          </cell>
          <cell r="DG791">
            <v>0</v>
          </cell>
          <cell r="DI791">
            <v>0</v>
          </cell>
          <cell r="DJ791">
            <v>0</v>
          </cell>
          <cell r="DK791">
            <v>0</v>
          </cell>
          <cell r="DL791">
            <v>0</v>
          </cell>
          <cell r="DM791">
            <v>0</v>
          </cell>
          <cell r="DN791">
            <v>0</v>
          </cell>
          <cell r="DO791">
            <v>0</v>
          </cell>
          <cell r="DP791">
            <v>0</v>
          </cell>
          <cell r="DQ791">
            <v>0</v>
          </cell>
          <cell r="DR791">
            <v>0</v>
          </cell>
          <cell r="DS791">
            <v>0</v>
          </cell>
          <cell r="DT791">
            <v>0</v>
          </cell>
          <cell r="DU791">
            <v>0</v>
          </cell>
          <cell r="DW791">
            <v>0</v>
          </cell>
          <cell r="DX791">
            <v>0</v>
          </cell>
          <cell r="DY791">
            <v>0</v>
          </cell>
          <cell r="DZ791">
            <v>0</v>
          </cell>
          <cell r="EA791">
            <v>0</v>
          </cell>
          <cell r="EB791">
            <v>0</v>
          </cell>
          <cell r="EC791">
            <v>0</v>
          </cell>
          <cell r="ED791">
            <v>0</v>
          </cell>
          <cell r="EE791">
            <v>0</v>
          </cell>
          <cell r="EF791">
            <v>0</v>
          </cell>
          <cell r="EG791">
            <v>0</v>
          </cell>
          <cell r="EH791">
            <v>0</v>
          </cell>
          <cell r="EI791">
            <v>0</v>
          </cell>
          <cell r="EK791">
            <v>0</v>
          </cell>
          <cell r="EL791">
            <v>0</v>
          </cell>
          <cell r="EM791">
            <v>0</v>
          </cell>
          <cell r="EN791">
            <v>0</v>
          </cell>
          <cell r="EO791">
            <v>0</v>
          </cell>
          <cell r="EP791">
            <v>0</v>
          </cell>
          <cell r="EQ791">
            <v>0</v>
          </cell>
          <cell r="ER791">
            <v>0</v>
          </cell>
          <cell r="ES791">
            <v>0</v>
          </cell>
          <cell r="ET791">
            <v>0</v>
          </cell>
          <cell r="EU791">
            <v>0</v>
          </cell>
          <cell r="EV791">
            <v>0</v>
          </cell>
          <cell r="EW791">
            <v>0</v>
          </cell>
          <cell r="EY791">
            <v>0</v>
          </cell>
          <cell r="EZ791">
            <v>8</v>
          </cell>
          <cell r="FA791">
            <v>0</v>
          </cell>
          <cell r="FB791">
            <v>0</v>
          </cell>
          <cell r="FC791">
            <v>8.6</v>
          </cell>
          <cell r="FD791">
            <v>0</v>
          </cell>
          <cell r="FE791">
            <v>0</v>
          </cell>
          <cell r="FF791">
            <v>0</v>
          </cell>
          <cell r="FH791">
            <v>0</v>
          </cell>
        </row>
        <row r="792">
          <cell r="B792">
            <v>9928</v>
          </cell>
          <cell r="C792" t="str">
            <v>19.12.2011</v>
          </cell>
          <cell r="D792" t="str">
            <v>Kalyani Saraswati Surendra</v>
          </cell>
          <cell r="F792">
            <v>0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BA792">
            <v>0</v>
          </cell>
          <cell r="BB792">
            <v>0</v>
          </cell>
          <cell r="BC792">
            <v>0</v>
          </cell>
          <cell r="BD792">
            <v>0</v>
          </cell>
          <cell r="BE792">
            <v>0</v>
          </cell>
          <cell r="BF792">
            <v>0</v>
          </cell>
          <cell r="BG792">
            <v>0</v>
          </cell>
          <cell r="BH792">
            <v>0</v>
          </cell>
          <cell r="BI792">
            <v>0</v>
          </cell>
          <cell r="BK792">
            <v>0</v>
          </cell>
          <cell r="BL792">
            <v>0</v>
          </cell>
          <cell r="BM792">
            <v>0</v>
          </cell>
          <cell r="BN792">
            <v>0</v>
          </cell>
          <cell r="BO792">
            <v>0</v>
          </cell>
          <cell r="BP792">
            <v>0</v>
          </cell>
          <cell r="BQ792">
            <v>0</v>
          </cell>
          <cell r="BR792">
            <v>0</v>
          </cell>
          <cell r="BS792">
            <v>0</v>
          </cell>
          <cell r="BU792">
            <v>0</v>
          </cell>
          <cell r="BV792">
            <v>0</v>
          </cell>
          <cell r="BW792">
            <v>0</v>
          </cell>
          <cell r="BX792">
            <v>0</v>
          </cell>
          <cell r="BY792">
            <v>0</v>
          </cell>
          <cell r="BZ792">
            <v>0</v>
          </cell>
          <cell r="CA792">
            <v>0</v>
          </cell>
          <cell r="CB792">
            <v>0</v>
          </cell>
          <cell r="CC792">
            <v>0</v>
          </cell>
          <cell r="CE792">
            <v>0</v>
          </cell>
          <cell r="CF792">
            <v>0</v>
          </cell>
          <cell r="CG792">
            <v>0</v>
          </cell>
          <cell r="CH792">
            <v>0</v>
          </cell>
          <cell r="CI792">
            <v>0</v>
          </cell>
          <cell r="CJ792">
            <v>0</v>
          </cell>
          <cell r="CK792">
            <v>0</v>
          </cell>
          <cell r="CL792">
            <v>0</v>
          </cell>
          <cell r="CM792">
            <v>0</v>
          </cell>
          <cell r="CO792">
            <v>0</v>
          </cell>
          <cell r="CP792">
            <v>0</v>
          </cell>
          <cell r="CQ792">
            <v>0</v>
          </cell>
          <cell r="CR792">
            <v>0</v>
          </cell>
          <cell r="CS792">
            <v>0</v>
          </cell>
          <cell r="CT792">
            <v>0</v>
          </cell>
          <cell r="CU792">
            <v>0</v>
          </cell>
          <cell r="CV792">
            <v>0</v>
          </cell>
          <cell r="CW792">
            <v>0</v>
          </cell>
          <cell r="CY792">
            <v>0</v>
          </cell>
          <cell r="CZ792">
            <v>0</v>
          </cell>
          <cell r="DA792">
            <v>0</v>
          </cell>
          <cell r="DB792">
            <v>0</v>
          </cell>
          <cell r="DC792">
            <v>0</v>
          </cell>
          <cell r="DD792">
            <v>0</v>
          </cell>
          <cell r="DE792">
            <v>0</v>
          </cell>
          <cell r="DF792">
            <v>0</v>
          </cell>
          <cell r="DG792">
            <v>0</v>
          </cell>
          <cell r="DI792">
            <v>0</v>
          </cell>
          <cell r="DJ792">
            <v>0</v>
          </cell>
          <cell r="DK792">
            <v>0</v>
          </cell>
          <cell r="DL792">
            <v>0</v>
          </cell>
          <cell r="DM792">
            <v>0</v>
          </cell>
          <cell r="DN792">
            <v>0</v>
          </cell>
          <cell r="DO792">
            <v>0</v>
          </cell>
          <cell r="DP792">
            <v>0</v>
          </cell>
          <cell r="DQ792">
            <v>0</v>
          </cell>
          <cell r="DR792">
            <v>0</v>
          </cell>
          <cell r="DS792">
            <v>0</v>
          </cell>
          <cell r="DT792">
            <v>0</v>
          </cell>
          <cell r="DU792">
            <v>0</v>
          </cell>
          <cell r="DW792">
            <v>0</v>
          </cell>
          <cell r="DX792">
            <v>0</v>
          </cell>
          <cell r="DY792">
            <v>0</v>
          </cell>
          <cell r="DZ792">
            <v>0</v>
          </cell>
          <cell r="EA792">
            <v>0</v>
          </cell>
          <cell r="EB792">
            <v>0</v>
          </cell>
          <cell r="EC792">
            <v>0</v>
          </cell>
          <cell r="ED792">
            <v>0</v>
          </cell>
          <cell r="EE792">
            <v>0</v>
          </cell>
          <cell r="EF792">
            <v>0</v>
          </cell>
          <cell r="EG792">
            <v>0</v>
          </cell>
          <cell r="EH792">
            <v>0</v>
          </cell>
          <cell r="EI792">
            <v>0</v>
          </cell>
          <cell r="EK792">
            <v>0</v>
          </cell>
          <cell r="EL792">
            <v>0</v>
          </cell>
          <cell r="EM792">
            <v>0</v>
          </cell>
          <cell r="EN792">
            <v>0</v>
          </cell>
          <cell r="EO792">
            <v>0</v>
          </cell>
          <cell r="EP792">
            <v>0</v>
          </cell>
          <cell r="EQ792">
            <v>0</v>
          </cell>
          <cell r="ER792">
            <v>0</v>
          </cell>
          <cell r="ES792">
            <v>0</v>
          </cell>
          <cell r="ET792">
            <v>0</v>
          </cell>
          <cell r="EU792">
            <v>0</v>
          </cell>
          <cell r="EV792">
            <v>0</v>
          </cell>
          <cell r="EW792">
            <v>0</v>
          </cell>
          <cell r="EY792">
            <v>0</v>
          </cell>
          <cell r="EZ792">
            <v>8</v>
          </cell>
          <cell r="FA792">
            <v>0</v>
          </cell>
          <cell r="FB792">
            <v>0</v>
          </cell>
          <cell r="FC792">
            <v>8.6</v>
          </cell>
          <cell r="FD792">
            <v>0</v>
          </cell>
          <cell r="FE792">
            <v>0</v>
          </cell>
          <cell r="FF792">
            <v>0</v>
          </cell>
          <cell r="FH792">
            <v>0</v>
          </cell>
        </row>
        <row r="793">
          <cell r="B793">
            <v>9929</v>
          </cell>
          <cell r="C793" t="str">
            <v>27.12.2011</v>
          </cell>
          <cell r="D793" t="str">
            <v>Katare Jyoti Bhimrao</v>
          </cell>
          <cell r="F793">
            <v>0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G793">
            <v>0</v>
          </cell>
          <cell r="AH793">
            <v>0</v>
          </cell>
          <cell r="AI793">
            <v>0</v>
          </cell>
          <cell r="AJ793">
            <v>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BA793">
            <v>0</v>
          </cell>
          <cell r="BB793">
            <v>0</v>
          </cell>
          <cell r="BC793">
            <v>0</v>
          </cell>
          <cell r="BD793">
            <v>0</v>
          </cell>
          <cell r="BE793">
            <v>0</v>
          </cell>
          <cell r="BF793">
            <v>0</v>
          </cell>
          <cell r="BG793">
            <v>0</v>
          </cell>
          <cell r="BH793">
            <v>0</v>
          </cell>
          <cell r="BI793">
            <v>0</v>
          </cell>
          <cell r="BK793">
            <v>0</v>
          </cell>
          <cell r="BL793">
            <v>0</v>
          </cell>
          <cell r="BM793">
            <v>0</v>
          </cell>
          <cell r="BN793">
            <v>0</v>
          </cell>
          <cell r="BO793">
            <v>0</v>
          </cell>
          <cell r="BP793">
            <v>0</v>
          </cell>
          <cell r="BQ793">
            <v>0</v>
          </cell>
          <cell r="BR793">
            <v>0</v>
          </cell>
          <cell r="BS793">
            <v>0</v>
          </cell>
          <cell r="BU793">
            <v>0</v>
          </cell>
          <cell r="BV793">
            <v>0</v>
          </cell>
          <cell r="BW793">
            <v>0</v>
          </cell>
          <cell r="BX793">
            <v>0</v>
          </cell>
          <cell r="BY793">
            <v>0</v>
          </cell>
          <cell r="BZ793">
            <v>0</v>
          </cell>
          <cell r="CA793">
            <v>0</v>
          </cell>
          <cell r="CB793">
            <v>0</v>
          </cell>
          <cell r="CC793">
            <v>0</v>
          </cell>
          <cell r="CE793">
            <v>0</v>
          </cell>
          <cell r="CF793">
            <v>0</v>
          </cell>
          <cell r="CG793">
            <v>0</v>
          </cell>
          <cell r="CH793">
            <v>0</v>
          </cell>
          <cell r="CI793">
            <v>0</v>
          </cell>
          <cell r="CJ793">
            <v>0</v>
          </cell>
          <cell r="CK793">
            <v>0</v>
          </cell>
          <cell r="CL793">
            <v>0</v>
          </cell>
          <cell r="CM793">
            <v>0</v>
          </cell>
          <cell r="CO793">
            <v>0</v>
          </cell>
          <cell r="CP793">
            <v>0</v>
          </cell>
          <cell r="CQ793">
            <v>0</v>
          </cell>
          <cell r="CR793">
            <v>0</v>
          </cell>
          <cell r="CS793">
            <v>0</v>
          </cell>
          <cell r="CT793">
            <v>0</v>
          </cell>
          <cell r="CU793">
            <v>0</v>
          </cell>
          <cell r="CV793">
            <v>0</v>
          </cell>
          <cell r="CW793">
            <v>0</v>
          </cell>
          <cell r="CY793">
            <v>0</v>
          </cell>
          <cell r="CZ793">
            <v>0</v>
          </cell>
          <cell r="DA793">
            <v>0</v>
          </cell>
          <cell r="DB793">
            <v>0</v>
          </cell>
          <cell r="DC793">
            <v>0</v>
          </cell>
          <cell r="DD793">
            <v>0</v>
          </cell>
          <cell r="DE793">
            <v>0</v>
          </cell>
          <cell r="DF793">
            <v>0</v>
          </cell>
          <cell r="DG793">
            <v>0</v>
          </cell>
          <cell r="DI793">
            <v>0</v>
          </cell>
          <cell r="DJ793">
            <v>0</v>
          </cell>
          <cell r="DK793">
            <v>0</v>
          </cell>
          <cell r="DL793">
            <v>0</v>
          </cell>
          <cell r="DM793">
            <v>0</v>
          </cell>
          <cell r="DN793">
            <v>0</v>
          </cell>
          <cell r="DO793">
            <v>0</v>
          </cell>
          <cell r="DP793">
            <v>0</v>
          </cell>
          <cell r="DQ793">
            <v>0</v>
          </cell>
          <cell r="DR793">
            <v>0</v>
          </cell>
          <cell r="DS793">
            <v>0</v>
          </cell>
          <cell r="DT793">
            <v>0</v>
          </cell>
          <cell r="DU793">
            <v>0</v>
          </cell>
          <cell r="DW793">
            <v>0</v>
          </cell>
          <cell r="DX793">
            <v>0</v>
          </cell>
          <cell r="DY793">
            <v>0</v>
          </cell>
          <cell r="DZ793">
            <v>0</v>
          </cell>
          <cell r="EA793">
            <v>0</v>
          </cell>
          <cell r="EB793">
            <v>0</v>
          </cell>
          <cell r="EC793">
            <v>0</v>
          </cell>
          <cell r="ED793">
            <v>0</v>
          </cell>
          <cell r="EE793">
            <v>0</v>
          </cell>
          <cell r="EF793">
            <v>0</v>
          </cell>
          <cell r="EG793">
            <v>0</v>
          </cell>
          <cell r="EH793">
            <v>0</v>
          </cell>
          <cell r="EI793">
            <v>0</v>
          </cell>
          <cell r="EK793">
            <v>0</v>
          </cell>
          <cell r="EL793">
            <v>0</v>
          </cell>
          <cell r="EM793">
            <v>0</v>
          </cell>
          <cell r="EN793">
            <v>0</v>
          </cell>
          <cell r="EO793">
            <v>0</v>
          </cell>
          <cell r="EP793">
            <v>0</v>
          </cell>
          <cell r="EQ793">
            <v>0</v>
          </cell>
          <cell r="ER793">
            <v>0</v>
          </cell>
          <cell r="ES793">
            <v>0</v>
          </cell>
          <cell r="ET793">
            <v>0</v>
          </cell>
          <cell r="EU793">
            <v>0</v>
          </cell>
          <cell r="EV793">
            <v>0</v>
          </cell>
          <cell r="EW793">
            <v>0</v>
          </cell>
          <cell r="EY793">
            <v>0</v>
          </cell>
          <cell r="EZ793">
            <v>8</v>
          </cell>
          <cell r="FA793">
            <v>0</v>
          </cell>
          <cell r="FB793">
            <v>0</v>
          </cell>
          <cell r="FC793">
            <v>8.6</v>
          </cell>
          <cell r="FD793">
            <v>0</v>
          </cell>
          <cell r="FE793">
            <v>0</v>
          </cell>
          <cell r="FF793">
            <v>0</v>
          </cell>
          <cell r="FH793">
            <v>0</v>
          </cell>
        </row>
        <row r="794">
          <cell r="B794">
            <v>9930</v>
          </cell>
          <cell r="C794" t="str">
            <v>03.01.2012</v>
          </cell>
          <cell r="D794" t="str">
            <v>Nirbhavne Pradip Govind</v>
          </cell>
          <cell r="F794">
            <v>0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0</v>
          </cell>
          <cell r="AK794">
            <v>0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BA794">
            <v>0</v>
          </cell>
          <cell r="BB794">
            <v>0</v>
          </cell>
          <cell r="BC794">
            <v>0</v>
          </cell>
          <cell r="BD794">
            <v>0</v>
          </cell>
          <cell r="BE794">
            <v>0</v>
          </cell>
          <cell r="BF794">
            <v>0</v>
          </cell>
          <cell r="BG794">
            <v>0</v>
          </cell>
          <cell r="BH794">
            <v>0</v>
          </cell>
          <cell r="BI794">
            <v>0</v>
          </cell>
          <cell r="BK794">
            <v>0</v>
          </cell>
          <cell r="BL794">
            <v>0</v>
          </cell>
          <cell r="BM794">
            <v>0</v>
          </cell>
          <cell r="BN794">
            <v>0</v>
          </cell>
          <cell r="BO794">
            <v>0</v>
          </cell>
          <cell r="BP794">
            <v>0</v>
          </cell>
          <cell r="BQ794">
            <v>0</v>
          </cell>
          <cell r="BR794">
            <v>0</v>
          </cell>
          <cell r="BS794">
            <v>0</v>
          </cell>
          <cell r="BU794">
            <v>0</v>
          </cell>
          <cell r="BV794">
            <v>0</v>
          </cell>
          <cell r="BW794">
            <v>0</v>
          </cell>
          <cell r="BX794">
            <v>0</v>
          </cell>
          <cell r="BY794">
            <v>0</v>
          </cell>
          <cell r="BZ794">
            <v>0</v>
          </cell>
          <cell r="CA794">
            <v>0</v>
          </cell>
          <cell r="CB794">
            <v>0</v>
          </cell>
          <cell r="CC794">
            <v>0</v>
          </cell>
          <cell r="CE794">
            <v>0</v>
          </cell>
          <cell r="CF794">
            <v>0</v>
          </cell>
          <cell r="CG794">
            <v>0</v>
          </cell>
          <cell r="CH794">
            <v>0</v>
          </cell>
          <cell r="CI794">
            <v>0</v>
          </cell>
          <cell r="CJ794">
            <v>0</v>
          </cell>
          <cell r="CK794">
            <v>0</v>
          </cell>
          <cell r="CL794">
            <v>0</v>
          </cell>
          <cell r="CM794">
            <v>0</v>
          </cell>
          <cell r="CO794">
            <v>0</v>
          </cell>
          <cell r="CP794">
            <v>0</v>
          </cell>
          <cell r="CQ794">
            <v>0</v>
          </cell>
          <cell r="CR794">
            <v>0</v>
          </cell>
          <cell r="CS794">
            <v>0</v>
          </cell>
          <cell r="CT794">
            <v>0</v>
          </cell>
          <cell r="CU794">
            <v>0</v>
          </cell>
          <cell r="CV794">
            <v>0</v>
          </cell>
          <cell r="CW794">
            <v>0</v>
          </cell>
          <cell r="CY794">
            <v>0</v>
          </cell>
          <cell r="CZ794">
            <v>0</v>
          </cell>
          <cell r="DA794">
            <v>0</v>
          </cell>
          <cell r="DB794">
            <v>0</v>
          </cell>
          <cell r="DC794">
            <v>0</v>
          </cell>
          <cell r="DD794">
            <v>0</v>
          </cell>
          <cell r="DE794">
            <v>0</v>
          </cell>
          <cell r="DF794">
            <v>0</v>
          </cell>
          <cell r="DG794">
            <v>0</v>
          </cell>
          <cell r="DI794">
            <v>0</v>
          </cell>
          <cell r="DJ794">
            <v>0</v>
          </cell>
          <cell r="DK794">
            <v>0</v>
          </cell>
          <cell r="DL794">
            <v>0</v>
          </cell>
          <cell r="DM794">
            <v>0</v>
          </cell>
          <cell r="DN794">
            <v>0</v>
          </cell>
          <cell r="DO794">
            <v>0</v>
          </cell>
          <cell r="DP794">
            <v>0</v>
          </cell>
          <cell r="DQ794">
            <v>0</v>
          </cell>
          <cell r="DR794">
            <v>0</v>
          </cell>
          <cell r="DS794">
            <v>0</v>
          </cell>
          <cell r="DT794">
            <v>0</v>
          </cell>
          <cell r="DU794">
            <v>0</v>
          </cell>
          <cell r="DW794">
            <v>0</v>
          </cell>
          <cell r="DX794">
            <v>0</v>
          </cell>
          <cell r="DY794">
            <v>0</v>
          </cell>
          <cell r="DZ794">
            <v>0</v>
          </cell>
          <cell r="EA794">
            <v>0</v>
          </cell>
          <cell r="EB794">
            <v>0</v>
          </cell>
          <cell r="EC794">
            <v>0</v>
          </cell>
          <cell r="ED794">
            <v>0</v>
          </cell>
          <cell r="EE794">
            <v>0</v>
          </cell>
          <cell r="EF794">
            <v>0</v>
          </cell>
          <cell r="EG794">
            <v>0</v>
          </cell>
          <cell r="EH794">
            <v>0</v>
          </cell>
          <cell r="EI794">
            <v>0</v>
          </cell>
          <cell r="EK794">
            <v>0</v>
          </cell>
          <cell r="EL794">
            <v>0</v>
          </cell>
          <cell r="EM794">
            <v>0</v>
          </cell>
          <cell r="EN794">
            <v>0</v>
          </cell>
          <cell r="EO794">
            <v>0</v>
          </cell>
          <cell r="EP794">
            <v>0</v>
          </cell>
          <cell r="EQ794">
            <v>0</v>
          </cell>
          <cell r="ER794">
            <v>0</v>
          </cell>
          <cell r="ES794">
            <v>0</v>
          </cell>
          <cell r="ET794">
            <v>0</v>
          </cell>
          <cell r="EU794">
            <v>0</v>
          </cell>
          <cell r="EV794">
            <v>0</v>
          </cell>
          <cell r="EW794">
            <v>0</v>
          </cell>
          <cell r="EY794">
            <v>0</v>
          </cell>
          <cell r="EZ794">
            <v>8</v>
          </cell>
          <cell r="FA794">
            <v>0</v>
          </cell>
          <cell r="FB794">
            <v>0</v>
          </cell>
          <cell r="FC794">
            <v>8.6</v>
          </cell>
          <cell r="FD794">
            <v>0</v>
          </cell>
          <cell r="FE794">
            <v>0</v>
          </cell>
          <cell r="FF794">
            <v>0</v>
          </cell>
          <cell r="FH794">
            <v>0</v>
          </cell>
        </row>
        <row r="795">
          <cell r="B795">
            <v>9931</v>
          </cell>
          <cell r="C795" t="str">
            <v>03.01.2012</v>
          </cell>
          <cell r="D795" t="str">
            <v>Jadhav Milan Vinayak</v>
          </cell>
          <cell r="F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BA795">
            <v>0</v>
          </cell>
          <cell r="BB795">
            <v>0</v>
          </cell>
          <cell r="BC795">
            <v>0</v>
          </cell>
          <cell r="BD795">
            <v>0</v>
          </cell>
          <cell r="BE795">
            <v>0</v>
          </cell>
          <cell r="BF795">
            <v>0</v>
          </cell>
          <cell r="BG795">
            <v>0</v>
          </cell>
          <cell r="BH795">
            <v>0</v>
          </cell>
          <cell r="BI795">
            <v>0</v>
          </cell>
          <cell r="BK795">
            <v>0</v>
          </cell>
          <cell r="BL795">
            <v>0</v>
          </cell>
          <cell r="BM795">
            <v>0</v>
          </cell>
          <cell r="BN795">
            <v>0</v>
          </cell>
          <cell r="BO795">
            <v>0</v>
          </cell>
          <cell r="BP795">
            <v>0</v>
          </cell>
          <cell r="BQ795">
            <v>0</v>
          </cell>
          <cell r="BR795">
            <v>0</v>
          </cell>
          <cell r="BS795">
            <v>0</v>
          </cell>
          <cell r="BU795">
            <v>0</v>
          </cell>
          <cell r="BV795">
            <v>0</v>
          </cell>
          <cell r="BW795">
            <v>0</v>
          </cell>
          <cell r="BX795">
            <v>0</v>
          </cell>
          <cell r="BY795">
            <v>0</v>
          </cell>
          <cell r="BZ795">
            <v>0</v>
          </cell>
          <cell r="CA795">
            <v>0</v>
          </cell>
          <cell r="CB795">
            <v>0</v>
          </cell>
          <cell r="CC795">
            <v>0</v>
          </cell>
          <cell r="CE795">
            <v>0</v>
          </cell>
          <cell r="CF795">
            <v>0</v>
          </cell>
          <cell r="CG795">
            <v>0</v>
          </cell>
          <cell r="CH795">
            <v>0</v>
          </cell>
          <cell r="CI795">
            <v>0</v>
          </cell>
          <cell r="CJ795">
            <v>0</v>
          </cell>
          <cell r="CK795">
            <v>0</v>
          </cell>
          <cell r="CL795">
            <v>0</v>
          </cell>
          <cell r="CM795">
            <v>0</v>
          </cell>
          <cell r="CO795">
            <v>0</v>
          </cell>
          <cell r="CP795">
            <v>0</v>
          </cell>
          <cell r="CQ795">
            <v>0</v>
          </cell>
          <cell r="CR795">
            <v>0</v>
          </cell>
          <cell r="CS795">
            <v>0</v>
          </cell>
          <cell r="CT795">
            <v>0</v>
          </cell>
          <cell r="CU795">
            <v>0</v>
          </cell>
          <cell r="CV795">
            <v>0</v>
          </cell>
          <cell r="CW795">
            <v>0</v>
          </cell>
          <cell r="CY795">
            <v>0</v>
          </cell>
          <cell r="CZ795">
            <v>0</v>
          </cell>
          <cell r="DA795">
            <v>0</v>
          </cell>
          <cell r="DB795">
            <v>0</v>
          </cell>
          <cell r="DC795">
            <v>0</v>
          </cell>
          <cell r="DD795">
            <v>0</v>
          </cell>
          <cell r="DE795">
            <v>0</v>
          </cell>
          <cell r="DF795">
            <v>0</v>
          </cell>
          <cell r="DG795">
            <v>0</v>
          </cell>
          <cell r="DI795">
            <v>0</v>
          </cell>
          <cell r="DJ795">
            <v>0</v>
          </cell>
          <cell r="DK795">
            <v>0</v>
          </cell>
          <cell r="DL795">
            <v>0</v>
          </cell>
          <cell r="DM795">
            <v>0</v>
          </cell>
          <cell r="DN795">
            <v>0</v>
          </cell>
          <cell r="DO795">
            <v>0</v>
          </cell>
          <cell r="DP795">
            <v>0</v>
          </cell>
          <cell r="DQ795">
            <v>0</v>
          </cell>
          <cell r="DR795">
            <v>0</v>
          </cell>
          <cell r="DS795">
            <v>0</v>
          </cell>
          <cell r="DT795">
            <v>0</v>
          </cell>
          <cell r="DU795">
            <v>0</v>
          </cell>
          <cell r="DW795">
            <v>0</v>
          </cell>
          <cell r="DX795">
            <v>0</v>
          </cell>
          <cell r="DY795">
            <v>0</v>
          </cell>
          <cell r="DZ795">
            <v>0</v>
          </cell>
          <cell r="EA795">
            <v>0</v>
          </cell>
          <cell r="EB795">
            <v>0</v>
          </cell>
          <cell r="EC795">
            <v>0</v>
          </cell>
          <cell r="ED795">
            <v>0</v>
          </cell>
          <cell r="EE795">
            <v>0</v>
          </cell>
          <cell r="EF795">
            <v>0</v>
          </cell>
          <cell r="EG795">
            <v>0</v>
          </cell>
          <cell r="EH795">
            <v>0</v>
          </cell>
          <cell r="EI795">
            <v>0</v>
          </cell>
          <cell r="EK795">
            <v>0</v>
          </cell>
          <cell r="EL795">
            <v>0</v>
          </cell>
          <cell r="EM795">
            <v>0</v>
          </cell>
          <cell r="EN795">
            <v>0</v>
          </cell>
          <cell r="EO795">
            <v>0</v>
          </cell>
          <cell r="EP795">
            <v>0</v>
          </cell>
          <cell r="EQ795">
            <v>0</v>
          </cell>
          <cell r="ER795">
            <v>0</v>
          </cell>
          <cell r="ES795">
            <v>0</v>
          </cell>
          <cell r="ET795">
            <v>0</v>
          </cell>
          <cell r="EU795">
            <v>0</v>
          </cell>
          <cell r="EV795">
            <v>0</v>
          </cell>
          <cell r="EW795">
            <v>0</v>
          </cell>
          <cell r="EY795">
            <v>0</v>
          </cell>
          <cell r="EZ795">
            <v>8</v>
          </cell>
          <cell r="FA795">
            <v>0</v>
          </cell>
          <cell r="FB795">
            <v>0</v>
          </cell>
          <cell r="FC795">
            <v>8.6</v>
          </cell>
          <cell r="FD795">
            <v>0</v>
          </cell>
          <cell r="FE795">
            <v>0</v>
          </cell>
          <cell r="FF795">
            <v>0</v>
          </cell>
          <cell r="FH795">
            <v>0</v>
          </cell>
        </row>
        <row r="796">
          <cell r="B796">
            <v>9932</v>
          </cell>
          <cell r="C796" t="str">
            <v>04.01.2012</v>
          </cell>
          <cell r="D796" t="str">
            <v>Ghaidhani Avinash Vishnu</v>
          </cell>
          <cell r="F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  <cell r="AG796">
            <v>0</v>
          </cell>
          <cell r="AH796">
            <v>0</v>
          </cell>
          <cell r="AI796">
            <v>0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BA796">
            <v>0</v>
          </cell>
          <cell r="BB796">
            <v>0</v>
          </cell>
          <cell r="BC796">
            <v>0</v>
          </cell>
          <cell r="BD796">
            <v>0</v>
          </cell>
          <cell r="BE796">
            <v>0</v>
          </cell>
          <cell r="BF796">
            <v>0</v>
          </cell>
          <cell r="BG796">
            <v>0</v>
          </cell>
          <cell r="BH796">
            <v>0</v>
          </cell>
          <cell r="BI796">
            <v>0</v>
          </cell>
          <cell r="BK796">
            <v>0</v>
          </cell>
          <cell r="BL796">
            <v>0</v>
          </cell>
          <cell r="BM796">
            <v>0</v>
          </cell>
          <cell r="BN796">
            <v>0</v>
          </cell>
          <cell r="BO796">
            <v>0</v>
          </cell>
          <cell r="BP796">
            <v>0</v>
          </cell>
          <cell r="BQ796">
            <v>0</v>
          </cell>
          <cell r="BR796">
            <v>0</v>
          </cell>
          <cell r="BS796">
            <v>0</v>
          </cell>
          <cell r="BU796">
            <v>0</v>
          </cell>
          <cell r="BV796">
            <v>0</v>
          </cell>
          <cell r="BW796">
            <v>0</v>
          </cell>
          <cell r="BX796">
            <v>0</v>
          </cell>
          <cell r="BY796">
            <v>0</v>
          </cell>
          <cell r="BZ796">
            <v>0</v>
          </cell>
          <cell r="CA796">
            <v>0</v>
          </cell>
          <cell r="CB796">
            <v>0</v>
          </cell>
          <cell r="CC796">
            <v>0</v>
          </cell>
          <cell r="CE796">
            <v>0</v>
          </cell>
          <cell r="CF796">
            <v>0</v>
          </cell>
          <cell r="CG796">
            <v>0</v>
          </cell>
          <cell r="CH796">
            <v>0</v>
          </cell>
          <cell r="CI796">
            <v>0</v>
          </cell>
          <cell r="CJ796">
            <v>0</v>
          </cell>
          <cell r="CK796">
            <v>0</v>
          </cell>
          <cell r="CL796">
            <v>0</v>
          </cell>
          <cell r="CM796">
            <v>0</v>
          </cell>
          <cell r="CO796">
            <v>0</v>
          </cell>
          <cell r="CP796">
            <v>0</v>
          </cell>
          <cell r="CQ796">
            <v>0</v>
          </cell>
          <cell r="CR796">
            <v>0</v>
          </cell>
          <cell r="CS796">
            <v>0</v>
          </cell>
          <cell r="CT796">
            <v>0</v>
          </cell>
          <cell r="CU796">
            <v>0</v>
          </cell>
          <cell r="CV796">
            <v>0</v>
          </cell>
          <cell r="CW796">
            <v>0</v>
          </cell>
          <cell r="CY796">
            <v>0</v>
          </cell>
          <cell r="CZ796">
            <v>0</v>
          </cell>
          <cell r="DA796">
            <v>0</v>
          </cell>
          <cell r="DB796">
            <v>0</v>
          </cell>
          <cell r="DC796">
            <v>0</v>
          </cell>
          <cell r="DD796">
            <v>0</v>
          </cell>
          <cell r="DE796">
            <v>0</v>
          </cell>
          <cell r="DF796">
            <v>0</v>
          </cell>
          <cell r="DG796">
            <v>0</v>
          </cell>
          <cell r="DI796">
            <v>0</v>
          </cell>
          <cell r="DJ796">
            <v>0</v>
          </cell>
          <cell r="DK796">
            <v>0</v>
          </cell>
          <cell r="DL796">
            <v>0</v>
          </cell>
          <cell r="DM796">
            <v>0</v>
          </cell>
          <cell r="DN796">
            <v>0</v>
          </cell>
          <cell r="DO796">
            <v>0</v>
          </cell>
          <cell r="DP796">
            <v>0</v>
          </cell>
          <cell r="DQ796">
            <v>0</v>
          </cell>
          <cell r="DR796">
            <v>0</v>
          </cell>
          <cell r="DS796">
            <v>0</v>
          </cell>
          <cell r="DT796">
            <v>0</v>
          </cell>
          <cell r="DU796">
            <v>0</v>
          </cell>
          <cell r="DW796">
            <v>0</v>
          </cell>
          <cell r="DX796">
            <v>0</v>
          </cell>
          <cell r="DY796">
            <v>0</v>
          </cell>
          <cell r="DZ796">
            <v>0</v>
          </cell>
          <cell r="EA796">
            <v>0</v>
          </cell>
          <cell r="EB796">
            <v>0</v>
          </cell>
          <cell r="EC796">
            <v>0</v>
          </cell>
          <cell r="ED796">
            <v>0</v>
          </cell>
          <cell r="EE796">
            <v>0</v>
          </cell>
          <cell r="EF796">
            <v>0</v>
          </cell>
          <cell r="EG796">
            <v>0</v>
          </cell>
          <cell r="EH796">
            <v>0</v>
          </cell>
          <cell r="EI796">
            <v>0</v>
          </cell>
          <cell r="EK796">
            <v>0</v>
          </cell>
          <cell r="EL796">
            <v>0</v>
          </cell>
          <cell r="EM796">
            <v>0</v>
          </cell>
          <cell r="EN796">
            <v>0</v>
          </cell>
          <cell r="EO796">
            <v>0</v>
          </cell>
          <cell r="EP796">
            <v>0</v>
          </cell>
          <cell r="EQ796">
            <v>0</v>
          </cell>
          <cell r="ER796">
            <v>0</v>
          </cell>
          <cell r="ES796">
            <v>0</v>
          </cell>
          <cell r="ET796">
            <v>0</v>
          </cell>
          <cell r="EU796">
            <v>0</v>
          </cell>
          <cell r="EV796">
            <v>0</v>
          </cell>
          <cell r="EW796">
            <v>0</v>
          </cell>
          <cell r="EY796">
            <v>0</v>
          </cell>
          <cell r="EZ796">
            <v>8</v>
          </cell>
          <cell r="FA796">
            <v>0</v>
          </cell>
          <cell r="FB796">
            <v>0</v>
          </cell>
          <cell r="FC796">
            <v>8.6</v>
          </cell>
          <cell r="FD796">
            <v>0</v>
          </cell>
          <cell r="FE796">
            <v>0</v>
          </cell>
          <cell r="FF796">
            <v>0</v>
          </cell>
          <cell r="FH796">
            <v>0</v>
          </cell>
        </row>
        <row r="797">
          <cell r="B797">
            <v>9933</v>
          </cell>
          <cell r="C797" t="str">
            <v>03.08.2012</v>
          </cell>
          <cell r="D797" t="str">
            <v>Pote Ankush Valu</v>
          </cell>
          <cell r="F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BA797">
            <v>0</v>
          </cell>
          <cell r="BB797">
            <v>0</v>
          </cell>
          <cell r="BC797">
            <v>0</v>
          </cell>
          <cell r="BD797">
            <v>0</v>
          </cell>
          <cell r="BE797">
            <v>0</v>
          </cell>
          <cell r="BF797">
            <v>0</v>
          </cell>
          <cell r="BG797">
            <v>0</v>
          </cell>
          <cell r="BH797">
            <v>0</v>
          </cell>
          <cell r="BI797">
            <v>0</v>
          </cell>
          <cell r="BK797">
            <v>0</v>
          </cell>
          <cell r="BL797">
            <v>0</v>
          </cell>
          <cell r="BM797">
            <v>0</v>
          </cell>
          <cell r="BN797">
            <v>0</v>
          </cell>
          <cell r="BO797">
            <v>0</v>
          </cell>
          <cell r="BP797">
            <v>0</v>
          </cell>
          <cell r="BQ797">
            <v>0</v>
          </cell>
          <cell r="BR797">
            <v>0</v>
          </cell>
          <cell r="BS797">
            <v>0</v>
          </cell>
          <cell r="BU797">
            <v>0</v>
          </cell>
          <cell r="BV797">
            <v>0</v>
          </cell>
          <cell r="BW797">
            <v>0</v>
          </cell>
          <cell r="BX797">
            <v>0</v>
          </cell>
          <cell r="BY797">
            <v>0</v>
          </cell>
          <cell r="BZ797">
            <v>0</v>
          </cell>
          <cell r="CA797">
            <v>0</v>
          </cell>
          <cell r="CB797">
            <v>0</v>
          </cell>
          <cell r="CC797">
            <v>0</v>
          </cell>
          <cell r="CE797">
            <v>0</v>
          </cell>
          <cell r="CF797">
            <v>0</v>
          </cell>
          <cell r="CG797">
            <v>0</v>
          </cell>
          <cell r="CH797">
            <v>0</v>
          </cell>
          <cell r="CI797">
            <v>0</v>
          </cell>
          <cell r="CJ797">
            <v>0</v>
          </cell>
          <cell r="CK797">
            <v>0</v>
          </cell>
          <cell r="CL797">
            <v>0</v>
          </cell>
          <cell r="CM797">
            <v>0</v>
          </cell>
          <cell r="CO797">
            <v>0</v>
          </cell>
          <cell r="CP797">
            <v>0</v>
          </cell>
          <cell r="CQ797">
            <v>0</v>
          </cell>
          <cell r="CR797">
            <v>0</v>
          </cell>
          <cell r="CS797">
            <v>0</v>
          </cell>
          <cell r="CT797">
            <v>0</v>
          </cell>
          <cell r="CU797">
            <v>0</v>
          </cell>
          <cell r="CV797">
            <v>0</v>
          </cell>
          <cell r="CW797">
            <v>0</v>
          </cell>
          <cell r="CY797">
            <v>0</v>
          </cell>
          <cell r="CZ797">
            <v>0</v>
          </cell>
          <cell r="DA797">
            <v>0</v>
          </cell>
          <cell r="DB797">
            <v>0</v>
          </cell>
          <cell r="DC797">
            <v>0</v>
          </cell>
          <cell r="DD797">
            <v>0</v>
          </cell>
          <cell r="DE797">
            <v>0</v>
          </cell>
          <cell r="DF797">
            <v>0</v>
          </cell>
          <cell r="DG797">
            <v>0</v>
          </cell>
          <cell r="DI797">
            <v>0</v>
          </cell>
          <cell r="DJ797">
            <v>0</v>
          </cell>
          <cell r="DK797">
            <v>0</v>
          </cell>
          <cell r="DL797">
            <v>0</v>
          </cell>
          <cell r="DM797">
            <v>0</v>
          </cell>
          <cell r="DN797">
            <v>0</v>
          </cell>
          <cell r="DO797">
            <v>0</v>
          </cell>
          <cell r="DP797">
            <v>0</v>
          </cell>
          <cell r="DQ797">
            <v>0</v>
          </cell>
          <cell r="DR797">
            <v>0</v>
          </cell>
          <cell r="DS797">
            <v>0</v>
          </cell>
          <cell r="DT797">
            <v>0</v>
          </cell>
          <cell r="DU797">
            <v>0</v>
          </cell>
          <cell r="DW797">
            <v>0</v>
          </cell>
          <cell r="DX797">
            <v>0</v>
          </cell>
          <cell r="DY797">
            <v>0</v>
          </cell>
          <cell r="DZ797">
            <v>0</v>
          </cell>
          <cell r="EA797">
            <v>0</v>
          </cell>
          <cell r="EB797">
            <v>0</v>
          </cell>
          <cell r="EC797">
            <v>0</v>
          </cell>
          <cell r="ED797">
            <v>0</v>
          </cell>
          <cell r="EE797">
            <v>0</v>
          </cell>
          <cell r="EF797">
            <v>0</v>
          </cell>
          <cell r="EG797">
            <v>0</v>
          </cell>
          <cell r="EH797">
            <v>0</v>
          </cell>
          <cell r="EI797">
            <v>0</v>
          </cell>
          <cell r="EK797">
            <v>0</v>
          </cell>
          <cell r="EL797">
            <v>0</v>
          </cell>
          <cell r="EM797">
            <v>0</v>
          </cell>
          <cell r="EN797">
            <v>0</v>
          </cell>
          <cell r="EO797">
            <v>0</v>
          </cell>
          <cell r="EP797">
            <v>0</v>
          </cell>
          <cell r="EQ797">
            <v>0</v>
          </cell>
          <cell r="ER797">
            <v>0</v>
          </cell>
          <cell r="ES797">
            <v>0</v>
          </cell>
          <cell r="ET797">
            <v>0</v>
          </cell>
          <cell r="EU797">
            <v>0</v>
          </cell>
          <cell r="EV797">
            <v>0</v>
          </cell>
          <cell r="EW797">
            <v>0</v>
          </cell>
          <cell r="EY797">
            <v>0</v>
          </cell>
          <cell r="EZ797">
            <v>8</v>
          </cell>
          <cell r="FA797">
            <v>0</v>
          </cell>
          <cell r="FB797">
            <v>0</v>
          </cell>
          <cell r="FC797">
            <v>8.6</v>
          </cell>
          <cell r="FD797">
            <v>0</v>
          </cell>
          <cell r="FE797">
            <v>0</v>
          </cell>
          <cell r="FF797">
            <v>0</v>
          </cell>
          <cell r="FH797">
            <v>0</v>
          </cell>
        </row>
        <row r="798">
          <cell r="B798">
            <v>9934</v>
          </cell>
          <cell r="C798" t="str">
            <v>03.09.2012</v>
          </cell>
          <cell r="D798" t="str">
            <v>More Manda Sopan</v>
          </cell>
          <cell r="F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BA798">
            <v>0</v>
          </cell>
          <cell r="BB798">
            <v>0</v>
          </cell>
          <cell r="BC798">
            <v>0</v>
          </cell>
          <cell r="BD798">
            <v>0</v>
          </cell>
          <cell r="BE798">
            <v>0</v>
          </cell>
          <cell r="BF798">
            <v>0</v>
          </cell>
          <cell r="BG798">
            <v>0</v>
          </cell>
          <cell r="BH798">
            <v>0</v>
          </cell>
          <cell r="BI798">
            <v>0</v>
          </cell>
          <cell r="BK798">
            <v>0</v>
          </cell>
          <cell r="BL798">
            <v>0</v>
          </cell>
          <cell r="BM798">
            <v>0</v>
          </cell>
          <cell r="BN798">
            <v>0</v>
          </cell>
          <cell r="BO798">
            <v>0</v>
          </cell>
          <cell r="BP798">
            <v>0</v>
          </cell>
          <cell r="BQ798">
            <v>0</v>
          </cell>
          <cell r="BR798">
            <v>0</v>
          </cell>
          <cell r="BS798">
            <v>0</v>
          </cell>
          <cell r="BU798">
            <v>0</v>
          </cell>
          <cell r="BV798">
            <v>0</v>
          </cell>
          <cell r="BW798">
            <v>0</v>
          </cell>
          <cell r="BX798">
            <v>0</v>
          </cell>
          <cell r="BY798">
            <v>0</v>
          </cell>
          <cell r="BZ798">
            <v>0</v>
          </cell>
          <cell r="CA798">
            <v>0</v>
          </cell>
          <cell r="CB798">
            <v>0</v>
          </cell>
          <cell r="CC798">
            <v>0</v>
          </cell>
          <cell r="CE798">
            <v>0</v>
          </cell>
          <cell r="CF798">
            <v>0</v>
          </cell>
          <cell r="CG798">
            <v>0</v>
          </cell>
          <cell r="CH798">
            <v>0</v>
          </cell>
          <cell r="CI798">
            <v>0</v>
          </cell>
          <cell r="CJ798">
            <v>0</v>
          </cell>
          <cell r="CK798">
            <v>0</v>
          </cell>
          <cell r="CL798">
            <v>0</v>
          </cell>
          <cell r="CM798">
            <v>0</v>
          </cell>
          <cell r="CO798">
            <v>0</v>
          </cell>
          <cell r="CP798">
            <v>0</v>
          </cell>
          <cell r="CQ798">
            <v>0</v>
          </cell>
          <cell r="CR798">
            <v>0</v>
          </cell>
          <cell r="CS798">
            <v>0</v>
          </cell>
          <cell r="CT798">
            <v>0</v>
          </cell>
          <cell r="CU798">
            <v>0</v>
          </cell>
          <cell r="CV798">
            <v>0</v>
          </cell>
          <cell r="CW798">
            <v>0</v>
          </cell>
          <cell r="CY798">
            <v>0</v>
          </cell>
          <cell r="CZ798">
            <v>0</v>
          </cell>
          <cell r="DA798">
            <v>0</v>
          </cell>
          <cell r="DB798">
            <v>0</v>
          </cell>
          <cell r="DC798">
            <v>0</v>
          </cell>
          <cell r="DD798">
            <v>0</v>
          </cell>
          <cell r="DE798">
            <v>0</v>
          </cell>
          <cell r="DF798">
            <v>0</v>
          </cell>
          <cell r="DG798">
            <v>0</v>
          </cell>
          <cell r="DI798">
            <v>0</v>
          </cell>
          <cell r="DJ798">
            <v>0</v>
          </cell>
          <cell r="DK798">
            <v>0</v>
          </cell>
          <cell r="DL798">
            <v>0</v>
          </cell>
          <cell r="DM798">
            <v>0</v>
          </cell>
          <cell r="DN798">
            <v>0</v>
          </cell>
          <cell r="DO798">
            <v>0</v>
          </cell>
          <cell r="DP798">
            <v>0</v>
          </cell>
          <cell r="DQ798">
            <v>0</v>
          </cell>
          <cell r="DR798">
            <v>0</v>
          </cell>
          <cell r="DS798">
            <v>0</v>
          </cell>
          <cell r="DT798">
            <v>0</v>
          </cell>
          <cell r="DU798">
            <v>0</v>
          </cell>
          <cell r="DW798">
            <v>0</v>
          </cell>
          <cell r="DX798">
            <v>0</v>
          </cell>
          <cell r="DY798">
            <v>0</v>
          </cell>
          <cell r="DZ798">
            <v>0</v>
          </cell>
          <cell r="EA798">
            <v>0</v>
          </cell>
          <cell r="EB798">
            <v>0</v>
          </cell>
          <cell r="EC798">
            <v>0</v>
          </cell>
          <cell r="ED798">
            <v>0</v>
          </cell>
          <cell r="EE798">
            <v>0</v>
          </cell>
          <cell r="EF798">
            <v>0</v>
          </cell>
          <cell r="EG798">
            <v>0</v>
          </cell>
          <cell r="EH798">
            <v>0</v>
          </cell>
          <cell r="EI798">
            <v>0</v>
          </cell>
          <cell r="EK798">
            <v>0</v>
          </cell>
          <cell r="EL798">
            <v>0</v>
          </cell>
          <cell r="EM798">
            <v>0</v>
          </cell>
          <cell r="EN798">
            <v>0</v>
          </cell>
          <cell r="EO798">
            <v>0</v>
          </cell>
          <cell r="EP798">
            <v>0</v>
          </cell>
          <cell r="EQ798">
            <v>0</v>
          </cell>
          <cell r="ER798">
            <v>0</v>
          </cell>
          <cell r="ES798">
            <v>0</v>
          </cell>
          <cell r="ET798">
            <v>0</v>
          </cell>
          <cell r="EU798">
            <v>0</v>
          </cell>
          <cell r="EV798">
            <v>0</v>
          </cell>
          <cell r="EW798">
            <v>0</v>
          </cell>
          <cell r="EY798">
            <v>0</v>
          </cell>
          <cell r="EZ798">
            <v>8</v>
          </cell>
          <cell r="FA798">
            <v>0</v>
          </cell>
          <cell r="FB798">
            <v>0</v>
          </cell>
          <cell r="FC798">
            <v>8.6</v>
          </cell>
          <cell r="FD798">
            <v>0</v>
          </cell>
          <cell r="FE798">
            <v>0</v>
          </cell>
          <cell r="FF798">
            <v>0</v>
          </cell>
          <cell r="FH798">
            <v>0</v>
          </cell>
        </row>
        <row r="799">
          <cell r="B799">
            <v>9935</v>
          </cell>
          <cell r="C799" t="str">
            <v>03.09.2012</v>
          </cell>
          <cell r="D799" t="str">
            <v>Shinde Balu Baburao</v>
          </cell>
          <cell r="F799">
            <v>0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BA799">
            <v>0</v>
          </cell>
          <cell r="BB799">
            <v>0</v>
          </cell>
          <cell r="BC799">
            <v>0</v>
          </cell>
          <cell r="BD799">
            <v>0</v>
          </cell>
          <cell r="BE799">
            <v>0</v>
          </cell>
          <cell r="BF799">
            <v>0</v>
          </cell>
          <cell r="BG799">
            <v>0</v>
          </cell>
          <cell r="BH799">
            <v>0</v>
          </cell>
          <cell r="BI799">
            <v>0</v>
          </cell>
          <cell r="BK799">
            <v>0</v>
          </cell>
          <cell r="BL799">
            <v>0</v>
          </cell>
          <cell r="BM799">
            <v>0</v>
          </cell>
          <cell r="BN799">
            <v>0</v>
          </cell>
          <cell r="BO799">
            <v>0</v>
          </cell>
          <cell r="BP799">
            <v>0</v>
          </cell>
          <cell r="BQ799">
            <v>0</v>
          </cell>
          <cell r="BR799">
            <v>0</v>
          </cell>
          <cell r="BS799">
            <v>0</v>
          </cell>
          <cell r="BU799">
            <v>0</v>
          </cell>
          <cell r="BV799">
            <v>0</v>
          </cell>
          <cell r="BW799">
            <v>0</v>
          </cell>
          <cell r="BX799">
            <v>0</v>
          </cell>
          <cell r="BY799">
            <v>0</v>
          </cell>
          <cell r="BZ799">
            <v>0</v>
          </cell>
          <cell r="CA799">
            <v>0</v>
          </cell>
          <cell r="CB799">
            <v>0</v>
          </cell>
          <cell r="CC799">
            <v>0</v>
          </cell>
          <cell r="CE799">
            <v>0</v>
          </cell>
          <cell r="CF799">
            <v>0</v>
          </cell>
          <cell r="CG799">
            <v>0</v>
          </cell>
          <cell r="CH799">
            <v>0</v>
          </cell>
          <cell r="CI799">
            <v>0</v>
          </cell>
          <cell r="CJ799">
            <v>0</v>
          </cell>
          <cell r="CK799">
            <v>0</v>
          </cell>
          <cell r="CL799">
            <v>0</v>
          </cell>
          <cell r="CM799">
            <v>0</v>
          </cell>
          <cell r="CO799">
            <v>0</v>
          </cell>
          <cell r="CP799">
            <v>0</v>
          </cell>
          <cell r="CQ799">
            <v>0</v>
          </cell>
          <cell r="CR799">
            <v>0</v>
          </cell>
          <cell r="CS799">
            <v>0</v>
          </cell>
          <cell r="CT799">
            <v>0</v>
          </cell>
          <cell r="CU799">
            <v>0</v>
          </cell>
          <cell r="CV799">
            <v>0</v>
          </cell>
          <cell r="CW799">
            <v>0</v>
          </cell>
          <cell r="CY799">
            <v>0</v>
          </cell>
          <cell r="CZ799">
            <v>0</v>
          </cell>
          <cell r="DA799">
            <v>0</v>
          </cell>
          <cell r="DB799">
            <v>0</v>
          </cell>
          <cell r="DC799">
            <v>0</v>
          </cell>
          <cell r="DD799">
            <v>0</v>
          </cell>
          <cell r="DE799">
            <v>0</v>
          </cell>
          <cell r="DF799">
            <v>0</v>
          </cell>
          <cell r="DG799">
            <v>0</v>
          </cell>
          <cell r="DI799">
            <v>0</v>
          </cell>
          <cell r="DJ799">
            <v>0</v>
          </cell>
          <cell r="DK799">
            <v>0</v>
          </cell>
          <cell r="DL799">
            <v>0</v>
          </cell>
          <cell r="DM799">
            <v>0</v>
          </cell>
          <cell r="DN799">
            <v>0</v>
          </cell>
          <cell r="DO799">
            <v>0</v>
          </cell>
          <cell r="DP799">
            <v>0</v>
          </cell>
          <cell r="DQ799">
            <v>0</v>
          </cell>
          <cell r="DR799">
            <v>0</v>
          </cell>
          <cell r="DS799">
            <v>0</v>
          </cell>
          <cell r="DT799">
            <v>0</v>
          </cell>
          <cell r="DU799">
            <v>0</v>
          </cell>
          <cell r="DW799">
            <v>0</v>
          </cell>
          <cell r="DX799">
            <v>0</v>
          </cell>
          <cell r="DY799">
            <v>0</v>
          </cell>
          <cell r="DZ799">
            <v>0</v>
          </cell>
          <cell r="EA799">
            <v>0</v>
          </cell>
          <cell r="EB799">
            <v>0</v>
          </cell>
          <cell r="EC799">
            <v>0</v>
          </cell>
          <cell r="ED799">
            <v>0</v>
          </cell>
          <cell r="EE799">
            <v>0</v>
          </cell>
          <cell r="EF799">
            <v>0</v>
          </cell>
          <cell r="EG799">
            <v>0</v>
          </cell>
          <cell r="EH799">
            <v>0</v>
          </cell>
          <cell r="EI799">
            <v>0</v>
          </cell>
          <cell r="EK799">
            <v>0</v>
          </cell>
          <cell r="EL799">
            <v>0</v>
          </cell>
          <cell r="EM799">
            <v>0</v>
          </cell>
          <cell r="EN799">
            <v>0</v>
          </cell>
          <cell r="EO799">
            <v>0</v>
          </cell>
          <cell r="EP799">
            <v>0</v>
          </cell>
          <cell r="EQ799">
            <v>0</v>
          </cell>
          <cell r="ER799">
            <v>0</v>
          </cell>
          <cell r="ES799">
            <v>0</v>
          </cell>
          <cell r="ET799">
            <v>0</v>
          </cell>
          <cell r="EU799">
            <v>0</v>
          </cell>
          <cell r="EV799">
            <v>0</v>
          </cell>
          <cell r="EW799">
            <v>0</v>
          </cell>
          <cell r="EY799">
            <v>0</v>
          </cell>
          <cell r="EZ799">
            <v>8</v>
          </cell>
          <cell r="FA799">
            <v>0</v>
          </cell>
          <cell r="FB799">
            <v>0</v>
          </cell>
          <cell r="FC799">
            <v>8.6</v>
          </cell>
          <cell r="FD799">
            <v>0</v>
          </cell>
          <cell r="FE799">
            <v>0</v>
          </cell>
          <cell r="FF799">
            <v>0</v>
          </cell>
          <cell r="FH799">
            <v>0</v>
          </cell>
        </row>
        <row r="800">
          <cell r="B800">
            <v>9936</v>
          </cell>
          <cell r="C800" t="str">
            <v>03.09.2012</v>
          </cell>
          <cell r="D800" t="str">
            <v>Shinde Sushma Rajendra</v>
          </cell>
          <cell r="F800">
            <v>0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0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BA800">
            <v>0</v>
          </cell>
          <cell r="BB800">
            <v>0</v>
          </cell>
          <cell r="BC800">
            <v>0</v>
          </cell>
          <cell r="BD800">
            <v>0</v>
          </cell>
          <cell r="BE800">
            <v>0</v>
          </cell>
          <cell r="BF800">
            <v>0</v>
          </cell>
          <cell r="BG800">
            <v>0</v>
          </cell>
          <cell r="BH800">
            <v>0</v>
          </cell>
          <cell r="BI800">
            <v>0</v>
          </cell>
          <cell r="BK800">
            <v>0</v>
          </cell>
          <cell r="BL800">
            <v>0</v>
          </cell>
          <cell r="BM800">
            <v>0</v>
          </cell>
          <cell r="BN800">
            <v>0</v>
          </cell>
          <cell r="BO800">
            <v>0</v>
          </cell>
          <cell r="BP800">
            <v>0</v>
          </cell>
          <cell r="BQ800">
            <v>0</v>
          </cell>
          <cell r="BR800">
            <v>0</v>
          </cell>
          <cell r="BS800">
            <v>0</v>
          </cell>
          <cell r="BU800">
            <v>0</v>
          </cell>
          <cell r="BV800">
            <v>0</v>
          </cell>
          <cell r="BW800">
            <v>0</v>
          </cell>
          <cell r="BX800">
            <v>0</v>
          </cell>
          <cell r="BY800">
            <v>0</v>
          </cell>
          <cell r="BZ800">
            <v>0</v>
          </cell>
          <cell r="CA800">
            <v>0</v>
          </cell>
          <cell r="CB800">
            <v>0</v>
          </cell>
          <cell r="CC800">
            <v>0</v>
          </cell>
          <cell r="CE800">
            <v>0</v>
          </cell>
          <cell r="CF800">
            <v>0</v>
          </cell>
          <cell r="CG800">
            <v>0</v>
          </cell>
          <cell r="CH800">
            <v>0</v>
          </cell>
          <cell r="CI800">
            <v>0</v>
          </cell>
          <cell r="CJ800">
            <v>0</v>
          </cell>
          <cell r="CK800">
            <v>0</v>
          </cell>
          <cell r="CL800">
            <v>0</v>
          </cell>
          <cell r="CM800">
            <v>0</v>
          </cell>
          <cell r="CO800">
            <v>0</v>
          </cell>
          <cell r="CP800">
            <v>0</v>
          </cell>
          <cell r="CQ800">
            <v>0</v>
          </cell>
          <cell r="CR800">
            <v>0</v>
          </cell>
          <cell r="CS800">
            <v>0</v>
          </cell>
          <cell r="CT800">
            <v>0</v>
          </cell>
          <cell r="CU800">
            <v>0</v>
          </cell>
          <cell r="CV800">
            <v>0</v>
          </cell>
          <cell r="CW800">
            <v>0</v>
          </cell>
          <cell r="CY800">
            <v>0</v>
          </cell>
          <cell r="CZ800">
            <v>0</v>
          </cell>
          <cell r="DA800">
            <v>0</v>
          </cell>
          <cell r="DB800">
            <v>0</v>
          </cell>
          <cell r="DC800">
            <v>0</v>
          </cell>
          <cell r="DD800">
            <v>0</v>
          </cell>
          <cell r="DE800">
            <v>0</v>
          </cell>
          <cell r="DF800">
            <v>0</v>
          </cell>
          <cell r="DG800">
            <v>0</v>
          </cell>
          <cell r="DI800">
            <v>0</v>
          </cell>
          <cell r="DJ800">
            <v>0</v>
          </cell>
          <cell r="DK800">
            <v>0</v>
          </cell>
          <cell r="DL800">
            <v>0</v>
          </cell>
          <cell r="DM800">
            <v>0</v>
          </cell>
          <cell r="DN800">
            <v>0</v>
          </cell>
          <cell r="DO800">
            <v>0</v>
          </cell>
          <cell r="DP800">
            <v>0</v>
          </cell>
          <cell r="DQ800">
            <v>0</v>
          </cell>
          <cell r="DR800">
            <v>0</v>
          </cell>
          <cell r="DS800">
            <v>0</v>
          </cell>
          <cell r="DT800">
            <v>0</v>
          </cell>
          <cell r="DU800">
            <v>0</v>
          </cell>
          <cell r="DW800">
            <v>0</v>
          </cell>
          <cell r="DX800">
            <v>0</v>
          </cell>
          <cell r="DY800">
            <v>0</v>
          </cell>
          <cell r="DZ800">
            <v>0</v>
          </cell>
          <cell r="EA800">
            <v>0</v>
          </cell>
          <cell r="EB800">
            <v>0</v>
          </cell>
          <cell r="EC800">
            <v>0</v>
          </cell>
          <cell r="ED800">
            <v>0</v>
          </cell>
          <cell r="EE800">
            <v>0</v>
          </cell>
          <cell r="EF800">
            <v>0</v>
          </cell>
          <cell r="EG800">
            <v>0</v>
          </cell>
          <cell r="EH800">
            <v>0</v>
          </cell>
          <cell r="EI800">
            <v>0</v>
          </cell>
          <cell r="EK800">
            <v>0</v>
          </cell>
          <cell r="EL800">
            <v>0</v>
          </cell>
          <cell r="EM800">
            <v>0</v>
          </cell>
          <cell r="EN800">
            <v>0</v>
          </cell>
          <cell r="EO800">
            <v>0</v>
          </cell>
          <cell r="EP800">
            <v>0</v>
          </cell>
          <cell r="EQ800">
            <v>0</v>
          </cell>
          <cell r="ER800">
            <v>0</v>
          </cell>
          <cell r="ES800">
            <v>0</v>
          </cell>
          <cell r="ET800">
            <v>0</v>
          </cell>
          <cell r="EU800">
            <v>0</v>
          </cell>
          <cell r="EV800">
            <v>0</v>
          </cell>
          <cell r="EW800">
            <v>0</v>
          </cell>
          <cell r="EY800">
            <v>0</v>
          </cell>
          <cell r="EZ800">
            <v>8</v>
          </cell>
          <cell r="FA800">
            <v>0</v>
          </cell>
          <cell r="FB800">
            <v>0</v>
          </cell>
          <cell r="FC800">
            <v>8.6</v>
          </cell>
          <cell r="FD800">
            <v>0</v>
          </cell>
          <cell r="FE800">
            <v>0</v>
          </cell>
          <cell r="FF800">
            <v>0</v>
          </cell>
          <cell r="FH800">
            <v>0</v>
          </cell>
        </row>
        <row r="801">
          <cell r="B801">
            <v>9937</v>
          </cell>
          <cell r="C801" t="str">
            <v>03.09.2012</v>
          </cell>
          <cell r="D801" t="str">
            <v>Jadhav Nitin Yashwant</v>
          </cell>
          <cell r="F801">
            <v>0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BA801">
            <v>0</v>
          </cell>
          <cell r="BB801">
            <v>0</v>
          </cell>
          <cell r="BC801">
            <v>0</v>
          </cell>
          <cell r="BD801">
            <v>0</v>
          </cell>
          <cell r="BE801">
            <v>0</v>
          </cell>
          <cell r="BF801">
            <v>0</v>
          </cell>
          <cell r="BG801">
            <v>0</v>
          </cell>
          <cell r="BH801">
            <v>0</v>
          </cell>
          <cell r="BI801">
            <v>0</v>
          </cell>
          <cell r="BK801">
            <v>0</v>
          </cell>
          <cell r="BL801">
            <v>0</v>
          </cell>
          <cell r="BM801">
            <v>0</v>
          </cell>
          <cell r="BN801">
            <v>0</v>
          </cell>
          <cell r="BO801">
            <v>0</v>
          </cell>
          <cell r="BP801">
            <v>0</v>
          </cell>
          <cell r="BQ801">
            <v>0</v>
          </cell>
          <cell r="BR801">
            <v>0</v>
          </cell>
          <cell r="BS801">
            <v>0</v>
          </cell>
          <cell r="BU801">
            <v>0</v>
          </cell>
          <cell r="BV801">
            <v>0</v>
          </cell>
          <cell r="BW801">
            <v>0</v>
          </cell>
          <cell r="BX801">
            <v>0</v>
          </cell>
          <cell r="BY801">
            <v>0</v>
          </cell>
          <cell r="BZ801">
            <v>0</v>
          </cell>
          <cell r="CA801">
            <v>0</v>
          </cell>
          <cell r="CB801">
            <v>0</v>
          </cell>
          <cell r="CC801">
            <v>0</v>
          </cell>
          <cell r="CE801">
            <v>0</v>
          </cell>
          <cell r="CF801">
            <v>0</v>
          </cell>
          <cell r="CG801">
            <v>0</v>
          </cell>
          <cell r="CH801">
            <v>0</v>
          </cell>
          <cell r="CI801">
            <v>0</v>
          </cell>
          <cell r="CJ801">
            <v>0</v>
          </cell>
          <cell r="CK801">
            <v>0</v>
          </cell>
          <cell r="CL801">
            <v>0</v>
          </cell>
          <cell r="CM801">
            <v>0</v>
          </cell>
          <cell r="CO801">
            <v>0</v>
          </cell>
          <cell r="CP801">
            <v>0</v>
          </cell>
          <cell r="CQ801">
            <v>0</v>
          </cell>
          <cell r="CR801">
            <v>0</v>
          </cell>
          <cell r="CS801">
            <v>0</v>
          </cell>
          <cell r="CT801">
            <v>0</v>
          </cell>
          <cell r="CU801">
            <v>0</v>
          </cell>
          <cell r="CV801">
            <v>0</v>
          </cell>
          <cell r="CW801">
            <v>0</v>
          </cell>
          <cell r="CY801">
            <v>0</v>
          </cell>
          <cell r="CZ801">
            <v>0</v>
          </cell>
          <cell r="DA801">
            <v>0</v>
          </cell>
          <cell r="DB801">
            <v>0</v>
          </cell>
          <cell r="DC801">
            <v>0</v>
          </cell>
          <cell r="DD801">
            <v>0</v>
          </cell>
          <cell r="DE801">
            <v>0</v>
          </cell>
          <cell r="DF801">
            <v>0</v>
          </cell>
          <cell r="DG801">
            <v>0</v>
          </cell>
          <cell r="DI801">
            <v>0</v>
          </cell>
          <cell r="DJ801">
            <v>0</v>
          </cell>
          <cell r="DK801">
            <v>0</v>
          </cell>
          <cell r="DL801">
            <v>0</v>
          </cell>
          <cell r="DM801">
            <v>0</v>
          </cell>
          <cell r="DN801">
            <v>0</v>
          </cell>
          <cell r="DO801">
            <v>0</v>
          </cell>
          <cell r="DP801">
            <v>0</v>
          </cell>
          <cell r="DQ801">
            <v>0</v>
          </cell>
          <cell r="DR801">
            <v>0</v>
          </cell>
          <cell r="DS801">
            <v>0</v>
          </cell>
          <cell r="DT801">
            <v>0</v>
          </cell>
          <cell r="DU801">
            <v>0</v>
          </cell>
          <cell r="DW801">
            <v>0</v>
          </cell>
          <cell r="DX801">
            <v>0</v>
          </cell>
          <cell r="DY801">
            <v>0</v>
          </cell>
          <cell r="DZ801">
            <v>0</v>
          </cell>
          <cell r="EA801">
            <v>0</v>
          </cell>
          <cell r="EB801">
            <v>0</v>
          </cell>
          <cell r="EC801">
            <v>0</v>
          </cell>
          <cell r="ED801">
            <v>0</v>
          </cell>
          <cell r="EE801">
            <v>0</v>
          </cell>
          <cell r="EF801">
            <v>0</v>
          </cell>
          <cell r="EG801">
            <v>0</v>
          </cell>
          <cell r="EH801">
            <v>0</v>
          </cell>
          <cell r="EI801">
            <v>0</v>
          </cell>
          <cell r="EK801">
            <v>0</v>
          </cell>
          <cell r="EL801">
            <v>0</v>
          </cell>
          <cell r="EM801">
            <v>0</v>
          </cell>
          <cell r="EN801">
            <v>0</v>
          </cell>
          <cell r="EO801">
            <v>0</v>
          </cell>
          <cell r="EP801">
            <v>0</v>
          </cell>
          <cell r="EQ801">
            <v>0</v>
          </cell>
          <cell r="ER801">
            <v>0</v>
          </cell>
          <cell r="ES801">
            <v>0</v>
          </cell>
          <cell r="ET801">
            <v>0</v>
          </cell>
          <cell r="EU801">
            <v>0</v>
          </cell>
          <cell r="EV801">
            <v>0</v>
          </cell>
          <cell r="EW801">
            <v>0</v>
          </cell>
          <cell r="EY801">
            <v>0</v>
          </cell>
          <cell r="EZ801">
            <v>8</v>
          </cell>
          <cell r="FA801">
            <v>0</v>
          </cell>
          <cell r="FB801">
            <v>0</v>
          </cell>
          <cell r="FC801">
            <v>8.6</v>
          </cell>
          <cell r="FD801">
            <v>0</v>
          </cell>
          <cell r="FE801">
            <v>0</v>
          </cell>
          <cell r="FF801">
            <v>0</v>
          </cell>
          <cell r="FH801">
            <v>0</v>
          </cell>
        </row>
        <row r="802">
          <cell r="B802">
            <v>9938</v>
          </cell>
          <cell r="C802" t="str">
            <v>03.09.2012</v>
          </cell>
          <cell r="D802" t="str">
            <v>Ahire Hemant Prakash</v>
          </cell>
          <cell r="F802">
            <v>0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W802">
            <v>0</v>
          </cell>
          <cell r="X802">
            <v>0</v>
          </cell>
          <cell r="Y802">
            <v>0</v>
          </cell>
          <cell r="Z802">
            <v>0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BA802">
            <v>0</v>
          </cell>
          <cell r="BB802">
            <v>0</v>
          </cell>
          <cell r="BC802">
            <v>0</v>
          </cell>
          <cell r="BD802">
            <v>0</v>
          </cell>
          <cell r="BE802">
            <v>0</v>
          </cell>
          <cell r="BF802">
            <v>0</v>
          </cell>
          <cell r="BG802">
            <v>0</v>
          </cell>
          <cell r="BH802">
            <v>0</v>
          </cell>
          <cell r="BI802">
            <v>0</v>
          </cell>
          <cell r="BK802">
            <v>0</v>
          </cell>
          <cell r="BL802">
            <v>0</v>
          </cell>
          <cell r="BM802">
            <v>0</v>
          </cell>
          <cell r="BN802">
            <v>0</v>
          </cell>
          <cell r="BO802">
            <v>0</v>
          </cell>
          <cell r="BP802">
            <v>0</v>
          </cell>
          <cell r="BQ802">
            <v>0</v>
          </cell>
          <cell r="BR802">
            <v>0</v>
          </cell>
          <cell r="BS802">
            <v>0</v>
          </cell>
          <cell r="BU802">
            <v>0</v>
          </cell>
          <cell r="BV802">
            <v>0</v>
          </cell>
          <cell r="BW802">
            <v>0</v>
          </cell>
          <cell r="BX802">
            <v>0</v>
          </cell>
          <cell r="BY802">
            <v>0</v>
          </cell>
          <cell r="BZ802">
            <v>0</v>
          </cell>
          <cell r="CA802">
            <v>0</v>
          </cell>
          <cell r="CB802">
            <v>0</v>
          </cell>
          <cell r="CC802">
            <v>0</v>
          </cell>
          <cell r="CE802">
            <v>0</v>
          </cell>
          <cell r="CF802">
            <v>0</v>
          </cell>
          <cell r="CG802">
            <v>0</v>
          </cell>
          <cell r="CH802">
            <v>0</v>
          </cell>
          <cell r="CI802">
            <v>0</v>
          </cell>
          <cell r="CJ802">
            <v>0</v>
          </cell>
          <cell r="CK802">
            <v>0</v>
          </cell>
          <cell r="CL802">
            <v>0</v>
          </cell>
          <cell r="CM802">
            <v>0</v>
          </cell>
          <cell r="CO802">
            <v>0</v>
          </cell>
          <cell r="CP802">
            <v>0</v>
          </cell>
          <cell r="CQ802">
            <v>0</v>
          </cell>
          <cell r="CR802">
            <v>0</v>
          </cell>
          <cell r="CS802">
            <v>0</v>
          </cell>
          <cell r="CT802">
            <v>0</v>
          </cell>
          <cell r="CU802">
            <v>0</v>
          </cell>
          <cell r="CV802">
            <v>0</v>
          </cell>
          <cell r="CW802">
            <v>0</v>
          </cell>
          <cell r="CY802">
            <v>0</v>
          </cell>
          <cell r="CZ802">
            <v>0</v>
          </cell>
          <cell r="DA802">
            <v>0</v>
          </cell>
          <cell r="DB802">
            <v>0</v>
          </cell>
          <cell r="DC802">
            <v>0</v>
          </cell>
          <cell r="DD802">
            <v>0</v>
          </cell>
          <cell r="DE802">
            <v>0</v>
          </cell>
          <cell r="DF802">
            <v>0</v>
          </cell>
          <cell r="DG802">
            <v>0</v>
          </cell>
          <cell r="DI802">
            <v>0</v>
          </cell>
          <cell r="DJ802">
            <v>0</v>
          </cell>
          <cell r="DK802">
            <v>0</v>
          </cell>
          <cell r="DL802">
            <v>0</v>
          </cell>
          <cell r="DM802">
            <v>0</v>
          </cell>
          <cell r="DN802">
            <v>0</v>
          </cell>
          <cell r="DO802">
            <v>0</v>
          </cell>
          <cell r="DP802">
            <v>0</v>
          </cell>
          <cell r="DQ802">
            <v>0</v>
          </cell>
          <cell r="DR802">
            <v>0</v>
          </cell>
          <cell r="DS802">
            <v>0</v>
          </cell>
          <cell r="DT802">
            <v>0</v>
          </cell>
          <cell r="DU802">
            <v>0</v>
          </cell>
          <cell r="DW802">
            <v>0</v>
          </cell>
          <cell r="DX802">
            <v>0</v>
          </cell>
          <cell r="DY802">
            <v>0</v>
          </cell>
          <cell r="DZ802">
            <v>0</v>
          </cell>
          <cell r="EA802">
            <v>0</v>
          </cell>
          <cell r="EB802">
            <v>0</v>
          </cell>
          <cell r="EC802">
            <v>0</v>
          </cell>
          <cell r="ED802">
            <v>0</v>
          </cell>
          <cell r="EE802">
            <v>0</v>
          </cell>
          <cell r="EF802">
            <v>0</v>
          </cell>
          <cell r="EG802">
            <v>0</v>
          </cell>
          <cell r="EH802">
            <v>0</v>
          </cell>
          <cell r="EI802">
            <v>0</v>
          </cell>
          <cell r="EK802">
            <v>0</v>
          </cell>
          <cell r="EL802">
            <v>0</v>
          </cell>
          <cell r="EM802">
            <v>0</v>
          </cell>
          <cell r="EN802">
            <v>0</v>
          </cell>
          <cell r="EO802">
            <v>0</v>
          </cell>
          <cell r="EP802">
            <v>0</v>
          </cell>
          <cell r="EQ802">
            <v>0</v>
          </cell>
          <cell r="ER802">
            <v>0</v>
          </cell>
          <cell r="ES802">
            <v>0</v>
          </cell>
          <cell r="ET802">
            <v>0</v>
          </cell>
          <cell r="EU802">
            <v>0</v>
          </cell>
          <cell r="EV802">
            <v>0</v>
          </cell>
          <cell r="EW802">
            <v>0</v>
          </cell>
          <cell r="EY802">
            <v>0</v>
          </cell>
          <cell r="EZ802">
            <v>8</v>
          </cell>
          <cell r="FA802">
            <v>0</v>
          </cell>
          <cell r="FB802">
            <v>0</v>
          </cell>
          <cell r="FC802">
            <v>8.6</v>
          </cell>
          <cell r="FD802">
            <v>0</v>
          </cell>
          <cell r="FE802">
            <v>0</v>
          </cell>
          <cell r="FF802">
            <v>0</v>
          </cell>
          <cell r="FH802">
            <v>0</v>
          </cell>
        </row>
        <row r="803">
          <cell r="B803">
            <v>9939</v>
          </cell>
          <cell r="C803" t="str">
            <v>03.09.2012</v>
          </cell>
          <cell r="D803" t="str">
            <v>Chandaliya Lalita Sanjay</v>
          </cell>
          <cell r="F803">
            <v>0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BA803">
            <v>0</v>
          </cell>
          <cell r="BB803">
            <v>0</v>
          </cell>
          <cell r="BC803">
            <v>0</v>
          </cell>
          <cell r="BD803">
            <v>0</v>
          </cell>
          <cell r="BE803">
            <v>0</v>
          </cell>
          <cell r="BF803">
            <v>0</v>
          </cell>
          <cell r="BG803">
            <v>0</v>
          </cell>
          <cell r="BH803">
            <v>0</v>
          </cell>
          <cell r="BI803">
            <v>0</v>
          </cell>
          <cell r="BK803">
            <v>0</v>
          </cell>
          <cell r="BL803">
            <v>0</v>
          </cell>
          <cell r="BM803">
            <v>0</v>
          </cell>
          <cell r="BN803">
            <v>0</v>
          </cell>
          <cell r="BO803">
            <v>0</v>
          </cell>
          <cell r="BP803">
            <v>0</v>
          </cell>
          <cell r="BQ803">
            <v>0</v>
          </cell>
          <cell r="BR803">
            <v>0</v>
          </cell>
          <cell r="BS803">
            <v>0</v>
          </cell>
          <cell r="BU803">
            <v>0</v>
          </cell>
          <cell r="BV803">
            <v>0</v>
          </cell>
          <cell r="BW803">
            <v>0</v>
          </cell>
          <cell r="BX803">
            <v>0</v>
          </cell>
          <cell r="BY803">
            <v>0</v>
          </cell>
          <cell r="BZ803">
            <v>0</v>
          </cell>
          <cell r="CA803">
            <v>0</v>
          </cell>
          <cell r="CB803">
            <v>0</v>
          </cell>
          <cell r="CC803">
            <v>0</v>
          </cell>
          <cell r="CE803">
            <v>0</v>
          </cell>
          <cell r="CF803">
            <v>0</v>
          </cell>
          <cell r="CG803">
            <v>0</v>
          </cell>
          <cell r="CH803">
            <v>0</v>
          </cell>
          <cell r="CI803">
            <v>0</v>
          </cell>
          <cell r="CJ803">
            <v>0</v>
          </cell>
          <cell r="CK803">
            <v>0</v>
          </cell>
          <cell r="CL803">
            <v>0</v>
          </cell>
          <cell r="CM803">
            <v>0</v>
          </cell>
          <cell r="CO803">
            <v>0</v>
          </cell>
          <cell r="CP803">
            <v>0</v>
          </cell>
          <cell r="CQ803">
            <v>0</v>
          </cell>
          <cell r="CR803">
            <v>0</v>
          </cell>
          <cell r="CS803">
            <v>0</v>
          </cell>
          <cell r="CT803">
            <v>0</v>
          </cell>
          <cell r="CU803">
            <v>0</v>
          </cell>
          <cell r="CV803">
            <v>0</v>
          </cell>
          <cell r="CW803">
            <v>0</v>
          </cell>
          <cell r="CY803">
            <v>0</v>
          </cell>
          <cell r="CZ803">
            <v>0</v>
          </cell>
          <cell r="DA803">
            <v>0</v>
          </cell>
          <cell r="DB803">
            <v>0</v>
          </cell>
          <cell r="DC803">
            <v>0</v>
          </cell>
          <cell r="DD803">
            <v>0</v>
          </cell>
          <cell r="DE803">
            <v>0</v>
          </cell>
          <cell r="DF803">
            <v>0</v>
          </cell>
          <cell r="DG803">
            <v>0</v>
          </cell>
          <cell r="DI803">
            <v>0</v>
          </cell>
          <cell r="DJ803">
            <v>0</v>
          </cell>
          <cell r="DK803">
            <v>0</v>
          </cell>
          <cell r="DL803">
            <v>0</v>
          </cell>
          <cell r="DM803">
            <v>0</v>
          </cell>
          <cell r="DN803">
            <v>0</v>
          </cell>
          <cell r="DO803">
            <v>0</v>
          </cell>
          <cell r="DP803">
            <v>0</v>
          </cell>
          <cell r="DQ803">
            <v>0</v>
          </cell>
          <cell r="DR803">
            <v>0</v>
          </cell>
          <cell r="DS803">
            <v>0</v>
          </cell>
          <cell r="DT803">
            <v>0</v>
          </cell>
          <cell r="DU803">
            <v>0</v>
          </cell>
          <cell r="DW803">
            <v>0</v>
          </cell>
          <cell r="DX803">
            <v>0</v>
          </cell>
          <cell r="DY803">
            <v>0</v>
          </cell>
          <cell r="DZ803">
            <v>0</v>
          </cell>
          <cell r="EA803">
            <v>0</v>
          </cell>
          <cell r="EB803">
            <v>0</v>
          </cell>
          <cell r="EC803">
            <v>0</v>
          </cell>
          <cell r="ED803">
            <v>0</v>
          </cell>
          <cell r="EE803">
            <v>0</v>
          </cell>
          <cell r="EF803">
            <v>0</v>
          </cell>
          <cell r="EG803">
            <v>0</v>
          </cell>
          <cell r="EH803">
            <v>0</v>
          </cell>
          <cell r="EI803">
            <v>0</v>
          </cell>
          <cell r="EK803">
            <v>0</v>
          </cell>
          <cell r="EL803">
            <v>0</v>
          </cell>
          <cell r="EM803">
            <v>0</v>
          </cell>
          <cell r="EN803">
            <v>0</v>
          </cell>
          <cell r="EO803">
            <v>0</v>
          </cell>
          <cell r="EP803">
            <v>0</v>
          </cell>
          <cell r="EQ803">
            <v>0</v>
          </cell>
          <cell r="ER803">
            <v>0</v>
          </cell>
          <cell r="ES803">
            <v>0</v>
          </cell>
          <cell r="ET803">
            <v>0</v>
          </cell>
          <cell r="EU803">
            <v>0</v>
          </cell>
          <cell r="EV803">
            <v>0</v>
          </cell>
          <cell r="EW803">
            <v>0</v>
          </cell>
          <cell r="EY803">
            <v>0</v>
          </cell>
          <cell r="EZ803">
            <v>8</v>
          </cell>
          <cell r="FA803">
            <v>0</v>
          </cell>
          <cell r="FB803">
            <v>0</v>
          </cell>
          <cell r="FC803">
            <v>8.6</v>
          </cell>
          <cell r="FD803">
            <v>0</v>
          </cell>
          <cell r="FE803">
            <v>0</v>
          </cell>
          <cell r="FF803">
            <v>0</v>
          </cell>
          <cell r="FH803">
            <v>0</v>
          </cell>
        </row>
        <row r="804">
          <cell r="B804">
            <v>9940</v>
          </cell>
          <cell r="C804" t="str">
            <v>03.09.2012</v>
          </cell>
          <cell r="D804" t="str">
            <v>Gaikwad Satish Machindra</v>
          </cell>
          <cell r="F804">
            <v>0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  <cell r="AL804">
            <v>0</v>
          </cell>
          <cell r="AM804">
            <v>0</v>
          </cell>
          <cell r="AN804">
            <v>0</v>
          </cell>
          <cell r="AO804">
            <v>0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0</v>
          </cell>
          <cell r="BA804">
            <v>0</v>
          </cell>
          <cell r="BB804">
            <v>0</v>
          </cell>
          <cell r="BC804">
            <v>0</v>
          </cell>
          <cell r="BD804">
            <v>0</v>
          </cell>
          <cell r="BE804">
            <v>0</v>
          </cell>
          <cell r="BF804">
            <v>0</v>
          </cell>
          <cell r="BG804">
            <v>0</v>
          </cell>
          <cell r="BH804">
            <v>0</v>
          </cell>
          <cell r="BI804">
            <v>0</v>
          </cell>
          <cell r="BK804">
            <v>0</v>
          </cell>
          <cell r="BL804">
            <v>0</v>
          </cell>
          <cell r="BM804">
            <v>0</v>
          </cell>
          <cell r="BN804">
            <v>0</v>
          </cell>
          <cell r="BO804">
            <v>0</v>
          </cell>
          <cell r="BP804">
            <v>0</v>
          </cell>
          <cell r="BQ804">
            <v>0</v>
          </cell>
          <cell r="BR804">
            <v>0</v>
          </cell>
          <cell r="BS804">
            <v>0</v>
          </cell>
          <cell r="BU804">
            <v>0</v>
          </cell>
          <cell r="BV804">
            <v>0</v>
          </cell>
          <cell r="BW804">
            <v>0</v>
          </cell>
          <cell r="BX804">
            <v>0</v>
          </cell>
          <cell r="BY804">
            <v>0</v>
          </cell>
          <cell r="BZ804">
            <v>0</v>
          </cell>
          <cell r="CA804">
            <v>0</v>
          </cell>
          <cell r="CB804">
            <v>0</v>
          </cell>
          <cell r="CC804">
            <v>0</v>
          </cell>
          <cell r="CE804">
            <v>0</v>
          </cell>
          <cell r="CF804">
            <v>0</v>
          </cell>
          <cell r="CG804">
            <v>0</v>
          </cell>
          <cell r="CH804">
            <v>0</v>
          </cell>
          <cell r="CI804">
            <v>0</v>
          </cell>
          <cell r="CJ804">
            <v>0</v>
          </cell>
          <cell r="CK804">
            <v>0</v>
          </cell>
          <cell r="CL804">
            <v>0</v>
          </cell>
          <cell r="CM804">
            <v>0</v>
          </cell>
          <cell r="CO804">
            <v>0</v>
          </cell>
          <cell r="CP804">
            <v>0</v>
          </cell>
          <cell r="CQ804">
            <v>0</v>
          </cell>
          <cell r="CR804">
            <v>0</v>
          </cell>
          <cell r="CS804">
            <v>0</v>
          </cell>
          <cell r="CT804">
            <v>0</v>
          </cell>
          <cell r="CU804">
            <v>0</v>
          </cell>
          <cell r="CV804">
            <v>0</v>
          </cell>
          <cell r="CW804">
            <v>0</v>
          </cell>
          <cell r="CY804">
            <v>0</v>
          </cell>
          <cell r="CZ804">
            <v>0</v>
          </cell>
          <cell r="DA804">
            <v>0</v>
          </cell>
          <cell r="DB804">
            <v>0</v>
          </cell>
          <cell r="DC804">
            <v>0</v>
          </cell>
          <cell r="DD804">
            <v>0</v>
          </cell>
          <cell r="DE804">
            <v>0</v>
          </cell>
          <cell r="DF804">
            <v>0</v>
          </cell>
          <cell r="DG804">
            <v>0</v>
          </cell>
          <cell r="DI804">
            <v>0</v>
          </cell>
          <cell r="DJ804">
            <v>0</v>
          </cell>
          <cell r="DK804">
            <v>0</v>
          </cell>
          <cell r="DL804">
            <v>0</v>
          </cell>
          <cell r="DM804">
            <v>0</v>
          </cell>
          <cell r="DN804">
            <v>0</v>
          </cell>
          <cell r="DO804">
            <v>0</v>
          </cell>
          <cell r="DP804">
            <v>0</v>
          </cell>
          <cell r="DQ804">
            <v>0</v>
          </cell>
          <cell r="DR804">
            <v>0</v>
          </cell>
          <cell r="DS804">
            <v>0</v>
          </cell>
          <cell r="DT804">
            <v>0</v>
          </cell>
          <cell r="DU804">
            <v>0</v>
          </cell>
          <cell r="DW804">
            <v>0</v>
          </cell>
          <cell r="DX804">
            <v>0</v>
          </cell>
          <cell r="DY804">
            <v>0</v>
          </cell>
          <cell r="DZ804">
            <v>0</v>
          </cell>
          <cell r="EA804">
            <v>0</v>
          </cell>
          <cell r="EB804">
            <v>0</v>
          </cell>
          <cell r="EC804">
            <v>0</v>
          </cell>
          <cell r="ED804">
            <v>0</v>
          </cell>
          <cell r="EE804">
            <v>0</v>
          </cell>
          <cell r="EF804">
            <v>0</v>
          </cell>
          <cell r="EG804">
            <v>0</v>
          </cell>
          <cell r="EH804">
            <v>0</v>
          </cell>
          <cell r="EI804">
            <v>0</v>
          </cell>
          <cell r="EK804">
            <v>0</v>
          </cell>
          <cell r="EL804">
            <v>0</v>
          </cell>
          <cell r="EM804">
            <v>0</v>
          </cell>
          <cell r="EN804">
            <v>0</v>
          </cell>
          <cell r="EO804">
            <v>0</v>
          </cell>
          <cell r="EP804">
            <v>0</v>
          </cell>
          <cell r="EQ804">
            <v>0</v>
          </cell>
          <cell r="ER804">
            <v>0</v>
          </cell>
          <cell r="ES804">
            <v>0</v>
          </cell>
          <cell r="ET804">
            <v>0</v>
          </cell>
          <cell r="EU804">
            <v>0</v>
          </cell>
          <cell r="EV804">
            <v>0</v>
          </cell>
          <cell r="EW804">
            <v>0</v>
          </cell>
          <cell r="EY804">
            <v>0</v>
          </cell>
          <cell r="EZ804">
            <v>8</v>
          </cell>
          <cell r="FA804">
            <v>0</v>
          </cell>
          <cell r="FB804">
            <v>0</v>
          </cell>
          <cell r="FC804">
            <v>8.6</v>
          </cell>
          <cell r="FD804">
            <v>0</v>
          </cell>
          <cell r="FE804">
            <v>0</v>
          </cell>
          <cell r="FF804">
            <v>0</v>
          </cell>
          <cell r="FH804">
            <v>0</v>
          </cell>
        </row>
        <row r="805">
          <cell r="B805">
            <v>9941</v>
          </cell>
          <cell r="C805" t="str">
            <v>03.09.2012</v>
          </cell>
          <cell r="D805" t="str">
            <v>Gaware Sandeep Dilip</v>
          </cell>
          <cell r="F805">
            <v>0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0</v>
          </cell>
          <cell r="BA805">
            <v>0</v>
          </cell>
          <cell r="BB805">
            <v>0</v>
          </cell>
          <cell r="BC805">
            <v>0</v>
          </cell>
          <cell r="BD805">
            <v>0</v>
          </cell>
          <cell r="BE805">
            <v>0</v>
          </cell>
          <cell r="BF805">
            <v>0</v>
          </cell>
          <cell r="BG805">
            <v>0</v>
          </cell>
          <cell r="BH805">
            <v>0</v>
          </cell>
          <cell r="BI805">
            <v>0</v>
          </cell>
          <cell r="BK805">
            <v>0</v>
          </cell>
          <cell r="BL805">
            <v>0</v>
          </cell>
          <cell r="BM805">
            <v>0</v>
          </cell>
          <cell r="BN805">
            <v>0</v>
          </cell>
          <cell r="BO805">
            <v>0</v>
          </cell>
          <cell r="BP805">
            <v>0</v>
          </cell>
          <cell r="BQ805">
            <v>0</v>
          </cell>
          <cell r="BR805">
            <v>0</v>
          </cell>
          <cell r="BS805">
            <v>0</v>
          </cell>
          <cell r="BU805">
            <v>0</v>
          </cell>
          <cell r="BV805">
            <v>0</v>
          </cell>
          <cell r="BW805">
            <v>0</v>
          </cell>
          <cell r="BX805">
            <v>0</v>
          </cell>
          <cell r="BY805">
            <v>0</v>
          </cell>
          <cell r="BZ805">
            <v>0</v>
          </cell>
          <cell r="CA805">
            <v>0</v>
          </cell>
          <cell r="CB805">
            <v>0</v>
          </cell>
          <cell r="CC805">
            <v>0</v>
          </cell>
          <cell r="CE805">
            <v>0</v>
          </cell>
          <cell r="CF805">
            <v>0</v>
          </cell>
          <cell r="CG805">
            <v>0</v>
          </cell>
          <cell r="CH805">
            <v>0</v>
          </cell>
          <cell r="CI805">
            <v>0</v>
          </cell>
          <cell r="CJ805">
            <v>0</v>
          </cell>
          <cell r="CK805">
            <v>0</v>
          </cell>
          <cell r="CL805">
            <v>0</v>
          </cell>
          <cell r="CM805">
            <v>0</v>
          </cell>
          <cell r="CO805">
            <v>0</v>
          </cell>
          <cell r="CP805">
            <v>0</v>
          </cell>
          <cell r="CQ805">
            <v>0</v>
          </cell>
          <cell r="CR805">
            <v>0</v>
          </cell>
          <cell r="CS805">
            <v>0</v>
          </cell>
          <cell r="CT805">
            <v>0</v>
          </cell>
          <cell r="CU805">
            <v>0</v>
          </cell>
          <cell r="CV805">
            <v>0</v>
          </cell>
          <cell r="CW805">
            <v>0</v>
          </cell>
          <cell r="CY805">
            <v>0</v>
          </cell>
          <cell r="CZ805">
            <v>0</v>
          </cell>
          <cell r="DA805">
            <v>0</v>
          </cell>
          <cell r="DB805">
            <v>0</v>
          </cell>
          <cell r="DC805">
            <v>0</v>
          </cell>
          <cell r="DD805">
            <v>0</v>
          </cell>
          <cell r="DE805">
            <v>0</v>
          </cell>
          <cell r="DF805">
            <v>0</v>
          </cell>
          <cell r="DG805">
            <v>0</v>
          </cell>
          <cell r="DI805">
            <v>0</v>
          </cell>
          <cell r="DJ805">
            <v>0</v>
          </cell>
          <cell r="DK805">
            <v>0</v>
          </cell>
          <cell r="DL805">
            <v>0</v>
          </cell>
          <cell r="DM805">
            <v>0</v>
          </cell>
          <cell r="DN805">
            <v>0</v>
          </cell>
          <cell r="DO805">
            <v>0</v>
          </cell>
          <cell r="DP805">
            <v>0</v>
          </cell>
          <cell r="DQ805">
            <v>0</v>
          </cell>
          <cell r="DR805">
            <v>0</v>
          </cell>
          <cell r="DS805">
            <v>0</v>
          </cell>
          <cell r="DT805">
            <v>0</v>
          </cell>
          <cell r="DU805">
            <v>0</v>
          </cell>
          <cell r="DW805">
            <v>0</v>
          </cell>
          <cell r="DX805">
            <v>0</v>
          </cell>
          <cell r="DY805">
            <v>0</v>
          </cell>
          <cell r="DZ805">
            <v>0</v>
          </cell>
          <cell r="EA805">
            <v>0</v>
          </cell>
          <cell r="EB805">
            <v>0</v>
          </cell>
          <cell r="EC805">
            <v>0</v>
          </cell>
          <cell r="ED805">
            <v>0</v>
          </cell>
          <cell r="EE805">
            <v>0</v>
          </cell>
          <cell r="EF805">
            <v>0</v>
          </cell>
          <cell r="EG805">
            <v>0</v>
          </cell>
          <cell r="EH805">
            <v>0</v>
          </cell>
          <cell r="EI805">
            <v>0</v>
          </cell>
          <cell r="EK805">
            <v>0</v>
          </cell>
          <cell r="EL805">
            <v>0</v>
          </cell>
          <cell r="EM805">
            <v>0</v>
          </cell>
          <cell r="EN805">
            <v>0</v>
          </cell>
          <cell r="EO805">
            <v>0</v>
          </cell>
          <cell r="EP805">
            <v>0</v>
          </cell>
          <cell r="EQ805">
            <v>0</v>
          </cell>
          <cell r="ER805">
            <v>0</v>
          </cell>
          <cell r="ES805">
            <v>0</v>
          </cell>
          <cell r="ET805">
            <v>0</v>
          </cell>
          <cell r="EU805">
            <v>0</v>
          </cell>
          <cell r="EV805">
            <v>0</v>
          </cell>
          <cell r="EW805">
            <v>0</v>
          </cell>
          <cell r="EY805">
            <v>0</v>
          </cell>
          <cell r="EZ805">
            <v>8</v>
          </cell>
          <cell r="FA805">
            <v>0</v>
          </cell>
          <cell r="FB805">
            <v>0</v>
          </cell>
          <cell r="FC805">
            <v>8.6</v>
          </cell>
          <cell r="FD805">
            <v>0</v>
          </cell>
          <cell r="FE805">
            <v>0</v>
          </cell>
          <cell r="FF805">
            <v>0</v>
          </cell>
          <cell r="FH805">
            <v>0</v>
          </cell>
        </row>
        <row r="806">
          <cell r="B806">
            <v>9942</v>
          </cell>
          <cell r="C806" t="str">
            <v>03.09.2012</v>
          </cell>
          <cell r="D806" t="str">
            <v>Londhe Sandeep Eknath</v>
          </cell>
          <cell r="F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0</v>
          </cell>
          <cell r="AK806">
            <v>0</v>
          </cell>
          <cell r="AL806">
            <v>0</v>
          </cell>
          <cell r="AM806">
            <v>0</v>
          </cell>
          <cell r="AN806">
            <v>0</v>
          </cell>
          <cell r="AO806">
            <v>0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BA806">
            <v>0</v>
          </cell>
          <cell r="BB806">
            <v>0</v>
          </cell>
          <cell r="BC806">
            <v>0</v>
          </cell>
          <cell r="BD806">
            <v>0</v>
          </cell>
          <cell r="BE806">
            <v>0</v>
          </cell>
          <cell r="BF806">
            <v>0</v>
          </cell>
          <cell r="BG806">
            <v>0</v>
          </cell>
          <cell r="BH806">
            <v>0</v>
          </cell>
          <cell r="BI806">
            <v>0</v>
          </cell>
          <cell r="BK806">
            <v>0</v>
          </cell>
          <cell r="BL806">
            <v>0</v>
          </cell>
          <cell r="BM806">
            <v>0</v>
          </cell>
          <cell r="BN806">
            <v>0</v>
          </cell>
          <cell r="BO806">
            <v>0</v>
          </cell>
          <cell r="BP806">
            <v>0</v>
          </cell>
          <cell r="BQ806">
            <v>0</v>
          </cell>
          <cell r="BR806">
            <v>0</v>
          </cell>
          <cell r="BS806">
            <v>0</v>
          </cell>
          <cell r="BU806">
            <v>0</v>
          </cell>
          <cell r="BV806">
            <v>0</v>
          </cell>
          <cell r="BW806">
            <v>0</v>
          </cell>
          <cell r="BX806">
            <v>0</v>
          </cell>
          <cell r="BY806">
            <v>0</v>
          </cell>
          <cell r="BZ806">
            <v>0</v>
          </cell>
          <cell r="CA806">
            <v>0</v>
          </cell>
          <cell r="CB806">
            <v>0</v>
          </cell>
          <cell r="CC806">
            <v>0</v>
          </cell>
          <cell r="CE806">
            <v>0</v>
          </cell>
          <cell r="CF806">
            <v>0</v>
          </cell>
          <cell r="CG806">
            <v>0</v>
          </cell>
          <cell r="CH806">
            <v>0</v>
          </cell>
          <cell r="CI806">
            <v>0</v>
          </cell>
          <cell r="CJ806">
            <v>0</v>
          </cell>
          <cell r="CK806">
            <v>0</v>
          </cell>
          <cell r="CL806">
            <v>0</v>
          </cell>
          <cell r="CM806">
            <v>0</v>
          </cell>
          <cell r="CO806">
            <v>0</v>
          </cell>
          <cell r="CP806">
            <v>0</v>
          </cell>
          <cell r="CQ806">
            <v>0</v>
          </cell>
          <cell r="CR806">
            <v>0</v>
          </cell>
          <cell r="CS806">
            <v>0</v>
          </cell>
          <cell r="CT806">
            <v>0</v>
          </cell>
          <cell r="CU806">
            <v>0</v>
          </cell>
          <cell r="CV806">
            <v>0</v>
          </cell>
          <cell r="CW806">
            <v>0</v>
          </cell>
          <cell r="CY806">
            <v>0</v>
          </cell>
          <cell r="CZ806">
            <v>0</v>
          </cell>
          <cell r="DA806">
            <v>0</v>
          </cell>
          <cell r="DB806">
            <v>0</v>
          </cell>
          <cell r="DC806">
            <v>0</v>
          </cell>
          <cell r="DD806">
            <v>0</v>
          </cell>
          <cell r="DE806">
            <v>0</v>
          </cell>
          <cell r="DF806">
            <v>0</v>
          </cell>
          <cell r="DG806">
            <v>0</v>
          </cell>
          <cell r="DI806">
            <v>0</v>
          </cell>
          <cell r="DJ806">
            <v>0</v>
          </cell>
          <cell r="DK806">
            <v>0</v>
          </cell>
          <cell r="DL806">
            <v>0</v>
          </cell>
          <cell r="DM806">
            <v>0</v>
          </cell>
          <cell r="DN806">
            <v>0</v>
          </cell>
          <cell r="DO806">
            <v>0</v>
          </cell>
          <cell r="DP806">
            <v>0</v>
          </cell>
          <cell r="DQ806">
            <v>0</v>
          </cell>
          <cell r="DR806">
            <v>0</v>
          </cell>
          <cell r="DS806">
            <v>0</v>
          </cell>
          <cell r="DT806">
            <v>0</v>
          </cell>
          <cell r="DU806">
            <v>0</v>
          </cell>
          <cell r="DW806">
            <v>0</v>
          </cell>
          <cell r="DX806">
            <v>0</v>
          </cell>
          <cell r="DY806">
            <v>0</v>
          </cell>
          <cell r="DZ806">
            <v>0</v>
          </cell>
          <cell r="EA806">
            <v>0</v>
          </cell>
          <cell r="EB806">
            <v>0</v>
          </cell>
          <cell r="EC806">
            <v>0</v>
          </cell>
          <cell r="ED806">
            <v>0</v>
          </cell>
          <cell r="EE806">
            <v>0</v>
          </cell>
          <cell r="EF806">
            <v>0</v>
          </cell>
          <cell r="EG806">
            <v>0</v>
          </cell>
          <cell r="EH806">
            <v>0</v>
          </cell>
          <cell r="EI806">
            <v>0</v>
          </cell>
          <cell r="EK806">
            <v>0</v>
          </cell>
          <cell r="EL806">
            <v>0</v>
          </cell>
          <cell r="EM806">
            <v>0</v>
          </cell>
          <cell r="EN806">
            <v>0</v>
          </cell>
          <cell r="EO806">
            <v>0</v>
          </cell>
          <cell r="EP806">
            <v>0</v>
          </cell>
          <cell r="EQ806">
            <v>0</v>
          </cell>
          <cell r="ER806">
            <v>0</v>
          </cell>
          <cell r="ES806">
            <v>0</v>
          </cell>
          <cell r="ET806">
            <v>0</v>
          </cell>
          <cell r="EU806">
            <v>0</v>
          </cell>
          <cell r="EV806">
            <v>0</v>
          </cell>
          <cell r="EW806">
            <v>0</v>
          </cell>
          <cell r="EY806">
            <v>0</v>
          </cell>
          <cell r="EZ806">
            <v>8</v>
          </cell>
          <cell r="FA806">
            <v>0</v>
          </cell>
          <cell r="FB806">
            <v>0</v>
          </cell>
          <cell r="FC806">
            <v>8.6</v>
          </cell>
          <cell r="FD806">
            <v>0</v>
          </cell>
          <cell r="FE806">
            <v>0</v>
          </cell>
          <cell r="FF806">
            <v>0</v>
          </cell>
          <cell r="FH806">
            <v>0</v>
          </cell>
        </row>
        <row r="807">
          <cell r="B807">
            <v>9943</v>
          </cell>
          <cell r="C807" t="str">
            <v>03.09.2012</v>
          </cell>
          <cell r="D807" t="str">
            <v>Shinde Tushar Sunil</v>
          </cell>
          <cell r="F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BA807">
            <v>0</v>
          </cell>
          <cell r="BB807">
            <v>0</v>
          </cell>
          <cell r="BC807">
            <v>0</v>
          </cell>
          <cell r="BD807">
            <v>0</v>
          </cell>
          <cell r="BE807">
            <v>0</v>
          </cell>
          <cell r="BF807">
            <v>0</v>
          </cell>
          <cell r="BG807">
            <v>0</v>
          </cell>
          <cell r="BH807">
            <v>0</v>
          </cell>
          <cell r="BI807">
            <v>0</v>
          </cell>
          <cell r="BK807">
            <v>0</v>
          </cell>
          <cell r="BL807">
            <v>0</v>
          </cell>
          <cell r="BM807">
            <v>0</v>
          </cell>
          <cell r="BN807">
            <v>0</v>
          </cell>
          <cell r="BO807">
            <v>0</v>
          </cell>
          <cell r="BP807">
            <v>0</v>
          </cell>
          <cell r="BQ807">
            <v>0</v>
          </cell>
          <cell r="BR807">
            <v>0</v>
          </cell>
          <cell r="BS807">
            <v>0</v>
          </cell>
          <cell r="BU807">
            <v>0</v>
          </cell>
          <cell r="BV807">
            <v>0</v>
          </cell>
          <cell r="BW807">
            <v>0</v>
          </cell>
          <cell r="BX807">
            <v>0</v>
          </cell>
          <cell r="BY807">
            <v>0</v>
          </cell>
          <cell r="BZ807">
            <v>0</v>
          </cell>
          <cell r="CA807">
            <v>0</v>
          </cell>
          <cell r="CB807">
            <v>0</v>
          </cell>
          <cell r="CC807">
            <v>0</v>
          </cell>
          <cell r="CE807">
            <v>0</v>
          </cell>
          <cell r="CF807">
            <v>0</v>
          </cell>
          <cell r="CG807">
            <v>0</v>
          </cell>
          <cell r="CH807">
            <v>0</v>
          </cell>
          <cell r="CI807">
            <v>0</v>
          </cell>
          <cell r="CJ807">
            <v>0</v>
          </cell>
          <cell r="CK807">
            <v>0</v>
          </cell>
          <cell r="CL807">
            <v>0</v>
          </cell>
          <cell r="CM807">
            <v>0</v>
          </cell>
          <cell r="CO807">
            <v>0</v>
          </cell>
          <cell r="CP807">
            <v>0</v>
          </cell>
          <cell r="CQ807">
            <v>0</v>
          </cell>
          <cell r="CR807">
            <v>0</v>
          </cell>
          <cell r="CS807">
            <v>0</v>
          </cell>
          <cell r="CT807">
            <v>0</v>
          </cell>
          <cell r="CU807">
            <v>0</v>
          </cell>
          <cell r="CV807">
            <v>0</v>
          </cell>
          <cell r="CW807">
            <v>0</v>
          </cell>
          <cell r="CY807">
            <v>0</v>
          </cell>
          <cell r="CZ807">
            <v>0</v>
          </cell>
          <cell r="DA807">
            <v>0</v>
          </cell>
          <cell r="DB807">
            <v>0</v>
          </cell>
          <cell r="DC807">
            <v>0</v>
          </cell>
          <cell r="DD807">
            <v>0</v>
          </cell>
          <cell r="DE807">
            <v>0</v>
          </cell>
          <cell r="DF807">
            <v>0</v>
          </cell>
          <cell r="DG807">
            <v>0</v>
          </cell>
          <cell r="DI807">
            <v>0</v>
          </cell>
          <cell r="DJ807">
            <v>0</v>
          </cell>
          <cell r="DK807">
            <v>0</v>
          </cell>
          <cell r="DL807">
            <v>0</v>
          </cell>
          <cell r="DM807">
            <v>0</v>
          </cell>
          <cell r="DN807">
            <v>0</v>
          </cell>
          <cell r="DO807">
            <v>0</v>
          </cell>
          <cell r="DP807">
            <v>0</v>
          </cell>
          <cell r="DQ807">
            <v>0</v>
          </cell>
          <cell r="DR807">
            <v>0</v>
          </cell>
          <cell r="DS807">
            <v>0</v>
          </cell>
          <cell r="DT807">
            <v>0</v>
          </cell>
          <cell r="DU807">
            <v>0</v>
          </cell>
          <cell r="DW807">
            <v>0</v>
          </cell>
          <cell r="DX807">
            <v>0</v>
          </cell>
          <cell r="DY807">
            <v>0</v>
          </cell>
          <cell r="DZ807">
            <v>0</v>
          </cell>
          <cell r="EA807">
            <v>0</v>
          </cell>
          <cell r="EB807">
            <v>0</v>
          </cell>
          <cell r="EC807">
            <v>0</v>
          </cell>
          <cell r="ED807">
            <v>0</v>
          </cell>
          <cell r="EE807">
            <v>0</v>
          </cell>
          <cell r="EF807">
            <v>0</v>
          </cell>
          <cell r="EG807">
            <v>0</v>
          </cell>
          <cell r="EH807">
            <v>0</v>
          </cell>
          <cell r="EI807">
            <v>0</v>
          </cell>
          <cell r="EK807">
            <v>0</v>
          </cell>
          <cell r="EL807">
            <v>0</v>
          </cell>
          <cell r="EM807">
            <v>0</v>
          </cell>
          <cell r="EN807">
            <v>0</v>
          </cell>
          <cell r="EO807">
            <v>0</v>
          </cell>
          <cell r="EP807">
            <v>0</v>
          </cell>
          <cell r="EQ807">
            <v>0</v>
          </cell>
          <cell r="ER807">
            <v>0</v>
          </cell>
          <cell r="ES807">
            <v>0</v>
          </cell>
          <cell r="ET807">
            <v>0</v>
          </cell>
          <cell r="EU807">
            <v>0</v>
          </cell>
          <cell r="EV807">
            <v>0</v>
          </cell>
          <cell r="EW807">
            <v>0</v>
          </cell>
          <cell r="EY807">
            <v>0</v>
          </cell>
          <cell r="EZ807">
            <v>8</v>
          </cell>
          <cell r="FA807">
            <v>0</v>
          </cell>
          <cell r="FB807">
            <v>0</v>
          </cell>
          <cell r="FC807">
            <v>8.6</v>
          </cell>
          <cell r="FD807">
            <v>0</v>
          </cell>
          <cell r="FE807">
            <v>0</v>
          </cell>
          <cell r="FF807">
            <v>0</v>
          </cell>
          <cell r="FH807">
            <v>0</v>
          </cell>
        </row>
        <row r="808">
          <cell r="B808">
            <v>9944</v>
          </cell>
          <cell r="C808" t="str">
            <v>03.09.2012</v>
          </cell>
          <cell r="D808" t="str">
            <v>Babriya Shrikant Govind</v>
          </cell>
          <cell r="F808">
            <v>0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BA808">
            <v>0</v>
          </cell>
          <cell r="BB808">
            <v>0</v>
          </cell>
          <cell r="BC808">
            <v>0</v>
          </cell>
          <cell r="BD808">
            <v>0</v>
          </cell>
          <cell r="BE808">
            <v>0</v>
          </cell>
          <cell r="BF808">
            <v>0</v>
          </cell>
          <cell r="BG808">
            <v>0</v>
          </cell>
          <cell r="BH808">
            <v>0</v>
          </cell>
          <cell r="BI808">
            <v>0</v>
          </cell>
          <cell r="BK808">
            <v>0</v>
          </cell>
          <cell r="BL808">
            <v>0</v>
          </cell>
          <cell r="BM808">
            <v>0</v>
          </cell>
          <cell r="BN808">
            <v>0</v>
          </cell>
          <cell r="BO808">
            <v>0</v>
          </cell>
          <cell r="BP808">
            <v>0</v>
          </cell>
          <cell r="BQ808">
            <v>0</v>
          </cell>
          <cell r="BR808">
            <v>0</v>
          </cell>
          <cell r="BS808">
            <v>0</v>
          </cell>
          <cell r="BU808">
            <v>0</v>
          </cell>
          <cell r="BV808">
            <v>0</v>
          </cell>
          <cell r="BW808">
            <v>0</v>
          </cell>
          <cell r="BX808">
            <v>0</v>
          </cell>
          <cell r="BY808">
            <v>0</v>
          </cell>
          <cell r="BZ808">
            <v>0</v>
          </cell>
          <cell r="CA808">
            <v>0</v>
          </cell>
          <cell r="CB808">
            <v>0</v>
          </cell>
          <cell r="CC808">
            <v>0</v>
          </cell>
          <cell r="CE808">
            <v>0</v>
          </cell>
          <cell r="CF808">
            <v>0</v>
          </cell>
          <cell r="CG808">
            <v>0</v>
          </cell>
          <cell r="CH808">
            <v>0</v>
          </cell>
          <cell r="CI808">
            <v>0</v>
          </cell>
          <cell r="CJ808">
            <v>0</v>
          </cell>
          <cell r="CK808">
            <v>0</v>
          </cell>
          <cell r="CL808">
            <v>0</v>
          </cell>
          <cell r="CM808">
            <v>0</v>
          </cell>
          <cell r="CO808">
            <v>0</v>
          </cell>
          <cell r="CP808">
            <v>0</v>
          </cell>
          <cell r="CQ808">
            <v>0</v>
          </cell>
          <cell r="CR808">
            <v>0</v>
          </cell>
          <cell r="CS808">
            <v>0</v>
          </cell>
          <cell r="CT808">
            <v>0</v>
          </cell>
          <cell r="CU808">
            <v>0</v>
          </cell>
          <cell r="CV808">
            <v>0</v>
          </cell>
          <cell r="CW808">
            <v>0</v>
          </cell>
          <cell r="CY808">
            <v>0</v>
          </cell>
          <cell r="CZ808">
            <v>0</v>
          </cell>
          <cell r="DA808">
            <v>0</v>
          </cell>
          <cell r="DB808">
            <v>0</v>
          </cell>
          <cell r="DC808">
            <v>0</v>
          </cell>
          <cell r="DD808">
            <v>0</v>
          </cell>
          <cell r="DE808">
            <v>0</v>
          </cell>
          <cell r="DF808">
            <v>0</v>
          </cell>
          <cell r="DG808">
            <v>0</v>
          </cell>
          <cell r="DI808">
            <v>0</v>
          </cell>
          <cell r="DJ808">
            <v>0</v>
          </cell>
          <cell r="DK808">
            <v>0</v>
          </cell>
          <cell r="DL808">
            <v>0</v>
          </cell>
          <cell r="DM808">
            <v>0</v>
          </cell>
          <cell r="DN808">
            <v>0</v>
          </cell>
          <cell r="DO808">
            <v>0</v>
          </cell>
          <cell r="DP808">
            <v>0</v>
          </cell>
          <cell r="DQ808">
            <v>0</v>
          </cell>
          <cell r="DR808">
            <v>0</v>
          </cell>
          <cell r="DS808">
            <v>0</v>
          </cell>
          <cell r="DT808">
            <v>0</v>
          </cell>
          <cell r="DU808">
            <v>0</v>
          </cell>
          <cell r="DW808">
            <v>0</v>
          </cell>
          <cell r="DX808">
            <v>0</v>
          </cell>
          <cell r="DY808">
            <v>0</v>
          </cell>
          <cell r="DZ808">
            <v>0</v>
          </cell>
          <cell r="EA808">
            <v>0</v>
          </cell>
          <cell r="EB808">
            <v>0</v>
          </cell>
          <cell r="EC808">
            <v>0</v>
          </cell>
          <cell r="ED808">
            <v>0</v>
          </cell>
          <cell r="EE808">
            <v>0</v>
          </cell>
          <cell r="EF808">
            <v>0</v>
          </cell>
          <cell r="EG808">
            <v>0</v>
          </cell>
          <cell r="EH808">
            <v>0</v>
          </cell>
          <cell r="EI808">
            <v>0</v>
          </cell>
          <cell r="EK808">
            <v>0</v>
          </cell>
          <cell r="EL808">
            <v>0</v>
          </cell>
          <cell r="EM808">
            <v>0</v>
          </cell>
          <cell r="EN808">
            <v>0</v>
          </cell>
          <cell r="EO808">
            <v>0</v>
          </cell>
          <cell r="EP808">
            <v>0</v>
          </cell>
          <cell r="EQ808">
            <v>0</v>
          </cell>
          <cell r="ER808">
            <v>0</v>
          </cell>
          <cell r="ES808">
            <v>0</v>
          </cell>
          <cell r="ET808">
            <v>0</v>
          </cell>
          <cell r="EU808">
            <v>0</v>
          </cell>
          <cell r="EV808">
            <v>0</v>
          </cell>
          <cell r="EW808">
            <v>0</v>
          </cell>
          <cell r="EY808">
            <v>0</v>
          </cell>
          <cell r="EZ808">
            <v>8</v>
          </cell>
          <cell r="FA808">
            <v>0</v>
          </cell>
          <cell r="FB808">
            <v>0</v>
          </cell>
          <cell r="FC808">
            <v>8.6</v>
          </cell>
          <cell r="FD808">
            <v>0</v>
          </cell>
          <cell r="FE808">
            <v>0</v>
          </cell>
          <cell r="FF808">
            <v>0</v>
          </cell>
          <cell r="FH808">
            <v>0</v>
          </cell>
        </row>
        <row r="809">
          <cell r="B809">
            <v>9945</v>
          </cell>
          <cell r="C809" t="str">
            <v>03.09.2012</v>
          </cell>
          <cell r="D809" t="str">
            <v>Lot Vicky Rajesh</v>
          </cell>
          <cell r="F809">
            <v>0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0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0</v>
          </cell>
          <cell r="AK809">
            <v>0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BA809">
            <v>0</v>
          </cell>
          <cell r="BB809">
            <v>0</v>
          </cell>
          <cell r="BC809">
            <v>0</v>
          </cell>
          <cell r="BD809">
            <v>0</v>
          </cell>
          <cell r="BE809">
            <v>0</v>
          </cell>
          <cell r="BF809">
            <v>0</v>
          </cell>
          <cell r="BG809">
            <v>0</v>
          </cell>
          <cell r="BH809">
            <v>0</v>
          </cell>
          <cell r="BI809">
            <v>0</v>
          </cell>
          <cell r="BK809">
            <v>0</v>
          </cell>
          <cell r="BL809">
            <v>0</v>
          </cell>
          <cell r="BM809">
            <v>0</v>
          </cell>
          <cell r="BN809">
            <v>0</v>
          </cell>
          <cell r="BO809">
            <v>0</v>
          </cell>
          <cell r="BP809">
            <v>0</v>
          </cell>
          <cell r="BQ809">
            <v>0</v>
          </cell>
          <cell r="BR809">
            <v>0</v>
          </cell>
          <cell r="BS809">
            <v>0</v>
          </cell>
          <cell r="BU809">
            <v>0</v>
          </cell>
          <cell r="BV809">
            <v>0</v>
          </cell>
          <cell r="BW809">
            <v>0</v>
          </cell>
          <cell r="BX809">
            <v>0</v>
          </cell>
          <cell r="BY809">
            <v>0</v>
          </cell>
          <cell r="BZ809">
            <v>0</v>
          </cell>
          <cell r="CA809">
            <v>0</v>
          </cell>
          <cell r="CB809">
            <v>0</v>
          </cell>
          <cell r="CC809">
            <v>0</v>
          </cell>
          <cell r="CE809">
            <v>0</v>
          </cell>
          <cell r="CF809">
            <v>0</v>
          </cell>
          <cell r="CG809">
            <v>0</v>
          </cell>
          <cell r="CH809">
            <v>0</v>
          </cell>
          <cell r="CI809">
            <v>0</v>
          </cell>
          <cell r="CJ809">
            <v>0</v>
          </cell>
          <cell r="CK809">
            <v>0</v>
          </cell>
          <cell r="CL809">
            <v>0</v>
          </cell>
          <cell r="CM809">
            <v>0</v>
          </cell>
          <cell r="CO809">
            <v>0</v>
          </cell>
          <cell r="CP809">
            <v>0</v>
          </cell>
          <cell r="CQ809">
            <v>0</v>
          </cell>
          <cell r="CR809">
            <v>0</v>
          </cell>
          <cell r="CS809">
            <v>0</v>
          </cell>
          <cell r="CT809">
            <v>0</v>
          </cell>
          <cell r="CU809">
            <v>0</v>
          </cell>
          <cell r="CV809">
            <v>0</v>
          </cell>
          <cell r="CW809">
            <v>0</v>
          </cell>
          <cell r="CY809">
            <v>0</v>
          </cell>
          <cell r="CZ809">
            <v>0</v>
          </cell>
          <cell r="DA809">
            <v>0</v>
          </cell>
          <cell r="DB809">
            <v>0</v>
          </cell>
          <cell r="DC809">
            <v>0</v>
          </cell>
          <cell r="DD809">
            <v>0</v>
          </cell>
          <cell r="DE809">
            <v>0</v>
          </cell>
          <cell r="DF809">
            <v>0</v>
          </cell>
          <cell r="DG809">
            <v>0</v>
          </cell>
          <cell r="DI809">
            <v>0</v>
          </cell>
          <cell r="DJ809">
            <v>0</v>
          </cell>
          <cell r="DK809">
            <v>0</v>
          </cell>
          <cell r="DL809">
            <v>0</v>
          </cell>
          <cell r="DM809">
            <v>0</v>
          </cell>
          <cell r="DN809">
            <v>0</v>
          </cell>
          <cell r="DO809">
            <v>0</v>
          </cell>
          <cell r="DP809">
            <v>0</v>
          </cell>
          <cell r="DQ809">
            <v>0</v>
          </cell>
          <cell r="DR809">
            <v>0</v>
          </cell>
          <cell r="DS809">
            <v>0</v>
          </cell>
          <cell r="DT809">
            <v>0</v>
          </cell>
          <cell r="DU809">
            <v>0</v>
          </cell>
          <cell r="DW809">
            <v>0</v>
          </cell>
          <cell r="DX809">
            <v>0</v>
          </cell>
          <cell r="DY809">
            <v>0</v>
          </cell>
          <cell r="DZ809">
            <v>0</v>
          </cell>
          <cell r="EA809">
            <v>0</v>
          </cell>
          <cell r="EB809">
            <v>0</v>
          </cell>
          <cell r="EC809">
            <v>0</v>
          </cell>
          <cell r="ED809">
            <v>0</v>
          </cell>
          <cell r="EE809">
            <v>0</v>
          </cell>
          <cell r="EF809">
            <v>0</v>
          </cell>
          <cell r="EG809">
            <v>0</v>
          </cell>
          <cell r="EH809">
            <v>0</v>
          </cell>
          <cell r="EI809">
            <v>0</v>
          </cell>
          <cell r="EK809">
            <v>0</v>
          </cell>
          <cell r="EL809">
            <v>0</v>
          </cell>
          <cell r="EM809">
            <v>0</v>
          </cell>
          <cell r="EN809">
            <v>0</v>
          </cell>
          <cell r="EO809">
            <v>0</v>
          </cell>
          <cell r="EP809">
            <v>0</v>
          </cell>
          <cell r="EQ809">
            <v>0</v>
          </cell>
          <cell r="ER809">
            <v>0</v>
          </cell>
          <cell r="ES809">
            <v>0</v>
          </cell>
          <cell r="ET809">
            <v>0</v>
          </cell>
          <cell r="EU809">
            <v>0</v>
          </cell>
          <cell r="EV809">
            <v>0</v>
          </cell>
          <cell r="EW809">
            <v>0</v>
          </cell>
          <cell r="EY809">
            <v>0</v>
          </cell>
          <cell r="EZ809">
            <v>8</v>
          </cell>
          <cell r="FA809">
            <v>0</v>
          </cell>
          <cell r="FB809">
            <v>0</v>
          </cell>
          <cell r="FC809">
            <v>8.6</v>
          </cell>
          <cell r="FD809">
            <v>0</v>
          </cell>
          <cell r="FE809">
            <v>0</v>
          </cell>
          <cell r="FF809">
            <v>0</v>
          </cell>
          <cell r="FH809">
            <v>0</v>
          </cell>
        </row>
        <row r="810">
          <cell r="B810">
            <v>9946</v>
          </cell>
          <cell r="C810" t="str">
            <v>03.09.2012</v>
          </cell>
          <cell r="D810" t="str">
            <v>Gaikwad Takshashila Chandrashekhar</v>
          </cell>
          <cell r="F810">
            <v>0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W810">
            <v>0</v>
          </cell>
          <cell r="X810">
            <v>0</v>
          </cell>
          <cell r="Y810">
            <v>0</v>
          </cell>
          <cell r="Z810">
            <v>0</v>
          </cell>
          <cell r="AA810">
            <v>0</v>
          </cell>
          <cell r="AB810">
            <v>0</v>
          </cell>
          <cell r="AC810">
            <v>0</v>
          </cell>
          <cell r="AD810">
            <v>0</v>
          </cell>
          <cell r="AE810">
            <v>0</v>
          </cell>
          <cell r="AG810">
            <v>0</v>
          </cell>
          <cell r="AH810">
            <v>0</v>
          </cell>
          <cell r="AI810">
            <v>0</v>
          </cell>
          <cell r="AJ810">
            <v>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BA810">
            <v>0</v>
          </cell>
          <cell r="BB810">
            <v>0</v>
          </cell>
          <cell r="BC810">
            <v>0</v>
          </cell>
          <cell r="BD810">
            <v>0</v>
          </cell>
          <cell r="BE810">
            <v>0</v>
          </cell>
          <cell r="BF810">
            <v>0</v>
          </cell>
          <cell r="BG810">
            <v>0</v>
          </cell>
          <cell r="BH810">
            <v>0</v>
          </cell>
          <cell r="BI810">
            <v>0</v>
          </cell>
          <cell r="BK810">
            <v>0</v>
          </cell>
          <cell r="BL810">
            <v>0</v>
          </cell>
          <cell r="BM810">
            <v>0</v>
          </cell>
          <cell r="BN810">
            <v>0</v>
          </cell>
          <cell r="BO810">
            <v>0</v>
          </cell>
          <cell r="BP810">
            <v>0</v>
          </cell>
          <cell r="BQ810">
            <v>0</v>
          </cell>
          <cell r="BR810">
            <v>0</v>
          </cell>
          <cell r="BS810">
            <v>0</v>
          </cell>
          <cell r="BU810">
            <v>0</v>
          </cell>
          <cell r="BV810">
            <v>0</v>
          </cell>
          <cell r="BW810">
            <v>0</v>
          </cell>
          <cell r="BX810">
            <v>0</v>
          </cell>
          <cell r="BY810">
            <v>0</v>
          </cell>
          <cell r="BZ810">
            <v>0</v>
          </cell>
          <cell r="CA810">
            <v>0</v>
          </cell>
          <cell r="CB810">
            <v>0</v>
          </cell>
          <cell r="CC810">
            <v>0</v>
          </cell>
          <cell r="CE810">
            <v>0</v>
          </cell>
          <cell r="CF810">
            <v>0</v>
          </cell>
          <cell r="CG810">
            <v>0</v>
          </cell>
          <cell r="CH810">
            <v>0</v>
          </cell>
          <cell r="CI810">
            <v>0</v>
          </cell>
          <cell r="CJ810">
            <v>0</v>
          </cell>
          <cell r="CK810">
            <v>0</v>
          </cell>
          <cell r="CL810">
            <v>0</v>
          </cell>
          <cell r="CM810">
            <v>0</v>
          </cell>
          <cell r="CO810">
            <v>0</v>
          </cell>
          <cell r="CP810">
            <v>0</v>
          </cell>
          <cell r="CQ810">
            <v>0</v>
          </cell>
          <cell r="CR810">
            <v>0</v>
          </cell>
          <cell r="CS810">
            <v>0</v>
          </cell>
          <cell r="CT810">
            <v>0</v>
          </cell>
          <cell r="CU810">
            <v>0</v>
          </cell>
          <cell r="CV810">
            <v>0</v>
          </cell>
          <cell r="CW810">
            <v>0</v>
          </cell>
          <cell r="CY810">
            <v>0</v>
          </cell>
          <cell r="CZ810">
            <v>0</v>
          </cell>
          <cell r="DA810">
            <v>0</v>
          </cell>
          <cell r="DB810">
            <v>0</v>
          </cell>
          <cell r="DC810">
            <v>0</v>
          </cell>
          <cell r="DD810">
            <v>0</v>
          </cell>
          <cell r="DE810">
            <v>0</v>
          </cell>
          <cell r="DF810">
            <v>0</v>
          </cell>
          <cell r="DG810">
            <v>0</v>
          </cell>
          <cell r="DI810">
            <v>0</v>
          </cell>
          <cell r="DJ810">
            <v>0</v>
          </cell>
          <cell r="DK810">
            <v>0</v>
          </cell>
          <cell r="DL810">
            <v>0</v>
          </cell>
          <cell r="DM810">
            <v>0</v>
          </cell>
          <cell r="DN810">
            <v>0</v>
          </cell>
          <cell r="DO810">
            <v>0</v>
          </cell>
          <cell r="DP810">
            <v>0</v>
          </cell>
          <cell r="DQ810">
            <v>0</v>
          </cell>
          <cell r="DR810">
            <v>0</v>
          </cell>
          <cell r="DS810">
            <v>0</v>
          </cell>
          <cell r="DT810">
            <v>0</v>
          </cell>
          <cell r="DU810">
            <v>0</v>
          </cell>
          <cell r="DW810">
            <v>0</v>
          </cell>
          <cell r="DX810">
            <v>0</v>
          </cell>
          <cell r="DY810">
            <v>0</v>
          </cell>
          <cell r="DZ810">
            <v>0</v>
          </cell>
          <cell r="EA810">
            <v>0</v>
          </cell>
          <cell r="EB810">
            <v>0</v>
          </cell>
          <cell r="EC810">
            <v>0</v>
          </cell>
          <cell r="ED810">
            <v>0</v>
          </cell>
          <cell r="EE810">
            <v>0</v>
          </cell>
          <cell r="EF810">
            <v>0</v>
          </cell>
          <cell r="EG810">
            <v>0</v>
          </cell>
          <cell r="EH810">
            <v>0</v>
          </cell>
          <cell r="EI810">
            <v>0</v>
          </cell>
          <cell r="EK810">
            <v>0</v>
          </cell>
          <cell r="EL810">
            <v>0</v>
          </cell>
          <cell r="EM810">
            <v>0</v>
          </cell>
          <cell r="EN810">
            <v>0</v>
          </cell>
          <cell r="EO810">
            <v>0</v>
          </cell>
          <cell r="EP810">
            <v>0</v>
          </cell>
          <cell r="EQ810">
            <v>0</v>
          </cell>
          <cell r="ER810">
            <v>0</v>
          </cell>
          <cell r="ES810">
            <v>0</v>
          </cell>
          <cell r="ET810">
            <v>0</v>
          </cell>
          <cell r="EU810">
            <v>0</v>
          </cell>
          <cell r="EV810">
            <v>0</v>
          </cell>
          <cell r="EW810">
            <v>0</v>
          </cell>
          <cell r="EY810">
            <v>0</v>
          </cell>
          <cell r="EZ810">
            <v>8</v>
          </cell>
          <cell r="FA810">
            <v>0</v>
          </cell>
          <cell r="FB810">
            <v>0</v>
          </cell>
          <cell r="FC810">
            <v>8.6</v>
          </cell>
          <cell r="FD810">
            <v>0</v>
          </cell>
          <cell r="FE810">
            <v>0</v>
          </cell>
          <cell r="FF810">
            <v>0</v>
          </cell>
          <cell r="FH810">
            <v>0</v>
          </cell>
        </row>
        <row r="811">
          <cell r="B811">
            <v>9947</v>
          </cell>
          <cell r="C811" t="str">
            <v>03.09.2012</v>
          </cell>
          <cell r="D811" t="str">
            <v>Rakhpasre Vijay Shivaji</v>
          </cell>
          <cell r="F811">
            <v>0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0</v>
          </cell>
          <cell r="AK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BA811">
            <v>0</v>
          </cell>
          <cell r="BB811">
            <v>0</v>
          </cell>
          <cell r="BC811">
            <v>0</v>
          </cell>
          <cell r="BD811">
            <v>0</v>
          </cell>
          <cell r="BE811">
            <v>0</v>
          </cell>
          <cell r="BF811">
            <v>0</v>
          </cell>
          <cell r="BG811">
            <v>0</v>
          </cell>
          <cell r="BH811">
            <v>0</v>
          </cell>
          <cell r="BI811">
            <v>0</v>
          </cell>
          <cell r="BK811">
            <v>0</v>
          </cell>
          <cell r="BL811">
            <v>0</v>
          </cell>
          <cell r="BM811">
            <v>0</v>
          </cell>
          <cell r="BN811">
            <v>0</v>
          </cell>
          <cell r="BO811">
            <v>0</v>
          </cell>
          <cell r="BP811">
            <v>0</v>
          </cell>
          <cell r="BQ811">
            <v>0</v>
          </cell>
          <cell r="BR811">
            <v>0</v>
          </cell>
          <cell r="BS811">
            <v>0</v>
          </cell>
          <cell r="BU811">
            <v>0</v>
          </cell>
          <cell r="BV811">
            <v>0</v>
          </cell>
          <cell r="BW811">
            <v>0</v>
          </cell>
          <cell r="BX811">
            <v>0</v>
          </cell>
          <cell r="BY811">
            <v>0</v>
          </cell>
          <cell r="BZ811">
            <v>0</v>
          </cell>
          <cell r="CA811">
            <v>0</v>
          </cell>
          <cell r="CB811">
            <v>0</v>
          </cell>
          <cell r="CC811">
            <v>0</v>
          </cell>
          <cell r="CE811">
            <v>0</v>
          </cell>
          <cell r="CF811">
            <v>0</v>
          </cell>
          <cell r="CG811">
            <v>0</v>
          </cell>
          <cell r="CH811">
            <v>0</v>
          </cell>
          <cell r="CI811">
            <v>0</v>
          </cell>
          <cell r="CJ811">
            <v>0</v>
          </cell>
          <cell r="CK811">
            <v>0</v>
          </cell>
          <cell r="CL811">
            <v>0</v>
          </cell>
          <cell r="CM811">
            <v>0</v>
          </cell>
          <cell r="CO811">
            <v>0</v>
          </cell>
          <cell r="CP811">
            <v>0</v>
          </cell>
          <cell r="CQ811">
            <v>0</v>
          </cell>
          <cell r="CR811">
            <v>0</v>
          </cell>
          <cell r="CS811">
            <v>0</v>
          </cell>
          <cell r="CT811">
            <v>0</v>
          </cell>
          <cell r="CU811">
            <v>0</v>
          </cell>
          <cell r="CV811">
            <v>0</v>
          </cell>
          <cell r="CW811">
            <v>0</v>
          </cell>
          <cell r="CY811">
            <v>0</v>
          </cell>
          <cell r="CZ811">
            <v>0</v>
          </cell>
          <cell r="DA811">
            <v>0</v>
          </cell>
          <cell r="DB811">
            <v>0</v>
          </cell>
          <cell r="DC811">
            <v>0</v>
          </cell>
          <cell r="DD811">
            <v>0</v>
          </cell>
          <cell r="DE811">
            <v>0</v>
          </cell>
          <cell r="DF811">
            <v>0</v>
          </cell>
          <cell r="DG811">
            <v>0</v>
          </cell>
          <cell r="DI811">
            <v>0</v>
          </cell>
          <cell r="DJ811">
            <v>0</v>
          </cell>
          <cell r="DK811">
            <v>0</v>
          </cell>
          <cell r="DL811">
            <v>0</v>
          </cell>
          <cell r="DM811">
            <v>0</v>
          </cell>
          <cell r="DN811">
            <v>0</v>
          </cell>
          <cell r="DO811">
            <v>0</v>
          </cell>
          <cell r="DP811">
            <v>0</v>
          </cell>
          <cell r="DQ811">
            <v>0</v>
          </cell>
          <cell r="DR811">
            <v>0</v>
          </cell>
          <cell r="DS811">
            <v>0</v>
          </cell>
          <cell r="DT811">
            <v>0</v>
          </cell>
          <cell r="DU811">
            <v>0</v>
          </cell>
          <cell r="DW811">
            <v>0</v>
          </cell>
          <cell r="DX811">
            <v>0</v>
          </cell>
          <cell r="DY811">
            <v>0</v>
          </cell>
          <cell r="DZ811">
            <v>0</v>
          </cell>
          <cell r="EA811">
            <v>0</v>
          </cell>
          <cell r="EB811">
            <v>0</v>
          </cell>
          <cell r="EC811">
            <v>0</v>
          </cell>
          <cell r="ED811">
            <v>0</v>
          </cell>
          <cell r="EE811">
            <v>0</v>
          </cell>
          <cell r="EF811">
            <v>0</v>
          </cell>
          <cell r="EG811">
            <v>0</v>
          </cell>
          <cell r="EH811">
            <v>0</v>
          </cell>
          <cell r="EI811">
            <v>0</v>
          </cell>
          <cell r="EK811">
            <v>0</v>
          </cell>
          <cell r="EL811">
            <v>0</v>
          </cell>
          <cell r="EM811">
            <v>0</v>
          </cell>
          <cell r="EN811">
            <v>0</v>
          </cell>
          <cell r="EO811">
            <v>0</v>
          </cell>
          <cell r="EP811">
            <v>0</v>
          </cell>
          <cell r="EQ811">
            <v>0</v>
          </cell>
          <cell r="ER811">
            <v>0</v>
          </cell>
          <cell r="ES811">
            <v>0</v>
          </cell>
          <cell r="ET811">
            <v>0</v>
          </cell>
          <cell r="EU811">
            <v>0</v>
          </cell>
          <cell r="EV811">
            <v>0</v>
          </cell>
          <cell r="EW811">
            <v>0</v>
          </cell>
          <cell r="EY811">
            <v>0</v>
          </cell>
          <cell r="EZ811">
            <v>8</v>
          </cell>
          <cell r="FA811">
            <v>0</v>
          </cell>
          <cell r="FB811">
            <v>0</v>
          </cell>
          <cell r="FC811">
            <v>8.6</v>
          </cell>
          <cell r="FD811">
            <v>0</v>
          </cell>
          <cell r="FE811">
            <v>0</v>
          </cell>
          <cell r="FF811">
            <v>0</v>
          </cell>
          <cell r="FH811">
            <v>0</v>
          </cell>
        </row>
        <row r="812">
          <cell r="B812">
            <v>9948</v>
          </cell>
          <cell r="C812" t="str">
            <v>03.09.2012</v>
          </cell>
          <cell r="D812" t="str">
            <v>Saude Kapil Dayanand</v>
          </cell>
          <cell r="F812">
            <v>0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BA812">
            <v>0</v>
          </cell>
          <cell r="BB812">
            <v>0</v>
          </cell>
          <cell r="BC812">
            <v>0</v>
          </cell>
          <cell r="BD812">
            <v>0</v>
          </cell>
          <cell r="BE812">
            <v>0</v>
          </cell>
          <cell r="BF812">
            <v>0</v>
          </cell>
          <cell r="BG812">
            <v>0</v>
          </cell>
          <cell r="BH812">
            <v>0</v>
          </cell>
          <cell r="BI812">
            <v>0</v>
          </cell>
          <cell r="BK812">
            <v>0</v>
          </cell>
          <cell r="BL812">
            <v>0</v>
          </cell>
          <cell r="BM812">
            <v>0</v>
          </cell>
          <cell r="BN812">
            <v>0</v>
          </cell>
          <cell r="BO812">
            <v>0</v>
          </cell>
          <cell r="BP812">
            <v>0</v>
          </cell>
          <cell r="BQ812">
            <v>0</v>
          </cell>
          <cell r="BR812">
            <v>0</v>
          </cell>
          <cell r="BS812">
            <v>0</v>
          </cell>
          <cell r="BU812">
            <v>0</v>
          </cell>
          <cell r="BV812">
            <v>0</v>
          </cell>
          <cell r="BW812">
            <v>0</v>
          </cell>
          <cell r="BX812">
            <v>0</v>
          </cell>
          <cell r="BY812">
            <v>0</v>
          </cell>
          <cell r="BZ812">
            <v>0</v>
          </cell>
          <cell r="CA812">
            <v>0</v>
          </cell>
          <cell r="CB812">
            <v>0</v>
          </cell>
          <cell r="CC812">
            <v>0</v>
          </cell>
          <cell r="CE812">
            <v>0</v>
          </cell>
          <cell r="CF812">
            <v>0</v>
          </cell>
          <cell r="CG812">
            <v>0</v>
          </cell>
          <cell r="CH812">
            <v>0</v>
          </cell>
          <cell r="CI812">
            <v>0</v>
          </cell>
          <cell r="CJ812">
            <v>0</v>
          </cell>
          <cell r="CK812">
            <v>0</v>
          </cell>
          <cell r="CL812">
            <v>0</v>
          </cell>
          <cell r="CM812">
            <v>0</v>
          </cell>
          <cell r="CO812">
            <v>0</v>
          </cell>
          <cell r="CP812">
            <v>0</v>
          </cell>
          <cell r="CQ812">
            <v>0</v>
          </cell>
          <cell r="CR812">
            <v>0</v>
          </cell>
          <cell r="CS812">
            <v>0</v>
          </cell>
          <cell r="CT812">
            <v>0</v>
          </cell>
          <cell r="CU812">
            <v>0</v>
          </cell>
          <cell r="CV812">
            <v>0</v>
          </cell>
          <cell r="CW812">
            <v>0</v>
          </cell>
          <cell r="CY812">
            <v>0</v>
          </cell>
          <cell r="CZ812">
            <v>0</v>
          </cell>
          <cell r="DA812">
            <v>0</v>
          </cell>
          <cell r="DB812">
            <v>0</v>
          </cell>
          <cell r="DC812">
            <v>0</v>
          </cell>
          <cell r="DD812">
            <v>0</v>
          </cell>
          <cell r="DE812">
            <v>0</v>
          </cell>
          <cell r="DF812">
            <v>0</v>
          </cell>
          <cell r="DG812">
            <v>0</v>
          </cell>
          <cell r="DI812">
            <v>0</v>
          </cell>
          <cell r="DJ812">
            <v>0</v>
          </cell>
          <cell r="DK812">
            <v>0</v>
          </cell>
          <cell r="DL812">
            <v>0</v>
          </cell>
          <cell r="DM812">
            <v>0</v>
          </cell>
          <cell r="DN812">
            <v>0</v>
          </cell>
          <cell r="DO812">
            <v>0</v>
          </cell>
          <cell r="DP812">
            <v>0</v>
          </cell>
          <cell r="DQ812">
            <v>0</v>
          </cell>
          <cell r="DR812">
            <v>0</v>
          </cell>
          <cell r="DS812">
            <v>0</v>
          </cell>
          <cell r="DT812">
            <v>0</v>
          </cell>
          <cell r="DU812">
            <v>0</v>
          </cell>
          <cell r="DW812">
            <v>0</v>
          </cell>
          <cell r="DX812">
            <v>0</v>
          </cell>
          <cell r="DY812">
            <v>0</v>
          </cell>
          <cell r="DZ812">
            <v>0</v>
          </cell>
          <cell r="EA812">
            <v>0</v>
          </cell>
          <cell r="EB812">
            <v>0</v>
          </cell>
          <cell r="EC812">
            <v>0</v>
          </cell>
          <cell r="ED812">
            <v>0</v>
          </cell>
          <cell r="EE812">
            <v>0</v>
          </cell>
          <cell r="EF812">
            <v>0</v>
          </cell>
          <cell r="EG812">
            <v>0</v>
          </cell>
          <cell r="EH812">
            <v>0</v>
          </cell>
          <cell r="EI812">
            <v>0</v>
          </cell>
          <cell r="EK812">
            <v>0</v>
          </cell>
          <cell r="EL812">
            <v>0</v>
          </cell>
          <cell r="EM812">
            <v>0</v>
          </cell>
          <cell r="EN812">
            <v>0</v>
          </cell>
          <cell r="EO812">
            <v>0</v>
          </cell>
          <cell r="EP812">
            <v>0</v>
          </cell>
          <cell r="EQ812">
            <v>0</v>
          </cell>
          <cell r="ER812">
            <v>0</v>
          </cell>
          <cell r="ES812">
            <v>0</v>
          </cell>
          <cell r="ET812">
            <v>0</v>
          </cell>
          <cell r="EU812">
            <v>0</v>
          </cell>
          <cell r="EV812">
            <v>0</v>
          </cell>
          <cell r="EW812">
            <v>0</v>
          </cell>
          <cell r="EY812">
            <v>0</v>
          </cell>
          <cell r="EZ812">
            <v>8</v>
          </cell>
          <cell r="FA812">
            <v>0</v>
          </cell>
          <cell r="FB812">
            <v>0</v>
          </cell>
          <cell r="FC812">
            <v>8.6</v>
          </cell>
          <cell r="FD812">
            <v>0</v>
          </cell>
          <cell r="FE812">
            <v>0</v>
          </cell>
          <cell r="FF812">
            <v>0</v>
          </cell>
          <cell r="FH812">
            <v>0</v>
          </cell>
        </row>
        <row r="813">
          <cell r="B813">
            <v>9949</v>
          </cell>
          <cell r="C813" t="str">
            <v>03.09.2012</v>
          </cell>
          <cell r="D813" t="str">
            <v>Sarsar Ajay Subhash</v>
          </cell>
          <cell r="F813">
            <v>0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W813">
            <v>0</v>
          </cell>
          <cell r="X813">
            <v>0</v>
          </cell>
          <cell r="Y813">
            <v>0</v>
          </cell>
          <cell r="Z813">
            <v>0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0</v>
          </cell>
          <cell r="AK813">
            <v>0</v>
          </cell>
          <cell r="AL813">
            <v>0</v>
          </cell>
          <cell r="AM813">
            <v>0</v>
          </cell>
          <cell r="AN813">
            <v>0</v>
          </cell>
          <cell r="AO813">
            <v>0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BA813">
            <v>0</v>
          </cell>
          <cell r="BB813">
            <v>0</v>
          </cell>
          <cell r="BC813">
            <v>0</v>
          </cell>
          <cell r="BD813">
            <v>0</v>
          </cell>
          <cell r="BE813">
            <v>0</v>
          </cell>
          <cell r="BF813">
            <v>0</v>
          </cell>
          <cell r="BG813">
            <v>0</v>
          </cell>
          <cell r="BH813">
            <v>0</v>
          </cell>
          <cell r="BI813">
            <v>0</v>
          </cell>
          <cell r="BK813">
            <v>0</v>
          </cell>
          <cell r="BL813">
            <v>0</v>
          </cell>
          <cell r="BM813">
            <v>0</v>
          </cell>
          <cell r="BN813">
            <v>0</v>
          </cell>
          <cell r="BO813">
            <v>0</v>
          </cell>
          <cell r="BP813">
            <v>0</v>
          </cell>
          <cell r="BQ813">
            <v>0</v>
          </cell>
          <cell r="BR813">
            <v>0</v>
          </cell>
          <cell r="BS813">
            <v>0</v>
          </cell>
          <cell r="BU813">
            <v>0</v>
          </cell>
          <cell r="BV813">
            <v>0</v>
          </cell>
          <cell r="BW813">
            <v>0</v>
          </cell>
          <cell r="BX813">
            <v>0</v>
          </cell>
          <cell r="BY813">
            <v>0</v>
          </cell>
          <cell r="BZ813">
            <v>0</v>
          </cell>
          <cell r="CA813">
            <v>0</v>
          </cell>
          <cell r="CB813">
            <v>0</v>
          </cell>
          <cell r="CC813">
            <v>0</v>
          </cell>
          <cell r="CE813">
            <v>0</v>
          </cell>
          <cell r="CF813">
            <v>0</v>
          </cell>
          <cell r="CG813">
            <v>0</v>
          </cell>
          <cell r="CH813">
            <v>0</v>
          </cell>
          <cell r="CI813">
            <v>0</v>
          </cell>
          <cell r="CJ813">
            <v>0</v>
          </cell>
          <cell r="CK813">
            <v>0</v>
          </cell>
          <cell r="CL813">
            <v>0</v>
          </cell>
          <cell r="CM813">
            <v>0</v>
          </cell>
          <cell r="CO813">
            <v>0</v>
          </cell>
          <cell r="CP813">
            <v>0</v>
          </cell>
          <cell r="CQ813">
            <v>0</v>
          </cell>
          <cell r="CR813">
            <v>0</v>
          </cell>
          <cell r="CS813">
            <v>0</v>
          </cell>
          <cell r="CT813">
            <v>0</v>
          </cell>
          <cell r="CU813">
            <v>0</v>
          </cell>
          <cell r="CV813">
            <v>0</v>
          </cell>
          <cell r="CW813">
            <v>0</v>
          </cell>
          <cell r="CY813">
            <v>0</v>
          </cell>
          <cell r="CZ813">
            <v>0</v>
          </cell>
          <cell r="DA813">
            <v>0</v>
          </cell>
          <cell r="DB813">
            <v>0</v>
          </cell>
          <cell r="DC813">
            <v>0</v>
          </cell>
          <cell r="DD813">
            <v>0</v>
          </cell>
          <cell r="DE813">
            <v>0</v>
          </cell>
          <cell r="DF813">
            <v>0</v>
          </cell>
          <cell r="DG813">
            <v>0</v>
          </cell>
          <cell r="DI813">
            <v>0</v>
          </cell>
          <cell r="DJ813">
            <v>0</v>
          </cell>
          <cell r="DK813">
            <v>0</v>
          </cell>
          <cell r="DL813">
            <v>0</v>
          </cell>
          <cell r="DM813">
            <v>0</v>
          </cell>
          <cell r="DN813">
            <v>0</v>
          </cell>
          <cell r="DO813">
            <v>0</v>
          </cell>
          <cell r="DP813">
            <v>0</v>
          </cell>
          <cell r="DQ813">
            <v>0</v>
          </cell>
          <cell r="DR813">
            <v>0</v>
          </cell>
          <cell r="DS813">
            <v>0</v>
          </cell>
          <cell r="DT813">
            <v>0</v>
          </cell>
          <cell r="DU813">
            <v>0</v>
          </cell>
          <cell r="DW813">
            <v>0</v>
          </cell>
          <cell r="DX813">
            <v>0</v>
          </cell>
          <cell r="DY813">
            <v>0</v>
          </cell>
          <cell r="DZ813">
            <v>0</v>
          </cell>
          <cell r="EA813">
            <v>0</v>
          </cell>
          <cell r="EB813">
            <v>0</v>
          </cell>
          <cell r="EC813">
            <v>0</v>
          </cell>
          <cell r="ED813">
            <v>0</v>
          </cell>
          <cell r="EE813">
            <v>0</v>
          </cell>
          <cell r="EF813">
            <v>0</v>
          </cell>
          <cell r="EG813">
            <v>0</v>
          </cell>
          <cell r="EH813">
            <v>0</v>
          </cell>
          <cell r="EI813">
            <v>0</v>
          </cell>
          <cell r="EK813">
            <v>0</v>
          </cell>
          <cell r="EL813">
            <v>0</v>
          </cell>
          <cell r="EM813">
            <v>0</v>
          </cell>
          <cell r="EN813">
            <v>0</v>
          </cell>
          <cell r="EO813">
            <v>0</v>
          </cell>
          <cell r="EP813">
            <v>0</v>
          </cell>
          <cell r="EQ813">
            <v>0</v>
          </cell>
          <cell r="ER813">
            <v>0</v>
          </cell>
          <cell r="ES813">
            <v>0</v>
          </cell>
          <cell r="ET813">
            <v>0</v>
          </cell>
          <cell r="EU813">
            <v>0</v>
          </cell>
          <cell r="EV813">
            <v>0</v>
          </cell>
          <cell r="EW813">
            <v>0</v>
          </cell>
          <cell r="EY813">
            <v>0</v>
          </cell>
          <cell r="EZ813">
            <v>8</v>
          </cell>
          <cell r="FA813">
            <v>0</v>
          </cell>
          <cell r="FB813">
            <v>0</v>
          </cell>
          <cell r="FC813">
            <v>8.6</v>
          </cell>
          <cell r="FD813">
            <v>0</v>
          </cell>
          <cell r="FE813">
            <v>0</v>
          </cell>
          <cell r="FF813">
            <v>0</v>
          </cell>
          <cell r="FH813">
            <v>0</v>
          </cell>
        </row>
        <row r="814">
          <cell r="B814">
            <v>9950</v>
          </cell>
          <cell r="C814" t="str">
            <v>03.09.2012</v>
          </cell>
          <cell r="D814" t="str">
            <v>More Prashant Subhash</v>
          </cell>
          <cell r="F814">
            <v>0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0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0</v>
          </cell>
          <cell r="AK814">
            <v>0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BA814">
            <v>0</v>
          </cell>
          <cell r="BB814">
            <v>0</v>
          </cell>
          <cell r="BC814">
            <v>0</v>
          </cell>
          <cell r="BD814">
            <v>0</v>
          </cell>
          <cell r="BE814">
            <v>0</v>
          </cell>
          <cell r="BF814">
            <v>0</v>
          </cell>
          <cell r="BG814">
            <v>0</v>
          </cell>
          <cell r="BH814">
            <v>0</v>
          </cell>
          <cell r="BI814">
            <v>0</v>
          </cell>
          <cell r="BK814">
            <v>0</v>
          </cell>
          <cell r="BL814">
            <v>0</v>
          </cell>
          <cell r="BM814">
            <v>0</v>
          </cell>
          <cell r="BN814">
            <v>0</v>
          </cell>
          <cell r="BO814">
            <v>0</v>
          </cell>
          <cell r="BP814">
            <v>0</v>
          </cell>
          <cell r="BQ814">
            <v>0</v>
          </cell>
          <cell r="BR814">
            <v>0</v>
          </cell>
          <cell r="BS814">
            <v>0</v>
          </cell>
          <cell r="BU814">
            <v>0</v>
          </cell>
          <cell r="BV814">
            <v>0</v>
          </cell>
          <cell r="BW814">
            <v>0</v>
          </cell>
          <cell r="BX814">
            <v>0</v>
          </cell>
          <cell r="BY814">
            <v>0</v>
          </cell>
          <cell r="BZ814">
            <v>0</v>
          </cell>
          <cell r="CA814">
            <v>0</v>
          </cell>
          <cell r="CB814">
            <v>0</v>
          </cell>
          <cell r="CC814">
            <v>0</v>
          </cell>
          <cell r="CE814">
            <v>0</v>
          </cell>
          <cell r="CF814">
            <v>0</v>
          </cell>
          <cell r="CG814">
            <v>0</v>
          </cell>
          <cell r="CH814">
            <v>0</v>
          </cell>
          <cell r="CI814">
            <v>0</v>
          </cell>
          <cell r="CJ814">
            <v>0</v>
          </cell>
          <cell r="CK814">
            <v>0</v>
          </cell>
          <cell r="CL814">
            <v>0</v>
          </cell>
          <cell r="CM814">
            <v>0</v>
          </cell>
          <cell r="CO814">
            <v>0</v>
          </cell>
          <cell r="CP814">
            <v>0</v>
          </cell>
          <cell r="CQ814">
            <v>0</v>
          </cell>
          <cell r="CR814">
            <v>0</v>
          </cell>
          <cell r="CS814">
            <v>0</v>
          </cell>
          <cell r="CT814">
            <v>0</v>
          </cell>
          <cell r="CU814">
            <v>0</v>
          </cell>
          <cell r="CV814">
            <v>0</v>
          </cell>
          <cell r="CW814">
            <v>0</v>
          </cell>
          <cell r="CY814">
            <v>0</v>
          </cell>
          <cell r="CZ814">
            <v>0</v>
          </cell>
          <cell r="DA814">
            <v>0</v>
          </cell>
          <cell r="DB814">
            <v>0</v>
          </cell>
          <cell r="DC814">
            <v>0</v>
          </cell>
          <cell r="DD814">
            <v>0</v>
          </cell>
          <cell r="DE814">
            <v>0</v>
          </cell>
          <cell r="DF814">
            <v>0</v>
          </cell>
          <cell r="DG814">
            <v>0</v>
          </cell>
          <cell r="DI814">
            <v>0</v>
          </cell>
          <cell r="DJ814">
            <v>0</v>
          </cell>
          <cell r="DK814">
            <v>0</v>
          </cell>
          <cell r="DL814">
            <v>0</v>
          </cell>
          <cell r="DM814">
            <v>0</v>
          </cell>
          <cell r="DN814">
            <v>0</v>
          </cell>
          <cell r="DO814">
            <v>0</v>
          </cell>
          <cell r="DP814">
            <v>0</v>
          </cell>
          <cell r="DQ814">
            <v>0</v>
          </cell>
          <cell r="DR814">
            <v>0</v>
          </cell>
          <cell r="DS814">
            <v>0</v>
          </cell>
          <cell r="DT814">
            <v>0</v>
          </cell>
          <cell r="DU814">
            <v>0</v>
          </cell>
          <cell r="DW814">
            <v>0</v>
          </cell>
          <cell r="DX814">
            <v>0</v>
          </cell>
          <cell r="DY814">
            <v>0</v>
          </cell>
          <cell r="DZ814">
            <v>0</v>
          </cell>
          <cell r="EA814">
            <v>0</v>
          </cell>
          <cell r="EB814">
            <v>0</v>
          </cell>
          <cell r="EC814">
            <v>0</v>
          </cell>
          <cell r="ED814">
            <v>0</v>
          </cell>
          <cell r="EE814">
            <v>0</v>
          </cell>
          <cell r="EF814">
            <v>0</v>
          </cell>
          <cell r="EG814">
            <v>0</v>
          </cell>
          <cell r="EH814">
            <v>0</v>
          </cell>
          <cell r="EI814">
            <v>0</v>
          </cell>
          <cell r="EK814">
            <v>0</v>
          </cell>
          <cell r="EL814">
            <v>0</v>
          </cell>
          <cell r="EM814">
            <v>0</v>
          </cell>
          <cell r="EN814">
            <v>0</v>
          </cell>
          <cell r="EO814">
            <v>0</v>
          </cell>
          <cell r="EP814">
            <v>0</v>
          </cell>
          <cell r="EQ814">
            <v>0</v>
          </cell>
          <cell r="ER814">
            <v>0</v>
          </cell>
          <cell r="ES814">
            <v>0</v>
          </cell>
          <cell r="ET814">
            <v>0</v>
          </cell>
          <cell r="EU814">
            <v>0</v>
          </cell>
          <cell r="EV814">
            <v>0</v>
          </cell>
          <cell r="EW814">
            <v>0</v>
          </cell>
          <cell r="EY814">
            <v>0</v>
          </cell>
          <cell r="EZ814">
            <v>8</v>
          </cell>
          <cell r="FA814">
            <v>0</v>
          </cell>
          <cell r="FB814">
            <v>0</v>
          </cell>
          <cell r="FC814">
            <v>8.6</v>
          </cell>
          <cell r="FD814">
            <v>0</v>
          </cell>
          <cell r="FE814">
            <v>0</v>
          </cell>
          <cell r="FF814">
            <v>0</v>
          </cell>
          <cell r="FH814">
            <v>0</v>
          </cell>
        </row>
        <row r="815">
          <cell r="B815">
            <v>9951</v>
          </cell>
          <cell r="C815" t="str">
            <v>03.09.2012</v>
          </cell>
          <cell r="D815" t="str">
            <v>Dinkar Rahul Yadav</v>
          </cell>
          <cell r="F815">
            <v>0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G815">
            <v>0</v>
          </cell>
          <cell r="AH815">
            <v>0</v>
          </cell>
          <cell r="AI815">
            <v>0</v>
          </cell>
          <cell r="AJ815">
            <v>0</v>
          </cell>
          <cell r="AK815">
            <v>0</v>
          </cell>
          <cell r="AL815">
            <v>0</v>
          </cell>
          <cell r="AM815">
            <v>0</v>
          </cell>
          <cell r="AN815">
            <v>0</v>
          </cell>
          <cell r="AO815">
            <v>0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  <cell r="AU815">
            <v>0</v>
          </cell>
          <cell r="AV815">
            <v>0</v>
          </cell>
          <cell r="AW815">
            <v>0</v>
          </cell>
          <cell r="AX815">
            <v>0</v>
          </cell>
          <cell r="AY815">
            <v>0</v>
          </cell>
          <cell r="BA815">
            <v>0</v>
          </cell>
          <cell r="BB815">
            <v>0</v>
          </cell>
          <cell r="BC815">
            <v>0</v>
          </cell>
          <cell r="BD815">
            <v>0</v>
          </cell>
          <cell r="BE815">
            <v>0</v>
          </cell>
          <cell r="BF815">
            <v>0</v>
          </cell>
          <cell r="BG815">
            <v>0</v>
          </cell>
          <cell r="BH815">
            <v>0</v>
          </cell>
          <cell r="BI815">
            <v>0</v>
          </cell>
          <cell r="BK815">
            <v>0</v>
          </cell>
          <cell r="BL815">
            <v>0</v>
          </cell>
          <cell r="BM815">
            <v>0</v>
          </cell>
          <cell r="BN815">
            <v>0</v>
          </cell>
          <cell r="BO815">
            <v>0</v>
          </cell>
          <cell r="BP815">
            <v>0</v>
          </cell>
          <cell r="BQ815">
            <v>0</v>
          </cell>
          <cell r="BR815">
            <v>0</v>
          </cell>
          <cell r="BS815">
            <v>0</v>
          </cell>
          <cell r="BU815">
            <v>0</v>
          </cell>
          <cell r="BV815">
            <v>0</v>
          </cell>
          <cell r="BW815">
            <v>0</v>
          </cell>
          <cell r="BX815">
            <v>0</v>
          </cell>
          <cell r="BY815">
            <v>0</v>
          </cell>
          <cell r="BZ815">
            <v>0</v>
          </cell>
          <cell r="CA815">
            <v>0</v>
          </cell>
          <cell r="CB815">
            <v>0</v>
          </cell>
          <cell r="CC815">
            <v>0</v>
          </cell>
          <cell r="CE815">
            <v>0</v>
          </cell>
          <cell r="CF815">
            <v>0</v>
          </cell>
          <cell r="CG815">
            <v>0</v>
          </cell>
          <cell r="CH815">
            <v>0</v>
          </cell>
          <cell r="CI815">
            <v>0</v>
          </cell>
          <cell r="CJ815">
            <v>0</v>
          </cell>
          <cell r="CK815">
            <v>0</v>
          </cell>
          <cell r="CL815">
            <v>0</v>
          </cell>
          <cell r="CM815">
            <v>0</v>
          </cell>
          <cell r="CO815">
            <v>0</v>
          </cell>
          <cell r="CP815">
            <v>0</v>
          </cell>
          <cell r="CQ815">
            <v>0</v>
          </cell>
          <cell r="CR815">
            <v>0</v>
          </cell>
          <cell r="CS815">
            <v>0</v>
          </cell>
          <cell r="CT815">
            <v>0</v>
          </cell>
          <cell r="CU815">
            <v>0</v>
          </cell>
          <cell r="CV815">
            <v>0</v>
          </cell>
          <cell r="CW815">
            <v>0</v>
          </cell>
          <cell r="CY815">
            <v>0</v>
          </cell>
          <cell r="CZ815">
            <v>0</v>
          </cell>
          <cell r="DA815">
            <v>0</v>
          </cell>
          <cell r="DB815">
            <v>0</v>
          </cell>
          <cell r="DC815">
            <v>0</v>
          </cell>
          <cell r="DD815">
            <v>0</v>
          </cell>
          <cell r="DE815">
            <v>0</v>
          </cell>
          <cell r="DF815">
            <v>0</v>
          </cell>
          <cell r="DG815">
            <v>0</v>
          </cell>
          <cell r="DI815">
            <v>0</v>
          </cell>
          <cell r="DJ815">
            <v>0</v>
          </cell>
          <cell r="DK815">
            <v>0</v>
          </cell>
          <cell r="DL815">
            <v>0</v>
          </cell>
          <cell r="DM815">
            <v>0</v>
          </cell>
          <cell r="DN815">
            <v>0</v>
          </cell>
          <cell r="DO815">
            <v>0</v>
          </cell>
          <cell r="DP815">
            <v>0</v>
          </cell>
          <cell r="DQ815">
            <v>0</v>
          </cell>
          <cell r="DR815">
            <v>0</v>
          </cell>
          <cell r="DS815">
            <v>0</v>
          </cell>
          <cell r="DT815">
            <v>0</v>
          </cell>
          <cell r="DU815">
            <v>0</v>
          </cell>
          <cell r="DW815">
            <v>0</v>
          </cell>
          <cell r="DX815">
            <v>0</v>
          </cell>
          <cell r="DY815">
            <v>0</v>
          </cell>
          <cell r="DZ815">
            <v>0</v>
          </cell>
          <cell r="EA815">
            <v>0</v>
          </cell>
          <cell r="EB815">
            <v>0</v>
          </cell>
          <cell r="EC815">
            <v>0</v>
          </cell>
          <cell r="ED815">
            <v>0</v>
          </cell>
          <cell r="EE815">
            <v>0</v>
          </cell>
          <cell r="EF815">
            <v>0</v>
          </cell>
          <cell r="EG815">
            <v>0</v>
          </cell>
          <cell r="EH815">
            <v>0</v>
          </cell>
          <cell r="EI815">
            <v>0</v>
          </cell>
          <cell r="EK815">
            <v>0</v>
          </cell>
          <cell r="EL815">
            <v>0</v>
          </cell>
          <cell r="EM815">
            <v>0</v>
          </cell>
          <cell r="EN815">
            <v>0</v>
          </cell>
          <cell r="EO815">
            <v>0</v>
          </cell>
          <cell r="EP815">
            <v>0</v>
          </cell>
          <cell r="EQ815">
            <v>0</v>
          </cell>
          <cell r="ER815">
            <v>0</v>
          </cell>
          <cell r="ES815">
            <v>0</v>
          </cell>
          <cell r="ET815">
            <v>0</v>
          </cell>
          <cell r="EU815">
            <v>0</v>
          </cell>
          <cell r="EV815">
            <v>0</v>
          </cell>
          <cell r="EW815">
            <v>0</v>
          </cell>
          <cell r="EY815">
            <v>0</v>
          </cell>
          <cell r="EZ815">
            <v>8</v>
          </cell>
          <cell r="FA815">
            <v>0</v>
          </cell>
          <cell r="FB815">
            <v>0</v>
          </cell>
          <cell r="FC815">
            <v>8.6</v>
          </cell>
          <cell r="FD815">
            <v>0</v>
          </cell>
          <cell r="FE815">
            <v>0</v>
          </cell>
          <cell r="FF815">
            <v>0</v>
          </cell>
          <cell r="FH815">
            <v>0</v>
          </cell>
        </row>
        <row r="816">
          <cell r="B816">
            <v>9952</v>
          </cell>
          <cell r="C816" t="str">
            <v>03.09.2012</v>
          </cell>
          <cell r="D816" t="str">
            <v>Chatole Sanju Suresh</v>
          </cell>
          <cell r="F816">
            <v>0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W816">
            <v>0</v>
          </cell>
          <cell r="X816">
            <v>0</v>
          </cell>
          <cell r="Y816">
            <v>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BA816">
            <v>0</v>
          </cell>
          <cell r="BB816">
            <v>0</v>
          </cell>
          <cell r="BC816">
            <v>0</v>
          </cell>
          <cell r="BD816">
            <v>0</v>
          </cell>
          <cell r="BE816">
            <v>0</v>
          </cell>
          <cell r="BF816">
            <v>0</v>
          </cell>
          <cell r="BG816">
            <v>0</v>
          </cell>
          <cell r="BH816">
            <v>0</v>
          </cell>
          <cell r="BI816">
            <v>0</v>
          </cell>
          <cell r="BK816">
            <v>0</v>
          </cell>
          <cell r="BL816">
            <v>0</v>
          </cell>
          <cell r="BM816">
            <v>0</v>
          </cell>
          <cell r="BN816">
            <v>0</v>
          </cell>
          <cell r="BO816">
            <v>0</v>
          </cell>
          <cell r="BP816">
            <v>0</v>
          </cell>
          <cell r="BQ816">
            <v>0</v>
          </cell>
          <cell r="BR816">
            <v>0</v>
          </cell>
          <cell r="BS816">
            <v>0</v>
          </cell>
          <cell r="BU816">
            <v>0</v>
          </cell>
          <cell r="BV816">
            <v>0</v>
          </cell>
          <cell r="BW816">
            <v>0</v>
          </cell>
          <cell r="BX816">
            <v>0</v>
          </cell>
          <cell r="BY816">
            <v>0</v>
          </cell>
          <cell r="BZ816">
            <v>0</v>
          </cell>
          <cell r="CA816">
            <v>0</v>
          </cell>
          <cell r="CB816">
            <v>0</v>
          </cell>
          <cell r="CC816">
            <v>0</v>
          </cell>
          <cell r="CE816">
            <v>0</v>
          </cell>
          <cell r="CF816">
            <v>0</v>
          </cell>
          <cell r="CG816">
            <v>0</v>
          </cell>
          <cell r="CH816">
            <v>0</v>
          </cell>
          <cell r="CI816">
            <v>0</v>
          </cell>
          <cell r="CJ816">
            <v>0</v>
          </cell>
          <cell r="CK816">
            <v>0</v>
          </cell>
          <cell r="CL816">
            <v>0</v>
          </cell>
          <cell r="CM816">
            <v>0</v>
          </cell>
          <cell r="CO816">
            <v>0</v>
          </cell>
          <cell r="CP816">
            <v>0</v>
          </cell>
          <cell r="CQ816">
            <v>0</v>
          </cell>
          <cell r="CR816">
            <v>0</v>
          </cell>
          <cell r="CS816">
            <v>0</v>
          </cell>
          <cell r="CT816">
            <v>0</v>
          </cell>
          <cell r="CU816">
            <v>0</v>
          </cell>
          <cell r="CV816">
            <v>0</v>
          </cell>
          <cell r="CW816">
            <v>0</v>
          </cell>
          <cell r="CY816">
            <v>0</v>
          </cell>
          <cell r="CZ816">
            <v>0</v>
          </cell>
          <cell r="DA816">
            <v>0</v>
          </cell>
          <cell r="DB816">
            <v>0</v>
          </cell>
          <cell r="DC816">
            <v>0</v>
          </cell>
          <cell r="DD816">
            <v>0</v>
          </cell>
          <cell r="DE816">
            <v>0</v>
          </cell>
          <cell r="DF816">
            <v>0</v>
          </cell>
          <cell r="DG816">
            <v>0</v>
          </cell>
          <cell r="DI816">
            <v>0</v>
          </cell>
          <cell r="DJ816">
            <v>0</v>
          </cell>
          <cell r="DK816">
            <v>0</v>
          </cell>
          <cell r="DL816">
            <v>0</v>
          </cell>
          <cell r="DM816">
            <v>0</v>
          </cell>
          <cell r="DN816">
            <v>0</v>
          </cell>
          <cell r="DO816">
            <v>0</v>
          </cell>
          <cell r="DP816">
            <v>0</v>
          </cell>
          <cell r="DQ816">
            <v>0</v>
          </cell>
          <cell r="DR816">
            <v>0</v>
          </cell>
          <cell r="DS816">
            <v>0</v>
          </cell>
          <cell r="DT816">
            <v>0</v>
          </cell>
          <cell r="DU816">
            <v>0</v>
          </cell>
          <cell r="DW816">
            <v>0</v>
          </cell>
          <cell r="DX816">
            <v>0</v>
          </cell>
          <cell r="DY816">
            <v>0</v>
          </cell>
          <cell r="DZ816">
            <v>0</v>
          </cell>
          <cell r="EA816">
            <v>0</v>
          </cell>
          <cell r="EB816">
            <v>0</v>
          </cell>
          <cell r="EC816">
            <v>0</v>
          </cell>
          <cell r="ED816">
            <v>0</v>
          </cell>
          <cell r="EE816">
            <v>0</v>
          </cell>
          <cell r="EF816">
            <v>0</v>
          </cell>
          <cell r="EG816">
            <v>0</v>
          </cell>
          <cell r="EH816">
            <v>0</v>
          </cell>
          <cell r="EI816">
            <v>0</v>
          </cell>
          <cell r="EK816">
            <v>0</v>
          </cell>
          <cell r="EL816">
            <v>0</v>
          </cell>
          <cell r="EM816">
            <v>0</v>
          </cell>
          <cell r="EN816">
            <v>0</v>
          </cell>
          <cell r="EO816">
            <v>0</v>
          </cell>
          <cell r="EP816">
            <v>0</v>
          </cell>
          <cell r="EQ816">
            <v>0</v>
          </cell>
          <cell r="ER816">
            <v>0</v>
          </cell>
          <cell r="ES816">
            <v>0</v>
          </cell>
          <cell r="ET816">
            <v>0</v>
          </cell>
          <cell r="EU816">
            <v>0</v>
          </cell>
          <cell r="EV816">
            <v>0</v>
          </cell>
          <cell r="EW816">
            <v>0</v>
          </cell>
          <cell r="EY816">
            <v>0</v>
          </cell>
          <cell r="EZ816">
            <v>8</v>
          </cell>
          <cell r="FA816">
            <v>0</v>
          </cell>
          <cell r="FB816">
            <v>0</v>
          </cell>
          <cell r="FC816">
            <v>8.6</v>
          </cell>
          <cell r="FD816">
            <v>0</v>
          </cell>
          <cell r="FE816">
            <v>0</v>
          </cell>
          <cell r="FF816">
            <v>0</v>
          </cell>
          <cell r="FH816">
            <v>0</v>
          </cell>
        </row>
        <row r="817">
          <cell r="B817">
            <v>9953</v>
          </cell>
          <cell r="C817" t="str">
            <v>03.09.2012</v>
          </cell>
          <cell r="D817" t="str">
            <v>Salve Ajay Hiraman</v>
          </cell>
          <cell r="F817">
            <v>0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0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0</v>
          </cell>
          <cell r="AK817">
            <v>0</v>
          </cell>
          <cell r="AL817">
            <v>0</v>
          </cell>
          <cell r="AM817">
            <v>0</v>
          </cell>
          <cell r="AN817">
            <v>0</v>
          </cell>
          <cell r="AO817">
            <v>0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BA817">
            <v>0</v>
          </cell>
          <cell r="BB817">
            <v>0</v>
          </cell>
          <cell r="BC817">
            <v>0</v>
          </cell>
          <cell r="BD817">
            <v>0</v>
          </cell>
          <cell r="BE817">
            <v>0</v>
          </cell>
          <cell r="BF817">
            <v>0</v>
          </cell>
          <cell r="BG817">
            <v>0</v>
          </cell>
          <cell r="BH817">
            <v>0</v>
          </cell>
          <cell r="BI817">
            <v>0</v>
          </cell>
          <cell r="BK817">
            <v>0</v>
          </cell>
          <cell r="BL817">
            <v>0</v>
          </cell>
          <cell r="BM817">
            <v>0</v>
          </cell>
          <cell r="BN817">
            <v>0</v>
          </cell>
          <cell r="BO817">
            <v>0</v>
          </cell>
          <cell r="BP817">
            <v>0</v>
          </cell>
          <cell r="BQ817">
            <v>0</v>
          </cell>
          <cell r="BR817">
            <v>0</v>
          </cell>
          <cell r="BS817">
            <v>0</v>
          </cell>
          <cell r="BU817">
            <v>0</v>
          </cell>
          <cell r="BV817">
            <v>0</v>
          </cell>
          <cell r="BW817">
            <v>0</v>
          </cell>
          <cell r="BX817">
            <v>0</v>
          </cell>
          <cell r="BY817">
            <v>0</v>
          </cell>
          <cell r="BZ817">
            <v>0</v>
          </cell>
          <cell r="CA817">
            <v>0</v>
          </cell>
          <cell r="CB817">
            <v>0</v>
          </cell>
          <cell r="CC817">
            <v>0</v>
          </cell>
          <cell r="CE817">
            <v>0</v>
          </cell>
          <cell r="CF817">
            <v>0</v>
          </cell>
          <cell r="CG817">
            <v>0</v>
          </cell>
          <cell r="CH817">
            <v>0</v>
          </cell>
          <cell r="CI817">
            <v>0</v>
          </cell>
          <cell r="CJ817">
            <v>0</v>
          </cell>
          <cell r="CK817">
            <v>0</v>
          </cell>
          <cell r="CL817">
            <v>0</v>
          </cell>
          <cell r="CM817">
            <v>0</v>
          </cell>
          <cell r="CO817">
            <v>0</v>
          </cell>
          <cell r="CP817">
            <v>0</v>
          </cell>
          <cell r="CQ817">
            <v>0</v>
          </cell>
          <cell r="CR817">
            <v>0</v>
          </cell>
          <cell r="CS817">
            <v>0</v>
          </cell>
          <cell r="CT817">
            <v>0</v>
          </cell>
          <cell r="CU817">
            <v>0</v>
          </cell>
          <cell r="CV817">
            <v>0</v>
          </cell>
          <cell r="CW817">
            <v>0</v>
          </cell>
          <cell r="CY817">
            <v>0</v>
          </cell>
          <cell r="CZ817">
            <v>0</v>
          </cell>
          <cell r="DA817">
            <v>0</v>
          </cell>
          <cell r="DB817">
            <v>0</v>
          </cell>
          <cell r="DC817">
            <v>0</v>
          </cell>
          <cell r="DD817">
            <v>0</v>
          </cell>
          <cell r="DE817">
            <v>0</v>
          </cell>
          <cell r="DF817">
            <v>0</v>
          </cell>
          <cell r="DG817">
            <v>0</v>
          </cell>
          <cell r="DI817">
            <v>0</v>
          </cell>
          <cell r="DJ817">
            <v>0</v>
          </cell>
          <cell r="DK817">
            <v>0</v>
          </cell>
          <cell r="DL817">
            <v>0</v>
          </cell>
          <cell r="DM817">
            <v>0</v>
          </cell>
          <cell r="DN817">
            <v>0</v>
          </cell>
          <cell r="DO817">
            <v>0</v>
          </cell>
          <cell r="DP817">
            <v>0</v>
          </cell>
          <cell r="DQ817">
            <v>0</v>
          </cell>
          <cell r="DR817">
            <v>0</v>
          </cell>
          <cell r="DS817">
            <v>0</v>
          </cell>
          <cell r="DT817">
            <v>0</v>
          </cell>
          <cell r="DU817">
            <v>0</v>
          </cell>
          <cell r="DW817">
            <v>0</v>
          </cell>
          <cell r="DX817">
            <v>0</v>
          </cell>
          <cell r="DY817">
            <v>0</v>
          </cell>
          <cell r="DZ817">
            <v>0</v>
          </cell>
          <cell r="EA817">
            <v>0</v>
          </cell>
          <cell r="EB817">
            <v>0</v>
          </cell>
          <cell r="EC817">
            <v>0</v>
          </cell>
          <cell r="ED817">
            <v>0</v>
          </cell>
          <cell r="EE817">
            <v>0</v>
          </cell>
          <cell r="EF817">
            <v>0</v>
          </cell>
          <cell r="EG817">
            <v>0</v>
          </cell>
          <cell r="EH817">
            <v>0</v>
          </cell>
          <cell r="EI817">
            <v>0</v>
          </cell>
          <cell r="EK817">
            <v>0</v>
          </cell>
          <cell r="EL817">
            <v>0</v>
          </cell>
          <cell r="EM817">
            <v>0</v>
          </cell>
          <cell r="EN817">
            <v>0</v>
          </cell>
          <cell r="EO817">
            <v>0</v>
          </cell>
          <cell r="EP817">
            <v>0</v>
          </cell>
          <cell r="EQ817">
            <v>0</v>
          </cell>
          <cell r="ER817">
            <v>0</v>
          </cell>
          <cell r="ES817">
            <v>0</v>
          </cell>
          <cell r="ET817">
            <v>0</v>
          </cell>
          <cell r="EU817">
            <v>0</v>
          </cell>
          <cell r="EV817">
            <v>0</v>
          </cell>
          <cell r="EW817">
            <v>0</v>
          </cell>
          <cell r="EY817">
            <v>0</v>
          </cell>
          <cell r="EZ817">
            <v>8</v>
          </cell>
          <cell r="FA817">
            <v>0</v>
          </cell>
          <cell r="FB817">
            <v>0</v>
          </cell>
          <cell r="FC817">
            <v>8.6</v>
          </cell>
          <cell r="FD817">
            <v>0</v>
          </cell>
          <cell r="FE817">
            <v>0</v>
          </cell>
          <cell r="FF817">
            <v>0</v>
          </cell>
          <cell r="FH817">
            <v>0</v>
          </cell>
        </row>
        <row r="818">
          <cell r="B818">
            <v>10135</v>
          </cell>
          <cell r="C818" t="str">
            <v>03.09.2012</v>
          </cell>
          <cell r="D818" t="str">
            <v>Borisa Raju Ratan</v>
          </cell>
          <cell r="F818">
            <v>0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0</v>
          </cell>
          <cell r="AK818">
            <v>0</v>
          </cell>
          <cell r="AL818">
            <v>0</v>
          </cell>
          <cell r="AM818">
            <v>0</v>
          </cell>
          <cell r="AN818">
            <v>0</v>
          </cell>
          <cell r="AO818">
            <v>0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BA818">
            <v>0</v>
          </cell>
          <cell r="BB818">
            <v>0</v>
          </cell>
          <cell r="BC818">
            <v>0</v>
          </cell>
          <cell r="BD818">
            <v>0</v>
          </cell>
          <cell r="BE818">
            <v>0</v>
          </cell>
          <cell r="BF818">
            <v>0</v>
          </cell>
          <cell r="BG818">
            <v>0</v>
          </cell>
          <cell r="BH818">
            <v>0</v>
          </cell>
          <cell r="BI818">
            <v>0</v>
          </cell>
          <cell r="BK818">
            <v>0</v>
          </cell>
          <cell r="BL818">
            <v>0</v>
          </cell>
          <cell r="BM818">
            <v>0</v>
          </cell>
          <cell r="BN818">
            <v>0</v>
          </cell>
          <cell r="BO818">
            <v>0</v>
          </cell>
          <cell r="BP818">
            <v>0</v>
          </cell>
          <cell r="BQ818">
            <v>0</v>
          </cell>
          <cell r="BR818">
            <v>0</v>
          </cell>
          <cell r="BS818">
            <v>0</v>
          </cell>
          <cell r="BU818">
            <v>0</v>
          </cell>
          <cell r="BV818">
            <v>0</v>
          </cell>
          <cell r="BW818">
            <v>0</v>
          </cell>
          <cell r="BX818">
            <v>0</v>
          </cell>
          <cell r="BY818">
            <v>0</v>
          </cell>
          <cell r="BZ818">
            <v>0</v>
          </cell>
          <cell r="CA818">
            <v>0</v>
          </cell>
          <cell r="CB818">
            <v>0</v>
          </cell>
          <cell r="CC818">
            <v>0</v>
          </cell>
          <cell r="CE818">
            <v>0</v>
          </cell>
          <cell r="CF818">
            <v>0</v>
          </cell>
          <cell r="CG818">
            <v>0</v>
          </cell>
          <cell r="CH818">
            <v>0</v>
          </cell>
          <cell r="CI818">
            <v>0</v>
          </cell>
          <cell r="CJ818">
            <v>0</v>
          </cell>
          <cell r="CK818">
            <v>0</v>
          </cell>
          <cell r="CL818">
            <v>0</v>
          </cell>
          <cell r="CM818">
            <v>0</v>
          </cell>
          <cell r="CO818">
            <v>0</v>
          </cell>
          <cell r="CP818">
            <v>0</v>
          </cell>
          <cell r="CQ818">
            <v>0</v>
          </cell>
          <cell r="CR818">
            <v>0</v>
          </cell>
          <cell r="CS818">
            <v>0</v>
          </cell>
          <cell r="CT818">
            <v>0</v>
          </cell>
          <cell r="CU818">
            <v>0</v>
          </cell>
          <cell r="CV818">
            <v>0</v>
          </cell>
          <cell r="CW818">
            <v>0</v>
          </cell>
          <cell r="CY818">
            <v>0</v>
          </cell>
          <cell r="CZ818">
            <v>0</v>
          </cell>
          <cell r="DA818">
            <v>0</v>
          </cell>
          <cell r="DB818">
            <v>0</v>
          </cell>
          <cell r="DC818">
            <v>0</v>
          </cell>
          <cell r="DD818">
            <v>0</v>
          </cell>
          <cell r="DE818">
            <v>0</v>
          </cell>
          <cell r="DF818">
            <v>0</v>
          </cell>
          <cell r="DG818">
            <v>0</v>
          </cell>
          <cell r="DI818">
            <v>0</v>
          </cell>
          <cell r="DJ818">
            <v>0</v>
          </cell>
          <cell r="DK818">
            <v>0</v>
          </cell>
          <cell r="DL818">
            <v>0</v>
          </cell>
          <cell r="DM818">
            <v>0</v>
          </cell>
          <cell r="DN818">
            <v>0</v>
          </cell>
          <cell r="DO818">
            <v>0</v>
          </cell>
          <cell r="DP818">
            <v>0</v>
          </cell>
          <cell r="DQ818">
            <v>0</v>
          </cell>
          <cell r="DR818">
            <v>0</v>
          </cell>
          <cell r="DS818">
            <v>0</v>
          </cell>
          <cell r="DT818">
            <v>0</v>
          </cell>
          <cell r="DU818">
            <v>0</v>
          </cell>
          <cell r="DW818">
            <v>0</v>
          </cell>
          <cell r="DX818">
            <v>0</v>
          </cell>
          <cell r="DY818">
            <v>0</v>
          </cell>
          <cell r="DZ818">
            <v>0</v>
          </cell>
          <cell r="EA818">
            <v>0</v>
          </cell>
          <cell r="EB818">
            <v>0</v>
          </cell>
          <cell r="EC818">
            <v>0</v>
          </cell>
          <cell r="ED818">
            <v>0</v>
          </cell>
          <cell r="EE818">
            <v>0</v>
          </cell>
          <cell r="EF818">
            <v>0</v>
          </cell>
          <cell r="EG818">
            <v>0</v>
          </cell>
          <cell r="EH818">
            <v>0</v>
          </cell>
          <cell r="EI818">
            <v>0</v>
          </cell>
          <cell r="EK818">
            <v>0</v>
          </cell>
          <cell r="EL818">
            <v>0</v>
          </cell>
          <cell r="EM818">
            <v>0</v>
          </cell>
          <cell r="EN818">
            <v>0</v>
          </cell>
          <cell r="EO818">
            <v>0</v>
          </cell>
          <cell r="EP818">
            <v>0</v>
          </cell>
          <cell r="EQ818">
            <v>0</v>
          </cell>
          <cell r="ER818">
            <v>0</v>
          </cell>
          <cell r="ES818">
            <v>0</v>
          </cell>
          <cell r="ET818">
            <v>0</v>
          </cell>
          <cell r="EU818">
            <v>0</v>
          </cell>
          <cell r="EV818">
            <v>0</v>
          </cell>
          <cell r="EW818">
            <v>0</v>
          </cell>
          <cell r="EY818">
            <v>0</v>
          </cell>
          <cell r="EZ818">
            <v>8</v>
          </cell>
          <cell r="FA818">
            <v>0</v>
          </cell>
          <cell r="FB818">
            <v>0</v>
          </cell>
          <cell r="FC818">
            <v>8.6</v>
          </cell>
          <cell r="FD818">
            <v>0</v>
          </cell>
          <cell r="FE818">
            <v>0</v>
          </cell>
          <cell r="FF818">
            <v>0</v>
          </cell>
          <cell r="FH818">
            <v>0</v>
          </cell>
        </row>
        <row r="819">
          <cell r="B819">
            <v>9954</v>
          </cell>
          <cell r="C819" t="str">
            <v>06.09.2012</v>
          </cell>
          <cell r="D819" t="str">
            <v>Jadhav Kunal Vinayak</v>
          </cell>
          <cell r="F819">
            <v>0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>
            <v>0</v>
          </cell>
          <cell r="S819">
            <v>0</v>
          </cell>
          <cell r="T819">
            <v>0</v>
          </cell>
          <cell r="U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0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0</v>
          </cell>
          <cell r="AK819">
            <v>0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BA819">
            <v>0</v>
          </cell>
          <cell r="BB819">
            <v>0</v>
          </cell>
          <cell r="BC819">
            <v>0</v>
          </cell>
          <cell r="BD819">
            <v>0</v>
          </cell>
          <cell r="BE819">
            <v>0</v>
          </cell>
          <cell r="BF819">
            <v>0</v>
          </cell>
          <cell r="BG819">
            <v>0</v>
          </cell>
          <cell r="BH819">
            <v>0</v>
          </cell>
          <cell r="BI819">
            <v>0</v>
          </cell>
          <cell r="BK819">
            <v>0</v>
          </cell>
          <cell r="BL819">
            <v>0</v>
          </cell>
          <cell r="BM819">
            <v>0</v>
          </cell>
          <cell r="BN819">
            <v>0</v>
          </cell>
          <cell r="BO819">
            <v>0</v>
          </cell>
          <cell r="BP819">
            <v>0</v>
          </cell>
          <cell r="BQ819">
            <v>0</v>
          </cell>
          <cell r="BR819">
            <v>0</v>
          </cell>
          <cell r="BS819">
            <v>0</v>
          </cell>
          <cell r="BU819">
            <v>0</v>
          </cell>
          <cell r="BV819">
            <v>0</v>
          </cell>
          <cell r="BW819">
            <v>0</v>
          </cell>
          <cell r="BX819">
            <v>0</v>
          </cell>
          <cell r="BY819">
            <v>0</v>
          </cell>
          <cell r="BZ819">
            <v>0</v>
          </cell>
          <cell r="CA819">
            <v>0</v>
          </cell>
          <cell r="CB819">
            <v>0</v>
          </cell>
          <cell r="CC819">
            <v>0</v>
          </cell>
          <cell r="CE819">
            <v>0</v>
          </cell>
          <cell r="CF819">
            <v>0</v>
          </cell>
          <cell r="CG819">
            <v>0</v>
          </cell>
          <cell r="CH819">
            <v>0</v>
          </cell>
          <cell r="CI819">
            <v>0</v>
          </cell>
          <cell r="CJ819">
            <v>0</v>
          </cell>
          <cell r="CK819">
            <v>0</v>
          </cell>
          <cell r="CL819">
            <v>0</v>
          </cell>
          <cell r="CM819">
            <v>0</v>
          </cell>
          <cell r="CO819">
            <v>0</v>
          </cell>
          <cell r="CP819">
            <v>0</v>
          </cell>
          <cell r="CQ819">
            <v>0</v>
          </cell>
          <cell r="CR819">
            <v>0</v>
          </cell>
          <cell r="CS819">
            <v>0</v>
          </cell>
          <cell r="CT819">
            <v>0</v>
          </cell>
          <cell r="CU819">
            <v>0</v>
          </cell>
          <cell r="CV819">
            <v>0</v>
          </cell>
          <cell r="CW819">
            <v>0</v>
          </cell>
          <cell r="CY819">
            <v>0</v>
          </cell>
          <cell r="CZ819">
            <v>0</v>
          </cell>
          <cell r="DA819">
            <v>0</v>
          </cell>
          <cell r="DB819">
            <v>0</v>
          </cell>
          <cell r="DC819">
            <v>0</v>
          </cell>
          <cell r="DD819">
            <v>0</v>
          </cell>
          <cell r="DE819">
            <v>0</v>
          </cell>
          <cell r="DF819">
            <v>0</v>
          </cell>
          <cell r="DG819">
            <v>0</v>
          </cell>
          <cell r="DI819">
            <v>0</v>
          </cell>
          <cell r="DJ819">
            <v>0</v>
          </cell>
          <cell r="DK819">
            <v>0</v>
          </cell>
          <cell r="DL819">
            <v>0</v>
          </cell>
          <cell r="DM819">
            <v>0</v>
          </cell>
          <cell r="DN819">
            <v>0</v>
          </cell>
          <cell r="DO819">
            <v>0</v>
          </cell>
          <cell r="DP819">
            <v>0</v>
          </cell>
          <cell r="DQ819">
            <v>0</v>
          </cell>
          <cell r="DR819">
            <v>0</v>
          </cell>
          <cell r="DS819">
            <v>0</v>
          </cell>
          <cell r="DT819">
            <v>0</v>
          </cell>
          <cell r="DU819">
            <v>0</v>
          </cell>
          <cell r="DW819">
            <v>0</v>
          </cell>
          <cell r="DX819">
            <v>0</v>
          </cell>
          <cell r="DY819">
            <v>0</v>
          </cell>
          <cell r="DZ819">
            <v>0</v>
          </cell>
          <cell r="EA819">
            <v>0</v>
          </cell>
          <cell r="EB819">
            <v>0</v>
          </cell>
          <cell r="EC819">
            <v>0</v>
          </cell>
          <cell r="ED819">
            <v>0</v>
          </cell>
          <cell r="EE819">
            <v>0</v>
          </cell>
          <cell r="EF819">
            <v>0</v>
          </cell>
          <cell r="EG819">
            <v>0</v>
          </cell>
          <cell r="EH819">
            <v>0</v>
          </cell>
          <cell r="EI819">
            <v>0</v>
          </cell>
          <cell r="EK819">
            <v>0</v>
          </cell>
          <cell r="EL819">
            <v>0</v>
          </cell>
          <cell r="EM819">
            <v>0</v>
          </cell>
          <cell r="EN819">
            <v>0</v>
          </cell>
          <cell r="EO819">
            <v>0</v>
          </cell>
          <cell r="EP819">
            <v>0</v>
          </cell>
          <cell r="EQ819">
            <v>0</v>
          </cell>
          <cell r="ER819">
            <v>0</v>
          </cell>
          <cell r="ES819">
            <v>0</v>
          </cell>
          <cell r="ET819">
            <v>0</v>
          </cell>
          <cell r="EU819">
            <v>0</v>
          </cell>
          <cell r="EV819">
            <v>0</v>
          </cell>
          <cell r="EW819">
            <v>0</v>
          </cell>
          <cell r="EY819">
            <v>0</v>
          </cell>
          <cell r="EZ819">
            <v>8</v>
          </cell>
          <cell r="FA819">
            <v>0</v>
          </cell>
          <cell r="FB819">
            <v>0</v>
          </cell>
          <cell r="FC819">
            <v>8.6</v>
          </cell>
          <cell r="FD819">
            <v>0</v>
          </cell>
          <cell r="FE819">
            <v>0</v>
          </cell>
          <cell r="FF819">
            <v>0</v>
          </cell>
          <cell r="FH819">
            <v>0</v>
          </cell>
        </row>
        <row r="820">
          <cell r="B820">
            <v>9955</v>
          </cell>
          <cell r="C820" t="str">
            <v>06.09.2012</v>
          </cell>
          <cell r="D820" t="str">
            <v>Tupsundar Mohan Chhabu</v>
          </cell>
          <cell r="F820">
            <v>0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BA820">
            <v>0</v>
          </cell>
          <cell r="BB820">
            <v>0</v>
          </cell>
          <cell r="BC820">
            <v>0</v>
          </cell>
          <cell r="BD820">
            <v>0</v>
          </cell>
          <cell r="BE820">
            <v>0</v>
          </cell>
          <cell r="BF820">
            <v>0</v>
          </cell>
          <cell r="BG820">
            <v>0</v>
          </cell>
          <cell r="BH820">
            <v>0</v>
          </cell>
          <cell r="BI820">
            <v>0</v>
          </cell>
          <cell r="BK820">
            <v>0</v>
          </cell>
          <cell r="BL820">
            <v>0</v>
          </cell>
          <cell r="BM820">
            <v>0</v>
          </cell>
          <cell r="BN820">
            <v>0</v>
          </cell>
          <cell r="BO820">
            <v>0</v>
          </cell>
          <cell r="BP820">
            <v>0</v>
          </cell>
          <cell r="BQ820">
            <v>0</v>
          </cell>
          <cell r="BR820">
            <v>0</v>
          </cell>
          <cell r="BS820">
            <v>0</v>
          </cell>
          <cell r="BU820">
            <v>0</v>
          </cell>
          <cell r="BV820">
            <v>0</v>
          </cell>
          <cell r="BW820">
            <v>0</v>
          </cell>
          <cell r="BX820">
            <v>0</v>
          </cell>
          <cell r="BY820">
            <v>0</v>
          </cell>
          <cell r="BZ820">
            <v>0</v>
          </cell>
          <cell r="CA820">
            <v>0</v>
          </cell>
          <cell r="CB820">
            <v>0</v>
          </cell>
          <cell r="CC820">
            <v>0</v>
          </cell>
          <cell r="CE820">
            <v>0</v>
          </cell>
          <cell r="CF820">
            <v>0</v>
          </cell>
          <cell r="CG820">
            <v>0</v>
          </cell>
          <cell r="CH820">
            <v>0</v>
          </cell>
          <cell r="CI820">
            <v>0</v>
          </cell>
          <cell r="CJ820">
            <v>0</v>
          </cell>
          <cell r="CK820">
            <v>0</v>
          </cell>
          <cell r="CL820">
            <v>0</v>
          </cell>
          <cell r="CM820">
            <v>0</v>
          </cell>
          <cell r="CO820">
            <v>0</v>
          </cell>
          <cell r="CP820">
            <v>0</v>
          </cell>
          <cell r="CQ820">
            <v>0</v>
          </cell>
          <cell r="CR820">
            <v>0</v>
          </cell>
          <cell r="CS820">
            <v>0</v>
          </cell>
          <cell r="CT820">
            <v>0</v>
          </cell>
          <cell r="CU820">
            <v>0</v>
          </cell>
          <cell r="CV820">
            <v>0</v>
          </cell>
          <cell r="CW820">
            <v>0</v>
          </cell>
          <cell r="CY820">
            <v>0</v>
          </cell>
          <cell r="CZ820">
            <v>0</v>
          </cell>
          <cell r="DA820">
            <v>0</v>
          </cell>
          <cell r="DB820">
            <v>0</v>
          </cell>
          <cell r="DC820">
            <v>0</v>
          </cell>
          <cell r="DD820">
            <v>0</v>
          </cell>
          <cell r="DE820">
            <v>0</v>
          </cell>
          <cell r="DF820">
            <v>0</v>
          </cell>
          <cell r="DG820">
            <v>0</v>
          </cell>
          <cell r="DI820">
            <v>0</v>
          </cell>
          <cell r="DJ820">
            <v>0</v>
          </cell>
          <cell r="DK820">
            <v>0</v>
          </cell>
          <cell r="DL820">
            <v>0</v>
          </cell>
          <cell r="DM820">
            <v>0</v>
          </cell>
          <cell r="DN820">
            <v>0</v>
          </cell>
          <cell r="DO820">
            <v>0</v>
          </cell>
          <cell r="DP820">
            <v>0</v>
          </cell>
          <cell r="DQ820">
            <v>0</v>
          </cell>
          <cell r="DR820">
            <v>0</v>
          </cell>
          <cell r="DS820">
            <v>0</v>
          </cell>
          <cell r="DT820">
            <v>0</v>
          </cell>
          <cell r="DU820">
            <v>0</v>
          </cell>
          <cell r="DW820">
            <v>0</v>
          </cell>
          <cell r="DX820">
            <v>0</v>
          </cell>
          <cell r="DY820">
            <v>0</v>
          </cell>
          <cell r="DZ820">
            <v>0</v>
          </cell>
          <cell r="EA820">
            <v>0</v>
          </cell>
          <cell r="EB820">
            <v>0</v>
          </cell>
          <cell r="EC820">
            <v>0</v>
          </cell>
          <cell r="ED820">
            <v>0</v>
          </cell>
          <cell r="EE820">
            <v>0</v>
          </cell>
          <cell r="EF820">
            <v>0</v>
          </cell>
          <cell r="EG820">
            <v>0</v>
          </cell>
          <cell r="EH820">
            <v>0</v>
          </cell>
          <cell r="EI820">
            <v>0</v>
          </cell>
          <cell r="EK820">
            <v>0</v>
          </cell>
          <cell r="EL820">
            <v>0</v>
          </cell>
          <cell r="EM820">
            <v>0</v>
          </cell>
          <cell r="EN820">
            <v>0</v>
          </cell>
          <cell r="EO820">
            <v>0</v>
          </cell>
          <cell r="EP820">
            <v>0</v>
          </cell>
          <cell r="EQ820">
            <v>0</v>
          </cell>
          <cell r="ER820">
            <v>0</v>
          </cell>
          <cell r="ES820">
            <v>0</v>
          </cell>
          <cell r="ET820">
            <v>0</v>
          </cell>
          <cell r="EU820">
            <v>0</v>
          </cell>
          <cell r="EV820">
            <v>0</v>
          </cell>
          <cell r="EW820">
            <v>0</v>
          </cell>
          <cell r="EY820">
            <v>0</v>
          </cell>
          <cell r="EZ820">
            <v>8</v>
          </cell>
          <cell r="FA820">
            <v>0</v>
          </cell>
          <cell r="FB820">
            <v>0</v>
          </cell>
          <cell r="FC820">
            <v>8.6</v>
          </cell>
          <cell r="FD820">
            <v>0</v>
          </cell>
          <cell r="FE820">
            <v>0</v>
          </cell>
          <cell r="FF820">
            <v>0</v>
          </cell>
          <cell r="FH820">
            <v>0</v>
          </cell>
        </row>
        <row r="821">
          <cell r="B821">
            <v>9956</v>
          </cell>
          <cell r="C821" t="str">
            <v>06.09.2012</v>
          </cell>
          <cell r="D821" t="str">
            <v>Chandaliya Ajit Lalchand</v>
          </cell>
          <cell r="F821">
            <v>0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  <cell r="U821">
            <v>0</v>
          </cell>
          <cell r="W821">
            <v>0</v>
          </cell>
          <cell r="X821">
            <v>0</v>
          </cell>
          <cell r="Y821">
            <v>0</v>
          </cell>
          <cell r="Z821">
            <v>0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G821">
            <v>0</v>
          </cell>
          <cell r="AH821">
            <v>0</v>
          </cell>
          <cell r="AI821">
            <v>0</v>
          </cell>
          <cell r="AJ821">
            <v>0</v>
          </cell>
          <cell r="AK821">
            <v>0</v>
          </cell>
          <cell r="AL821">
            <v>0</v>
          </cell>
          <cell r="AM821">
            <v>0</v>
          </cell>
          <cell r="AN821">
            <v>0</v>
          </cell>
          <cell r="AO821">
            <v>0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  <cell r="AU821">
            <v>0</v>
          </cell>
          <cell r="AV821">
            <v>0</v>
          </cell>
          <cell r="AW821">
            <v>0</v>
          </cell>
          <cell r="AX821">
            <v>0</v>
          </cell>
          <cell r="AY821">
            <v>0</v>
          </cell>
          <cell r="BA821">
            <v>0</v>
          </cell>
          <cell r="BB821">
            <v>0</v>
          </cell>
          <cell r="BC821">
            <v>0</v>
          </cell>
          <cell r="BD821">
            <v>0</v>
          </cell>
          <cell r="BE821">
            <v>0</v>
          </cell>
          <cell r="BF821">
            <v>0</v>
          </cell>
          <cell r="BG821">
            <v>0</v>
          </cell>
          <cell r="BH821">
            <v>0</v>
          </cell>
          <cell r="BI821">
            <v>0</v>
          </cell>
          <cell r="BK821">
            <v>0</v>
          </cell>
          <cell r="BL821">
            <v>0</v>
          </cell>
          <cell r="BM821">
            <v>0</v>
          </cell>
          <cell r="BN821">
            <v>0</v>
          </cell>
          <cell r="BO821">
            <v>0</v>
          </cell>
          <cell r="BP821">
            <v>0</v>
          </cell>
          <cell r="BQ821">
            <v>0</v>
          </cell>
          <cell r="BR821">
            <v>0</v>
          </cell>
          <cell r="BS821">
            <v>0</v>
          </cell>
          <cell r="BU821">
            <v>0</v>
          </cell>
          <cell r="BV821">
            <v>0</v>
          </cell>
          <cell r="BW821">
            <v>0</v>
          </cell>
          <cell r="BX821">
            <v>0</v>
          </cell>
          <cell r="BY821">
            <v>0</v>
          </cell>
          <cell r="BZ821">
            <v>0</v>
          </cell>
          <cell r="CA821">
            <v>0</v>
          </cell>
          <cell r="CB821">
            <v>0</v>
          </cell>
          <cell r="CC821">
            <v>0</v>
          </cell>
          <cell r="CE821">
            <v>0</v>
          </cell>
          <cell r="CF821">
            <v>0</v>
          </cell>
          <cell r="CG821">
            <v>0</v>
          </cell>
          <cell r="CH821">
            <v>0</v>
          </cell>
          <cell r="CI821">
            <v>0</v>
          </cell>
          <cell r="CJ821">
            <v>0</v>
          </cell>
          <cell r="CK821">
            <v>0</v>
          </cell>
          <cell r="CL821">
            <v>0</v>
          </cell>
          <cell r="CM821">
            <v>0</v>
          </cell>
          <cell r="CO821">
            <v>0</v>
          </cell>
          <cell r="CP821">
            <v>0</v>
          </cell>
          <cell r="CQ821">
            <v>0</v>
          </cell>
          <cell r="CR821">
            <v>0</v>
          </cell>
          <cell r="CS821">
            <v>0</v>
          </cell>
          <cell r="CT821">
            <v>0</v>
          </cell>
          <cell r="CU821">
            <v>0</v>
          </cell>
          <cell r="CV821">
            <v>0</v>
          </cell>
          <cell r="CW821">
            <v>0</v>
          </cell>
          <cell r="CY821">
            <v>0</v>
          </cell>
          <cell r="CZ821">
            <v>0</v>
          </cell>
          <cell r="DA821">
            <v>0</v>
          </cell>
          <cell r="DB821">
            <v>0</v>
          </cell>
          <cell r="DC821">
            <v>0</v>
          </cell>
          <cell r="DD821">
            <v>0</v>
          </cell>
          <cell r="DE821">
            <v>0</v>
          </cell>
          <cell r="DF821">
            <v>0</v>
          </cell>
          <cell r="DG821">
            <v>0</v>
          </cell>
          <cell r="DI821">
            <v>0</v>
          </cell>
          <cell r="DJ821">
            <v>0</v>
          </cell>
          <cell r="DK821">
            <v>0</v>
          </cell>
          <cell r="DL821">
            <v>0</v>
          </cell>
          <cell r="DM821">
            <v>0</v>
          </cell>
          <cell r="DN821">
            <v>0</v>
          </cell>
          <cell r="DO821">
            <v>0</v>
          </cell>
          <cell r="DP821">
            <v>0</v>
          </cell>
          <cell r="DQ821">
            <v>0</v>
          </cell>
          <cell r="DR821">
            <v>0</v>
          </cell>
          <cell r="DS821">
            <v>0</v>
          </cell>
          <cell r="DT821">
            <v>0</v>
          </cell>
          <cell r="DU821">
            <v>0</v>
          </cell>
          <cell r="DW821">
            <v>0</v>
          </cell>
          <cell r="DX821">
            <v>0</v>
          </cell>
          <cell r="DY821">
            <v>0</v>
          </cell>
          <cell r="DZ821">
            <v>0</v>
          </cell>
          <cell r="EA821">
            <v>0</v>
          </cell>
          <cell r="EB821">
            <v>0</v>
          </cell>
          <cell r="EC821">
            <v>0</v>
          </cell>
          <cell r="ED821">
            <v>0</v>
          </cell>
          <cell r="EE821">
            <v>0</v>
          </cell>
          <cell r="EF821">
            <v>0</v>
          </cell>
          <cell r="EG821">
            <v>0</v>
          </cell>
          <cell r="EH821">
            <v>0</v>
          </cell>
          <cell r="EI821">
            <v>0</v>
          </cell>
          <cell r="EK821">
            <v>0</v>
          </cell>
          <cell r="EL821">
            <v>0</v>
          </cell>
          <cell r="EM821">
            <v>0</v>
          </cell>
          <cell r="EN821">
            <v>0</v>
          </cell>
          <cell r="EO821">
            <v>0</v>
          </cell>
          <cell r="EP821">
            <v>0</v>
          </cell>
          <cell r="EQ821">
            <v>0</v>
          </cell>
          <cell r="ER821">
            <v>0</v>
          </cell>
          <cell r="ES821">
            <v>0</v>
          </cell>
          <cell r="ET821">
            <v>0</v>
          </cell>
          <cell r="EU821">
            <v>0</v>
          </cell>
          <cell r="EV821">
            <v>0</v>
          </cell>
          <cell r="EW821">
            <v>0</v>
          </cell>
          <cell r="EY821">
            <v>0</v>
          </cell>
          <cell r="EZ821">
            <v>8</v>
          </cell>
          <cell r="FA821">
            <v>0</v>
          </cell>
          <cell r="FB821">
            <v>0</v>
          </cell>
          <cell r="FC821">
            <v>8.6</v>
          </cell>
          <cell r="FD821">
            <v>0</v>
          </cell>
          <cell r="FE821">
            <v>0</v>
          </cell>
          <cell r="FF821">
            <v>0</v>
          </cell>
          <cell r="FH821">
            <v>0</v>
          </cell>
        </row>
        <row r="822">
          <cell r="B822">
            <v>9957</v>
          </cell>
          <cell r="C822" t="str">
            <v>06.09.2012</v>
          </cell>
          <cell r="D822" t="str">
            <v>Salve Shrikant Shantaram</v>
          </cell>
          <cell r="F822">
            <v>0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G822">
            <v>0</v>
          </cell>
          <cell r="AH822">
            <v>0</v>
          </cell>
          <cell r="AI822">
            <v>0</v>
          </cell>
          <cell r="AJ822">
            <v>0</v>
          </cell>
          <cell r="AK822">
            <v>0</v>
          </cell>
          <cell r="AL822">
            <v>0</v>
          </cell>
          <cell r="AM822">
            <v>0</v>
          </cell>
          <cell r="AN822">
            <v>0</v>
          </cell>
          <cell r="AO822">
            <v>0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  <cell r="AU822">
            <v>0</v>
          </cell>
          <cell r="AV822">
            <v>0</v>
          </cell>
          <cell r="AW822">
            <v>0</v>
          </cell>
          <cell r="AX822">
            <v>0</v>
          </cell>
          <cell r="AY822">
            <v>0</v>
          </cell>
          <cell r="BA822">
            <v>0</v>
          </cell>
          <cell r="BB822">
            <v>0</v>
          </cell>
          <cell r="BC822">
            <v>0</v>
          </cell>
          <cell r="BD822">
            <v>0</v>
          </cell>
          <cell r="BE822">
            <v>0</v>
          </cell>
          <cell r="BF822">
            <v>0</v>
          </cell>
          <cell r="BG822">
            <v>0</v>
          </cell>
          <cell r="BH822">
            <v>0</v>
          </cell>
          <cell r="BI822">
            <v>0</v>
          </cell>
          <cell r="BK822">
            <v>0</v>
          </cell>
          <cell r="BL822">
            <v>0</v>
          </cell>
          <cell r="BM822">
            <v>0</v>
          </cell>
          <cell r="BN822">
            <v>0</v>
          </cell>
          <cell r="BO822">
            <v>0</v>
          </cell>
          <cell r="BP822">
            <v>0</v>
          </cell>
          <cell r="BQ822">
            <v>0</v>
          </cell>
          <cell r="BR822">
            <v>0</v>
          </cell>
          <cell r="BS822">
            <v>0</v>
          </cell>
          <cell r="BU822">
            <v>0</v>
          </cell>
          <cell r="BV822">
            <v>0</v>
          </cell>
          <cell r="BW822">
            <v>0</v>
          </cell>
          <cell r="BX822">
            <v>0</v>
          </cell>
          <cell r="BY822">
            <v>0</v>
          </cell>
          <cell r="BZ822">
            <v>0</v>
          </cell>
          <cell r="CA822">
            <v>0</v>
          </cell>
          <cell r="CB822">
            <v>0</v>
          </cell>
          <cell r="CC822">
            <v>0</v>
          </cell>
          <cell r="CE822">
            <v>0</v>
          </cell>
          <cell r="CF822">
            <v>0</v>
          </cell>
          <cell r="CG822">
            <v>0</v>
          </cell>
          <cell r="CH822">
            <v>0</v>
          </cell>
          <cell r="CI822">
            <v>0</v>
          </cell>
          <cell r="CJ822">
            <v>0</v>
          </cell>
          <cell r="CK822">
            <v>0</v>
          </cell>
          <cell r="CL822">
            <v>0</v>
          </cell>
          <cell r="CM822">
            <v>0</v>
          </cell>
          <cell r="CO822">
            <v>0</v>
          </cell>
          <cell r="CP822">
            <v>0</v>
          </cell>
          <cell r="CQ822">
            <v>0</v>
          </cell>
          <cell r="CR822">
            <v>0</v>
          </cell>
          <cell r="CS822">
            <v>0</v>
          </cell>
          <cell r="CT822">
            <v>0</v>
          </cell>
          <cell r="CU822">
            <v>0</v>
          </cell>
          <cell r="CV822">
            <v>0</v>
          </cell>
          <cell r="CW822">
            <v>0</v>
          </cell>
          <cell r="CY822">
            <v>0</v>
          </cell>
          <cell r="CZ822">
            <v>0</v>
          </cell>
          <cell r="DA822">
            <v>0</v>
          </cell>
          <cell r="DB822">
            <v>0</v>
          </cell>
          <cell r="DC822">
            <v>0</v>
          </cell>
          <cell r="DD822">
            <v>0</v>
          </cell>
          <cell r="DE822">
            <v>0</v>
          </cell>
          <cell r="DF822">
            <v>0</v>
          </cell>
          <cell r="DG822">
            <v>0</v>
          </cell>
          <cell r="DI822">
            <v>0</v>
          </cell>
          <cell r="DJ822">
            <v>0</v>
          </cell>
          <cell r="DK822">
            <v>0</v>
          </cell>
          <cell r="DL822">
            <v>0</v>
          </cell>
          <cell r="DM822">
            <v>0</v>
          </cell>
          <cell r="DN822">
            <v>0</v>
          </cell>
          <cell r="DO822">
            <v>0</v>
          </cell>
          <cell r="DP822">
            <v>0</v>
          </cell>
          <cell r="DQ822">
            <v>0</v>
          </cell>
          <cell r="DR822">
            <v>0</v>
          </cell>
          <cell r="DS822">
            <v>0</v>
          </cell>
          <cell r="DT822">
            <v>0</v>
          </cell>
          <cell r="DU822">
            <v>0</v>
          </cell>
          <cell r="DW822">
            <v>0</v>
          </cell>
          <cell r="DX822">
            <v>0</v>
          </cell>
          <cell r="DY822">
            <v>0</v>
          </cell>
          <cell r="DZ822">
            <v>0</v>
          </cell>
          <cell r="EA822">
            <v>0</v>
          </cell>
          <cell r="EB822">
            <v>0</v>
          </cell>
          <cell r="EC822">
            <v>0</v>
          </cell>
          <cell r="ED822">
            <v>0</v>
          </cell>
          <cell r="EE822">
            <v>0</v>
          </cell>
          <cell r="EF822">
            <v>0</v>
          </cell>
          <cell r="EG822">
            <v>0</v>
          </cell>
          <cell r="EH822">
            <v>0</v>
          </cell>
          <cell r="EI822">
            <v>0</v>
          </cell>
          <cell r="EK822">
            <v>0</v>
          </cell>
          <cell r="EL822">
            <v>0</v>
          </cell>
          <cell r="EM822">
            <v>0</v>
          </cell>
          <cell r="EN822">
            <v>0</v>
          </cell>
          <cell r="EO822">
            <v>0</v>
          </cell>
          <cell r="EP822">
            <v>0</v>
          </cell>
          <cell r="EQ822">
            <v>0</v>
          </cell>
          <cell r="ER822">
            <v>0</v>
          </cell>
          <cell r="ES822">
            <v>0</v>
          </cell>
          <cell r="ET822">
            <v>0</v>
          </cell>
          <cell r="EU822">
            <v>0</v>
          </cell>
          <cell r="EV822">
            <v>0</v>
          </cell>
          <cell r="EW822">
            <v>0</v>
          </cell>
          <cell r="EY822">
            <v>0</v>
          </cell>
          <cell r="EZ822">
            <v>8</v>
          </cell>
          <cell r="FA822">
            <v>0</v>
          </cell>
          <cell r="FB822">
            <v>0</v>
          </cell>
          <cell r="FC822">
            <v>8.6</v>
          </cell>
          <cell r="FD822">
            <v>0</v>
          </cell>
          <cell r="FE822">
            <v>0</v>
          </cell>
          <cell r="FF822">
            <v>0</v>
          </cell>
          <cell r="FH822">
            <v>0</v>
          </cell>
        </row>
        <row r="823">
          <cell r="B823">
            <v>9958</v>
          </cell>
          <cell r="C823" t="str">
            <v>06.09.2012</v>
          </cell>
          <cell r="D823" t="str">
            <v>Sonawane Shailesh Ashok</v>
          </cell>
          <cell r="F823">
            <v>0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G823">
            <v>0</v>
          </cell>
          <cell r="AH823">
            <v>0</v>
          </cell>
          <cell r="AI823">
            <v>0</v>
          </cell>
          <cell r="AJ823">
            <v>0</v>
          </cell>
          <cell r="AK823">
            <v>0</v>
          </cell>
          <cell r="AL823">
            <v>0</v>
          </cell>
          <cell r="AM823">
            <v>0</v>
          </cell>
          <cell r="AN823">
            <v>0</v>
          </cell>
          <cell r="AO823">
            <v>0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  <cell r="AU823">
            <v>0</v>
          </cell>
          <cell r="AV823">
            <v>0</v>
          </cell>
          <cell r="AW823">
            <v>0</v>
          </cell>
          <cell r="AX823">
            <v>0</v>
          </cell>
          <cell r="AY823">
            <v>0</v>
          </cell>
          <cell r="BA823">
            <v>0</v>
          </cell>
          <cell r="BB823">
            <v>0</v>
          </cell>
          <cell r="BC823">
            <v>0</v>
          </cell>
          <cell r="BD823">
            <v>0</v>
          </cell>
          <cell r="BE823">
            <v>0</v>
          </cell>
          <cell r="BF823">
            <v>0</v>
          </cell>
          <cell r="BG823">
            <v>0</v>
          </cell>
          <cell r="BH823">
            <v>0</v>
          </cell>
          <cell r="BI823">
            <v>0</v>
          </cell>
          <cell r="BK823">
            <v>0</v>
          </cell>
          <cell r="BL823">
            <v>0</v>
          </cell>
          <cell r="BM823">
            <v>0</v>
          </cell>
          <cell r="BN823">
            <v>0</v>
          </cell>
          <cell r="BO823">
            <v>0</v>
          </cell>
          <cell r="BP823">
            <v>0</v>
          </cell>
          <cell r="BQ823">
            <v>0</v>
          </cell>
          <cell r="BR823">
            <v>0</v>
          </cell>
          <cell r="BS823">
            <v>0</v>
          </cell>
          <cell r="BU823">
            <v>0</v>
          </cell>
          <cell r="BV823">
            <v>0</v>
          </cell>
          <cell r="BW823">
            <v>0</v>
          </cell>
          <cell r="BX823">
            <v>0</v>
          </cell>
          <cell r="BY823">
            <v>0</v>
          </cell>
          <cell r="BZ823">
            <v>0</v>
          </cell>
          <cell r="CA823">
            <v>0</v>
          </cell>
          <cell r="CB823">
            <v>0</v>
          </cell>
          <cell r="CC823">
            <v>0</v>
          </cell>
          <cell r="CE823">
            <v>0</v>
          </cell>
          <cell r="CF823">
            <v>0</v>
          </cell>
          <cell r="CG823">
            <v>0</v>
          </cell>
          <cell r="CH823">
            <v>0</v>
          </cell>
          <cell r="CI823">
            <v>0</v>
          </cell>
          <cell r="CJ823">
            <v>0</v>
          </cell>
          <cell r="CK823">
            <v>0</v>
          </cell>
          <cell r="CL823">
            <v>0</v>
          </cell>
          <cell r="CM823">
            <v>0</v>
          </cell>
          <cell r="CO823">
            <v>0</v>
          </cell>
          <cell r="CP823">
            <v>0</v>
          </cell>
          <cell r="CQ823">
            <v>0</v>
          </cell>
          <cell r="CR823">
            <v>0</v>
          </cell>
          <cell r="CS823">
            <v>0</v>
          </cell>
          <cell r="CT823">
            <v>0</v>
          </cell>
          <cell r="CU823">
            <v>0</v>
          </cell>
          <cell r="CV823">
            <v>0</v>
          </cell>
          <cell r="CW823">
            <v>0</v>
          </cell>
          <cell r="CY823">
            <v>0</v>
          </cell>
          <cell r="CZ823">
            <v>0</v>
          </cell>
          <cell r="DA823">
            <v>0</v>
          </cell>
          <cell r="DB823">
            <v>0</v>
          </cell>
          <cell r="DC823">
            <v>0</v>
          </cell>
          <cell r="DD823">
            <v>0</v>
          </cell>
          <cell r="DE823">
            <v>0</v>
          </cell>
          <cell r="DF823">
            <v>0</v>
          </cell>
          <cell r="DG823">
            <v>0</v>
          </cell>
          <cell r="DI823">
            <v>0</v>
          </cell>
          <cell r="DJ823">
            <v>0</v>
          </cell>
          <cell r="DK823">
            <v>0</v>
          </cell>
          <cell r="DL823">
            <v>0</v>
          </cell>
          <cell r="DM823">
            <v>0</v>
          </cell>
          <cell r="DN823">
            <v>0</v>
          </cell>
          <cell r="DO823">
            <v>0</v>
          </cell>
          <cell r="DP823">
            <v>0</v>
          </cell>
          <cell r="DQ823">
            <v>0</v>
          </cell>
          <cell r="DR823">
            <v>0</v>
          </cell>
          <cell r="DS823">
            <v>0</v>
          </cell>
          <cell r="DT823">
            <v>0</v>
          </cell>
          <cell r="DU823">
            <v>0</v>
          </cell>
          <cell r="DW823">
            <v>0</v>
          </cell>
          <cell r="DX823">
            <v>0</v>
          </cell>
          <cell r="DY823">
            <v>0</v>
          </cell>
          <cell r="DZ823">
            <v>0</v>
          </cell>
          <cell r="EA823">
            <v>0</v>
          </cell>
          <cell r="EB823">
            <v>0</v>
          </cell>
          <cell r="EC823">
            <v>0</v>
          </cell>
          <cell r="ED823">
            <v>0</v>
          </cell>
          <cell r="EE823">
            <v>0</v>
          </cell>
          <cell r="EF823">
            <v>0</v>
          </cell>
          <cell r="EG823">
            <v>0</v>
          </cell>
          <cell r="EH823">
            <v>0</v>
          </cell>
          <cell r="EI823">
            <v>0</v>
          </cell>
          <cell r="EK823">
            <v>0</v>
          </cell>
          <cell r="EL823">
            <v>0</v>
          </cell>
          <cell r="EM823">
            <v>0</v>
          </cell>
          <cell r="EN823">
            <v>0</v>
          </cell>
          <cell r="EO823">
            <v>0</v>
          </cell>
          <cell r="EP823">
            <v>0</v>
          </cell>
          <cell r="EQ823">
            <v>0</v>
          </cell>
          <cell r="ER823">
            <v>0</v>
          </cell>
          <cell r="ES823">
            <v>0</v>
          </cell>
          <cell r="ET823">
            <v>0</v>
          </cell>
          <cell r="EU823">
            <v>0</v>
          </cell>
          <cell r="EV823">
            <v>0</v>
          </cell>
          <cell r="EW823">
            <v>0</v>
          </cell>
          <cell r="EY823">
            <v>0</v>
          </cell>
          <cell r="EZ823">
            <v>8</v>
          </cell>
          <cell r="FA823">
            <v>0</v>
          </cell>
          <cell r="FB823">
            <v>0</v>
          </cell>
          <cell r="FC823">
            <v>8.6</v>
          </cell>
          <cell r="FD823">
            <v>0</v>
          </cell>
          <cell r="FE823">
            <v>0</v>
          </cell>
          <cell r="FF823">
            <v>0</v>
          </cell>
          <cell r="FH823">
            <v>0</v>
          </cell>
        </row>
        <row r="824">
          <cell r="B824">
            <v>9720</v>
          </cell>
          <cell r="C824" t="str">
            <v>07.09.2012</v>
          </cell>
          <cell r="D824" t="str">
            <v>Kerure Chetana Tanaji</v>
          </cell>
          <cell r="F824">
            <v>0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G824">
            <v>0</v>
          </cell>
          <cell r="AH824">
            <v>0</v>
          </cell>
          <cell r="AI824">
            <v>0</v>
          </cell>
          <cell r="AJ824">
            <v>0</v>
          </cell>
          <cell r="AK824">
            <v>0</v>
          </cell>
          <cell r="AL824">
            <v>0</v>
          </cell>
          <cell r="AM824">
            <v>0</v>
          </cell>
          <cell r="AN824">
            <v>0</v>
          </cell>
          <cell r="AO824">
            <v>0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  <cell r="AU824">
            <v>0</v>
          </cell>
          <cell r="AV824">
            <v>0</v>
          </cell>
          <cell r="AW824">
            <v>0</v>
          </cell>
          <cell r="AX824">
            <v>0</v>
          </cell>
          <cell r="AY824">
            <v>0</v>
          </cell>
          <cell r="BA824">
            <v>0</v>
          </cell>
          <cell r="BB824">
            <v>0</v>
          </cell>
          <cell r="BC824">
            <v>0</v>
          </cell>
          <cell r="BD824">
            <v>0</v>
          </cell>
          <cell r="BE824">
            <v>0</v>
          </cell>
          <cell r="BF824">
            <v>0</v>
          </cell>
          <cell r="BG824">
            <v>0</v>
          </cell>
          <cell r="BH824">
            <v>0</v>
          </cell>
          <cell r="BI824">
            <v>0</v>
          </cell>
          <cell r="BK824">
            <v>0</v>
          </cell>
          <cell r="BL824">
            <v>0</v>
          </cell>
          <cell r="BM824">
            <v>0</v>
          </cell>
          <cell r="BN824">
            <v>0</v>
          </cell>
          <cell r="BO824">
            <v>0</v>
          </cell>
          <cell r="BP824">
            <v>0</v>
          </cell>
          <cell r="BQ824">
            <v>0</v>
          </cell>
          <cell r="BR824">
            <v>0</v>
          </cell>
          <cell r="BS824">
            <v>0</v>
          </cell>
          <cell r="BU824">
            <v>0</v>
          </cell>
          <cell r="BV824">
            <v>0</v>
          </cell>
          <cell r="BW824">
            <v>0</v>
          </cell>
          <cell r="BX824">
            <v>0</v>
          </cell>
          <cell r="BY824">
            <v>0</v>
          </cell>
          <cell r="BZ824">
            <v>0</v>
          </cell>
          <cell r="CA824">
            <v>0</v>
          </cell>
          <cell r="CB824">
            <v>0</v>
          </cell>
          <cell r="CC824">
            <v>0</v>
          </cell>
          <cell r="CE824">
            <v>0</v>
          </cell>
          <cell r="CF824">
            <v>0</v>
          </cell>
          <cell r="CG824">
            <v>0</v>
          </cell>
          <cell r="CH824">
            <v>0</v>
          </cell>
          <cell r="CI824">
            <v>0</v>
          </cell>
          <cell r="CJ824">
            <v>0</v>
          </cell>
          <cell r="CK824">
            <v>0</v>
          </cell>
          <cell r="CL824">
            <v>0</v>
          </cell>
          <cell r="CM824">
            <v>0</v>
          </cell>
          <cell r="CO824">
            <v>0</v>
          </cell>
          <cell r="CP824">
            <v>0</v>
          </cell>
          <cell r="CQ824">
            <v>0</v>
          </cell>
          <cell r="CR824">
            <v>0</v>
          </cell>
          <cell r="CS824">
            <v>0</v>
          </cell>
          <cell r="CT824">
            <v>0</v>
          </cell>
          <cell r="CU824">
            <v>0</v>
          </cell>
          <cell r="CV824">
            <v>0</v>
          </cell>
          <cell r="CW824">
            <v>0</v>
          </cell>
          <cell r="CY824">
            <v>0</v>
          </cell>
          <cell r="CZ824">
            <v>0</v>
          </cell>
          <cell r="DA824">
            <v>0</v>
          </cell>
          <cell r="DB824">
            <v>0</v>
          </cell>
          <cell r="DC824">
            <v>0</v>
          </cell>
          <cell r="DD824">
            <v>0</v>
          </cell>
          <cell r="DE824">
            <v>0</v>
          </cell>
          <cell r="DF824">
            <v>0</v>
          </cell>
          <cell r="DG824">
            <v>0</v>
          </cell>
          <cell r="DI824">
            <v>0</v>
          </cell>
          <cell r="DJ824">
            <v>0</v>
          </cell>
          <cell r="DK824">
            <v>0</v>
          </cell>
          <cell r="DL824">
            <v>0</v>
          </cell>
          <cell r="DM824">
            <v>0</v>
          </cell>
          <cell r="DN824">
            <v>0</v>
          </cell>
          <cell r="DO824">
            <v>0</v>
          </cell>
          <cell r="DP824">
            <v>0</v>
          </cell>
          <cell r="DQ824">
            <v>0</v>
          </cell>
          <cell r="DR824">
            <v>0</v>
          </cell>
          <cell r="DS824">
            <v>0</v>
          </cell>
          <cell r="DT824">
            <v>0</v>
          </cell>
          <cell r="DU824">
            <v>0</v>
          </cell>
          <cell r="DW824">
            <v>0</v>
          </cell>
          <cell r="DX824">
            <v>0</v>
          </cell>
          <cell r="DY824">
            <v>0</v>
          </cell>
          <cell r="DZ824">
            <v>0</v>
          </cell>
          <cell r="EA824">
            <v>0</v>
          </cell>
          <cell r="EB824">
            <v>0</v>
          </cell>
          <cell r="EC824">
            <v>0</v>
          </cell>
          <cell r="ED824">
            <v>0</v>
          </cell>
          <cell r="EE824">
            <v>0</v>
          </cell>
          <cell r="EF824">
            <v>0</v>
          </cell>
          <cell r="EG824">
            <v>0</v>
          </cell>
          <cell r="EH824">
            <v>0</v>
          </cell>
          <cell r="EI824">
            <v>0</v>
          </cell>
          <cell r="EK824">
            <v>0</v>
          </cell>
          <cell r="EL824">
            <v>0</v>
          </cell>
          <cell r="EM824">
            <v>0</v>
          </cell>
          <cell r="EN824">
            <v>0</v>
          </cell>
          <cell r="EO824">
            <v>0</v>
          </cell>
          <cell r="EP824">
            <v>0</v>
          </cell>
          <cell r="EQ824">
            <v>0</v>
          </cell>
          <cell r="ER824">
            <v>0</v>
          </cell>
          <cell r="ES824">
            <v>0</v>
          </cell>
          <cell r="ET824">
            <v>0</v>
          </cell>
          <cell r="EU824">
            <v>0</v>
          </cell>
          <cell r="EV824">
            <v>0</v>
          </cell>
          <cell r="EW824">
            <v>0</v>
          </cell>
          <cell r="EY824">
            <v>0</v>
          </cell>
          <cell r="EZ824">
            <v>8</v>
          </cell>
          <cell r="FA824">
            <v>0</v>
          </cell>
          <cell r="FB824">
            <v>0</v>
          </cell>
          <cell r="FC824">
            <v>8.6</v>
          </cell>
          <cell r="FD824">
            <v>0</v>
          </cell>
          <cell r="FE824">
            <v>0</v>
          </cell>
          <cell r="FF824">
            <v>0</v>
          </cell>
          <cell r="FH824">
            <v>0</v>
          </cell>
        </row>
        <row r="825">
          <cell r="B825">
            <v>9959</v>
          </cell>
          <cell r="C825" t="str">
            <v>07.09.2012</v>
          </cell>
          <cell r="D825" t="str">
            <v>Tejale Prashant Uttam</v>
          </cell>
          <cell r="F825">
            <v>0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  <cell r="U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G825">
            <v>0</v>
          </cell>
          <cell r="AH825">
            <v>0</v>
          </cell>
          <cell r="AI825">
            <v>0</v>
          </cell>
          <cell r="AJ825">
            <v>0</v>
          </cell>
          <cell r="AK825">
            <v>0</v>
          </cell>
          <cell r="AL825">
            <v>0</v>
          </cell>
          <cell r="AM825">
            <v>0</v>
          </cell>
          <cell r="AN825">
            <v>0</v>
          </cell>
          <cell r="AO825">
            <v>0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  <cell r="AU825">
            <v>0</v>
          </cell>
          <cell r="AV825">
            <v>0</v>
          </cell>
          <cell r="AW825">
            <v>0</v>
          </cell>
          <cell r="AX825">
            <v>0</v>
          </cell>
          <cell r="AY825">
            <v>0</v>
          </cell>
          <cell r="BA825">
            <v>0</v>
          </cell>
          <cell r="BB825">
            <v>0</v>
          </cell>
          <cell r="BC825">
            <v>0</v>
          </cell>
          <cell r="BD825">
            <v>0</v>
          </cell>
          <cell r="BE825">
            <v>0</v>
          </cell>
          <cell r="BF825">
            <v>0</v>
          </cell>
          <cell r="BG825">
            <v>0</v>
          </cell>
          <cell r="BH825">
            <v>0</v>
          </cell>
          <cell r="BI825">
            <v>0</v>
          </cell>
          <cell r="BK825">
            <v>0</v>
          </cell>
          <cell r="BL825">
            <v>0</v>
          </cell>
          <cell r="BM825">
            <v>0</v>
          </cell>
          <cell r="BN825">
            <v>0</v>
          </cell>
          <cell r="BO825">
            <v>0</v>
          </cell>
          <cell r="BP825">
            <v>0</v>
          </cell>
          <cell r="BQ825">
            <v>0</v>
          </cell>
          <cell r="BR825">
            <v>0</v>
          </cell>
          <cell r="BS825">
            <v>0</v>
          </cell>
          <cell r="BU825">
            <v>0</v>
          </cell>
          <cell r="BV825">
            <v>0</v>
          </cell>
          <cell r="BW825">
            <v>0</v>
          </cell>
          <cell r="BX825">
            <v>0</v>
          </cell>
          <cell r="BY825">
            <v>0</v>
          </cell>
          <cell r="BZ825">
            <v>0</v>
          </cell>
          <cell r="CA825">
            <v>0</v>
          </cell>
          <cell r="CB825">
            <v>0</v>
          </cell>
          <cell r="CC825">
            <v>0</v>
          </cell>
          <cell r="CE825">
            <v>0</v>
          </cell>
          <cell r="CF825">
            <v>0</v>
          </cell>
          <cell r="CG825">
            <v>0</v>
          </cell>
          <cell r="CH825">
            <v>0</v>
          </cell>
          <cell r="CI825">
            <v>0</v>
          </cell>
          <cell r="CJ825">
            <v>0</v>
          </cell>
          <cell r="CK825">
            <v>0</v>
          </cell>
          <cell r="CL825">
            <v>0</v>
          </cell>
          <cell r="CM825">
            <v>0</v>
          </cell>
          <cell r="CO825">
            <v>0</v>
          </cell>
          <cell r="CP825">
            <v>0</v>
          </cell>
          <cell r="CQ825">
            <v>0</v>
          </cell>
          <cell r="CR825">
            <v>0</v>
          </cell>
          <cell r="CS825">
            <v>0</v>
          </cell>
          <cell r="CT825">
            <v>0</v>
          </cell>
          <cell r="CU825">
            <v>0</v>
          </cell>
          <cell r="CV825">
            <v>0</v>
          </cell>
          <cell r="CW825">
            <v>0</v>
          </cell>
          <cell r="CY825">
            <v>0</v>
          </cell>
          <cell r="CZ825">
            <v>0</v>
          </cell>
          <cell r="DA825">
            <v>0</v>
          </cell>
          <cell r="DB825">
            <v>0</v>
          </cell>
          <cell r="DC825">
            <v>0</v>
          </cell>
          <cell r="DD825">
            <v>0</v>
          </cell>
          <cell r="DE825">
            <v>0</v>
          </cell>
          <cell r="DF825">
            <v>0</v>
          </cell>
          <cell r="DG825">
            <v>0</v>
          </cell>
          <cell r="DI825">
            <v>0</v>
          </cell>
          <cell r="DJ825">
            <v>0</v>
          </cell>
          <cell r="DK825">
            <v>0</v>
          </cell>
          <cell r="DL825">
            <v>0</v>
          </cell>
          <cell r="DM825">
            <v>0</v>
          </cell>
          <cell r="DN825">
            <v>0</v>
          </cell>
          <cell r="DO825">
            <v>0</v>
          </cell>
          <cell r="DP825">
            <v>0</v>
          </cell>
          <cell r="DQ825">
            <v>0</v>
          </cell>
          <cell r="DR825">
            <v>0</v>
          </cell>
          <cell r="DS825">
            <v>0</v>
          </cell>
          <cell r="DT825">
            <v>0</v>
          </cell>
          <cell r="DU825">
            <v>0</v>
          </cell>
          <cell r="DW825">
            <v>0</v>
          </cell>
          <cell r="DX825">
            <v>0</v>
          </cell>
          <cell r="DY825">
            <v>0</v>
          </cell>
          <cell r="DZ825">
            <v>0</v>
          </cell>
          <cell r="EA825">
            <v>0</v>
          </cell>
          <cell r="EB825">
            <v>0</v>
          </cell>
          <cell r="EC825">
            <v>0</v>
          </cell>
          <cell r="ED825">
            <v>0</v>
          </cell>
          <cell r="EE825">
            <v>0</v>
          </cell>
          <cell r="EF825">
            <v>0</v>
          </cell>
          <cell r="EG825">
            <v>0</v>
          </cell>
          <cell r="EH825">
            <v>0</v>
          </cell>
          <cell r="EI825">
            <v>0</v>
          </cell>
          <cell r="EK825">
            <v>0</v>
          </cell>
          <cell r="EL825">
            <v>0</v>
          </cell>
          <cell r="EM825">
            <v>0</v>
          </cell>
          <cell r="EN825">
            <v>0</v>
          </cell>
          <cell r="EO825">
            <v>0</v>
          </cell>
          <cell r="EP825">
            <v>0</v>
          </cell>
          <cell r="EQ825">
            <v>0</v>
          </cell>
          <cell r="ER825">
            <v>0</v>
          </cell>
          <cell r="ES825">
            <v>0</v>
          </cell>
          <cell r="ET825">
            <v>0</v>
          </cell>
          <cell r="EU825">
            <v>0</v>
          </cell>
          <cell r="EV825">
            <v>0</v>
          </cell>
          <cell r="EW825">
            <v>0</v>
          </cell>
          <cell r="EY825">
            <v>0</v>
          </cell>
          <cell r="EZ825">
            <v>8</v>
          </cell>
          <cell r="FA825">
            <v>0</v>
          </cell>
          <cell r="FB825">
            <v>0</v>
          </cell>
          <cell r="FC825">
            <v>8.6</v>
          </cell>
          <cell r="FD825">
            <v>0</v>
          </cell>
          <cell r="FE825">
            <v>0</v>
          </cell>
          <cell r="FF825">
            <v>0</v>
          </cell>
          <cell r="FH825">
            <v>0</v>
          </cell>
        </row>
        <row r="826">
          <cell r="B826">
            <v>9960</v>
          </cell>
          <cell r="C826" t="str">
            <v>07.09.2012</v>
          </cell>
          <cell r="D826" t="str">
            <v>Galot Deepak Raju</v>
          </cell>
          <cell r="F826">
            <v>0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  <cell r="W826">
            <v>0</v>
          </cell>
          <cell r="X826">
            <v>0</v>
          </cell>
          <cell r="Y826">
            <v>0</v>
          </cell>
          <cell r="Z826">
            <v>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BA826">
            <v>0</v>
          </cell>
          <cell r="BB826">
            <v>0</v>
          </cell>
          <cell r="BC826">
            <v>0</v>
          </cell>
          <cell r="BD826">
            <v>0</v>
          </cell>
          <cell r="BE826">
            <v>0</v>
          </cell>
          <cell r="BF826">
            <v>0</v>
          </cell>
          <cell r="BG826">
            <v>0</v>
          </cell>
          <cell r="BH826">
            <v>0</v>
          </cell>
          <cell r="BI826">
            <v>0</v>
          </cell>
          <cell r="BK826">
            <v>0</v>
          </cell>
          <cell r="BL826">
            <v>0</v>
          </cell>
          <cell r="BM826">
            <v>0</v>
          </cell>
          <cell r="BN826">
            <v>0</v>
          </cell>
          <cell r="BO826">
            <v>0</v>
          </cell>
          <cell r="BP826">
            <v>0</v>
          </cell>
          <cell r="BQ826">
            <v>0</v>
          </cell>
          <cell r="BR826">
            <v>0</v>
          </cell>
          <cell r="BS826">
            <v>0</v>
          </cell>
          <cell r="BU826">
            <v>0</v>
          </cell>
          <cell r="BV826">
            <v>0</v>
          </cell>
          <cell r="BW826">
            <v>0</v>
          </cell>
          <cell r="BX826">
            <v>0</v>
          </cell>
          <cell r="BY826">
            <v>0</v>
          </cell>
          <cell r="BZ826">
            <v>0</v>
          </cell>
          <cell r="CA826">
            <v>0</v>
          </cell>
          <cell r="CB826">
            <v>0</v>
          </cell>
          <cell r="CC826">
            <v>0</v>
          </cell>
          <cell r="CE826">
            <v>0</v>
          </cell>
          <cell r="CF826">
            <v>0</v>
          </cell>
          <cell r="CG826">
            <v>0</v>
          </cell>
          <cell r="CH826">
            <v>0</v>
          </cell>
          <cell r="CI826">
            <v>0</v>
          </cell>
          <cell r="CJ826">
            <v>0</v>
          </cell>
          <cell r="CK826">
            <v>0</v>
          </cell>
          <cell r="CL826">
            <v>0</v>
          </cell>
          <cell r="CM826">
            <v>0</v>
          </cell>
          <cell r="CO826">
            <v>0</v>
          </cell>
          <cell r="CP826">
            <v>0</v>
          </cell>
          <cell r="CQ826">
            <v>0</v>
          </cell>
          <cell r="CR826">
            <v>0</v>
          </cell>
          <cell r="CS826">
            <v>0</v>
          </cell>
          <cell r="CT826">
            <v>0</v>
          </cell>
          <cell r="CU826">
            <v>0</v>
          </cell>
          <cell r="CV826">
            <v>0</v>
          </cell>
          <cell r="CW826">
            <v>0</v>
          </cell>
          <cell r="CY826">
            <v>0</v>
          </cell>
          <cell r="CZ826">
            <v>0</v>
          </cell>
          <cell r="DA826">
            <v>0</v>
          </cell>
          <cell r="DB826">
            <v>0</v>
          </cell>
          <cell r="DC826">
            <v>0</v>
          </cell>
          <cell r="DD826">
            <v>0</v>
          </cell>
          <cell r="DE826">
            <v>0</v>
          </cell>
          <cell r="DF826">
            <v>0</v>
          </cell>
          <cell r="DG826">
            <v>0</v>
          </cell>
          <cell r="DI826">
            <v>0</v>
          </cell>
          <cell r="DJ826">
            <v>0</v>
          </cell>
          <cell r="DK826">
            <v>0</v>
          </cell>
          <cell r="DL826">
            <v>0</v>
          </cell>
          <cell r="DM826">
            <v>0</v>
          </cell>
          <cell r="DN826">
            <v>0</v>
          </cell>
          <cell r="DO826">
            <v>0</v>
          </cell>
          <cell r="DP826">
            <v>0</v>
          </cell>
          <cell r="DQ826">
            <v>0</v>
          </cell>
          <cell r="DR826">
            <v>0</v>
          </cell>
          <cell r="DS826">
            <v>0</v>
          </cell>
          <cell r="DT826">
            <v>0</v>
          </cell>
          <cell r="DU826">
            <v>0</v>
          </cell>
          <cell r="DW826">
            <v>0</v>
          </cell>
          <cell r="DX826">
            <v>0</v>
          </cell>
          <cell r="DY826">
            <v>0</v>
          </cell>
          <cell r="DZ826">
            <v>0</v>
          </cell>
          <cell r="EA826">
            <v>0</v>
          </cell>
          <cell r="EB826">
            <v>0</v>
          </cell>
          <cell r="EC826">
            <v>0</v>
          </cell>
          <cell r="ED826">
            <v>0</v>
          </cell>
          <cell r="EE826">
            <v>0</v>
          </cell>
          <cell r="EF826">
            <v>0</v>
          </cell>
          <cell r="EG826">
            <v>0</v>
          </cell>
          <cell r="EH826">
            <v>0</v>
          </cell>
          <cell r="EI826">
            <v>0</v>
          </cell>
          <cell r="EK826">
            <v>0</v>
          </cell>
          <cell r="EL826">
            <v>0</v>
          </cell>
          <cell r="EM826">
            <v>0</v>
          </cell>
          <cell r="EN826">
            <v>0</v>
          </cell>
          <cell r="EO826">
            <v>0</v>
          </cell>
          <cell r="EP826">
            <v>0</v>
          </cell>
          <cell r="EQ826">
            <v>0</v>
          </cell>
          <cell r="ER826">
            <v>0</v>
          </cell>
          <cell r="ES826">
            <v>0</v>
          </cell>
          <cell r="ET826">
            <v>0</v>
          </cell>
          <cell r="EU826">
            <v>0</v>
          </cell>
          <cell r="EV826">
            <v>0</v>
          </cell>
          <cell r="EW826">
            <v>0</v>
          </cell>
          <cell r="EY826">
            <v>0</v>
          </cell>
          <cell r="EZ826">
            <v>8</v>
          </cell>
          <cell r="FA826">
            <v>0</v>
          </cell>
          <cell r="FB826">
            <v>0</v>
          </cell>
          <cell r="FC826">
            <v>8.6</v>
          </cell>
          <cell r="FD826">
            <v>0</v>
          </cell>
          <cell r="FE826">
            <v>0</v>
          </cell>
          <cell r="FF826">
            <v>0</v>
          </cell>
          <cell r="FH826">
            <v>0</v>
          </cell>
        </row>
        <row r="827">
          <cell r="B827">
            <v>10133</v>
          </cell>
          <cell r="C827" t="str">
            <v>07.09.2012</v>
          </cell>
          <cell r="D827" t="str">
            <v>Revar Anil Devidas</v>
          </cell>
          <cell r="F827">
            <v>0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  <cell r="U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0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BA827">
            <v>0</v>
          </cell>
          <cell r="BB827">
            <v>0</v>
          </cell>
          <cell r="BC827">
            <v>0</v>
          </cell>
          <cell r="BD827">
            <v>0</v>
          </cell>
          <cell r="BE827">
            <v>0</v>
          </cell>
          <cell r="BF827">
            <v>0</v>
          </cell>
          <cell r="BG827">
            <v>0</v>
          </cell>
          <cell r="BH827">
            <v>0</v>
          </cell>
          <cell r="BI827">
            <v>0</v>
          </cell>
          <cell r="BK827">
            <v>0</v>
          </cell>
          <cell r="BL827">
            <v>0</v>
          </cell>
          <cell r="BM827">
            <v>0</v>
          </cell>
          <cell r="BN827">
            <v>0</v>
          </cell>
          <cell r="BO827">
            <v>0</v>
          </cell>
          <cell r="BP827">
            <v>0</v>
          </cell>
          <cell r="BQ827">
            <v>0</v>
          </cell>
          <cell r="BR827">
            <v>0</v>
          </cell>
          <cell r="BS827">
            <v>0</v>
          </cell>
          <cell r="BU827">
            <v>0</v>
          </cell>
          <cell r="BV827">
            <v>0</v>
          </cell>
          <cell r="BW827">
            <v>0</v>
          </cell>
          <cell r="BX827">
            <v>0</v>
          </cell>
          <cell r="BY827">
            <v>0</v>
          </cell>
          <cell r="BZ827">
            <v>0</v>
          </cell>
          <cell r="CA827">
            <v>0</v>
          </cell>
          <cell r="CB827">
            <v>0</v>
          </cell>
          <cell r="CC827">
            <v>0</v>
          </cell>
          <cell r="CE827">
            <v>0</v>
          </cell>
          <cell r="CF827">
            <v>0</v>
          </cell>
          <cell r="CG827">
            <v>0</v>
          </cell>
          <cell r="CH827">
            <v>0</v>
          </cell>
          <cell r="CI827">
            <v>0</v>
          </cell>
          <cell r="CJ827">
            <v>0</v>
          </cell>
          <cell r="CK827">
            <v>0</v>
          </cell>
          <cell r="CL827">
            <v>0</v>
          </cell>
          <cell r="CM827">
            <v>0</v>
          </cell>
          <cell r="CO827">
            <v>0</v>
          </cell>
          <cell r="CP827">
            <v>0</v>
          </cell>
          <cell r="CQ827">
            <v>0</v>
          </cell>
          <cell r="CR827">
            <v>0</v>
          </cell>
          <cell r="CS827">
            <v>0</v>
          </cell>
          <cell r="CT827">
            <v>0</v>
          </cell>
          <cell r="CU827">
            <v>0</v>
          </cell>
          <cell r="CV827">
            <v>0</v>
          </cell>
          <cell r="CW827">
            <v>0</v>
          </cell>
          <cell r="CY827">
            <v>0</v>
          </cell>
          <cell r="CZ827">
            <v>0</v>
          </cell>
          <cell r="DA827">
            <v>0</v>
          </cell>
          <cell r="DB827">
            <v>0</v>
          </cell>
          <cell r="DC827">
            <v>0</v>
          </cell>
          <cell r="DD827">
            <v>0</v>
          </cell>
          <cell r="DE827">
            <v>0</v>
          </cell>
          <cell r="DF827">
            <v>0</v>
          </cell>
          <cell r="DG827">
            <v>0</v>
          </cell>
          <cell r="DI827">
            <v>0</v>
          </cell>
          <cell r="DJ827">
            <v>0</v>
          </cell>
          <cell r="DK827">
            <v>0</v>
          </cell>
          <cell r="DL827">
            <v>0</v>
          </cell>
          <cell r="DM827">
            <v>0</v>
          </cell>
          <cell r="DN827">
            <v>0</v>
          </cell>
          <cell r="DO827">
            <v>0</v>
          </cell>
          <cell r="DP827">
            <v>0</v>
          </cell>
          <cell r="DQ827">
            <v>0</v>
          </cell>
          <cell r="DR827">
            <v>0</v>
          </cell>
          <cell r="DS827">
            <v>0</v>
          </cell>
          <cell r="DT827">
            <v>0</v>
          </cell>
          <cell r="DU827">
            <v>0</v>
          </cell>
          <cell r="DW827">
            <v>0</v>
          </cell>
          <cell r="DX827">
            <v>0</v>
          </cell>
          <cell r="DY827">
            <v>0</v>
          </cell>
          <cell r="DZ827">
            <v>0</v>
          </cell>
          <cell r="EA827">
            <v>0</v>
          </cell>
          <cell r="EB827">
            <v>0</v>
          </cell>
          <cell r="EC827">
            <v>0</v>
          </cell>
          <cell r="ED827">
            <v>0</v>
          </cell>
          <cell r="EE827">
            <v>0</v>
          </cell>
          <cell r="EF827">
            <v>0</v>
          </cell>
          <cell r="EG827">
            <v>0</v>
          </cell>
          <cell r="EH827">
            <v>0</v>
          </cell>
          <cell r="EI827">
            <v>0</v>
          </cell>
          <cell r="EK827">
            <v>0</v>
          </cell>
          <cell r="EL827">
            <v>0</v>
          </cell>
          <cell r="EM827">
            <v>0</v>
          </cell>
          <cell r="EN827">
            <v>0</v>
          </cell>
          <cell r="EO827">
            <v>0</v>
          </cell>
          <cell r="EP827">
            <v>0</v>
          </cell>
          <cell r="EQ827">
            <v>0</v>
          </cell>
          <cell r="ER827">
            <v>0</v>
          </cell>
          <cell r="ES827">
            <v>0</v>
          </cell>
          <cell r="ET827">
            <v>0</v>
          </cell>
          <cell r="EU827">
            <v>0</v>
          </cell>
          <cell r="EV827">
            <v>0</v>
          </cell>
          <cell r="EW827">
            <v>0</v>
          </cell>
          <cell r="EY827">
            <v>0</v>
          </cell>
          <cell r="EZ827">
            <v>8</v>
          </cell>
          <cell r="FA827">
            <v>0</v>
          </cell>
          <cell r="FB827">
            <v>0</v>
          </cell>
          <cell r="FC827">
            <v>8.6</v>
          </cell>
          <cell r="FD827">
            <v>0</v>
          </cell>
          <cell r="FE827">
            <v>0</v>
          </cell>
          <cell r="FF827">
            <v>0</v>
          </cell>
          <cell r="FH827">
            <v>0</v>
          </cell>
        </row>
        <row r="828">
          <cell r="B828">
            <v>9961</v>
          </cell>
          <cell r="C828" t="str">
            <v>08.09.2012</v>
          </cell>
          <cell r="D828" t="str">
            <v>Khalse Yogesh Namdev</v>
          </cell>
          <cell r="F828">
            <v>0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0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BA828">
            <v>0</v>
          </cell>
          <cell r="BB828">
            <v>0</v>
          </cell>
          <cell r="BC828">
            <v>0</v>
          </cell>
          <cell r="BD828">
            <v>0</v>
          </cell>
          <cell r="BE828">
            <v>0</v>
          </cell>
          <cell r="BF828">
            <v>0</v>
          </cell>
          <cell r="BG828">
            <v>0</v>
          </cell>
          <cell r="BH828">
            <v>0</v>
          </cell>
          <cell r="BI828">
            <v>0</v>
          </cell>
          <cell r="BK828">
            <v>0</v>
          </cell>
          <cell r="BL828">
            <v>0</v>
          </cell>
          <cell r="BM828">
            <v>0</v>
          </cell>
          <cell r="BN828">
            <v>0</v>
          </cell>
          <cell r="BO828">
            <v>0</v>
          </cell>
          <cell r="BP828">
            <v>0</v>
          </cell>
          <cell r="BQ828">
            <v>0</v>
          </cell>
          <cell r="BR828">
            <v>0</v>
          </cell>
          <cell r="BS828">
            <v>0</v>
          </cell>
          <cell r="BU828">
            <v>0</v>
          </cell>
          <cell r="BV828">
            <v>0</v>
          </cell>
          <cell r="BW828">
            <v>0</v>
          </cell>
          <cell r="BX828">
            <v>0</v>
          </cell>
          <cell r="BY828">
            <v>0</v>
          </cell>
          <cell r="BZ828">
            <v>0</v>
          </cell>
          <cell r="CA828">
            <v>0</v>
          </cell>
          <cell r="CB828">
            <v>0</v>
          </cell>
          <cell r="CC828">
            <v>0</v>
          </cell>
          <cell r="CE828">
            <v>0</v>
          </cell>
          <cell r="CF828">
            <v>0</v>
          </cell>
          <cell r="CG828">
            <v>0</v>
          </cell>
          <cell r="CH828">
            <v>0</v>
          </cell>
          <cell r="CI828">
            <v>0</v>
          </cell>
          <cell r="CJ828">
            <v>0</v>
          </cell>
          <cell r="CK828">
            <v>0</v>
          </cell>
          <cell r="CL828">
            <v>0</v>
          </cell>
          <cell r="CM828">
            <v>0</v>
          </cell>
          <cell r="CO828">
            <v>0</v>
          </cell>
          <cell r="CP828">
            <v>0</v>
          </cell>
          <cell r="CQ828">
            <v>0</v>
          </cell>
          <cell r="CR828">
            <v>0</v>
          </cell>
          <cell r="CS828">
            <v>0</v>
          </cell>
          <cell r="CT828">
            <v>0</v>
          </cell>
          <cell r="CU828">
            <v>0</v>
          </cell>
          <cell r="CV828">
            <v>0</v>
          </cell>
          <cell r="CW828">
            <v>0</v>
          </cell>
          <cell r="CY828">
            <v>0</v>
          </cell>
          <cell r="CZ828">
            <v>0</v>
          </cell>
          <cell r="DA828">
            <v>0</v>
          </cell>
          <cell r="DB828">
            <v>0</v>
          </cell>
          <cell r="DC828">
            <v>0</v>
          </cell>
          <cell r="DD828">
            <v>0</v>
          </cell>
          <cell r="DE828">
            <v>0</v>
          </cell>
          <cell r="DF828">
            <v>0</v>
          </cell>
          <cell r="DG828">
            <v>0</v>
          </cell>
          <cell r="DI828">
            <v>0</v>
          </cell>
          <cell r="DJ828">
            <v>0</v>
          </cell>
          <cell r="DK828">
            <v>0</v>
          </cell>
          <cell r="DL828">
            <v>0</v>
          </cell>
          <cell r="DM828">
            <v>0</v>
          </cell>
          <cell r="DN828">
            <v>0</v>
          </cell>
          <cell r="DO828">
            <v>0</v>
          </cell>
          <cell r="DP828">
            <v>0</v>
          </cell>
          <cell r="DQ828">
            <v>0</v>
          </cell>
          <cell r="DR828">
            <v>0</v>
          </cell>
          <cell r="DS828">
            <v>0</v>
          </cell>
          <cell r="DT828">
            <v>0</v>
          </cell>
          <cell r="DU828">
            <v>0</v>
          </cell>
          <cell r="DW828">
            <v>0</v>
          </cell>
          <cell r="DX828">
            <v>0</v>
          </cell>
          <cell r="DY828">
            <v>0</v>
          </cell>
          <cell r="DZ828">
            <v>0</v>
          </cell>
          <cell r="EA828">
            <v>0</v>
          </cell>
          <cell r="EB828">
            <v>0</v>
          </cell>
          <cell r="EC828">
            <v>0</v>
          </cell>
          <cell r="ED828">
            <v>0</v>
          </cell>
          <cell r="EE828">
            <v>0</v>
          </cell>
          <cell r="EF828">
            <v>0</v>
          </cell>
          <cell r="EG828">
            <v>0</v>
          </cell>
          <cell r="EH828">
            <v>0</v>
          </cell>
          <cell r="EI828">
            <v>0</v>
          </cell>
          <cell r="EK828">
            <v>0</v>
          </cell>
          <cell r="EL828">
            <v>0</v>
          </cell>
          <cell r="EM828">
            <v>0</v>
          </cell>
          <cell r="EN828">
            <v>0</v>
          </cell>
          <cell r="EO828">
            <v>0</v>
          </cell>
          <cell r="EP828">
            <v>0</v>
          </cell>
          <cell r="EQ828">
            <v>0</v>
          </cell>
          <cell r="ER828">
            <v>0</v>
          </cell>
          <cell r="ES828">
            <v>0</v>
          </cell>
          <cell r="ET828">
            <v>0</v>
          </cell>
          <cell r="EU828">
            <v>0</v>
          </cell>
          <cell r="EV828">
            <v>0</v>
          </cell>
          <cell r="EW828">
            <v>0</v>
          </cell>
          <cell r="EY828">
            <v>0</v>
          </cell>
          <cell r="EZ828">
            <v>8</v>
          </cell>
          <cell r="FA828">
            <v>0</v>
          </cell>
          <cell r="FB828">
            <v>0</v>
          </cell>
          <cell r="FC828">
            <v>8.6</v>
          </cell>
          <cell r="FD828">
            <v>0</v>
          </cell>
          <cell r="FE828">
            <v>0</v>
          </cell>
          <cell r="FF828">
            <v>0</v>
          </cell>
          <cell r="FH828">
            <v>0</v>
          </cell>
        </row>
        <row r="829">
          <cell r="B829">
            <v>9962</v>
          </cell>
          <cell r="C829" t="str">
            <v>08.09.2012</v>
          </cell>
          <cell r="D829" t="str">
            <v>Revar Sagar Balu</v>
          </cell>
          <cell r="F829">
            <v>0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  <cell r="W829">
            <v>0</v>
          </cell>
          <cell r="X829">
            <v>0</v>
          </cell>
          <cell r="Y829">
            <v>0</v>
          </cell>
          <cell r="Z829">
            <v>0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BA829">
            <v>0</v>
          </cell>
          <cell r="BB829">
            <v>0</v>
          </cell>
          <cell r="BC829">
            <v>0</v>
          </cell>
          <cell r="BD829">
            <v>0</v>
          </cell>
          <cell r="BE829">
            <v>0</v>
          </cell>
          <cell r="BF829">
            <v>0</v>
          </cell>
          <cell r="BG829">
            <v>0</v>
          </cell>
          <cell r="BH829">
            <v>0</v>
          </cell>
          <cell r="BI829">
            <v>0</v>
          </cell>
          <cell r="BK829">
            <v>0</v>
          </cell>
          <cell r="BL829">
            <v>0</v>
          </cell>
          <cell r="BM829">
            <v>0</v>
          </cell>
          <cell r="BN829">
            <v>0</v>
          </cell>
          <cell r="BO829">
            <v>0</v>
          </cell>
          <cell r="BP829">
            <v>0</v>
          </cell>
          <cell r="BQ829">
            <v>0</v>
          </cell>
          <cell r="BR829">
            <v>0</v>
          </cell>
          <cell r="BS829">
            <v>0</v>
          </cell>
          <cell r="BU829">
            <v>0</v>
          </cell>
          <cell r="BV829">
            <v>0</v>
          </cell>
          <cell r="BW829">
            <v>0</v>
          </cell>
          <cell r="BX829">
            <v>0</v>
          </cell>
          <cell r="BY829">
            <v>0</v>
          </cell>
          <cell r="BZ829">
            <v>0</v>
          </cell>
          <cell r="CA829">
            <v>0</v>
          </cell>
          <cell r="CB829">
            <v>0</v>
          </cell>
          <cell r="CC829">
            <v>0</v>
          </cell>
          <cell r="CE829">
            <v>0</v>
          </cell>
          <cell r="CF829">
            <v>0</v>
          </cell>
          <cell r="CG829">
            <v>0</v>
          </cell>
          <cell r="CH829">
            <v>0</v>
          </cell>
          <cell r="CI829">
            <v>0</v>
          </cell>
          <cell r="CJ829">
            <v>0</v>
          </cell>
          <cell r="CK829">
            <v>0</v>
          </cell>
          <cell r="CL829">
            <v>0</v>
          </cell>
          <cell r="CM829">
            <v>0</v>
          </cell>
          <cell r="CO829">
            <v>0</v>
          </cell>
          <cell r="CP829">
            <v>0</v>
          </cell>
          <cell r="CQ829">
            <v>0</v>
          </cell>
          <cell r="CR829">
            <v>0</v>
          </cell>
          <cell r="CS829">
            <v>0</v>
          </cell>
          <cell r="CT829">
            <v>0</v>
          </cell>
          <cell r="CU829">
            <v>0</v>
          </cell>
          <cell r="CV829">
            <v>0</v>
          </cell>
          <cell r="CW829">
            <v>0</v>
          </cell>
          <cell r="CY829">
            <v>0</v>
          </cell>
          <cell r="CZ829">
            <v>0</v>
          </cell>
          <cell r="DA829">
            <v>0</v>
          </cell>
          <cell r="DB829">
            <v>0</v>
          </cell>
          <cell r="DC829">
            <v>0</v>
          </cell>
          <cell r="DD829">
            <v>0</v>
          </cell>
          <cell r="DE829">
            <v>0</v>
          </cell>
          <cell r="DF829">
            <v>0</v>
          </cell>
          <cell r="DG829">
            <v>0</v>
          </cell>
          <cell r="DI829">
            <v>0</v>
          </cell>
          <cell r="DJ829">
            <v>0</v>
          </cell>
          <cell r="DK829">
            <v>0</v>
          </cell>
          <cell r="DL829">
            <v>0</v>
          </cell>
          <cell r="DM829">
            <v>0</v>
          </cell>
          <cell r="DN829">
            <v>0</v>
          </cell>
          <cell r="DO829">
            <v>0</v>
          </cell>
          <cell r="DP829">
            <v>0</v>
          </cell>
          <cell r="DQ829">
            <v>0</v>
          </cell>
          <cell r="DR829">
            <v>0</v>
          </cell>
          <cell r="DS829">
            <v>0</v>
          </cell>
          <cell r="DT829">
            <v>0</v>
          </cell>
          <cell r="DU829">
            <v>0</v>
          </cell>
          <cell r="DW829">
            <v>0</v>
          </cell>
          <cell r="DX829">
            <v>0</v>
          </cell>
          <cell r="DY829">
            <v>0</v>
          </cell>
          <cell r="DZ829">
            <v>0</v>
          </cell>
          <cell r="EA829">
            <v>0</v>
          </cell>
          <cell r="EB829">
            <v>0</v>
          </cell>
          <cell r="EC829">
            <v>0</v>
          </cell>
          <cell r="ED829">
            <v>0</v>
          </cell>
          <cell r="EE829">
            <v>0</v>
          </cell>
          <cell r="EF829">
            <v>0</v>
          </cell>
          <cell r="EG829">
            <v>0</v>
          </cell>
          <cell r="EH829">
            <v>0</v>
          </cell>
          <cell r="EI829">
            <v>0</v>
          </cell>
          <cell r="EK829">
            <v>0</v>
          </cell>
          <cell r="EL829">
            <v>0</v>
          </cell>
          <cell r="EM829">
            <v>0</v>
          </cell>
          <cell r="EN829">
            <v>0</v>
          </cell>
          <cell r="EO829">
            <v>0</v>
          </cell>
          <cell r="EP829">
            <v>0</v>
          </cell>
          <cell r="EQ829">
            <v>0</v>
          </cell>
          <cell r="ER829">
            <v>0</v>
          </cell>
          <cell r="ES829">
            <v>0</v>
          </cell>
          <cell r="ET829">
            <v>0</v>
          </cell>
          <cell r="EU829">
            <v>0</v>
          </cell>
          <cell r="EV829">
            <v>0</v>
          </cell>
          <cell r="EW829">
            <v>0</v>
          </cell>
          <cell r="EY829">
            <v>0</v>
          </cell>
          <cell r="EZ829">
            <v>8</v>
          </cell>
          <cell r="FA829">
            <v>0</v>
          </cell>
          <cell r="FB829">
            <v>0</v>
          </cell>
          <cell r="FC829">
            <v>8.6</v>
          </cell>
          <cell r="FD829">
            <v>0</v>
          </cell>
          <cell r="FE829">
            <v>0</v>
          </cell>
          <cell r="FF829">
            <v>0</v>
          </cell>
          <cell r="FH829">
            <v>0</v>
          </cell>
        </row>
        <row r="830">
          <cell r="B830">
            <v>9963</v>
          </cell>
          <cell r="C830" t="str">
            <v>10.09.2012</v>
          </cell>
          <cell r="D830" t="str">
            <v>Deepak Rahul Rohidas</v>
          </cell>
          <cell r="F830">
            <v>0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  <cell r="W830">
            <v>0</v>
          </cell>
          <cell r="X830">
            <v>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BA830">
            <v>0</v>
          </cell>
          <cell r="BB830">
            <v>0</v>
          </cell>
          <cell r="BC830">
            <v>0</v>
          </cell>
          <cell r="BD830">
            <v>0</v>
          </cell>
          <cell r="BE830">
            <v>0</v>
          </cell>
          <cell r="BF830">
            <v>0</v>
          </cell>
          <cell r="BG830">
            <v>0</v>
          </cell>
          <cell r="BH830">
            <v>0</v>
          </cell>
          <cell r="BI830">
            <v>0</v>
          </cell>
          <cell r="BK830">
            <v>0</v>
          </cell>
          <cell r="BL830">
            <v>0</v>
          </cell>
          <cell r="BM830">
            <v>0</v>
          </cell>
          <cell r="BN830">
            <v>0</v>
          </cell>
          <cell r="BO830">
            <v>0</v>
          </cell>
          <cell r="BP830">
            <v>0</v>
          </cell>
          <cell r="BQ830">
            <v>0</v>
          </cell>
          <cell r="BR830">
            <v>0</v>
          </cell>
          <cell r="BS830">
            <v>0</v>
          </cell>
          <cell r="BU830">
            <v>0</v>
          </cell>
          <cell r="BV830">
            <v>0</v>
          </cell>
          <cell r="BW830">
            <v>0</v>
          </cell>
          <cell r="BX830">
            <v>0</v>
          </cell>
          <cell r="BY830">
            <v>0</v>
          </cell>
          <cell r="BZ830">
            <v>0</v>
          </cell>
          <cell r="CA830">
            <v>0</v>
          </cell>
          <cell r="CB830">
            <v>0</v>
          </cell>
          <cell r="CC830">
            <v>0</v>
          </cell>
          <cell r="CE830">
            <v>0</v>
          </cell>
          <cell r="CF830">
            <v>0</v>
          </cell>
          <cell r="CG830">
            <v>0</v>
          </cell>
          <cell r="CH830">
            <v>0</v>
          </cell>
          <cell r="CI830">
            <v>0</v>
          </cell>
          <cell r="CJ830">
            <v>0</v>
          </cell>
          <cell r="CK830">
            <v>0</v>
          </cell>
          <cell r="CL830">
            <v>0</v>
          </cell>
          <cell r="CM830">
            <v>0</v>
          </cell>
          <cell r="CO830">
            <v>0</v>
          </cell>
          <cell r="CP830">
            <v>0</v>
          </cell>
          <cell r="CQ830">
            <v>0</v>
          </cell>
          <cell r="CR830">
            <v>0</v>
          </cell>
          <cell r="CS830">
            <v>0</v>
          </cell>
          <cell r="CT830">
            <v>0</v>
          </cell>
          <cell r="CU830">
            <v>0</v>
          </cell>
          <cell r="CV830">
            <v>0</v>
          </cell>
          <cell r="CW830">
            <v>0</v>
          </cell>
          <cell r="CY830">
            <v>0</v>
          </cell>
          <cell r="CZ830">
            <v>0</v>
          </cell>
          <cell r="DA830">
            <v>0</v>
          </cell>
          <cell r="DB830">
            <v>0</v>
          </cell>
          <cell r="DC830">
            <v>0</v>
          </cell>
          <cell r="DD830">
            <v>0</v>
          </cell>
          <cell r="DE830">
            <v>0</v>
          </cell>
          <cell r="DF830">
            <v>0</v>
          </cell>
          <cell r="DG830">
            <v>0</v>
          </cell>
          <cell r="DI830">
            <v>0</v>
          </cell>
          <cell r="DJ830">
            <v>0</v>
          </cell>
          <cell r="DK830">
            <v>0</v>
          </cell>
          <cell r="DL830">
            <v>0</v>
          </cell>
          <cell r="DM830">
            <v>0</v>
          </cell>
          <cell r="DN830">
            <v>0</v>
          </cell>
          <cell r="DO830">
            <v>0</v>
          </cell>
          <cell r="DP830">
            <v>0</v>
          </cell>
          <cell r="DQ830">
            <v>0</v>
          </cell>
          <cell r="DR830">
            <v>0</v>
          </cell>
          <cell r="DS830">
            <v>0</v>
          </cell>
          <cell r="DT830">
            <v>0</v>
          </cell>
          <cell r="DU830">
            <v>0</v>
          </cell>
          <cell r="DW830">
            <v>0</v>
          </cell>
          <cell r="DX830">
            <v>0</v>
          </cell>
          <cell r="DY830">
            <v>0</v>
          </cell>
          <cell r="DZ830">
            <v>0</v>
          </cell>
          <cell r="EA830">
            <v>0</v>
          </cell>
          <cell r="EB830">
            <v>0</v>
          </cell>
          <cell r="EC830">
            <v>0</v>
          </cell>
          <cell r="ED830">
            <v>0</v>
          </cell>
          <cell r="EE830">
            <v>0</v>
          </cell>
          <cell r="EF830">
            <v>0</v>
          </cell>
          <cell r="EG830">
            <v>0</v>
          </cell>
          <cell r="EH830">
            <v>0</v>
          </cell>
          <cell r="EI830">
            <v>0</v>
          </cell>
          <cell r="EK830">
            <v>0</v>
          </cell>
          <cell r="EL830">
            <v>0</v>
          </cell>
          <cell r="EM830">
            <v>0</v>
          </cell>
          <cell r="EN830">
            <v>0</v>
          </cell>
          <cell r="EO830">
            <v>0</v>
          </cell>
          <cell r="EP830">
            <v>0</v>
          </cell>
          <cell r="EQ830">
            <v>0</v>
          </cell>
          <cell r="ER830">
            <v>0</v>
          </cell>
          <cell r="ES830">
            <v>0</v>
          </cell>
          <cell r="ET830">
            <v>0</v>
          </cell>
          <cell r="EU830">
            <v>0</v>
          </cell>
          <cell r="EV830">
            <v>0</v>
          </cell>
          <cell r="EW830">
            <v>0</v>
          </cell>
          <cell r="EY830">
            <v>0</v>
          </cell>
          <cell r="EZ830">
            <v>8</v>
          </cell>
          <cell r="FA830">
            <v>0</v>
          </cell>
          <cell r="FB830">
            <v>0</v>
          </cell>
          <cell r="FC830">
            <v>8.6</v>
          </cell>
          <cell r="FD830">
            <v>0</v>
          </cell>
          <cell r="FE830">
            <v>0</v>
          </cell>
          <cell r="FF830">
            <v>0</v>
          </cell>
          <cell r="FH830">
            <v>0</v>
          </cell>
        </row>
        <row r="831">
          <cell r="B831">
            <v>9964</v>
          </cell>
          <cell r="C831" t="str">
            <v>11.09.2012</v>
          </cell>
          <cell r="D831" t="str">
            <v>Kahane Suresh Balkrushna</v>
          </cell>
          <cell r="F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BA831">
            <v>0</v>
          </cell>
          <cell r="BB831">
            <v>0</v>
          </cell>
          <cell r="BC831">
            <v>0</v>
          </cell>
          <cell r="BD831">
            <v>0</v>
          </cell>
          <cell r="BE831">
            <v>0</v>
          </cell>
          <cell r="BF831">
            <v>0</v>
          </cell>
          <cell r="BG831">
            <v>0</v>
          </cell>
          <cell r="BH831">
            <v>0</v>
          </cell>
          <cell r="BI831">
            <v>0</v>
          </cell>
          <cell r="BK831">
            <v>0</v>
          </cell>
          <cell r="BL831">
            <v>0</v>
          </cell>
          <cell r="BM831">
            <v>0</v>
          </cell>
          <cell r="BN831">
            <v>0</v>
          </cell>
          <cell r="BO831">
            <v>0</v>
          </cell>
          <cell r="BP831">
            <v>0</v>
          </cell>
          <cell r="BQ831">
            <v>0</v>
          </cell>
          <cell r="BR831">
            <v>0</v>
          </cell>
          <cell r="BS831">
            <v>0</v>
          </cell>
          <cell r="BU831">
            <v>0</v>
          </cell>
          <cell r="BV831">
            <v>0</v>
          </cell>
          <cell r="BW831">
            <v>0</v>
          </cell>
          <cell r="BX831">
            <v>0</v>
          </cell>
          <cell r="BY831">
            <v>0</v>
          </cell>
          <cell r="BZ831">
            <v>0</v>
          </cell>
          <cell r="CA831">
            <v>0</v>
          </cell>
          <cell r="CB831">
            <v>0</v>
          </cell>
          <cell r="CC831">
            <v>0</v>
          </cell>
          <cell r="CE831">
            <v>0</v>
          </cell>
          <cell r="CF831">
            <v>0</v>
          </cell>
          <cell r="CG831">
            <v>0</v>
          </cell>
          <cell r="CH831">
            <v>0</v>
          </cell>
          <cell r="CI831">
            <v>0</v>
          </cell>
          <cell r="CJ831">
            <v>0</v>
          </cell>
          <cell r="CK831">
            <v>0</v>
          </cell>
          <cell r="CL831">
            <v>0</v>
          </cell>
          <cell r="CM831">
            <v>0</v>
          </cell>
          <cell r="CO831">
            <v>0</v>
          </cell>
          <cell r="CP831">
            <v>0</v>
          </cell>
          <cell r="CQ831">
            <v>0</v>
          </cell>
          <cell r="CR831">
            <v>0</v>
          </cell>
          <cell r="CS831">
            <v>0</v>
          </cell>
          <cell r="CT831">
            <v>0</v>
          </cell>
          <cell r="CU831">
            <v>0</v>
          </cell>
          <cell r="CV831">
            <v>0</v>
          </cell>
          <cell r="CW831">
            <v>0</v>
          </cell>
          <cell r="CY831">
            <v>0</v>
          </cell>
          <cell r="CZ831">
            <v>0</v>
          </cell>
          <cell r="DA831">
            <v>0</v>
          </cell>
          <cell r="DB831">
            <v>0</v>
          </cell>
          <cell r="DC831">
            <v>0</v>
          </cell>
          <cell r="DD831">
            <v>0</v>
          </cell>
          <cell r="DE831">
            <v>0</v>
          </cell>
          <cell r="DF831">
            <v>0</v>
          </cell>
          <cell r="DG831">
            <v>0</v>
          </cell>
          <cell r="DI831">
            <v>0</v>
          </cell>
          <cell r="DJ831">
            <v>0</v>
          </cell>
          <cell r="DK831">
            <v>0</v>
          </cell>
          <cell r="DL831">
            <v>0</v>
          </cell>
          <cell r="DM831">
            <v>0</v>
          </cell>
          <cell r="DN831">
            <v>0</v>
          </cell>
          <cell r="DO831">
            <v>0</v>
          </cell>
          <cell r="DP831">
            <v>0</v>
          </cell>
          <cell r="DQ831">
            <v>0</v>
          </cell>
          <cell r="DR831">
            <v>0</v>
          </cell>
          <cell r="DS831">
            <v>0</v>
          </cell>
          <cell r="DT831">
            <v>0</v>
          </cell>
          <cell r="DU831">
            <v>0</v>
          </cell>
          <cell r="DW831">
            <v>0</v>
          </cell>
          <cell r="DX831">
            <v>0</v>
          </cell>
          <cell r="DY831">
            <v>0</v>
          </cell>
          <cell r="DZ831">
            <v>0</v>
          </cell>
          <cell r="EA831">
            <v>0</v>
          </cell>
          <cell r="EB831">
            <v>0</v>
          </cell>
          <cell r="EC831">
            <v>0</v>
          </cell>
          <cell r="ED831">
            <v>0</v>
          </cell>
          <cell r="EE831">
            <v>0</v>
          </cell>
          <cell r="EF831">
            <v>0</v>
          </cell>
          <cell r="EG831">
            <v>0</v>
          </cell>
          <cell r="EH831">
            <v>0</v>
          </cell>
          <cell r="EI831">
            <v>0</v>
          </cell>
          <cell r="EK831">
            <v>0</v>
          </cell>
          <cell r="EL831">
            <v>0</v>
          </cell>
          <cell r="EM831">
            <v>0</v>
          </cell>
          <cell r="EN831">
            <v>0</v>
          </cell>
          <cell r="EO831">
            <v>0</v>
          </cell>
          <cell r="EP831">
            <v>0</v>
          </cell>
          <cell r="EQ831">
            <v>0</v>
          </cell>
          <cell r="ER831">
            <v>0</v>
          </cell>
          <cell r="ES831">
            <v>0</v>
          </cell>
          <cell r="ET831">
            <v>0</v>
          </cell>
          <cell r="EU831">
            <v>0</v>
          </cell>
          <cell r="EV831">
            <v>0</v>
          </cell>
          <cell r="EW831">
            <v>0</v>
          </cell>
          <cell r="EY831">
            <v>0</v>
          </cell>
          <cell r="EZ831">
            <v>8</v>
          </cell>
          <cell r="FA831">
            <v>0</v>
          </cell>
          <cell r="FB831">
            <v>0</v>
          </cell>
          <cell r="FC831">
            <v>8.6</v>
          </cell>
          <cell r="FD831">
            <v>0</v>
          </cell>
          <cell r="FE831">
            <v>0</v>
          </cell>
          <cell r="FF831">
            <v>0</v>
          </cell>
          <cell r="FH831">
            <v>0</v>
          </cell>
        </row>
        <row r="832">
          <cell r="B832">
            <v>9965</v>
          </cell>
          <cell r="C832" t="str">
            <v>18.09.2012</v>
          </cell>
          <cell r="D832" t="str">
            <v>Gophane Asha Govind</v>
          </cell>
          <cell r="F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BA832">
            <v>0</v>
          </cell>
          <cell r="BB832">
            <v>0</v>
          </cell>
          <cell r="BC832">
            <v>0</v>
          </cell>
          <cell r="BD832">
            <v>0</v>
          </cell>
          <cell r="BE832">
            <v>0</v>
          </cell>
          <cell r="BF832">
            <v>0</v>
          </cell>
          <cell r="BG832">
            <v>0</v>
          </cell>
          <cell r="BH832">
            <v>0</v>
          </cell>
          <cell r="BI832">
            <v>0</v>
          </cell>
          <cell r="BK832">
            <v>0</v>
          </cell>
          <cell r="BL832">
            <v>0</v>
          </cell>
          <cell r="BM832">
            <v>0</v>
          </cell>
          <cell r="BN832">
            <v>0</v>
          </cell>
          <cell r="BO832">
            <v>0</v>
          </cell>
          <cell r="BP832">
            <v>0</v>
          </cell>
          <cell r="BQ832">
            <v>0</v>
          </cell>
          <cell r="BR832">
            <v>0</v>
          </cell>
          <cell r="BS832">
            <v>0</v>
          </cell>
          <cell r="BU832">
            <v>0</v>
          </cell>
          <cell r="BV832">
            <v>0</v>
          </cell>
          <cell r="BW832">
            <v>0</v>
          </cell>
          <cell r="BX832">
            <v>0</v>
          </cell>
          <cell r="BY832">
            <v>0</v>
          </cell>
          <cell r="BZ832">
            <v>0</v>
          </cell>
          <cell r="CA832">
            <v>0</v>
          </cell>
          <cell r="CB832">
            <v>0</v>
          </cell>
          <cell r="CC832">
            <v>0</v>
          </cell>
          <cell r="CE832">
            <v>0</v>
          </cell>
          <cell r="CF832">
            <v>0</v>
          </cell>
          <cell r="CG832">
            <v>0</v>
          </cell>
          <cell r="CH832">
            <v>0</v>
          </cell>
          <cell r="CI832">
            <v>0</v>
          </cell>
          <cell r="CJ832">
            <v>0</v>
          </cell>
          <cell r="CK832">
            <v>0</v>
          </cell>
          <cell r="CL832">
            <v>0</v>
          </cell>
          <cell r="CM832">
            <v>0</v>
          </cell>
          <cell r="CO832">
            <v>0</v>
          </cell>
          <cell r="CP832">
            <v>0</v>
          </cell>
          <cell r="CQ832">
            <v>0</v>
          </cell>
          <cell r="CR832">
            <v>0</v>
          </cell>
          <cell r="CS832">
            <v>0</v>
          </cell>
          <cell r="CT832">
            <v>0</v>
          </cell>
          <cell r="CU832">
            <v>0</v>
          </cell>
          <cell r="CV832">
            <v>0</v>
          </cell>
          <cell r="CW832">
            <v>0</v>
          </cell>
          <cell r="CY832">
            <v>0</v>
          </cell>
          <cell r="CZ832">
            <v>0</v>
          </cell>
          <cell r="DA832">
            <v>0</v>
          </cell>
          <cell r="DB832">
            <v>0</v>
          </cell>
          <cell r="DC832">
            <v>0</v>
          </cell>
          <cell r="DD832">
            <v>0</v>
          </cell>
          <cell r="DE832">
            <v>0</v>
          </cell>
          <cell r="DF832">
            <v>0</v>
          </cell>
          <cell r="DG832">
            <v>0</v>
          </cell>
          <cell r="DI832">
            <v>0</v>
          </cell>
          <cell r="DJ832">
            <v>0</v>
          </cell>
          <cell r="DK832">
            <v>0</v>
          </cell>
          <cell r="DL832">
            <v>0</v>
          </cell>
          <cell r="DM832">
            <v>0</v>
          </cell>
          <cell r="DN832">
            <v>0</v>
          </cell>
          <cell r="DO832">
            <v>0</v>
          </cell>
          <cell r="DP832">
            <v>0</v>
          </cell>
          <cell r="DQ832">
            <v>0</v>
          </cell>
          <cell r="DR832">
            <v>0</v>
          </cell>
          <cell r="DS832">
            <v>0</v>
          </cell>
          <cell r="DT832">
            <v>0</v>
          </cell>
          <cell r="DU832">
            <v>0</v>
          </cell>
          <cell r="DW832">
            <v>0</v>
          </cell>
          <cell r="DX832">
            <v>0</v>
          </cell>
          <cell r="DY832">
            <v>0</v>
          </cell>
          <cell r="DZ832">
            <v>0</v>
          </cell>
          <cell r="EA832">
            <v>0</v>
          </cell>
          <cell r="EB832">
            <v>0</v>
          </cell>
          <cell r="EC832">
            <v>0</v>
          </cell>
          <cell r="ED832">
            <v>0</v>
          </cell>
          <cell r="EE832">
            <v>0</v>
          </cell>
          <cell r="EF832">
            <v>0</v>
          </cell>
          <cell r="EG832">
            <v>0</v>
          </cell>
          <cell r="EH832">
            <v>0</v>
          </cell>
          <cell r="EI832">
            <v>0</v>
          </cell>
          <cell r="EK832">
            <v>0</v>
          </cell>
          <cell r="EL832">
            <v>0</v>
          </cell>
          <cell r="EM832">
            <v>0</v>
          </cell>
          <cell r="EN832">
            <v>0</v>
          </cell>
          <cell r="EO832">
            <v>0</v>
          </cell>
          <cell r="EP832">
            <v>0</v>
          </cell>
          <cell r="EQ832">
            <v>0</v>
          </cell>
          <cell r="ER832">
            <v>0</v>
          </cell>
          <cell r="ES832">
            <v>0</v>
          </cell>
          <cell r="ET832">
            <v>0</v>
          </cell>
          <cell r="EU832">
            <v>0</v>
          </cell>
          <cell r="EV832">
            <v>0</v>
          </cell>
          <cell r="EW832">
            <v>0</v>
          </cell>
          <cell r="EY832">
            <v>0</v>
          </cell>
          <cell r="EZ832">
            <v>8</v>
          </cell>
          <cell r="FA832">
            <v>0</v>
          </cell>
          <cell r="FB832">
            <v>0</v>
          </cell>
          <cell r="FC832">
            <v>8.6</v>
          </cell>
          <cell r="FD832">
            <v>0</v>
          </cell>
          <cell r="FE832">
            <v>0</v>
          </cell>
          <cell r="FF832">
            <v>0</v>
          </cell>
          <cell r="FH832">
            <v>0</v>
          </cell>
        </row>
        <row r="833">
          <cell r="B833">
            <v>9966</v>
          </cell>
          <cell r="C833" t="str">
            <v>18.09.2012</v>
          </cell>
          <cell r="D833" t="str">
            <v>Gondhale Yogini Ratnakar</v>
          </cell>
          <cell r="F833">
            <v>0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W833">
            <v>0</v>
          </cell>
          <cell r="X833">
            <v>0</v>
          </cell>
          <cell r="Y833">
            <v>0</v>
          </cell>
          <cell r="Z833">
            <v>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BA833">
            <v>0</v>
          </cell>
          <cell r="BB833">
            <v>0</v>
          </cell>
          <cell r="BC833">
            <v>0</v>
          </cell>
          <cell r="BD833">
            <v>0</v>
          </cell>
          <cell r="BE833">
            <v>0</v>
          </cell>
          <cell r="BF833">
            <v>0</v>
          </cell>
          <cell r="BG833">
            <v>0</v>
          </cell>
          <cell r="BH833">
            <v>0</v>
          </cell>
          <cell r="BI833">
            <v>0</v>
          </cell>
          <cell r="BK833">
            <v>0</v>
          </cell>
          <cell r="BL833">
            <v>0</v>
          </cell>
          <cell r="BM833">
            <v>0</v>
          </cell>
          <cell r="BN833">
            <v>0</v>
          </cell>
          <cell r="BO833">
            <v>0</v>
          </cell>
          <cell r="BP833">
            <v>0</v>
          </cell>
          <cell r="BQ833">
            <v>0</v>
          </cell>
          <cell r="BR833">
            <v>0</v>
          </cell>
          <cell r="BS833">
            <v>0</v>
          </cell>
          <cell r="BU833">
            <v>0</v>
          </cell>
          <cell r="BV833">
            <v>0</v>
          </cell>
          <cell r="BW833">
            <v>0</v>
          </cell>
          <cell r="BX833">
            <v>0</v>
          </cell>
          <cell r="BY833">
            <v>0</v>
          </cell>
          <cell r="BZ833">
            <v>0</v>
          </cell>
          <cell r="CA833">
            <v>0</v>
          </cell>
          <cell r="CB833">
            <v>0</v>
          </cell>
          <cell r="CC833">
            <v>0</v>
          </cell>
          <cell r="CE833">
            <v>0</v>
          </cell>
          <cell r="CF833">
            <v>0</v>
          </cell>
          <cell r="CG833">
            <v>0</v>
          </cell>
          <cell r="CH833">
            <v>0</v>
          </cell>
          <cell r="CI833">
            <v>0</v>
          </cell>
          <cell r="CJ833">
            <v>0</v>
          </cell>
          <cell r="CK833">
            <v>0</v>
          </cell>
          <cell r="CL833">
            <v>0</v>
          </cell>
          <cell r="CM833">
            <v>0</v>
          </cell>
          <cell r="CO833">
            <v>0</v>
          </cell>
          <cell r="CP833">
            <v>0</v>
          </cell>
          <cell r="CQ833">
            <v>0</v>
          </cell>
          <cell r="CR833">
            <v>0</v>
          </cell>
          <cell r="CS833">
            <v>0</v>
          </cell>
          <cell r="CT833">
            <v>0</v>
          </cell>
          <cell r="CU833">
            <v>0</v>
          </cell>
          <cell r="CV833">
            <v>0</v>
          </cell>
          <cell r="CW833">
            <v>0</v>
          </cell>
          <cell r="CY833">
            <v>0</v>
          </cell>
          <cell r="CZ833">
            <v>0</v>
          </cell>
          <cell r="DA833">
            <v>0</v>
          </cell>
          <cell r="DB833">
            <v>0</v>
          </cell>
          <cell r="DC833">
            <v>0</v>
          </cell>
          <cell r="DD833">
            <v>0</v>
          </cell>
          <cell r="DE833">
            <v>0</v>
          </cell>
          <cell r="DF833">
            <v>0</v>
          </cell>
          <cell r="DG833">
            <v>0</v>
          </cell>
          <cell r="DI833">
            <v>0</v>
          </cell>
          <cell r="DJ833">
            <v>0</v>
          </cell>
          <cell r="DK833">
            <v>0</v>
          </cell>
          <cell r="DL833">
            <v>0</v>
          </cell>
          <cell r="DM833">
            <v>0</v>
          </cell>
          <cell r="DN833">
            <v>0</v>
          </cell>
          <cell r="DO833">
            <v>0</v>
          </cell>
          <cell r="DP833">
            <v>0</v>
          </cell>
          <cell r="DQ833">
            <v>0</v>
          </cell>
          <cell r="DR833">
            <v>0</v>
          </cell>
          <cell r="DS833">
            <v>0</v>
          </cell>
          <cell r="DT833">
            <v>0</v>
          </cell>
          <cell r="DU833">
            <v>0</v>
          </cell>
          <cell r="DW833">
            <v>0</v>
          </cell>
          <cell r="DX833">
            <v>0</v>
          </cell>
          <cell r="DY833">
            <v>0</v>
          </cell>
          <cell r="DZ833">
            <v>0</v>
          </cell>
          <cell r="EA833">
            <v>0</v>
          </cell>
          <cell r="EB833">
            <v>0</v>
          </cell>
          <cell r="EC833">
            <v>0</v>
          </cell>
          <cell r="ED833">
            <v>0</v>
          </cell>
          <cell r="EE833">
            <v>0</v>
          </cell>
          <cell r="EF833">
            <v>0</v>
          </cell>
          <cell r="EG833">
            <v>0</v>
          </cell>
          <cell r="EH833">
            <v>0</v>
          </cell>
          <cell r="EI833">
            <v>0</v>
          </cell>
          <cell r="EK833">
            <v>0</v>
          </cell>
          <cell r="EL833">
            <v>0</v>
          </cell>
          <cell r="EM833">
            <v>0</v>
          </cell>
          <cell r="EN833">
            <v>0</v>
          </cell>
          <cell r="EO833">
            <v>0</v>
          </cell>
          <cell r="EP833">
            <v>0</v>
          </cell>
          <cell r="EQ833">
            <v>0</v>
          </cell>
          <cell r="ER833">
            <v>0</v>
          </cell>
          <cell r="ES833">
            <v>0</v>
          </cell>
          <cell r="ET833">
            <v>0</v>
          </cell>
          <cell r="EU833">
            <v>0</v>
          </cell>
          <cell r="EV833">
            <v>0</v>
          </cell>
          <cell r="EW833">
            <v>0</v>
          </cell>
          <cell r="EY833">
            <v>0</v>
          </cell>
          <cell r="EZ833">
            <v>8</v>
          </cell>
          <cell r="FA833">
            <v>0</v>
          </cell>
          <cell r="FB833">
            <v>0</v>
          </cell>
          <cell r="FC833">
            <v>8.6</v>
          </cell>
          <cell r="FD833">
            <v>0</v>
          </cell>
          <cell r="FE833">
            <v>0</v>
          </cell>
          <cell r="FF833">
            <v>0</v>
          </cell>
          <cell r="FH833">
            <v>0</v>
          </cell>
        </row>
        <row r="834">
          <cell r="B834">
            <v>9967</v>
          </cell>
          <cell r="C834" t="str">
            <v>18.09.2012</v>
          </cell>
          <cell r="D834" t="str">
            <v>Pawar Sureka Shivram</v>
          </cell>
          <cell r="F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BA834">
            <v>0</v>
          </cell>
          <cell r="BB834">
            <v>0</v>
          </cell>
          <cell r="BC834">
            <v>0</v>
          </cell>
          <cell r="BD834">
            <v>0</v>
          </cell>
          <cell r="BE834">
            <v>0</v>
          </cell>
          <cell r="BF834">
            <v>0</v>
          </cell>
          <cell r="BG834">
            <v>0</v>
          </cell>
          <cell r="BH834">
            <v>0</v>
          </cell>
          <cell r="BI834">
            <v>0</v>
          </cell>
          <cell r="BK834">
            <v>0</v>
          </cell>
          <cell r="BL834">
            <v>0</v>
          </cell>
          <cell r="BM834">
            <v>0</v>
          </cell>
          <cell r="BN834">
            <v>0</v>
          </cell>
          <cell r="BO834">
            <v>0</v>
          </cell>
          <cell r="BP834">
            <v>0</v>
          </cell>
          <cell r="BQ834">
            <v>0</v>
          </cell>
          <cell r="BR834">
            <v>0</v>
          </cell>
          <cell r="BS834">
            <v>0</v>
          </cell>
          <cell r="BU834">
            <v>0</v>
          </cell>
          <cell r="BV834">
            <v>0</v>
          </cell>
          <cell r="BW834">
            <v>0</v>
          </cell>
          <cell r="BX834">
            <v>0</v>
          </cell>
          <cell r="BY834">
            <v>0</v>
          </cell>
          <cell r="BZ834">
            <v>0</v>
          </cell>
          <cell r="CA834">
            <v>0</v>
          </cell>
          <cell r="CB834">
            <v>0</v>
          </cell>
          <cell r="CC834">
            <v>0</v>
          </cell>
          <cell r="CE834">
            <v>0</v>
          </cell>
          <cell r="CF834">
            <v>0</v>
          </cell>
          <cell r="CG834">
            <v>0</v>
          </cell>
          <cell r="CH834">
            <v>0</v>
          </cell>
          <cell r="CI834">
            <v>0</v>
          </cell>
          <cell r="CJ834">
            <v>0</v>
          </cell>
          <cell r="CK834">
            <v>0</v>
          </cell>
          <cell r="CL834">
            <v>0</v>
          </cell>
          <cell r="CM834">
            <v>0</v>
          </cell>
          <cell r="CO834">
            <v>0</v>
          </cell>
          <cell r="CP834">
            <v>0</v>
          </cell>
          <cell r="CQ834">
            <v>0</v>
          </cell>
          <cell r="CR834">
            <v>0</v>
          </cell>
          <cell r="CS834">
            <v>0</v>
          </cell>
          <cell r="CT834">
            <v>0</v>
          </cell>
          <cell r="CU834">
            <v>0</v>
          </cell>
          <cell r="CV834">
            <v>0</v>
          </cell>
          <cell r="CW834">
            <v>0</v>
          </cell>
          <cell r="CY834">
            <v>0</v>
          </cell>
          <cell r="CZ834">
            <v>0</v>
          </cell>
          <cell r="DA834">
            <v>0</v>
          </cell>
          <cell r="DB834">
            <v>0</v>
          </cell>
          <cell r="DC834">
            <v>0</v>
          </cell>
          <cell r="DD834">
            <v>0</v>
          </cell>
          <cell r="DE834">
            <v>0</v>
          </cell>
          <cell r="DF834">
            <v>0</v>
          </cell>
          <cell r="DG834">
            <v>0</v>
          </cell>
          <cell r="DI834">
            <v>0</v>
          </cell>
          <cell r="DJ834">
            <v>0</v>
          </cell>
          <cell r="DK834">
            <v>0</v>
          </cell>
          <cell r="DL834">
            <v>0</v>
          </cell>
          <cell r="DM834">
            <v>0</v>
          </cell>
          <cell r="DN834">
            <v>0</v>
          </cell>
          <cell r="DO834">
            <v>0</v>
          </cell>
          <cell r="DP834">
            <v>0</v>
          </cell>
          <cell r="DQ834">
            <v>0</v>
          </cell>
          <cell r="DR834">
            <v>0</v>
          </cell>
          <cell r="DS834">
            <v>0</v>
          </cell>
          <cell r="DT834">
            <v>0</v>
          </cell>
          <cell r="DU834">
            <v>0</v>
          </cell>
          <cell r="DW834">
            <v>0</v>
          </cell>
          <cell r="DX834">
            <v>0</v>
          </cell>
          <cell r="DY834">
            <v>0</v>
          </cell>
          <cell r="DZ834">
            <v>0</v>
          </cell>
          <cell r="EA834">
            <v>0</v>
          </cell>
          <cell r="EB834">
            <v>0</v>
          </cell>
          <cell r="EC834">
            <v>0</v>
          </cell>
          <cell r="ED834">
            <v>0</v>
          </cell>
          <cell r="EE834">
            <v>0</v>
          </cell>
          <cell r="EF834">
            <v>0</v>
          </cell>
          <cell r="EG834">
            <v>0</v>
          </cell>
          <cell r="EH834">
            <v>0</v>
          </cell>
          <cell r="EI834">
            <v>0</v>
          </cell>
          <cell r="EK834">
            <v>0</v>
          </cell>
          <cell r="EL834">
            <v>0</v>
          </cell>
          <cell r="EM834">
            <v>0</v>
          </cell>
          <cell r="EN834">
            <v>0</v>
          </cell>
          <cell r="EO834">
            <v>0</v>
          </cell>
          <cell r="EP834">
            <v>0</v>
          </cell>
          <cell r="EQ834">
            <v>0</v>
          </cell>
          <cell r="ER834">
            <v>0</v>
          </cell>
          <cell r="ES834">
            <v>0</v>
          </cell>
          <cell r="ET834">
            <v>0</v>
          </cell>
          <cell r="EU834">
            <v>0</v>
          </cell>
          <cell r="EV834">
            <v>0</v>
          </cell>
          <cell r="EW834">
            <v>0</v>
          </cell>
          <cell r="EY834">
            <v>0</v>
          </cell>
          <cell r="EZ834">
            <v>8</v>
          </cell>
          <cell r="FA834">
            <v>0</v>
          </cell>
          <cell r="FB834">
            <v>0</v>
          </cell>
          <cell r="FC834">
            <v>8.6</v>
          </cell>
          <cell r="FD834">
            <v>0</v>
          </cell>
          <cell r="FE834">
            <v>0</v>
          </cell>
          <cell r="FF834">
            <v>0</v>
          </cell>
          <cell r="FH834">
            <v>0</v>
          </cell>
        </row>
        <row r="835">
          <cell r="B835">
            <v>9969</v>
          </cell>
          <cell r="C835" t="str">
            <v>20.09.2012</v>
          </cell>
          <cell r="D835" t="str">
            <v>Dighe Sunil Parvat</v>
          </cell>
          <cell r="F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BA835">
            <v>0</v>
          </cell>
          <cell r="BB835">
            <v>0</v>
          </cell>
          <cell r="BC835">
            <v>0</v>
          </cell>
          <cell r="BD835">
            <v>0</v>
          </cell>
          <cell r="BE835">
            <v>0</v>
          </cell>
          <cell r="BF835">
            <v>0</v>
          </cell>
          <cell r="BG835">
            <v>0</v>
          </cell>
          <cell r="BH835">
            <v>0</v>
          </cell>
          <cell r="BI835">
            <v>0</v>
          </cell>
          <cell r="BK835">
            <v>0</v>
          </cell>
          <cell r="BL835">
            <v>0</v>
          </cell>
          <cell r="BM835">
            <v>0</v>
          </cell>
          <cell r="BN835">
            <v>0</v>
          </cell>
          <cell r="BO835">
            <v>0</v>
          </cell>
          <cell r="BP835">
            <v>0</v>
          </cell>
          <cell r="BQ835">
            <v>0</v>
          </cell>
          <cell r="BR835">
            <v>0</v>
          </cell>
          <cell r="BS835">
            <v>0</v>
          </cell>
          <cell r="BU835">
            <v>0</v>
          </cell>
          <cell r="BV835">
            <v>0</v>
          </cell>
          <cell r="BW835">
            <v>0</v>
          </cell>
          <cell r="BX835">
            <v>0</v>
          </cell>
          <cell r="BY835">
            <v>0</v>
          </cell>
          <cell r="BZ835">
            <v>0</v>
          </cell>
          <cell r="CA835">
            <v>0</v>
          </cell>
          <cell r="CB835">
            <v>0</v>
          </cell>
          <cell r="CC835">
            <v>0</v>
          </cell>
          <cell r="CE835">
            <v>0</v>
          </cell>
          <cell r="CF835">
            <v>0</v>
          </cell>
          <cell r="CG835">
            <v>0</v>
          </cell>
          <cell r="CH835">
            <v>0</v>
          </cell>
          <cell r="CI835">
            <v>0</v>
          </cell>
          <cell r="CJ835">
            <v>0</v>
          </cell>
          <cell r="CK835">
            <v>0</v>
          </cell>
          <cell r="CL835">
            <v>0</v>
          </cell>
          <cell r="CM835">
            <v>0</v>
          </cell>
          <cell r="CO835">
            <v>0</v>
          </cell>
          <cell r="CP835">
            <v>0</v>
          </cell>
          <cell r="CQ835">
            <v>0</v>
          </cell>
          <cell r="CR835">
            <v>0</v>
          </cell>
          <cell r="CS835">
            <v>0</v>
          </cell>
          <cell r="CT835">
            <v>0</v>
          </cell>
          <cell r="CU835">
            <v>0</v>
          </cell>
          <cell r="CV835">
            <v>0</v>
          </cell>
          <cell r="CW835">
            <v>0</v>
          </cell>
          <cell r="CY835">
            <v>0</v>
          </cell>
          <cell r="CZ835">
            <v>0</v>
          </cell>
          <cell r="DA835">
            <v>0</v>
          </cell>
          <cell r="DB835">
            <v>0</v>
          </cell>
          <cell r="DC835">
            <v>0</v>
          </cell>
          <cell r="DD835">
            <v>0</v>
          </cell>
          <cell r="DE835">
            <v>0</v>
          </cell>
          <cell r="DF835">
            <v>0</v>
          </cell>
          <cell r="DG835">
            <v>0</v>
          </cell>
          <cell r="DI835">
            <v>0</v>
          </cell>
          <cell r="DJ835">
            <v>0</v>
          </cell>
          <cell r="DK835">
            <v>0</v>
          </cell>
          <cell r="DL835">
            <v>0</v>
          </cell>
          <cell r="DM835">
            <v>0</v>
          </cell>
          <cell r="DN835">
            <v>0</v>
          </cell>
          <cell r="DO835">
            <v>0</v>
          </cell>
          <cell r="DP835">
            <v>0</v>
          </cell>
          <cell r="DQ835">
            <v>0</v>
          </cell>
          <cell r="DR835">
            <v>0</v>
          </cell>
          <cell r="DS835">
            <v>0</v>
          </cell>
          <cell r="DT835">
            <v>0</v>
          </cell>
          <cell r="DU835">
            <v>0</v>
          </cell>
          <cell r="DW835">
            <v>0</v>
          </cell>
          <cell r="DX835">
            <v>0</v>
          </cell>
          <cell r="DY835">
            <v>0</v>
          </cell>
          <cell r="DZ835">
            <v>0</v>
          </cell>
          <cell r="EA835">
            <v>0</v>
          </cell>
          <cell r="EB835">
            <v>0</v>
          </cell>
          <cell r="EC835">
            <v>0</v>
          </cell>
          <cell r="ED835">
            <v>0</v>
          </cell>
          <cell r="EE835">
            <v>0</v>
          </cell>
          <cell r="EF835">
            <v>0</v>
          </cell>
          <cell r="EG835">
            <v>0</v>
          </cell>
          <cell r="EH835">
            <v>0</v>
          </cell>
          <cell r="EI835">
            <v>0</v>
          </cell>
          <cell r="EK835">
            <v>0</v>
          </cell>
          <cell r="EL835">
            <v>0</v>
          </cell>
          <cell r="EM835">
            <v>0</v>
          </cell>
          <cell r="EN835">
            <v>0</v>
          </cell>
          <cell r="EO835">
            <v>0</v>
          </cell>
          <cell r="EP835">
            <v>0</v>
          </cell>
          <cell r="EQ835">
            <v>0</v>
          </cell>
          <cell r="ER835">
            <v>0</v>
          </cell>
          <cell r="ES835">
            <v>0</v>
          </cell>
          <cell r="ET835">
            <v>0</v>
          </cell>
          <cell r="EU835">
            <v>0</v>
          </cell>
          <cell r="EV835">
            <v>0</v>
          </cell>
          <cell r="EW835">
            <v>0</v>
          </cell>
          <cell r="EY835">
            <v>0</v>
          </cell>
          <cell r="EZ835">
            <v>8</v>
          </cell>
          <cell r="FA835">
            <v>0</v>
          </cell>
          <cell r="FB835">
            <v>0</v>
          </cell>
          <cell r="FC835">
            <v>8.6</v>
          </cell>
          <cell r="FD835">
            <v>0</v>
          </cell>
          <cell r="FE835">
            <v>0</v>
          </cell>
          <cell r="FF835">
            <v>0</v>
          </cell>
          <cell r="FH835">
            <v>0</v>
          </cell>
        </row>
        <row r="836">
          <cell r="B836">
            <v>9970</v>
          </cell>
          <cell r="C836" t="str">
            <v>20.09.2012</v>
          </cell>
          <cell r="D836" t="str">
            <v>Shirsath Suyog Padmakar</v>
          </cell>
          <cell r="F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BA836">
            <v>0</v>
          </cell>
          <cell r="BB836">
            <v>0</v>
          </cell>
          <cell r="BC836">
            <v>0</v>
          </cell>
          <cell r="BD836">
            <v>0</v>
          </cell>
          <cell r="BE836">
            <v>0</v>
          </cell>
          <cell r="BF836">
            <v>0</v>
          </cell>
          <cell r="BG836">
            <v>0</v>
          </cell>
          <cell r="BH836">
            <v>0</v>
          </cell>
          <cell r="BI836">
            <v>0</v>
          </cell>
          <cell r="BK836">
            <v>0</v>
          </cell>
          <cell r="BL836">
            <v>0</v>
          </cell>
          <cell r="BM836">
            <v>0</v>
          </cell>
          <cell r="BN836">
            <v>0</v>
          </cell>
          <cell r="BO836">
            <v>0</v>
          </cell>
          <cell r="BP836">
            <v>0</v>
          </cell>
          <cell r="BQ836">
            <v>0</v>
          </cell>
          <cell r="BR836">
            <v>0</v>
          </cell>
          <cell r="BS836">
            <v>0</v>
          </cell>
          <cell r="BU836">
            <v>0</v>
          </cell>
          <cell r="BV836">
            <v>0</v>
          </cell>
          <cell r="BW836">
            <v>0</v>
          </cell>
          <cell r="BX836">
            <v>0</v>
          </cell>
          <cell r="BY836">
            <v>0</v>
          </cell>
          <cell r="BZ836">
            <v>0</v>
          </cell>
          <cell r="CA836">
            <v>0</v>
          </cell>
          <cell r="CB836">
            <v>0</v>
          </cell>
          <cell r="CC836">
            <v>0</v>
          </cell>
          <cell r="CE836">
            <v>0</v>
          </cell>
          <cell r="CF836">
            <v>0</v>
          </cell>
          <cell r="CG836">
            <v>0</v>
          </cell>
          <cell r="CH836">
            <v>0</v>
          </cell>
          <cell r="CI836">
            <v>0</v>
          </cell>
          <cell r="CJ836">
            <v>0</v>
          </cell>
          <cell r="CK836">
            <v>0</v>
          </cell>
          <cell r="CL836">
            <v>0</v>
          </cell>
          <cell r="CM836">
            <v>0</v>
          </cell>
          <cell r="CO836">
            <v>0</v>
          </cell>
          <cell r="CP836">
            <v>0</v>
          </cell>
          <cell r="CQ836">
            <v>0</v>
          </cell>
          <cell r="CR836">
            <v>0</v>
          </cell>
          <cell r="CS836">
            <v>0</v>
          </cell>
          <cell r="CT836">
            <v>0</v>
          </cell>
          <cell r="CU836">
            <v>0</v>
          </cell>
          <cell r="CV836">
            <v>0</v>
          </cell>
          <cell r="CW836">
            <v>0</v>
          </cell>
          <cell r="CY836">
            <v>0</v>
          </cell>
          <cell r="CZ836">
            <v>0</v>
          </cell>
          <cell r="DA836">
            <v>0</v>
          </cell>
          <cell r="DB836">
            <v>0</v>
          </cell>
          <cell r="DC836">
            <v>0</v>
          </cell>
          <cell r="DD836">
            <v>0</v>
          </cell>
          <cell r="DE836">
            <v>0</v>
          </cell>
          <cell r="DF836">
            <v>0</v>
          </cell>
          <cell r="DG836">
            <v>0</v>
          </cell>
          <cell r="DI836">
            <v>0</v>
          </cell>
          <cell r="DJ836">
            <v>0</v>
          </cell>
          <cell r="DK836">
            <v>0</v>
          </cell>
          <cell r="DL836">
            <v>0</v>
          </cell>
          <cell r="DM836">
            <v>0</v>
          </cell>
          <cell r="DN836">
            <v>0</v>
          </cell>
          <cell r="DO836">
            <v>0</v>
          </cell>
          <cell r="DP836">
            <v>0</v>
          </cell>
          <cell r="DQ836">
            <v>0</v>
          </cell>
          <cell r="DR836">
            <v>0</v>
          </cell>
          <cell r="DS836">
            <v>0</v>
          </cell>
          <cell r="DT836">
            <v>0</v>
          </cell>
          <cell r="DU836">
            <v>0</v>
          </cell>
          <cell r="DW836">
            <v>0</v>
          </cell>
          <cell r="DX836">
            <v>0</v>
          </cell>
          <cell r="DY836">
            <v>0</v>
          </cell>
          <cell r="DZ836">
            <v>0</v>
          </cell>
          <cell r="EA836">
            <v>0</v>
          </cell>
          <cell r="EB836">
            <v>0</v>
          </cell>
          <cell r="EC836">
            <v>0</v>
          </cell>
          <cell r="ED836">
            <v>0</v>
          </cell>
          <cell r="EE836">
            <v>0</v>
          </cell>
          <cell r="EF836">
            <v>0</v>
          </cell>
          <cell r="EG836">
            <v>0</v>
          </cell>
          <cell r="EH836">
            <v>0</v>
          </cell>
          <cell r="EI836">
            <v>0</v>
          </cell>
          <cell r="EK836">
            <v>0</v>
          </cell>
          <cell r="EL836">
            <v>0</v>
          </cell>
          <cell r="EM836">
            <v>0</v>
          </cell>
          <cell r="EN836">
            <v>0</v>
          </cell>
          <cell r="EO836">
            <v>0</v>
          </cell>
          <cell r="EP836">
            <v>0</v>
          </cell>
          <cell r="EQ836">
            <v>0</v>
          </cell>
          <cell r="ER836">
            <v>0</v>
          </cell>
          <cell r="ES836">
            <v>0</v>
          </cell>
          <cell r="ET836">
            <v>0</v>
          </cell>
          <cell r="EU836">
            <v>0</v>
          </cell>
          <cell r="EV836">
            <v>0</v>
          </cell>
          <cell r="EW836">
            <v>0</v>
          </cell>
          <cell r="EY836">
            <v>0</v>
          </cell>
          <cell r="EZ836">
            <v>8</v>
          </cell>
          <cell r="FA836">
            <v>0</v>
          </cell>
          <cell r="FB836">
            <v>0</v>
          </cell>
          <cell r="FC836">
            <v>8.6</v>
          </cell>
          <cell r="FD836">
            <v>0</v>
          </cell>
          <cell r="FE836">
            <v>0</v>
          </cell>
          <cell r="FF836">
            <v>0</v>
          </cell>
          <cell r="FH836">
            <v>0</v>
          </cell>
        </row>
        <row r="837">
          <cell r="B837">
            <v>9971</v>
          </cell>
          <cell r="C837" t="str">
            <v>20.09.2012</v>
          </cell>
          <cell r="D837" t="str">
            <v>Maru Dineshchandra Narsing</v>
          </cell>
          <cell r="F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BA837">
            <v>0</v>
          </cell>
          <cell r="BB837">
            <v>0</v>
          </cell>
          <cell r="BC837">
            <v>0</v>
          </cell>
          <cell r="BD837">
            <v>0</v>
          </cell>
          <cell r="BE837">
            <v>0</v>
          </cell>
          <cell r="BF837">
            <v>0</v>
          </cell>
          <cell r="BG837">
            <v>0</v>
          </cell>
          <cell r="BH837">
            <v>0</v>
          </cell>
          <cell r="BI837">
            <v>0</v>
          </cell>
          <cell r="BK837">
            <v>0</v>
          </cell>
          <cell r="BL837">
            <v>0</v>
          </cell>
          <cell r="BM837">
            <v>0</v>
          </cell>
          <cell r="BN837">
            <v>0</v>
          </cell>
          <cell r="BO837">
            <v>0</v>
          </cell>
          <cell r="BP837">
            <v>0</v>
          </cell>
          <cell r="BQ837">
            <v>0</v>
          </cell>
          <cell r="BR837">
            <v>0</v>
          </cell>
          <cell r="BS837">
            <v>0</v>
          </cell>
          <cell r="BU837">
            <v>0</v>
          </cell>
          <cell r="BV837">
            <v>0</v>
          </cell>
          <cell r="BW837">
            <v>0</v>
          </cell>
          <cell r="BX837">
            <v>0</v>
          </cell>
          <cell r="BY837">
            <v>0</v>
          </cell>
          <cell r="BZ837">
            <v>0</v>
          </cell>
          <cell r="CA837">
            <v>0</v>
          </cell>
          <cell r="CB837">
            <v>0</v>
          </cell>
          <cell r="CC837">
            <v>0</v>
          </cell>
          <cell r="CE837">
            <v>0</v>
          </cell>
          <cell r="CF837">
            <v>0</v>
          </cell>
          <cell r="CG837">
            <v>0</v>
          </cell>
          <cell r="CH837">
            <v>0</v>
          </cell>
          <cell r="CI837">
            <v>0</v>
          </cell>
          <cell r="CJ837">
            <v>0</v>
          </cell>
          <cell r="CK837">
            <v>0</v>
          </cell>
          <cell r="CL837">
            <v>0</v>
          </cell>
          <cell r="CM837">
            <v>0</v>
          </cell>
          <cell r="CO837">
            <v>0</v>
          </cell>
          <cell r="CP837">
            <v>0</v>
          </cell>
          <cell r="CQ837">
            <v>0</v>
          </cell>
          <cell r="CR837">
            <v>0</v>
          </cell>
          <cell r="CS837">
            <v>0</v>
          </cell>
          <cell r="CT837">
            <v>0</v>
          </cell>
          <cell r="CU837">
            <v>0</v>
          </cell>
          <cell r="CV837">
            <v>0</v>
          </cell>
          <cell r="CW837">
            <v>0</v>
          </cell>
          <cell r="CY837">
            <v>0</v>
          </cell>
          <cell r="CZ837">
            <v>0</v>
          </cell>
          <cell r="DA837">
            <v>0</v>
          </cell>
          <cell r="DB837">
            <v>0</v>
          </cell>
          <cell r="DC837">
            <v>0</v>
          </cell>
          <cell r="DD837">
            <v>0</v>
          </cell>
          <cell r="DE837">
            <v>0</v>
          </cell>
          <cell r="DF837">
            <v>0</v>
          </cell>
          <cell r="DG837">
            <v>0</v>
          </cell>
          <cell r="DI837">
            <v>0</v>
          </cell>
          <cell r="DJ837">
            <v>0</v>
          </cell>
          <cell r="DK837">
            <v>0</v>
          </cell>
          <cell r="DL837">
            <v>0</v>
          </cell>
          <cell r="DM837">
            <v>0</v>
          </cell>
          <cell r="DN837">
            <v>0</v>
          </cell>
          <cell r="DO837">
            <v>0</v>
          </cell>
          <cell r="DP837">
            <v>0</v>
          </cell>
          <cell r="DQ837">
            <v>0</v>
          </cell>
          <cell r="DR837">
            <v>0</v>
          </cell>
          <cell r="DS837">
            <v>0</v>
          </cell>
          <cell r="DT837">
            <v>0</v>
          </cell>
          <cell r="DU837">
            <v>0</v>
          </cell>
          <cell r="DW837">
            <v>0</v>
          </cell>
          <cell r="DX837">
            <v>0</v>
          </cell>
          <cell r="DY837">
            <v>0</v>
          </cell>
          <cell r="DZ837">
            <v>0</v>
          </cell>
          <cell r="EA837">
            <v>0</v>
          </cell>
          <cell r="EB837">
            <v>0</v>
          </cell>
          <cell r="EC837">
            <v>0</v>
          </cell>
          <cell r="ED837">
            <v>0</v>
          </cell>
          <cell r="EE837">
            <v>0</v>
          </cell>
          <cell r="EF837">
            <v>0</v>
          </cell>
          <cell r="EG837">
            <v>0</v>
          </cell>
          <cell r="EH837">
            <v>0</v>
          </cell>
          <cell r="EI837">
            <v>0</v>
          </cell>
          <cell r="EK837">
            <v>0</v>
          </cell>
          <cell r="EL837">
            <v>0</v>
          </cell>
          <cell r="EM837">
            <v>0</v>
          </cell>
          <cell r="EN837">
            <v>0</v>
          </cell>
          <cell r="EO837">
            <v>0</v>
          </cell>
          <cell r="EP837">
            <v>0</v>
          </cell>
          <cell r="EQ837">
            <v>0</v>
          </cell>
          <cell r="ER837">
            <v>0</v>
          </cell>
          <cell r="ES837">
            <v>0</v>
          </cell>
          <cell r="ET837">
            <v>0</v>
          </cell>
          <cell r="EU837">
            <v>0</v>
          </cell>
          <cell r="EV837">
            <v>0</v>
          </cell>
          <cell r="EW837">
            <v>0</v>
          </cell>
          <cell r="EY837">
            <v>0</v>
          </cell>
          <cell r="EZ837">
            <v>8</v>
          </cell>
          <cell r="FA837">
            <v>0</v>
          </cell>
          <cell r="FB837">
            <v>0</v>
          </cell>
          <cell r="FC837">
            <v>8.6</v>
          </cell>
          <cell r="FD837">
            <v>0</v>
          </cell>
          <cell r="FE837">
            <v>0</v>
          </cell>
          <cell r="FF837">
            <v>0</v>
          </cell>
          <cell r="FH837">
            <v>0</v>
          </cell>
        </row>
        <row r="838">
          <cell r="B838">
            <v>9972</v>
          </cell>
          <cell r="C838" t="str">
            <v>20.09.2012</v>
          </cell>
          <cell r="D838" t="str">
            <v>Borisa Dinesh Ganpat</v>
          </cell>
          <cell r="F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BA838">
            <v>0</v>
          </cell>
          <cell r="BB838">
            <v>0</v>
          </cell>
          <cell r="BC838">
            <v>0</v>
          </cell>
          <cell r="BD838">
            <v>0</v>
          </cell>
          <cell r="BE838">
            <v>0</v>
          </cell>
          <cell r="BF838">
            <v>0</v>
          </cell>
          <cell r="BG838">
            <v>0</v>
          </cell>
          <cell r="BH838">
            <v>0</v>
          </cell>
          <cell r="BI838">
            <v>0</v>
          </cell>
          <cell r="BK838">
            <v>0</v>
          </cell>
          <cell r="BL838">
            <v>0</v>
          </cell>
          <cell r="BM838">
            <v>0</v>
          </cell>
          <cell r="BN838">
            <v>0</v>
          </cell>
          <cell r="BO838">
            <v>0</v>
          </cell>
          <cell r="BP838">
            <v>0</v>
          </cell>
          <cell r="BQ838">
            <v>0</v>
          </cell>
          <cell r="BR838">
            <v>0</v>
          </cell>
          <cell r="BS838">
            <v>0</v>
          </cell>
          <cell r="BU838">
            <v>0</v>
          </cell>
          <cell r="BV838">
            <v>0</v>
          </cell>
          <cell r="BW838">
            <v>0</v>
          </cell>
          <cell r="BX838">
            <v>0</v>
          </cell>
          <cell r="BY838">
            <v>0</v>
          </cell>
          <cell r="BZ838">
            <v>0</v>
          </cell>
          <cell r="CA838">
            <v>0</v>
          </cell>
          <cell r="CB838">
            <v>0</v>
          </cell>
          <cell r="CC838">
            <v>0</v>
          </cell>
          <cell r="CE838">
            <v>0</v>
          </cell>
          <cell r="CF838">
            <v>0</v>
          </cell>
          <cell r="CG838">
            <v>0</v>
          </cell>
          <cell r="CH838">
            <v>0</v>
          </cell>
          <cell r="CI838">
            <v>0</v>
          </cell>
          <cell r="CJ838">
            <v>0</v>
          </cell>
          <cell r="CK838">
            <v>0</v>
          </cell>
          <cell r="CL838">
            <v>0</v>
          </cell>
          <cell r="CM838">
            <v>0</v>
          </cell>
          <cell r="CO838">
            <v>0</v>
          </cell>
          <cell r="CP838">
            <v>0</v>
          </cell>
          <cell r="CQ838">
            <v>0</v>
          </cell>
          <cell r="CR838">
            <v>0</v>
          </cell>
          <cell r="CS838">
            <v>0</v>
          </cell>
          <cell r="CT838">
            <v>0</v>
          </cell>
          <cell r="CU838">
            <v>0</v>
          </cell>
          <cell r="CV838">
            <v>0</v>
          </cell>
          <cell r="CW838">
            <v>0</v>
          </cell>
          <cell r="CY838">
            <v>0</v>
          </cell>
          <cell r="CZ838">
            <v>0</v>
          </cell>
          <cell r="DA838">
            <v>0</v>
          </cell>
          <cell r="DB838">
            <v>0</v>
          </cell>
          <cell r="DC838">
            <v>0</v>
          </cell>
          <cell r="DD838">
            <v>0</v>
          </cell>
          <cell r="DE838">
            <v>0</v>
          </cell>
          <cell r="DF838">
            <v>0</v>
          </cell>
          <cell r="DG838">
            <v>0</v>
          </cell>
          <cell r="DI838">
            <v>0</v>
          </cell>
          <cell r="DJ838">
            <v>0</v>
          </cell>
          <cell r="DK838">
            <v>0</v>
          </cell>
          <cell r="DL838">
            <v>0</v>
          </cell>
          <cell r="DM838">
            <v>0</v>
          </cell>
          <cell r="DN838">
            <v>0</v>
          </cell>
          <cell r="DO838">
            <v>0</v>
          </cell>
          <cell r="DP838">
            <v>0</v>
          </cell>
          <cell r="DQ838">
            <v>0</v>
          </cell>
          <cell r="DR838">
            <v>0</v>
          </cell>
          <cell r="DS838">
            <v>0</v>
          </cell>
          <cell r="DT838">
            <v>0</v>
          </cell>
          <cell r="DU838">
            <v>0</v>
          </cell>
          <cell r="DW838">
            <v>0</v>
          </cell>
          <cell r="DX838">
            <v>0</v>
          </cell>
          <cell r="DY838">
            <v>0</v>
          </cell>
          <cell r="DZ838">
            <v>0</v>
          </cell>
          <cell r="EA838">
            <v>0</v>
          </cell>
          <cell r="EB838">
            <v>0</v>
          </cell>
          <cell r="EC838">
            <v>0</v>
          </cell>
          <cell r="ED838">
            <v>0</v>
          </cell>
          <cell r="EE838">
            <v>0</v>
          </cell>
          <cell r="EF838">
            <v>0</v>
          </cell>
          <cell r="EG838">
            <v>0</v>
          </cell>
          <cell r="EH838">
            <v>0</v>
          </cell>
          <cell r="EI838">
            <v>0</v>
          </cell>
          <cell r="EK838">
            <v>0</v>
          </cell>
          <cell r="EL838">
            <v>0</v>
          </cell>
          <cell r="EM838">
            <v>0</v>
          </cell>
          <cell r="EN838">
            <v>0</v>
          </cell>
          <cell r="EO838">
            <v>0</v>
          </cell>
          <cell r="EP838">
            <v>0</v>
          </cell>
          <cell r="EQ838">
            <v>0</v>
          </cell>
          <cell r="ER838">
            <v>0</v>
          </cell>
          <cell r="ES838">
            <v>0</v>
          </cell>
          <cell r="ET838">
            <v>0</v>
          </cell>
          <cell r="EU838">
            <v>0</v>
          </cell>
          <cell r="EV838">
            <v>0</v>
          </cell>
          <cell r="EW838">
            <v>0</v>
          </cell>
          <cell r="EY838">
            <v>0</v>
          </cell>
          <cell r="EZ838">
            <v>8</v>
          </cell>
          <cell r="FA838">
            <v>0</v>
          </cell>
          <cell r="FB838">
            <v>0</v>
          </cell>
          <cell r="FC838">
            <v>8.6</v>
          </cell>
          <cell r="FD838">
            <v>0</v>
          </cell>
          <cell r="FE838">
            <v>0</v>
          </cell>
          <cell r="FF838">
            <v>0</v>
          </cell>
          <cell r="FH838">
            <v>0</v>
          </cell>
        </row>
        <row r="839">
          <cell r="B839">
            <v>9973</v>
          </cell>
          <cell r="C839" t="str">
            <v>20.09.2012</v>
          </cell>
          <cell r="D839" t="str">
            <v>Shaikh Iftekar Shafi</v>
          </cell>
          <cell r="F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BA839">
            <v>0</v>
          </cell>
          <cell r="BB839">
            <v>0</v>
          </cell>
          <cell r="BC839">
            <v>0</v>
          </cell>
          <cell r="BD839">
            <v>0</v>
          </cell>
          <cell r="BE839">
            <v>0</v>
          </cell>
          <cell r="BF839">
            <v>0</v>
          </cell>
          <cell r="BG839">
            <v>0</v>
          </cell>
          <cell r="BH839">
            <v>0</v>
          </cell>
          <cell r="BI839">
            <v>0</v>
          </cell>
          <cell r="BK839">
            <v>0</v>
          </cell>
          <cell r="BL839">
            <v>0</v>
          </cell>
          <cell r="BM839">
            <v>0</v>
          </cell>
          <cell r="BN839">
            <v>0</v>
          </cell>
          <cell r="BO839">
            <v>0</v>
          </cell>
          <cell r="BP839">
            <v>0</v>
          </cell>
          <cell r="BQ839">
            <v>0</v>
          </cell>
          <cell r="BR839">
            <v>0</v>
          </cell>
          <cell r="BS839">
            <v>0</v>
          </cell>
          <cell r="BU839">
            <v>0</v>
          </cell>
          <cell r="BV839">
            <v>0</v>
          </cell>
          <cell r="BW839">
            <v>0</v>
          </cell>
          <cell r="BX839">
            <v>0</v>
          </cell>
          <cell r="BY839">
            <v>0</v>
          </cell>
          <cell r="BZ839">
            <v>0</v>
          </cell>
          <cell r="CA839">
            <v>0</v>
          </cell>
          <cell r="CB839">
            <v>0</v>
          </cell>
          <cell r="CC839">
            <v>0</v>
          </cell>
          <cell r="CE839">
            <v>0</v>
          </cell>
          <cell r="CF839">
            <v>0</v>
          </cell>
          <cell r="CG839">
            <v>0</v>
          </cell>
          <cell r="CH839">
            <v>0</v>
          </cell>
          <cell r="CI839">
            <v>0</v>
          </cell>
          <cell r="CJ839">
            <v>0</v>
          </cell>
          <cell r="CK839">
            <v>0</v>
          </cell>
          <cell r="CL839">
            <v>0</v>
          </cell>
          <cell r="CM839">
            <v>0</v>
          </cell>
          <cell r="CO839">
            <v>0</v>
          </cell>
          <cell r="CP839">
            <v>0</v>
          </cell>
          <cell r="CQ839">
            <v>0</v>
          </cell>
          <cell r="CR839">
            <v>0</v>
          </cell>
          <cell r="CS839">
            <v>0</v>
          </cell>
          <cell r="CT839">
            <v>0</v>
          </cell>
          <cell r="CU839">
            <v>0</v>
          </cell>
          <cell r="CV839">
            <v>0</v>
          </cell>
          <cell r="CW839">
            <v>0</v>
          </cell>
          <cell r="CY839">
            <v>0</v>
          </cell>
          <cell r="CZ839">
            <v>0</v>
          </cell>
          <cell r="DA839">
            <v>0</v>
          </cell>
          <cell r="DB839">
            <v>0</v>
          </cell>
          <cell r="DC839">
            <v>0</v>
          </cell>
          <cell r="DD839">
            <v>0</v>
          </cell>
          <cell r="DE839">
            <v>0</v>
          </cell>
          <cell r="DF839">
            <v>0</v>
          </cell>
          <cell r="DG839">
            <v>0</v>
          </cell>
          <cell r="DI839">
            <v>0</v>
          </cell>
          <cell r="DJ839">
            <v>0</v>
          </cell>
          <cell r="DK839">
            <v>0</v>
          </cell>
          <cell r="DL839">
            <v>0</v>
          </cell>
          <cell r="DM839">
            <v>0</v>
          </cell>
          <cell r="DN839">
            <v>0</v>
          </cell>
          <cell r="DO839">
            <v>0</v>
          </cell>
          <cell r="DP839">
            <v>0</v>
          </cell>
          <cell r="DQ839">
            <v>0</v>
          </cell>
          <cell r="DR839">
            <v>0</v>
          </cell>
          <cell r="DS839">
            <v>0</v>
          </cell>
          <cell r="DT839">
            <v>0</v>
          </cell>
          <cell r="DU839">
            <v>0</v>
          </cell>
          <cell r="DW839">
            <v>0</v>
          </cell>
          <cell r="DX839">
            <v>0</v>
          </cell>
          <cell r="DY839">
            <v>0</v>
          </cell>
          <cell r="DZ839">
            <v>0</v>
          </cell>
          <cell r="EA839">
            <v>0</v>
          </cell>
          <cell r="EB839">
            <v>0</v>
          </cell>
          <cell r="EC839">
            <v>0</v>
          </cell>
          <cell r="ED839">
            <v>0</v>
          </cell>
          <cell r="EE839">
            <v>0</v>
          </cell>
          <cell r="EF839">
            <v>0</v>
          </cell>
          <cell r="EG839">
            <v>0</v>
          </cell>
          <cell r="EH839">
            <v>0</v>
          </cell>
          <cell r="EI839">
            <v>0</v>
          </cell>
          <cell r="EK839">
            <v>0</v>
          </cell>
          <cell r="EL839">
            <v>0</v>
          </cell>
          <cell r="EM839">
            <v>0</v>
          </cell>
          <cell r="EN839">
            <v>0</v>
          </cell>
          <cell r="EO839">
            <v>0</v>
          </cell>
          <cell r="EP839">
            <v>0</v>
          </cell>
          <cell r="EQ839">
            <v>0</v>
          </cell>
          <cell r="ER839">
            <v>0</v>
          </cell>
          <cell r="ES839">
            <v>0</v>
          </cell>
          <cell r="ET839">
            <v>0</v>
          </cell>
          <cell r="EU839">
            <v>0</v>
          </cell>
          <cell r="EV839">
            <v>0</v>
          </cell>
          <cell r="EW839">
            <v>0</v>
          </cell>
          <cell r="EY839">
            <v>0</v>
          </cell>
          <cell r="EZ839">
            <v>8</v>
          </cell>
          <cell r="FA839">
            <v>0</v>
          </cell>
          <cell r="FB839">
            <v>0</v>
          </cell>
          <cell r="FC839">
            <v>8.6</v>
          </cell>
          <cell r="FD839">
            <v>0</v>
          </cell>
          <cell r="FE839">
            <v>0</v>
          </cell>
          <cell r="FF839">
            <v>0</v>
          </cell>
          <cell r="FH839">
            <v>0</v>
          </cell>
        </row>
        <row r="840">
          <cell r="B840">
            <v>9974</v>
          </cell>
          <cell r="C840" t="str">
            <v>20.09.2012</v>
          </cell>
          <cell r="D840" t="str">
            <v>Mule Nilesh Narendra</v>
          </cell>
          <cell r="F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BA840">
            <v>0</v>
          </cell>
          <cell r="BB840">
            <v>0</v>
          </cell>
          <cell r="BC840">
            <v>0</v>
          </cell>
          <cell r="BD840">
            <v>0</v>
          </cell>
          <cell r="BE840">
            <v>0</v>
          </cell>
          <cell r="BF840">
            <v>0</v>
          </cell>
          <cell r="BG840">
            <v>0</v>
          </cell>
          <cell r="BH840">
            <v>0</v>
          </cell>
          <cell r="BI840">
            <v>0</v>
          </cell>
          <cell r="BK840">
            <v>0</v>
          </cell>
          <cell r="BL840">
            <v>0</v>
          </cell>
          <cell r="BM840">
            <v>0</v>
          </cell>
          <cell r="BN840">
            <v>0</v>
          </cell>
          <cell r="BO840">
            <v>0</v>
          </cell>
          <cell r="BP840">
            <v>0</v>
          </cell>
          <cell r="BQ840">
            <v>0</v>
          </cell>
          <cell r="BR840">
            <v>0</v>
          </cell>
          <cell r="BS840">
            <v>0</v>
          </cell>
          <cell r="BU840">
            <v>0</v>
          </cell>
          <cell r="BV840">
            <v>0</v>
          </cell>
          <cell r="BW840">
            <v>0</v>
          </cell>
          <cell r="BX840">
            <v>0</v>
          </cell>
          <cell r="BY840">
            <v>0</v>
          </cell>
          <cell r="BZ840">
            <v>0</v>
          </cell>
          <cell r="CA840">
            <v>0</v>
          </cell>
          <cell r="CB840">
            <v>0</v>
          </cell>
          <cell r="CC840">
            <v>0</v>
          </cell>
          <cell r="CE840">
            <v>0</v>
          </cell>
          <cell r="CF840">
            <v>0</v>
          </cell>
          <cell r="CG840">
            <v>0</v>
          </cell>
          <cell r="CH840">
            <v>0</v>
          </cell>
          <cell r="CI840">
            <v>0</v>
          </cell>
          <cell r="CJ840">
            <v>0</v>
          </cell>
          <cell r="CK840">
            <v>0</v>
          </cell>
          <cell r="CL840">
            <v>0</v>
          </cell>
          <cell r="CM840">
            <v>0</v>
          </cell>
          <cell r="CO840">
            <v>0</v>
          </cell>
          <cell r="CP840">
            <v>0</v>
          </cell>
          <cell r="CQ840">
            <v>0</v>
          </cell>
          <cell r="CR840">
            <v>0</v>
          </cell>
          <cell r="CS840">
            <v>0</v>
          </cell>
          <cell r="CT840">
            <v>0</v>
          </cell>
          <cell r="CU840">
            <v>0</v>
          </cell>
          <cell r="CV840">
            <v>0</v>
          </cell>
          <cell r="CW840">
            <v>0</v>
          </cell>
          <cell r="CY840">
            <v>0</v>
          </cell>
          <cell r="CZ840">
            <v>0</v>
          </cell>
          <cell r="DA840">
            <v>0</v>
          </cell>
          <cell r="DB840">
            <v>0</v>
          </cell>
          <cell r="DC840">
            <v>0</v>
          </cell>
          <cell r="DD840">
            <v>0</v>
          </cell>
          <cell r="DE840">
            <v>0</v>
          </cell>
          <cell r="DF840">
            <v>0</v>
          </cell>
          <cell r="DG840">
            <v>0</v>
          </cell>
          <cell r="DI840">
            <v>0</v>
          </cell>
          <cell r="DJ840">
            <v>0</v>
          </cell>
          <cell r="DK840">
            <v>0</v>
          </cell>
          <cell r="DL840">
            <v>0</v>
          </cell>
          <cell r="DM840">
            <v>0</v>
          </cell>
          <cell r="DN840">
            <v>0</v>
          </cell>
          <cell r="DO840">
            <v>0</v>
          </cell>
          <cell r="DP840">
            <v>0</v>
          </cell>
          <cell r="DQ840">
            <v>0</v>
          </cell>
          <cell r="DR840">
            <v>0</v>
          </cell>
          <cell r="DS840">
            <v>0</v>
          </cell>
          <cell r="DT840">
            <v>0</v>
          </cell>
          <cell r="DU840">
            <v>0</v>
          </cell>
          <cell r="DW840">
            <v>0</v>
          </cell>
          <cell r="DX840">
            <v>0</v>
          </cell>
          <cell r="DY840">
            <v>0</v>
          </cell>
          <cell r="DZ840">
            <v>0</v>
          </cell>
          <cell r="EA840">
            <v>0</v>
          </cell>
          <cell r="EB840">
            <v>0</v>
          </cell>
          <cell r="EC840">
            <v>0</v>
          </cell>
          <cell r="ED840">
            <v>0</v>
          </cell>
          <cell r="EE840">
            <v>0</v>
          </cell>
          <cell r="EF840">
            <v>0</v>
          </cell>
          <cell r="EG840">
            <v>0</v>
          </cell>
          <cell r="EH840">
            <v>0</v>
          </cell>
          <cell r="EI840">
            <v>0</v>
          </cell>
          <cell r="EK840">
            <v>0</v>
          </cell>
          <cell r="EL840">
            <v>0</v>
          </cell>
          <cell r="EM840">
            <v>0</v>
          </cell>
          <cell r="EN840">
            <v>0</v>
          </cell>
          <cell r="EO840">
            <v>0</v>
          </cell>
          <cell r="EP840">
            <v>0</v>
          </cell>
          <cell r="EQ840">
            <v>0</v>
          </cell>
          <cell r="ER840">
            <v>0</v>
          </cell>
          <cell r="ES840">
            <v>0</v>
          </cell>
          <cell r="ET840">
            <v>0</v>
          </cell>
          <cell r="EU840">
            <v>0</v>
          </cell>
          <cell r="EV840">
            <v>0</v>
          </cell>
          <cell r="EW840">
            <v>0</v>
          </cell>
          <cell r="EY840">
            <v>0</v>
          </cell>
          <cell r="EZ840">
            <v>8</v>
          </cell>
          <cell r="FA840">
            <v>0</v>
          </cell>
          <cell r="FB840">
            <v>0</v>
          </cell>
          <cell r="FC840">
            <v>8.6</v>
          </cell>
          <cell r="FD840">
            <v>0</v>
          </cell>
          <cell r="FE840">
            <v>0</v>
          </cell>
          <cell r="FF840">
            <v>0</v>
          </cell>
          <cell r="FH840">
            <v>0</v>
          </cell>
        </row>
        <row r="841">
          <cell r="B841">
            <v>9975</v>
          </cell>
          <cell r="C841" t="str">
            <v>21.09.2012</v>
          </cell>
          <cell r="D841" t="str">
            <v>Pathan Tausif Saleem</v>
          </cell>
          <cell r="F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BA841">
            <v>0</v>
          </cell>
          <cell r="BB841">
            <v>0</v>
          </cell>
          <cell r="BC841">
            <v>0</v>
          </cell>
          <cell r="BD841">
            <v>0</v>
          </cell>
          <cell r="BE841">
            <v>0</v>
          </cell>
          <cell r="BF841">
            <v>0</v>
          </cell>
          <cell r="BG841">
            <v>0</v>
          </cell>
          <cell r="BH841">
            <v>0</v>
          </cell>
          <cell r="BI841">
            <v>0</v>
          </cell>
          <cell r="BK841">
            <v>0</v>
          </cell>
          <cell r="BL841">
            <v>0</v>
          </cell>
          <cell r="BM841">
            <v>0</v>
          </cell>
          <cell r="BN841">
            <v>0</v>
          </cell>
          <cell r="BO841">
            <v>0</v>
          </cell>
          <cell r="BP841">
            <v>0</v>
          </cell>
          <cell r="BQ841">
            <v>0</v>
          </cell>
          <cell r="BR841">
            <v>0</v>
          </cell>
          <cell r="BS841">
            <v>0</v>
          </cell>
          <cell r="BU841">
            <v>0</v>
          </cell>
          <cell r="BV841">
            <v>0</v>
          </cell>
          <cell r="BW841">
            <v>0</v>
          </cell>
          <cell r="BX841">
            <v>0</v>
          </cell>
          <cell r="BY841">
            <v>0</v>
          </cell>
          <cell r="BZ841">
            <v>0</v>
          </cell>
          <cell r="CA841">
            <v>0</v>
          </cell>
          <cell r="CB841">
            <v>0</v>
          </cell>
          <cell r="CC841">
            <v>0</v>
          </cell>
          <cell r="CE841">
            <v>0</v>
          </cell>
          <cell r="CF841">
            <v>0</v>
          </cell>
          <cell r="CG841">
            <v>0</v>
          </cell>
          <cell r="CH841">
            <v>0</v>
          </cell>
          <cell r="CI841">
            <v>0</v>
          </cell>
          <cell r="CJ841">
            <v>0</v>
          </cell>
          <cell r="CK841">
            <v>0</v>
          </cell>
          <cell r="CL841">
            <v>0</v>
          </cell>
          <cell r="CM841">
            <v>0</v>
          </cell>
          <cell r="CO841">
            <v>0</v>
          </cell>
          <cell r="CP841">
            <v>0</v>
          </cell>
          <cell r="CQ841">
            <v>0</v>
          </cell>
          <cell r="CR841">
            <v>0</v>
          </cell>
          <cell r="CS841">
            <v>0</v>
          </cell>
          <cell r="CT841">
            <v>0</v>
          </cell>
          <cell r="CU841">
            <v>0</v>
          </cell>
          <cell r="CV841">
            <v>0</v>
          </cell>
          <cell r="CW841">
            <v>0</v>
          </cell>
          <cell r="CY841">
            <v>0</v>
          </cell>
          <cell r="CZ841">
            <v>0</v>
          </cell>
          <cell r="DA841">
            <v>0</v>
          </cell>
          <cell r="DB841">
            <v>0</v>
          </cell>
          <cell r="DC841">
            <v>0</v>
          </cell>
          <cell r="DD841">
            <v>0</v>
          </cell>
          <cell r="DE841">
            <v>0</v>
          </cell>
          <cell r="DF841">
            <v>0</v>
          </cell>
          <cell r="DG841">
            <v>0</v>
          </cell>
          <cell r="DI841">
            <v>0</v>
          </cell>
          <cell r="DJ841">
            <v>0</v>
          </cell>
          <cell r="DK841">
            <v>0</v>
          </cell>
          <cell r="DL841">
            <v>0</v>
          </cell>
          <cell r="DM841">
            <v>0</v>
          </cell>
          <cell r="DN841">
            <v>0</v>
          </cell>
          <cell r="DO841">
            <v>0</v>
          </cell>
          <cell r="DP841">
            <v>0</v>
          </cell>
          <cell r="DQ841">
            <v>0</v>
          </cell>
          <cell r="DR841">
            <v>0</v>
          </cell>
          <cell r="DS841">
            <v>0</v>
          </cell>
          <cell r="DT841">
            <v>0</v>
          </cell>
          <cell r="DU841">
            <v>0</v>
          </cell>
          <cell r="DW841">
            <v>0</v>
          </cell>
          <cell r="DX841">
            <v>0</v>
          </cell>
          <cell r="DY841">
            <v>0</v>
          </cell>
          <cell r="DZ841">
            <v>0</v>
          </cell>
          <cell r="EA841">
            <v>0</v>
          </cell>
          <cell r="EB841">
            <v>0</v>
          </cell>
          <cell r="EC841">
            <v>0</v>
          </cell>
          <cell r="ED841">
            <v>0</v>
          </cell>
          <cell r="EE841">
            <v>0</v>
          </cell>
          <cell r="EF841">
            <v>0</v>
          </cell>
          <cell r="EG841">
            <v>0</v>
          </cell>
          <cell r="EH841">
            <v>0</v>
          </cell>
          <cell r="EI841">
            <v>0</v>
          </cell>
          <cell r="EK841">
            <v>0</v>
          </cell>
          <cell r="EL841">
            <v>0</v>
          </cell>
          <cell r="EM841">
            <v>0</v>
          </cell>
          <cell r="EN841">
            <v>0</v>
          </cell>
          <cell r="EO841">
            <v>0</v>
          </cell>
          <cell r="EP841">
            <v>0</v>
          </cell>
          <cell r="EQ841">
            <v>0</v>
          </cell>
          <cell r="ER841">
            <v>0</v>
          </cell>
          <cell r="ES841">
            <v>0</v>
          </cell>
          <cell r="ET841">
            <v>0</v>
          </cell>
          <cell r="EU841">
            <v>0</v>
          </cell>
          <cell r="EV841">
            <v>0</v>
          </cell>
          <cell r="EW841">
            <v>0</v>
          </cell>
          <cell r="EY841">
            <v>0</v>
          </cell>
          <cell r="EZ841">
            <v>8</v>
          </cell>
          <cell r="FA841">
            <v>0</v>
          </cell>
          <cell r="FB841">
            <v>0</v>
          </cell>
          <cell r="FC841">
            <v>8.6</v>
          </cell>
          <cell r="FD841">
            <v>0</v>
          </cell>
          <cell r="FE841">
            <v>0</v>
          </cell>
          <cell r="FF841">
            <v>0</v>
          </cell>
          <cell r="FH841">
            <v>0</v>
          </cell>
        </row>
        <row r="842">
          <cell r="B842">
            <v>9976</v>
          </cell>
          <cell r="C842" t="str">
            <v>21.09.2012</v>
          </cell>
          <cell r="D842" t="str">
            <v>Bhalerao Darshan Kumar Balu</v>
          </cell>
          <cell r="F842">
            <v>0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  <cell r="AU842">
            <v>0</v>
          </cell>
          <cell r="AV842">
            <v>0</v>
          </cell>
          <cell r="AW842">
            <v>0</v>
          </cell>
          <cell r="AX842">
            <v>0</v>
          </cell>
          <cell r="AY842">
            <v>0</v>
          </cell>
          <cell r="BA842">
            <v>0</v>
          </cell>
          <cell r="BB842">
            <v>0</v>
          </cell>
          <cell r="BC842">
            <v>0</v>
          </cell>
          <cell r="BD842">
            <v>0</v>
          </cell>
          <cell r="BE842">
            <v>0</v>
          </cell>
          <cell r="BF842">
            <v>0</v>
          </cell>
          <cell r="BG842">
            <v>0</v>
          </cell>
          <cell r="BH842">
            <v>0</v>
          </cell>
          <cell r="BI842">
            <v>0</v>
          </cell>
          <cell r="BK842">
            <v>0</v>
          </cell>
          <cell r="BL842">
            <v>0</v>
          </cell>
          <cell r="BM842">
            <v>0</v>
          </cell>
          <cell r="BN842">
            <v>0</v>
          </cell>
          <cell r="BO842">
            <v>0</v>
          </cell>
          <cell r="BP842">
            <v>0</v>
          </cell>
          <cell r="BQ842">
            <v>0</v>
          </cell>
          <cell r="BR842">
            <v>0</v>
          </cell>
          <cell r="BS842">
            <v>0</v>
          </cell>
          <cell r="BU842">
            <v>0</v>
          </cell>
          <cell r="BV842">
            <v>0</v>
          </cell>
          <cell r="BW842">
            <v>0</v>
          </cell>
          <cell r="BX842">
            <v>0</v>
          </cell>
          <cell r="BY842">
            <v>0</v>
          </cell>
          <cell r="BZ842">
            <v>0</v>
          </cell>
          <cell r="CA842">
            <v>0</v>
          </cell>
          <cell r="CB842">
            <v>0</v>
          </cell>
          <cell r="CC842">
            <v>0</v>
          </cell>
          <cell r="CE842">
            <v>0</v>
          </cell>
          <cell r="CF842">
            <v>0</v>
          </cell>
          <cell r="CG842">
            <v>0</v>
          </cell>
          <cell r="CH842">
            <v>0</v>
          </cell>
          <cell r="CI842">
            <v>0</v>
          </cell>
          <cell r="CJ842">
            <v>0</v>
          </cell>
          <cell r="CK842">
            <v>0</v>
          </cell>
          <cell r="CL842">
            <v>0</v>
          </cell>
          <cell r="CM842">
            <v>0</v>
          </cell>
          <cell r="CO842">
            <v>0</v>
          </cell>
          <cell r="CP842">
            <v>0</v>
          </cell>
          <cell r="CQ842">
            <v>0</v>
          </cell>
          <cell r="CR842">
            <v>0</v>
          </cell>
          <cell r="CS842">
            <v>0</v>
          </cell>
          <cell r="CT842">
            <v>0</v>
          </cell>
          <cell r="CU842">
            <v>0</v>
          </cell>
          <cell r="CV842">
            <v>0</v>
          </cell>
          <cell r="CW842">
            <v>0</v>
          </cell>
          <cell r="CY842">
            <v>0</v>
          </cell>
          <cell r="CZ842">
            <v>0</v>
          </cell>
          <cell r="DA842">
            <v>0</v>
          </cell>
          <cell r="DB842">
            <v>0</v>
          </cell>
          <cell r="DC842">
            <v>0</v>
          </cell>
          <cell r="DD842">
            <v>0</v>
          </cell>
          <cell r="DE842">
            <v>0</v>
          </cell>
          <cell r="DF842">
            <v>0</v>
          </cell>
          <cell r="DG842">
            <v>0</v>
          </cell>
          <cell r="DI842">
            <v>0</v>
          </cell>
          <cell r="DJ842">
            <v>0</v>
          </cell>
          <cell r="DK842">
            <v>0</v>
          </cell>
          <cell r="DL842">
            <v>0</v>
          </cell>
          <cell r="DM842">
            <v>0</v>
          </cell>
          <cell r="DN842">
            <v>0</v>
          </cell>
          <cell r="DO842">
            <v>0</v>
          </cell>
          <cell r="DP842">
            <v>0</v>
          </cell>
          <cell r="DQ842">
            <v>0</v>
          </cell>
          <cell r="DR842">
            <v>0</v>
          </cell>
          <cell r="DS842">
            <v>0</v>
          </cell>
          <cell r="DT842">
            <v>0</v>
          </cell>
          <cell r="DU842">
            <v>0</v>
          </cell>
          <cell r="DW842">
            <v>0</v>
          </cell>
          <cell r="DX842">
            <v>0</v>
          </cell>
          <cell r="DY842">
            <v>0</v>
          </cell>
          <cell r="DZ842">
            <v>0</v>
          </cell>
          <cell r="EA842">
            <v>0</v>
          </cell>
          <cell r="EB842">
            <v>0</v>
          </cell>
          <cell r="EC842">
            <v>0</v>
          </cell>
          <cell r="ED842">
            <v>0</v>
          </cell>
          <cell r="EE842">
            <v>0</v>
          </cell>
          <cell r="EF842">
            <v>0</v>
          </cell>
          <cell r="EG842">
            <v>0</v>
          </cell>
          <cell r="EH842">
            <v>0</v>
          </cell>
          <cell r="EI842">
            <v>0</v>
          </cell>
          <cell r="EK842">
            <v>0</v>
          </cell>
          <cell r="EL842">
            <v>0</v>
          </cell>
          <cell r="EM842">
            <v>0</v>
          </cell>
          <cell r="EN842">
            <v>0</v>
          </cell>
          <cell r="EO842">
            <v>0</v>
          </cell>
          <cell r="EP842">
            <v>0</v>
          </cell>
          <cell r="EQ842">
            <v>0</v>
          </cell>
          <cell r="ER842">
            <v>0</v>
          </cell>
          <cell r="ES842">
            <v>0</v>
          </cell>
          <cell r="ET842">
            <v>0</v>
          </cell>
          <cell r="EU842">
            <v>0</v>
          </cell>
          <cell r="EV842">
            <v>0</v>
          </cell>
          <cell r="EW842">
            <v>0</v>
          </cell>
          <cell r="EY842">
            <v>0</v>
          </cell>
          <cell r="EZ842">
            <v>8</v>
          </cell>
          <cell r="FA842">
            <v>0</v>
          </cell>
          <cell r="FB842">
            <v>0</v>
          </cell>
          <cell r="FC842">
            <v>8.6</v>
          </cell>
          <cell r="FD842">
            <v>0</v>
          </cell>
          <cell r="FE842">
            <v>0</v>
          </cell>
          <cell r="FF842">
            <v>0</v>
          </cell>
          <cell r="FH842">
            <v>0</v>
          </cell>
        </row>
        <row r="843">
          <cell r="B843">
            <v>9977</v>
          </cell>
          <cell r="C843" t="str">
            <v>21.09.2012</v>
          </cell>
          <cell r="D843" t="str">
            <v>Shaikh Liyakat Abdul Rehman</v>
          </cell>
          <cell r="F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G843">
            <v>0</v>
          </cell>
          <cell r="AH843">
            <v>0</v>
          </cell>
          <cell r="AI843">
            <v>0</v>
          </cell>
          <cell r="AJ843">
            <v>0</v>
          </cell>
          <cell r="AK843">
            <v>0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BA843">
            <v>0</v>
          </cell>
          <cell r="BB843">
            <v>0</v>
          </cell>
          <cell r="BC843">
            <v>0</v>
          </cell>
          <cell r="BD843">
            <v>0</v>
          </cell>
          <cell r="BE843">
            <v>0</v>
          </cell>
          <cell r="BF843">
            <v>0</v>
          </cell>
          <cell r="BG843">
            <v>0</v>
          </cell>
          <cell r="BH843">
            <v>0</v>
          </cell>
          <cell r="BI843">
            <v>0</v>
          </cell>
          <cell r="BK843">
            <v>0</v>
          </cell>
          <cell r="BL843">
            <v>0</v>
          </cell>
          <cell r="BM843">
            <v>0</v>
          </cell>
          <cell r="BN843">
            <v>0</v>
          </cell>
          <cell r="BO843">
            <v>0</v>
          </cell>
          <cell r="BP843">
            <v>0</v>
          </cell>
          <cell r="BQ843">
            <v>0</v>
          </cell>
          <cell r="BR843">
            <v>0</v>
          </cell>
          <cell r="BS843">
            <v>0</v>
          </cell>
          <cell r="BU843">
            <v>0</v>
          </cell>
          <cell r="BV843">
            <v>0</v>
          </cell>
          <cell r="BW843">
            <v>0</v>
          </cell>
          <cell r="BX843">
            <v>0</v>
          </cell>
          <cell r="BY843">
            <v>0</v>
          </cell>
          <cell r="BZ843">
            <v>0</v>
          </cell>
          <cell r="CA843">
            <v>0</v>
          </cell>
          <cell r="CB843">
            <v>0</v>
          </cell>
          <cell r="CC843">
            <v>0</v>
          </cell>
          <cell r="CE843">
            <v>0</v>
          </cell>
          <cell r="CF843">
            <v>0</v>
          </cell>
          <cell r="CG843">
            <v>0</v>
          </cell>
          <cell r="CH843">
            <v>0</v>
          </cell>
          <cell r="CI843">
            <v>0</v>
          </cell>
          <cell r="CJ843">
            <v>0</v>
          </cell>
          <cell r="CK843">
            <v>0</v>
          </cell>
          <cell r="CL843">
            <v>0</v>
          </cell>
          <cell r="CM843">
            <v>0</v>
          </cell>
          <cell r="CO843">
            <v>0</v>
          </cell>
          <cell r="CP843">
            <v>0</v>
          </cell>
          <cell r="CQ843">
            <v>0</v>
          </cell>
          <cell r="CR843">
            <v>0</v>
          </cell>
          <cell r="CS843">
            <v>0</v>
          </cell>
          <cell r="CT843">
            <v>0</v>
          </cell>
          <cell r="CU843">
            <v>0</v>
          </cell>
          <cell r="CV843">
            <v>0</v>
          </cell>
          <cell r="CW843">
            <v>0</v>
          </cell>
          <cell r="CY843">
            <v>0</v>
          </cell>
          <cell r="CZ843">
            <v>0</v>
          </cell>
          <cell r="DA843">
            <v>0</v>
          </cell>
          <cell r="DB843">
            <v>0</v>
          </cell>
          <cell r="DC843">
            <v>0</v>
          </cell>
          <cell r="DD843">
            <v>0</v>
          </cell>
          <cell r="DE843">
            <v>0</v>
          </cell>
          <cell r="DF843">
            <v>0</v>
          </cell>
          <cell r="DG843">
            <v>0</v>
          </cell>
          <cell r="DI843">
            <v>0</v>
          </cell>
          <cell r="DJ843">
            <v>0</v>
          </cell>
          <cell r="DK843">
            <v>0</v>
          </cell>
          <cell r="DL843">
            <v>0</v>
          </cell>
          <cell r="DM843">
            <v>0</v>
          </cell>
          <cell r="DN843">
            <v>0</v>
          </cell>
          <cell r="DO843">
            <v>0</v>
          </cell>
          <cell r="DP843">
            <v>0</v>
          </cell>
          <cell r="DQ843">
            <v>0</v>
          </cell>
          <cell r="DR843">
            <v>0</v>
          </cell>
          <cell r="DS843">
            <v>0</v>
          </cell>
          <cell r="DT843">
            <v>0</v>
          </cell>
          <cell r="DU843">
            <v>0</v>
          </cell>
          <cell r="DW843">
            <v>0</v>
          </cell>
          <cell r="DX843">
            <v>0</v>
          </cell>
          <cell r="DY843">
            <v>0</v>
          </cell>
          <cell r="DZ843">
            <v>0</v>
          </cell>
          <cell r="EA843">
            <v>0</v>
          </cell>
          <cell r="EB843">
            <v>0</v>
          </cell>
          <cell r="EC843">
            <v>0</v>
          </cell>
          <cell r="ED843">
            <v>0</v>
          </cell>
          <cell r="EE843">
            <v>0</v>
          </cell>
          <cell r="EF843">
            <v>0</v>
          </cell>
          <cell r="EG843">
            <v>0</v>
          </cell>
          <cell r="EH843">
            <v>0</v>
          </cell>
          <cell r="EI843">
            <v>0</v>
          </cell>
          <cell r="EK843">
            <v>0</v>
          </cell>
          <cell r="EL843">
            <v>0</v>
          </cell>
          <cell r="EM843">
            <v>0</v>
          </cell>
          <cell r="EN843">
            <v>0</v>
          </cell>
          <cell r="EO843">
            <v>0</v>
          </cell>
          <cell r="EP843">
            <v>0</v>
          </cell>
          <cell r="EQ843">
            <v>0</v>
          </cell>
          <cell r="ER843">
            <v>0</v>
          </cell>
          <cell r="ES843">
            <v>0</v>
          </cell>
          <cell r="ET843">
            <v>0</v>
          </cell>
          <cell r="EU843">
            <v>0</v>
          </cell>
          <cell r="EV843">
            <v>0</v>
          </cell>
          <cell r="EW843">
            <v>0</v>
          </cell>
          <cell r="EY843">
            <v>0</v>
          </cell>
          <cell r="EZ843">
            <v>8</v>
          </cell>
          <cell r="FA843">
            <v>0</v>
          </cell>
          <cell r="FB843">
            <v>0</v>
          </cell>
          <cell r="FC843">
            <v>8.6</v>
          </cell>
          <cell r="FD843">
            <v>0</v>
          </cell>
          <cell r="FE843">
            <v>0</v>
          </cell>
          <cell r="FF843">
            <v>0</v>
          </cell>
          <cell r="FH843">
            <v>0</v>
          </cell>
        </row>
        <row r="844">
          <cell r="B844">
            <v>9978</v>
          </cell>
          <cell r="C844" t="str">
            <v>21.09.2012</v>
          </cell>
          <cell r="D844" t="str">
            <v>Pavade Chetan Suresh</v>
          </cell>
          <cell r="F844">
            <v>0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BA844">
            <v>0</v>
          </cell>
          <cell r="BB844">
            <v>0</v>
          </cell>
          <cell r="BC844">
            <v>0</v>
          </cell>
          <cell r="BD844">
            <v>0</v>
          </cell>
          <cell r="BE844">
            <v>0</v>
          </cell>
          <cell r="BF844">
            <v>0</v>
          </cell>
          <cell r="BG844">
            <v>0</v>
          </cell>
          <cell r="BH844">
            <v>0</v>
          </cell>
          <cell r="BI844">
            <v>0</v>
          </cell>
          <cell r="BK844">
            <v>0</v>
          </cell>
          <cell r="BL844">
            <v>0</v>
          </cell>
          <cell r="BM844">
            <v>0</v>
          </cell>
          <cell r="BN844">
            <v>0</v>
          </cell>
          <cell r="BO844">
            <v>0</v>
          </cell>
          <cell r="BP844">
            <v>0</v>
          </cell>
          <cell r="BQ844">
            <v>0</v>
          </cell>
          <cell r="BR844">
            <v>0</v>
          </cell>
          <cell r="BS844">
            <v>0</v>
          </cell>
          <cell r="BU844">
            <v>0</v>
          </cell>
          <cell r="BV844">
            <v>0</v>
          </cell>
          <cell r="BW844">
            <v>0</v>
          </cell>
          <cell r="BX844">
            <v>0</v>
          </cell>
          <cell r="BY844">
            <v>0</v>
          </cell>
          <cell r="BZ844">
            <v>0</v>
          </cell>
          <cell r="CA844">
            <v>0</v>
          </cell>
          <cell r="CB844">
            <v>0</v>
          </cell>
          <cell r="CC844">
            <v>0</v>
          </cell>
          <cell r="CE844">
            <v>0</v>
          </cell>
          <cell r="CF844">
            <v>0</v>
          </cell>
          <cell r="CG844">
            <v>0</v>
          </cell>
          <cell r="CH844">
            <v>0</v>
          </cell>
          <cell r="CI844">
            <v>0</v>
          </cell>
          <cell r="CJ844">
            <v>0</v>
          </cell>
          <cell r="CK844">
            <v>0</v>
          </cell>
          <cell r="CL844">
            <v>0</v>
          </cell>
          <cell r="CM844">
            <v>0</v>
          </cell>
          <cell r="CO844">
            <v>0</v>
          </cell>
          <cell r="CP844">
            <v>0</v>
          </cell>
          <cell r="CQ844">
            <v>0</v>
          </cell>
          <cell r="CR844">
            <v>0</v>
          </cell>
          <cell r="CS844">
            <v>0</v>
          </cell>
          <cell r="CT844">
            <v>0</v>
          </cell>
          <cell r="CU844">
            <v>0</v>
          </cell>
          <cell r="CV844">
            <v>0</v>
          </cell>
          <cell r="CW844">
            <v>0</v>
          </cell>
          <cell r="CY844">
            <v>0</v>
          </cell>
          <cell r="CZ844">
            <v>0</v>
          </cell>
          <cell r="DA844">
            <v>0</v>
          </cell>
          <cell r="DB844">
            <v>0</v>
          </cell>
          <cell r="DC844">
            <v>0</v>
          </cell>
          <cell r="DD844">
            <v>0</v>
          </cell>
          <cell r="DE844">
            <v>0</v>
          </cell>
          <cell r="DF844">
            <v>0</v>
          </cell>
          <cell r="DG844">
            <v>0</v>
          </cell>
          <cell r="DI844">
            <v>0</v>
          </cell>
          <cell r="DJ844">
            <v>0</v>
          </cell>
          <cell r="DK844">
            <v>0</v>
          </cell>
          <cell r="DL844">
            <v>0</v>
          </cell>
          <cell r="DM844">
            <v>0</v>
          </cell>
          <cell r="DN844">
            <v>0</v>
          </cell>
          <cell r="DO844">
            <v>0</v>
          </cell>
          <cell r="DP844">
            <v>0</v>
          </cell>
          <cell r="DQ844">
            <v>0</v>
          </cell>
          <cell r="DR844">
            <v>0</v>
          </cell>
          <cell r="DS844">
            <v>0</v>
          </cell>
          <cell r="DT844">
            <v>0</v>
          </cell>
          <cell r="DU844">
            <v>0</v>
          </cell>
          <cell r="DW844">
            <v>0</v>
          </cell>
          <cell r="DX844">
            <v>0</v>
          </cell>
          <cell r="DY844">
            <v>0</v>
          </cell>
          <cell r="DZ844">
            <v>0</v>
          </cell>
          <cell r="EA844">
            <v>0</v>
          </cell>
          <cell r="EB844">
            <v>0</v>
          </cell>
          <cell r="EC844">
            <v>0</v>
          </cell>
          <cell r="ED844">
            <v>0</v>
          </cell>
          <cell r="EE844">
            <v>0</v>
          </cell>
          <cell r="EF844">
            <v>0</v>
          </cell>
          <cell r="EG844">
            <v>0</v>
          </cell>
          <cell r="EH844">
            <v>0</v>
          </cell>
          <cell r="EI844">
            <v>0</v>
          </cell>
          <cell r="EK844">
            <v>0</v>
          </cell>
          <cell r="EL844">
            <v>0</v>
          </cell>
          <cell r="EM844">
            <v>0</v>
          </cell>
          <cell r="EN844">
            <v>0</v>
          </cell>
          <cell r="EO844">
            <v>0</v>
          </cell>
          <cell r="EP844">
            <v>0</v>
          </cell>
          <cell r="EQ844">
            <v>0</v>
          </cell>
          <cell r="ER844">
            <v>0</v>
          </cell>
          <cell r="ES844">
            <v>0</v>
          </cell>
          <cell r="ET844">
            <v>0</v>
          </cell>
          <cell r="EU844">
            <v>0</v>
          </cell>
          <cell r="EV844">
            <v>0</v>
          </cell>
          <cell r="EW844">
            <v>0</v>
          </cell>
          <cell r="EY844">
            <v>0</v>
          </cell>
          <cell r="EZ844">
            <v>8</v>
          </cell>
          <cell r="FA844">
            <v>0</v>
          </cell>
          <cell r="FB844">
            <v>0</v>
          </cell>
          <cell r="FC844">
            <v>8.6</v>
          </cell>
          <cell r="FD844">
            <v>0</v>
          </cell>
          <cell r="FE844">
            <v>0</v>
          </cell>
          <cell r="FF844">
            <v>0</v>
          </cell>
          <cell r="FH844">
            <v>0</v>
          </cell>
        </row>
        <row r="845">
          <cell r="B845">
            <v>9979</v>
          </cell>
          <cell r="C845" t="str">
            <v>21.09.2012</v>
          </cell>
          <cell r="D845" t="str">
            <v>Tejale Chitra Ratnakar</v>
          </cell>
          <cell r="F845">
            <v>0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0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G845">
            <v>0</v>
          </cell>
          <cell r="AH845">
            <v>0</v>
          </cell>
          <cell r="AI845">
            <v>0</v>
          </cell>
          <cell r="AJ845">
            <v>0</v>
          </cell>
          <cell r="AK845">
            <v>0</v>
          </cell>
          <cell r="AL845">
            <v>0</v>
          </cell>
          <cell r="AM845">
            <v>0</v>
          </cell>
          <cell r="AN845">
            <v>0</v>
          </cell>
          <cell r="AO845">
            <v>0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  <cell r="AU845">
            <v>0</v>
          </cell>
          <cell r="AV845">
            <v>0</v>
          </cell>
          <cell r="AW845">
            <v>0</v>
          </cell>
          <cell r="AX845">
            <v>0</v>
          </cell>
          <cell r="AY845">
            <v>0</v>
          </cell>
          <cell r="BA845">
            <v>0</v>
          </cell>
          <cell r="BB845">
            <v>0</v>
          </cell>
          <cell r="BC845">
            <v>0</v>
          </cell>
          <cell r="BD845">
            <v>0</v>
          </cell>
          <cell r="BE845">
            <v>0</v>
          </cell>
          <cell r="BF845">
            <v>0</v>
          </cell>
          <cell r="BG845">
            <v>0</v>
          </cell>
          <cell r="BH845">
            <v>0</v>
          </cell>
          <cell r="BI845">
            <v>0</v>
          </cell>
          <cell r="BK845">
            <v>0</v>
          </cell>
          <cell r="BL845">
            <v>0</v>
          </cell>
          <cell r="BM845">
            <v>0</v>
          </cell>
          <cell r="BN845">
            <v>0</v>
          </cell>
          <cell r="BO845">
            <v>0</v>
          </cell>
          <cell r="BP845">
            <v>0</v>
          </cell>
          <cell r="BQ845">
            <v>0</v>
          </cell>
          <cell r="BR845">
            <v>0</v>
          </cell>
          <cell r="BS845">
            <v>0</v>
          </cell>
          <cell r="BU845">
            <v>0</v>
          </cell>
          <cell r="BV845">
            <v>0</v>
          </cell>
          <cell r="BW845">
            <v>0</v>
          </cell>
          <cell r="BX845">
            <v>0</v>
          </cell>
          <cell r="BY845">
            <v>0</v>
          </cell>
          <cell r="BZ845">
            <v>0</v>
          </cell>
          <cell r="CA845">
            <v>0</v>
          </cell>
          <cell r="CB845">
            <v>0</v>
          </cell>
          <cell r="CC845">
            <v>0</v>
          </cell>
          <cell r="CE845">
            <v>0</v>
          </cell>
          <cell r="CF845">
            <v>0</v>
          </cell>
          <cell r="CG845">
            <v>0</v>
          </cell>
          <cell r="CH845">
            <v>0</v>
          </cell>
          <cell r="CI845">
            <v>0</v>
          </cell>
          <cell r="CJ845">
            <v>0</v>
          </cell>
          <cell r="CK845">
            <v>0</v>
          </cell>
          <cell r="CL845">
            <v>0</v>
          </cell>
          <cell r="CM845">
            <v>0</v>
          </cell>
          <cell r="CO845">
            <v>0</v>
          </cell>
          <cell r="CP845">
            <v>0</v>
          </cell>
          <cell r="CQ845">
            <v>0</v>
          </cell>
          <cell r="CR845">
            <v>0</v>
          </cell>
          <cell r="CS845">
            <v>0</v>
          </cell>
          <cell r="CT845">
            <v>0</v>
          </cell>
          <cell r="CU845">
            <v>0</v>
          </cell>
          <cell r="CV845">
            <v>0</v>
          </cell>
          <cell r="CW845">
            <v>0</v>
          </cell>
          <cell r="CY845">
            <v>0</v>
          </cell>
          <cell r="CZ845">
            <v>0</v>
          </cell>
          <cell r="DA845">
            <v>0</v>
          </cell>
          <cell r="DB845">
            <v>0</v>
          </cell>
          <cell r="DC845">
            <v>0</v>
          </cell>
          <cell r="DD845">
            <v>0</v>
          </cell>
          <cell r="DE845">
            <v>0</v>
          </cell>
          <cell r="DF845">
            <v>0</v>
          </cell>
          <cell r="DG845">
            <v>0</v>
          </cell>
          <cell r="DI845">
            <v>0</v>
          </cell>
          <cell r="DJ845">
            <v>0</v>
          </cell>
          <cell r="DK845">
            <v>0</v>
          </cell>
          <cell r="DL845">
            <v>0</v>
          </cell>
          <cell r="DM845">
            <v>0</v>
          </cell>
          <cell r="DN845">
            <v>0</v>
          </cell>
          <cell r="DO845">
            <v>0</v>
          </cell>
          <cell r="DP845">
            <v>0</v>
          </cell>
          <cell r="DQ845">
            <v>0</v>
          </cell>
          <cell r="DR845">
            <v>0</v>
          </cell>
          <cell r="DS845">
            <v>0</v>
          </cell>
          <cell r="DT845">
            <v>0</v>
          </cell>
          <cell r="DU845">
            <v>0</v>
          </cell>
          <cell r="DW845">
            <v>0</v>
          </cell>
          <cell r="DX845">
            <v>0</v>
          </cell>
          <cell r="DY845">
            <v>0</v>
          </cell>
          <cell r="DZ845">
            <v>0</v>
          </cell>
          <cell r="EA845">
            <v>0</v>
          </cell>
          <cell r="EB845">
            <v>0</v>
          </cell>
          <cell r="EC845">
            <v>0</v>
          </cell>
          <cell r="ED845">
            <v>0</v>
          </cell>
          <cell r="EE845">
            <v>0</v>
          </cell>
          <cell r="EF845">
            <v>0</v>
          </cell>
          <cell r="EG845">
            <v>0</v>
          </cell>
          <cell r="EH845">
            <v>0</v>
          </cell>
          <cell r="EI845">
            <v>0</v>
          </cell>
          <cell r="EK845">
            <v>0</v>
          </cell>
          <cell r="EL845">
            <v>0</v>
          </cell>
          <cell r="EM845">
            <v>0</v>
          </cell>
          <cell r="EN845">
            <v>0</v>
          </cell>
          <cell r="EO845">
            <v>0</v>
          </cell>
          <cell r="EP845">
            <v>0</v>
          </cell>
          <cell r="EQ845">
            <v>0</v>
          </cell>
          <cell r="ER845">
            <v>0</v>
          </cell>
          <cell r="ES845">
            <v>0</v>
          </cell>
          <cell r="ET845">
            <v>0</v>
          </cell>
          <cell r="EU845">
            <v>0</v>
          </cell>
          <cell r="EV845">
            <v>0</v>
          </cell>
          <cell r="EW845">
            <v>0</v>
          </cell>
          <cell r="EY845">
            <v>0</v>
          </cell>
          <cell r="EZ845">
            <v>8</v>
          </cell>
          <cell r="FA845">
            <v>0</v>
          </cell>
          <cell r="FB845">
            <v>0</v>
          </cell>
          <cell r="FC845">
            <v>8.6</v>
          </cell>
          <cell r="FD845">
            <v>0</v>
          </cell>
          <cell r="FE845">
            <v>0</v>
          </cell>
          <cell r="FF845">
            <v>0</v>
          </cell>
          <cell r="FH845">
            <v>0</v>
          </cell>
        </row>
        <row r="846">
          <cell r="B846">
            <v>9980</v>
          </cell>
          <cell r="C846" t="str">
            <v>21.09.2012</v>
          </cell>
          <cell r="D846" t="str">
            <v>Dukre Vikram Prabhakar</v>
          </cell>
          <cell r="F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BA846">
            <v>0</v>
          </cell>
          <cell r="BB846">
            <v>0</v>
          </cell>
          <cell r="BC846">
            <v>0</v>
          </cell>
          <cell r="BD846">
            <v>0</v>
          </cell>
          <cell r="BE846">
            <v>0</v>
          </cell>
          <cell r="BF846">
            <v>0</v>
          </cell>
          <cell r="BG846">
            <v>0</v>
          </cell>
          <cell r="BH846">
            <v>0</v>
          </cell>
          <cell r="BI846">
            <v>0</v>
          </cell>
          <cell r="BK846">
            <v>0</v>
          </cell>
          <cell r="BL846">
            <v>0</v>
          </cell>
          <cell r="BM846">
            <v>0</v>
          </cell>
          <cell r="BN846">
            <v>0</v>
          </cell>
          <cell r="BO846">
            <v>0</v>
          </cell>
          <cell r="BP846">
            <v>0</v>
          </cell>
          <cell r="BQ846">
            <v>0</v>
          </cell>
          <cell r="BR846">
            <v>0</v>
          </cell>
          <cell r="BS846">
            <v>0</v>
          </cell>
          <cell r="BU846">
            <v>0</v>
          </cell>
          <cell r="BV846">
            <v>0</v>
          </cell>
          <cell r="BW846">
            <v>0</v>
          </cell>
          <cell r="BX846">
            <v>0</v>
          </cell>
          <cell r="BY846">
            <v>0</v>
          </cell>
          <cell r="BZ846">
            <v>0</v>
          </cell>
          <cell r="CA846">
            <v>0</v>
          </cell>
          <cell r="CB846">
            <v>0</v>
          </cell>
          <cell r="CC846">
            <v>0</v>
          </cell>
          <cell r="CE846">
            <v>0</v>
          </cell>
          <cell r="CF846">
            <v>0</v>
          </cell>
          <cell r="CG846">
            <v>0</v>
          </cell>
          <cell r="CH846">
            <v>0</v>
          </cell>
          <cell r="CI846">
            <v>0</v>
          </cell>
          <cell r="CJ846">
            <v>0</v>
          </cell>
          <cell r="CK846">
            <v>0</v>
          </cell>
          <cell r="CL846">
            <v>0</v>
          </cell>
          <cell r="CM846">
            <v>0</v>
          </cell>
          <cell r="CO846">
            <v>0</v>
          </cell>
          <cell r="CP846">
            <v>0</v>
          </cell>
          <cell r="CQ846">
            <v>0</v>
          </cell>
          <cell r="CR846">
            <v>0</v>
          </cell>
          <cell r="CS846">
            <v>0</v>
          </cell>
          <cell r="CT846">
            <v>0</v>
          </cell>
          <cell r="CU846">
            <v>0</v>
          </cell>
          <cell r="CV846">
            <v>0</v>
          </cell>
          <cell r="CW846">
            <v>0</v>
          </cell>
          <cell r="CY846">
            <v>0</v>
          </cell>
          <cell r="CZ846">
            <v>0</v>
          </cell>
          <cell r="DA846">
            <v>0</v>
          </cell>
          <cell r="DB846">
            <v>0</v>
          </cell>
          <cell r="DC846">
            <v>0</v>
          </cell>
          <cell r="DD846">
            <v>0</v>
          </cell>
          <cell r="DE846">
            <v>0</v>
          </cell>
          <cell r="DF846">
            <v>0</v>
          </cell>
          <cell r="DG846">
            <v>0</v>
          </cell>
          <cell r="DI846">
            <v>0</v>
          </cell>
          <cell r="DJ846">
            <v>0</v>
          </cell>
          <cell r="DK846">
            <v>0</v>
          </cell>
          <cell r="DL846">
            <v>0</v>
          </cell>
          <cell r="DM846">
            <v>0</v>
          </cell>
          <cell r="DN846">
            <v>0</v>
          </cell>
          <cell r="DO846">
            <v>0</v>
          </cell>
          <cell r="DP846">
            <v>0</v>
          </cell>
          <cell r="DQ846">
            <v>0</v>
          </cell>
          <cell r="DR846">
            <v>0</v>
          </cell>
          <cell r="DS846">
            <v>0</v>
          </cell>
          <cell r="DT846">
            <v>0</v>
          </cell>
          <cell r="DU846">
            <v>0</v>
          </cell>
          <cell r="DW846">
            <v>0</v>
          </cell>
          <cell r="DX846">
            <v>0</v>
          </cell>
          <cell r="DY846">
            <v>0</v>
          </cell>
          <cell r="DZ846">
            <v>0</v>
          </cell>
          <cell r="EA846">
            <v>0</v>
          </cell>
          <cell r="EB846">
            <v>0</v>
          </cell>
          <cell r="EC846">
            <v>0</v>
          </cell>
          <cell r="ED846">
            <v>0</v>
          </cell>
          <cell r="EE846">
            <v>0</v>
          </cell>
          <cell r="EF846">
            <v>0</v>
          </cell>
          <cell r="EG846">
            <v>0</v>
          </cell>
          <cell r="EH846">
            <v>0</v>
          </cell>
          <cell r="EI846">
            <v>0</v>
          </cell>
          <cell r="EK846">
            <v>0</v>
          </cell>
          <cell r="EL846">
            <v>0</v>
          </cell>
          <cell r="EM846">
            <v>0</v>
          </cell>
          <cell r="EN846">
            <v>0</v>
          </cell>
          <cell r="EO846">
            <v>0</v>
          </cell>
          <cell r="EP846">
            <v>0</v>
          </cell>
          <cell r="EQ846">
            <v>0</v>
          </cell>
          <cell r="ER846">
            <v>0</v>
          </cell>
          <cell r="ES846">
            <v>0</v>
          </cell>
          <cell r="ET846">
            <v>0</v>
          </cell>
          <cell r="EU846">
            <v>0</v>
          </cell>
          <cell r="EV846">
            <v>0</v>
          </cell>
          <cell r="EW846">
            <v>0</v>
          </cell>
          <cell r="EY846">
            <v>0</v>
          </cell>
          <cell r="EZ846">
            <v>8</v>
          </cell>
          <cell r="FA846">
            <v>0</v>
          </cell>
          <cell r="FB846">
            <v>0</v>
          </cell>
          <cell r="FC846">
            <v>8.6</v>
          </cell>
          <cell r="FD846">
            <v>0</v>
          </cell>
          <cell r="FE846">
            <v>0</v>
          </cell>
          <cell r="FF846">
            <v>0</v>
          </cell>
          <cell r="FH846">
            <v>0</v>
          </cell>
        </row>
        <row r="847">
          <cell r="B847">
            <v>9981</v>
          </cell>
          <cell r="C847" t="str">
            <v>21.09.2012</v>
          </cell>
          <cell r="D847" t="str">
            <v>Pawar Deepak Ramesh</v>
          </cell>
          <cell r="F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BA847">
            <v>0</v>
          </cell>
          <cell r="BB847">
            <v>0</v>
          </cell>
          <cell r="BC847">
            <v>0</v>
          </cell>
          <cell r="BD847">
            <v>0</v>
          </cell>
          <cell r="BE847">
            <v>0</v>
          </cell>
          <cell r="BF847">
            <v>0</v>
          </cell>
          <cell r="BG847">
            <v>0</v>
          </cell>
          <cell r="BH847">
            <v>0</v>
          </cell>
          <cell r="BI847">
            <v>0</v>
          </cell>
          <cell r="BK847">
            <v>0</v>
          </cell>
          <cell r="BL847">
            <v>0</v>
          </cell>
          <cell r="BM847">
            <v>0</v>
          </cell>
          <cell r="BN847">
            <v>0</v>
          </cell>
          <cell r="BO847">
            <v>0</v>
          </cell>
          <cell r="BP847">
            <v>0</v>
          </cell>
          <cell r="BQ847">
            <v>0</v>
          </cell>
          <cell r="BR847">
            <v>0</v>
          </cell>
          <cell r="BS847">
            <v>0</v>
          </cell>
          <cell r="BU847">
            <v>0</v>
          </cell>
          <cell r="BV847">
            <v>0</v>
          </cell>
          <cell r="BW847">
            <v>0</v>
          </cell>
          <cell r="BX847">
            <v>0</v>
          </cell>
          <cell r="BY847">
            <v>0</v>
          </cell>
          <cell r="BZ847">
            <v>0</v>
          </cell>
          <cell r="CA847">
            <v>0</v>
          </cell>
          <cell r="CB847">
            <v>0</v>
          </cell>
          <cell r="CC847">
            <v>0</v>
          </cell>
          <cell r="CE847">
            <v>0</v>
          </cell>
          <cell r="CF847">
            <v>0</v>
          </cell>
          <cell r="CG847">
            <v>0</v>
          </cell>
          <cell r="CH847">
            <v>0</v>
          </cell>
          <cell r="CI847">
            <v>0</v>
          </cell>
          <cell r="CJ847">
            <v>0</v>
          </cell>
          <cell r="CK847">
            <v>0</v>
          </cell>
          <cell r="CL847">
            <v>0</v>
          </cell>
          <cell r="CM847">
            <v>0</v>
          </cell>
          <cell r="CO847">
            <v>0</v>
          </cell>
          <cell r="CP847">
            <v>0</v>
          </cell>
          <cell r="CQ847">
            <v>0</v>
          </cell>
          <cell r="CR847">
            <v>0</v>
          </cell>
          <cell r="CS847">
            <v>0</v>
          </cell>
          <cell r="CT847">
            <v>0</v>
          </cell>
          <cell r="CU847">
            <v>0</v>
          </cell>
          <cell r="CV847">
            <v>0</v>
          </cell>
          <cell r="CW847">
            <v>0</v>
          </cell>
          <cell r="CY847">
            <v>0</v>
          </cell>
          <cell r="CZ847">
            <v>0</v>
          </cell>
          <cell r="DA847">
            <v>0</v>
          </cell>
          <cell r="DB847">
            <v>0</v>
          </cell>
          <cell r="DC847">
            <v>0</v>
          </cell>
          <cell r="DD847">
            <v>0</v>
          </cell>
          <cell r="DE847">
            <v>0</v>
          </cell>
          <cell r="DF847">
            <v>0</v>
          </cell>
          <cell r="DG847">
            <v>0</v>
          </cell>
          <cell r="DI847">
            <v>0</v>
          </cell>
          <cell r="DJ847">
            <v>0</v>
          </cell>
          <cell r="DK847">
            <v>0</v>
          </cell>
          <cell r="DL847">
            <v>0</v>
          </cell>
          <cell r="DM847">
            <v>0</v>
          </cell>
          <cell r="DN847">
            <v>0</v>
          </cell>
          <cell r="DO847">
            <v>0</v>
          </cell>
          <cell r="DP847">
            <v>0</v>
          </cell>
          <cell r="DQ847">
            <v>0</v>
          </cell>
          <cell r="DR847">
            <v>0</v>
          </cell>
          <cell r="DS847">
            <v>0</v>
          </cell>
          <cell r="DT847">
            <v>0</v>
          </cell>
          <cell r="DU847">
            <v>0</v>
          </cell>
          <cell r="DW847">
            <v>0</v>
          </cell>
          <cell r="DX847">
            <v>0</v>
          </cell>
          <cell r="DY847">
            <v>0</v>
          </cell>
          <cell r="DZ847">
            <v>0</v>
          </cell>
          <cell r="EA847">
            <v>0</v>
          </cell>
          <cell r="EB847">
            <v>0</v>
          </cell>
          <cell r="EC847">
            <v>0</v>
          </cell>
          <cell r="ED847">
            <v>0</v>
          </cell>
          <cell r="EE847">
            <v>0</v>
          </cell>
          <cell r="EF847">
            <v>0</v>
          </cell>
          <cell r="EG847">
            <v>0</v>
          </cell>
          <cell r="EH847">
            <v>0</v>
          </cell>
          <cell r="EI847">
            <v>0</v>
          </cell>
          <cell r="EK847">
            <v>0</v>
          </cell>
          <cell r="EL847">
            <v>0</v>
          </cell>
          <cell r="EM847">
            <v>0</v>
          </cell>
          <cell r="EN847">
            <v>0</v>
          </cell>
          <cell r="EO847">
            <v>0</v>
          </cell>
          <cell r="EP847">
            <v>0</v>
          </cell>
          <cell r="EQ847">
            <v>0</v>
          </cell>
          <cell r="ER847">
            <v>0</v>
          </cell>
          <cell r="ES847">
            <v>0</v>
          </cell>
          <cell r="ET847">
            <v>0</v>
          </cell>
          <cell r="EU847">
            <v>0</v>
          </cell>
          <cell r="EV847">
            <v>0</v>
          </cell>
          <cell r="EW847">
            <v>0</v>
          </cell>
          <cell r="EY847">
            <v>0</v>
          </cell>
          <cell r="EZ847">
            <v>8</v>
          </cell>
          <cell r="FA847">
            <v>0</v>
          </cell>
          <cell r="FB847">
            <v>0</v>
          </cell>
          <cell r="FC847">
            <v>8.6</v>
          </cell>
          <cell r="FD847">
            <v>0</v>
          </cell>
          <cell r="FE847">
            <v>0</v>
          </cell>
          <cell r="FF847">
            <v>0</v>
          </cell>
          <cell r="FH847">
            <v>0</v>
          </cell>
        </row>
        <row r="848">
          <cell r="B848">
            <v>9982</v>
          </cell>
          <cell r="C848" t="str">
            <v>21.09.2012</v>
          </cell>
          <cell r="D848" t="str">
            <v>Sonawane Pradip Shantaram</v>
          </cell>
          <cell r="F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BA848">
            <v>0</v>
          </cell>
          <cell r="BB848">
            <v>0</v>
          </cell>
          <cell r="BC848">
            <v>0</v>
          </cell>
          <cell r="BD848">
            <v>0</v>
          </cell>
          <cell r="BE848">
            <v>0</v>
          </cell>
          <cell r="BF848">
            <v>0</v>
          </cell>
          <cell r="BG848">
            <v>0</v>
          </cell>
          <cell r="BH848">
            <v>0</v>
          </cell>
          <cell r="BI848">
            <v>0</v>
          </cell>
          <cell r="BK848">
            <v>0</v>
          </cell>
          <cell r="BL848">
            <v>0</v>
          </cell>
          <cell r="BM848">
            <v>0</v>
          </cell>
          <cell r="BN848">
            <v>0</v>
          </cell>
          <cell r="BO848">
            <v>0</v>
          </cell>
          <cell r="BP848">
            <v>0</v>
          </cell>
          <cell r="BQ848">
            <v>0</v>
          </cell>
          <cell r="BR848">
            <v>0</v>
          </cell>
          <cell r="BS848">
            <v>0</v>
          </cell>
          <cell r="BU848">
            <v>0</v>
          </cell>
          <cell r="BV848">
            <v>0</v>
          </cell>
          <cell r="BW848">
            <v>0</v>
          </cell>
          <cell r="BX848">
            <v>0</v>
          </cell>
          <cell r="BY848">
            <v>0</v>
          </cell>
          <cell r="BZ848">
            <v>0</v>
          </cell>
          <cell r="CA848">
            <v>0</v>
          </cell>
          <cell r="CB848">
            <v>0</v>
          </cell>
          <cell r="CC848">
            <v>0</v>
          </cell>
          <cell r="CE848">
            <v>0</v>
          </cell>
          <cell r="CF848">
            <v>0</v>
          </cell>
          <cell r="CG848">
            <v>0</v>
          </cell>
          <cell r="CH848">
            <v>0</v>
          </cell>
          <cell r="CI848">
            <v>0</v>
          </cell>
          <cell r="CJ848">
            <v>0</v>
          </cell>
          <cell r="CK848">
            <v>0</v>
          </cell>
          <cell r="CL848">
            <v>0</v>
          </cell>
          <cell r="CM848">
            <v>0</v>
          </cell>
          <cell r="CO848">
            <v>0</v>
          </cell>
          <cell r="CP848">
            <v>0</v>
          </cell>
          <cell r="CQ848">
            <v>0</v>
          </cell>
          <cell r="CR848">
            <v>0</v>
          </cell>
          <cell r="CS848">
            <v>0</v>
          </cell>
          <cell r="CT848">
            <v>0</v>
          </cell>
          <cell r="CU848">
            <v>0</v>
          </cell>
          <cell r="CV848">
            <v>0</v>
          </cell>
          <cell r="CW848">
            <v>0</v>
          </cell>
          <cell r="CY848">
            <v>0</v>
          </cell>
          <cell r="CZ848">
            <v>0</v>
          </cell>
          <cell r="DA848">
            <v>0</v>
          </cell>
          <cell r="DB848">
            <v>0</v>
          </cell>
          <cell r="DC848">
            <v>0</v>
          </cell>
          <cell r="DD848">
            <v>0</v>
          </cell>
          <cell r="DE848">
            <v>0</v>
          </cell>
          <cell r="DF848">
            <v>0</v>
          </cell>
          <cell r="DG848">
            <v>0</v>
          </cell>
          <cell r="DI848">
            <v>0</v>
          </cell>
          <cell r="DJ848">
            <v>0</v>
          </cell>
          <cell r="DK848">
            <v>0</v>
          </cell>
          <cell r="DL848">
            <v>0</v>
          </cell>
          <cell r="DM848">
            <v>0</v>
          </cell>
          <cell r="DN848">
            <v>0</v>
          </cell>
          <cell r="DO848">
            <v>0</v>
          </cell>
          <cell r="DP848">
            <v>0</v>
          </cell>
          <cell r="DQ848">
            <v>0</v>
          </cell>
          <cell r="DR848">
            <v>0</v>
          </cell>
          <cell r="DS848">
            <v>0</v>
          </cell>
          <cell r="DT848">
            <v>0</v>
          </cell>
          <cell r="DU848">
            <v>0</v>
          </cell>
          <cell r="DW848">
            <v>0</v>
          </cell>
          <cell r="DX848">
            <v>0</v>
          </cell>
          <cell r="DY848">
            <v>0</v>
          </cell>
          <cell r="DZ848">
            <v>0</v>
          </cell>
          <cell r="EA848">
            <v>0</v>
          </cell>
          <cell r="EB848">
            <v>0</v>
          </cell>
          <cell r="EC848">
            <v>0</v>
          </cell>
          <cell r="ED848">
            <v>0</v>
          </cell>
          <cell r="EE848">
            <v>0</v>
          </cell>
          <cell r="EF848">
            <v>0</v>
          </cell>
          <cell r="EG848">
            <v>0</v>
          </cell>
          <cell r="EH848">
            <v>0</v>
          </cell>
          <cell r="EI848">
            <v>0</v>
          </cell>
          <cell r="EK848">
            <v>0</v>
          </cell>
          <cell r="EL848">
            <v>0</v>
          </cell>
          <cell r="EM848">
            <v>0</v>
          </cell>
          <cell r="EN848">
            <v>0</v>
          </cell>
          <cell r="EO848">
            <v>0</v>
          </cell>
          <cell r="EP848">
            <v>0</v>
          </cell>
          <cell r="EQ848">
            <v>0</v>
          </cell>
          <cell r="ER848">
            <v>0</v>
          </cell>
          <cell r="ES848">
            <v>0</v>
          </cell>
          <cell r="ET848">
            <v>0</v>
          </cell>
          <cell r="EU848">
            <v>0</v>
          </cell>
          <cell r="EV848">
            <v>0</v>
          </cell>
          <cell r="EW848">
            <v>0</v>
          </cell>
          <cell r="EY848">
            <v>0</v>
          </cell>
          <cell r="EZ848">
            <v>8</v>
          </cell>
          <cell r="FA848">
            <v>0</v>
          </cell>
          <cell r="FB848">
            <v>0</v>
          </cell>
          <cell r="FC848">
            <v>8.6</v>
          </cell>
          <cell r="FD848">
            <v>0</v>
          </cell>
          <cell r="FE848">
            <v>0</v>
          </cell>
          <cell r="FF848">
            <v>0</v>
          </cell>
          <cell r="FH848">
            <v>0</v>
          </cell>
        </row>
        <row r="849">
          <cell r="B849">
            <v>9983</v>
          </cell>
          <cell r="C849" t="str">
            <v>21.09.2012</v>
          </cell>
          <cell r="D849" t="str">
            <v>Jadhav Milind Arun</v>
          </cell>
          <cell r="F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BA849">
            <v>0</v>
          </cell>
          <cell r="BB849">
            <v>0</v>
          </cell>
          <cell r="BC849">
            <v>0</v>
          </cell>
          <cell r="BD849">
            <v>0</v>
          </cell>
          <cell r="BE849">
            <v>0</v>
          </cell>
          <cell r="BF849">
            <v>0</v>
          </cell>
          <cell r="BG849">
            <v>0</v>
          </cell>
          <cell r="BH849">
            <v>0</v>
          </cell>
          <cell r="BI849">
            <v>0</v>
          </cell>
          <cell r="BK849">
            <v>0</v>
          </cell>
          <cell r="BL849">
            <v>0</v>
          </cell>
          <cell r="BM849">
            <v>0</v>
          </cell>
          <cell r="BN849">
            <v>0</v>
          </cell>
          <cell r="BO849">
            <v>0</v>
          </cell>
          <cell r="BP849">
            <v>0</v>
          </cell>
          <cell r="BQ849">
            <v>0</v>
          </cell>
          <cell r="BR849">
            <v>0</v>
          </cell>
          <cell r="BS849">
            <v>0</v>
          </cell>
          <cell r="BU849">
            <v>0</v>
          </cell>
          <cell r="BV849">
            <v>0</v>
          </cell>
          <cell r="BW849">
            <v>0</v>
          </cell>
          <cell r="BX849">
            <v>0</v>
          </cell>
          <cell r="BY849">
            <v>0</v>
          </cell>
          <cell r="BZ849">
            <v>0</v>
          </cell>
          <cell r="CA849">
            <v>0</v>
          </cell>
          <cell r="CB849">
            <v>0</v>
          </cell>
          <cell r="CC849">
            <v>0</v>
          </cell>
          <cell r="CE849">
            <v>0</v>
          </cell>
          <cell r="CF849">
            <v>0</v>
          </cell>
          <cell r="CG849">
            <v>0</v>
          </cell>
          <cell r="CH849">
            <v>0</v>
          </cell>
          <cell r="CI849">
            <v>0</v>
          </cell>
          <cell r="CJ849">
            <v>0</v>
          </cell>
          <cell r="CK849">
            <v>0</v>
          </cell>
          <cell r="CL849">
            <v>0</v>
          </cell>
          <cell r="CM849">
            <v>0</v>
          </cell>
          <cell r="CO849">
            <v>0</v>
          </cell>
          <cell r="CP849">
            <v>0</v>
          </cell>
          <cell r="CQ849">
            <v>0</v>
          </cell>
          <cell r="CR849">
            <v>0</v>
          </cell>
          <cell r="CS849">
            <v>0</v>
          </cell>
          <cell r="CT849">
            <v>0</v>
          </cell>
          <cell r="CU849">
            <v>0</v>
          </cell>
          <cell r="CV849">
            <v>0</v>
          </cell>
          <cell r="CW849">
            <v>0</v>
          </cell>
          <cell r="CY849">
            <v>0</v>
          </cell>
          <cell r="CZ849">
            <v>0</v>
          </cell>
          <cell r="DA849">
            <v>0</v>
          </cell>
          <cell r="DB849">
            <v>0</v>
          </cell>
          <cell r="DC849">
            <v>0</v>
          </cell>
          <cell r="DD849">
            <v>0</v>
          </cell>
          <cell r="DE849">
            <v>0</v>
          </cell>
          <cell r="DF849">
            <v>0</v>
          </cell>
          <cell r="DG849">
            <v>0</v>
          </cell>
          <cell r="DI849">
            <v>0</v>
          </cell>
          <cell r="DJ849">
            <v>0</v>
          </cell>
          <cell r="DK849">
            <v>0</v>
          </cell>
          <cell r="DL849">
            <v>0</v>
          </cell>
          <cell r="DM849">
            <v>0</v>
          </cell>
          <cell r="DN849">
            <v>0</v>
          </cell>
          <cell r="DO849">
            <v>0</v>
          </cell>
          <cell r="DP849">
            <v>0</v>
          </cell>
          <cell r="DQ849">
            <v>0</v>
          </cell>
          <cell r="DR849">
            <v>0</v>
          </cell>
          <cell r="DS849">
            <v>0</v>
          </cell>
          <cell r="DT849">
            <v>0</v>
          </cell>
          <cell r="DU849">
            <v>0</v>
          </cell>
          <cell r="DW849">
            <v>0</v>
          </cell>
          <cell r="DX849">
            <v>0</v>
          </cell>
          <cell r="DY849">
            <v>0</v>
          </cell>
          <cell r="DZ849">
            <v>0</v>
          </cell>
          <cell r="EA849">
            <v>0</v>
          </cell>
          <cell r="EB849">
            <v>0</v>
          </cell>
          <cell r="EC849">
            <v>0</v>
          </cell>
          <cell r="ED849">
            <v>0</v>
          </cell>
          <cell r="EE849">
            <v>0</v>
          </cell>
          <cell r="EF849">
            <v>0</v>
          </cell>
          <cell r="EG849">
            <v>0</v>
          </cell>
          <cell r="EH849">
            <v>0</v>
          </cell>
          <cell r="EI849">
            <v>0</v>
          </cell>
          <cell r="EK849">
            <v>0</v>
          </cell>
          <cell r="EL849">
            <v>0</v>
          </cell>
          <cell r="EM849">
            <v>0</v>
          </cell>
          <cell r="EN849">
            <v>0</v>
          </cell>
          <cell r="EO849">
            <v>0</v>
          </cell>
          <cell r="EP849">
            <v>0</v>
          </cell>
          <cell r="EQ849">
            <v>0</v>
          </cell>
          <cell r="ER849">
            <v>0</v>
          </cell>
          <cell r="ES849">
            <v>0</v>
          </cell>
          <cell r="ET849">
            <v>0</v>
          </cell>
          <cell r="EU849">
            <v>0</v>
          </cell>
          <cell r="EV849">
            <v>0</v>
          </cell>
          <cell r="EW849">
            <v>0</v>
          </cell>
          <cell r="EY849">
            <v>0</v>
          </cell>
          <cell r="EZ849">
            <v>8</v>
          </cell>
          <cell r="FA849">
            <v>0</v>
          </cell>
          <cell r="FB849">
            <v>0</v>
          </cell>
          <cell r="FC849">
            <v>8.6</v>
          </cell>
          <cell r="FD849">
            <v>0</v>
          </cell>
          <cell r="FE849">
            <v>0</v>
          </cell>
          <cell r="FF849">
            <v>0</v>
          </cell>
          <cell r="FH849">
            <v>0</v>
          </cell>
        </row>
        <row r="850">
          <cell r="B850">
            <v>9984</v>
          </cell>
          <cell r="C850" t="str">
            <v>21.09.2012</v>
          </cell>
          <cell r="D850" t="str">
            <v>Patil Umesh Pramod</v>
          </cell>
          <cell r="F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0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BA850">
            <v>0</v>
          </cell>
          <cell r="BB850">
            <v>0</v>
          </cell>
          <cell r="BC850">
            <v>0</v>
          </cell>
          <cell r="BD850">
            <v>0</v>
          </cell>
          <cell r="BE850">
            <v>0</v>
          </cell>
          <cell r="BF850">
            <v>0</v>
          </cell>
          <cell r="BG850">
            <v>0</v>
          </cell>
          <cell r="BH850">
            <v>0</v>
          </cell>
          <cell r="BI850">
            <v>0</v>
          </cell>
          <cell r="BK850">
            <v>0</v>
          </cell>
          <cell r="BL850">
            <v>0</v>
          </cell>
          <cell r="BM850">
            <v>0</v>
          </cell>
          <cell r="BN850">
            <v>0</v>
          </cell>
          <cell r="BO850">
            <v>0</v>
          </cell>
          <cell r="BP850">
            <v>0</v>
          </cell>
          <cell r="BQ850">
            <v>0</v>
          </cell>
          <cell r="BR850">
            <v>0</v>
          </cell>
          <cell r="BS850">
            <v>0</v>
          </cell>
          <cell r="BU850">
            <v>0</v>
          </cell>
          <cell r="BV850">
            <v>0</v>
          </cell>
          <cell r="BW850">
            <v>0</v>
          </cell>
          <cell r="BX850">
            <v>0</v>
          </cell>
          <cell r="BY850">
            <v>0</v>
          </cell>
          <cell r="BZ850">
            <v>0</v>
          </cell>
          <cell r="CA850">
            <v>0</v>
          </cell>
          <cell r="CB850">
            <v>0</v>
          </cell>
          <cell r="CC850">
            <v>0</v>
          </cell>
          <cell r="CE850">
            <v>0</v>
          </cell>
          <cell r="CF850">
            <v>0</v>
          </cell>
          <cell r="CG850">
            <v>0</v>
          </cell>
          <cell r="CH850">
            <v>0</v>
          </cell>
          <cell r="CI850">
            <v>0</v>
          </cell>
          <cell r="CJ850">
            <v>0</v>
          </cell>
          <cell r="CK850">
            <v>0</v>
          </cell>
          <cell r="CL850">
            <v>0</v>
          </cell>
          <cell r="CM850">
            <v>0</v>
          </cell>
          <cell r="CO850">
            <v>0</v>
          </cell>
          <cell r="CP850">
            <v>0</v>
          </cell>
          <cell r="CQ850">
            <v>0</v>
          </cell>
          <cell r="CR850">
            <v>0</v>
          </cell>
          <cell r="CS850">
            <v>0</v>
          </cell>
          <cell r="CT850">
            <v>0</v>
          </cell>
          <cell r="CU850">
            <v>0</v>
          </cell>
          <cell r="CV850">
            <v>0</v>
          </cell>
          <cell r="CW850">
            <v>0</v>
          </cell>
          <cell r="CY850">
            <v>0</v>
          </cell>
          <cell r="CZ850">
            <v>0</v>
          </cell>
          <cell r="DA850">
            <v>0</v>
          </cell>
          <cell r="DB850">
            <v>0</v>
          </cell>
          <cell r="DC850">
            <v>0</v>
          </cell>
          <cell r="DD850">
            <v>0</v>
          </cell>
          <cell r="DE850">
            <v>0</v>
          </cell>
          <cell r="DF850">
            <v>0</v>
          </cell>
          <cell r="DG850">
            <v>0</v>
          </cell>
          <cell r="DI850">
            <v>0</v>
          </cell>
          <cell r="DJ850">
            <v>0</v>
          </cell>
          <cell r="DK850">
            <v>0</v>
          </cell>
          <cell r="DL850">
            <v>0</v>
          </cell>
          <cell r="DM850">
            <v>0</v>
          </cell>
          <cell r="DN850">
            <v>0</v>
          </cell>
          <cell r="DO850">
            <v>0</v>
          </cell>
          <cell r="DP850">
            <v>0</v>
          </cell>
          <cell r="DQ850">
            <v>0</v>
          </cell>
          <cell r="DR850">
            <v>0</v>
          </cell>
          <cell r="DS850">
            <v>0</v>
          </cell>
          <cell r="DT850">
            <v>0</v>
          </cell>
          <cell r="DU850">
            <v>0</v>
          </cell>
          <cell r="DW850">
            <v>0</v>
          </cell>
          <cell r="DX850">
            <v>0</v>
          </cell>
          <cell r="DY850">
            <v>0</v>
          </cell>
          <cell r="DZ850">
            <v>0</v>
          </cell>
          <cell r="EA850">
            <v>0</v>
          </cell>
          <cell r="EB850">
            <v>0</v>
          </cell>
          <cell r="EC850">
            <v>0</v>
          </cell>
          <cell r="ED850">
            <v>0</v>
          </cell>
          <cell r="EE850">
            <v>0</v>
          </cell>
          <cell r="EF850">
            <v>0</v>
          </cell>
          <cell r="EG850">
            <v>0</v>
          </cell>
          <cell r="EH850">
            <v>0</v>
          </cell>
          <cell r="EI850">
            <v>0</v>
          </cell>
          <cell r="EK850">
            <v>0</v>
          </cell>
          <cell r="EL850">
            <v>0</v>
          </cell>
          <cell r="EM850">
            <v>0</v>
          </cell>
          <cell r="EN850">
            <v>0</v>
          </cell>
          <cell r="EO850">
            <v>0</v>
          </cell>
          <cell r="EP850">
            <v>0</v>
          </cell>
          <cell r="EQ850">
            <v>0</v>
          </cell>
          <cell r="ER850">
            <v>0</v>
          </cell>
          <cell r="ES850">
            <v>0</v>
          </cell>
          <cell r="ET850">
            <v>0</v>
          </cell>
          <cell r="EU850">
            <v>0</v>
          </cell>
          <cell r="EV850">
            <v>0</v>
          </cell>
          <cell r="EW850">
            <v>0</v>
          </cell>
          <cell r="EY850">
            <v>0</v>
          </cell>
          <cell r="EZ850">
            <v>8</v>
          </cell>
          <cell r="FA850">
            <v>0</v>
          </cell>
          <cell r="FB850">
            <v>0</v>
          </cell>
          <cell r="FC850">
            <v>8.6</v>
          </cell>
          <cell r="FD850">
            <v>0</v>
          </cell>
          <cell r="FE850">
            <v>0</v>
          </cell>
          <cell r="FF850">
            <v>0</v>
          </cell>
          <cell r="FH850">
            <v>0</v>
          </cell>
        </row>
        <row r="851">
          <cell r="B851">
            <v>9985</v>
          </cell>
          <cell r="C851" t="str">
            <v>21.09.2012</v>
          </cell>
          <cell r="D851" t="str">
            <v>John Sunny Francis</v>
          </cell>
          <cell r="F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0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G851">
            <v>0</v>
          </cell>
          <cell r="AH851">
            <v>0</v>
          </cell>
          <cell r="AI851">
            <v>0</v>
          </cell>
          <cell r="AJ851">
            <v>0</v>
          </cell>
          <cell r="AK851">
            <v>0</v>
          </cell>
          <cell r="AL851">
            <v>0</v>
          </cell>
          <cell r="AM851">
            <v>0</v>
          </cell>
          <cell r="AN851">
            <v>0</v>
          </cell>
          <cell r="AO851">
            <v>0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  <cell r="AU851">
            <v>0</v>
          </cell>
          <cell r="AV851">
            <v>0</v>
          </cell>
          <cell r="AW851">
            <v>0</v>
          </cell>
          <cell r="AX851">
            <v>0</v>
          </cell>
          <cell r="AY851">
            <v>0</v>
          </cell>
          <cell r="BA851">
            <v>0</v>
          </cell>
          <cell r="BB851">
            <v>0</v>
          </cell>
          <cell r="BC851">
            <v>0</v>
          </cell>
          <cell r="BD851">
            <v>0</v>
          </cell>
          <cell r="BE851">
            <v>0</v>
          </cell>
          <cell r="BF851">
            <v>0</v>
          </cell>
          <cell r="BG851">
            <v>0</v>
          </cell>
          <cell r="BH851">
            <v>0</v>
          </cell>
          <cell r="BI851">
            <v>0</v>
          </cell>
          <cell r="BK851">
            <v>0</v>
          </cell>
          <cell r="BL851">
            <v>0</v>
          </cell>
          <cell r="BM851">
            <v>0</v>
          </cell>
          <cell r="BN851">
            <v>0</v>
          </cell>
          <cell r="BO851">
            <v>0</v>
          </cell>
          <cell r="BP851">
            <v>0</v>
          </cell>
          <cell r="BQ851">
            <v>0</v>
          </cell>
          <cell r="BR851">
            <v>0</v>
          </cell>
          <cell r="BS851">
            <v>0</v>
          </cell>
          <cell r="BU851">
            <v>0</v>
          </cell>
          <cell r="BV851">
            <v>0</v>
          </cell>
          <cell r="BW851">
            <v>0</v>
          </cell>
          <cell r="BX851">
            <v>0</v>
          </cell>
          <cell r="BY851">
            <v>0</v>
          </cell>
          <cell r="BZ851">
            <v>0</v>
          </cell>
          <cell r="CA851">
            <v>0</v>
          </cell>
          <cell r="CB851">
            <v>0</v>
          </cell>
          <cell r="CC851">
            <v>0</v>
          </cell>
          <cell r="CE851">
            <v>0</v>
          </cell>
          <cell r="CF851">
            <v>0</v>
          </cell>
          <cell r="CG851">
            <v>0</v>
          </cell>
          <cell r="CH851">
            <v>0</v>
          </cell>
          <cell r="CI851">
            <v>0</v>
          </cell>
          <cell r="CJ851">
            <v>0</v>
          </cell>
          <cell r="CK851">
            <v>0</v>
          </cell>
          <cell r="CL851">
            <v>0</v>
          </cell>
          <cell r="CM851">
            <v>0</v>
          </cell>
          <cell r="CO851">
            <v>0</v>
          </cell>
          <cell r="CP851">
            <v>0</v>
          </cell>
          <cell r="CQ851">
            <v>0</v>
          </cell>
          <cell r="CR851">
            <v>0</v>
          </cell>
          <cell r="CS851">
            <v>0</v>
          </cell>
          <cell r="CT851">
            <v>0</v>
          </cell>
          <cell r="CU851">
            <v>0</v>
          </cell>
          <cell r="CV851">
            <v>0</v>
          </cell>
          <cell r="CW851">
            <v>0</v>
          </cell>
          <cell r="CY851">
            <v>0</v>
          </cell>
          <cell r="CZ851">
            <v>0</v>
          </cell>
          <cell r="DA851">
            <v>0</v>
          </cell>
          <cell r="DB851">
            <v>0</v>
          </cell>
          <cell r="DC851">
            <v>0</v>
          </cell>
          <cell r="DD851">
            <v>0</v>
          </cell>
          <cell r="DE851">
            <v>0</v>
          </cell>
          <cell r="DF851">
            <v>0</v>
          </cell>
          <cell r="DG851">
            <v>0</v>
          </cell>
          <cell r="DI851">
            <v>0</v>
          </cell>
          <cell r="DJ851">
            <v>0</v>
          </cell>
          <cell r="DK851">
            <v>0</v>
          </cell>
          <cell r="DL851">
            <v>0</v>
          </cell>
          <cell r="DM851">
            <v>0</v>
          </cell>
          <cell r="DN851">
            <v>0</v>
          </cell>
          <cell r="DO851">
            <v>0</v>
          </cell>
          <cell r="DP851">
            <v>0</v>
          </cell>
          <cell r="DQ851">
            <v>0</v>
          </cell>
          <cell r="DR851">
            <v>0</v>
          </cell>
          <cell r="DS851">
            <v>0</v>
          </cell>
          <cell r="DT851">
            <v>0</v>
          </cell>
          <cell r="DU851">
            <v>0</v>
          </cell>
          <cell r="DW851">
            <v>0</v>
          </cell>
          <cell r="DX851">
            <v>0</v>
          </cell>
          <cell r="DY851">
            <v>0</v>
          </cell>
          <cell r="DZ851">
            <v>0</v>
          </cell>
          <cell r="EA851">
            <v>0</v>
          </cell>
          <cell r="EB851">
            <v>0</v>
          </cell>
          <cell r="EC851">
            <v>0</v>
          </cell>
          <cell r="ED851">
            <v>0</v>
          </cell>
          <cell r="EE851">
            <v>0</v>
          </cell>
          <cell r="EF851">
            <v>0</v>
          </cell>
          <cell r="EG851">
            <v>0</v>
          </cell>
          <cell r="EH851">
            <v>0</v>
          </cell>
          <cell r="EI851">
            <v>0</v>
          </cell>
          <cell r="EK851">
            <v>0</v>
          </cell>
          <cell r="EL851">
            <v>0</v>
          </cell>
          <cell r="EM851">
            <v>0</v>
          </cell>
          <cell r="EN851">
            <v>0</v>
          </cell>
          <cell r="EO851">
            <v>0</v>
          </cell>
          <cell r="EP851">
            <v>0</v>
          </cell>
          <cell r="EQ851">
            <v>0</v>
          </cell>
          <cell r="ER851">
            <v>0</v>
          </cell>
          <cell r="ES851">
            <v>0</v>
          </cell>
          <cell r="ET851">
            <v>0</v>
          </cell>
          <cell r="EU851">
            <v>0</v>
          </cell>
          <cell r="EV851">
            <v>0</v>
          </cell>
          <cell r="EW851">
            <v>0</v>
          </cell>
          <cell r="EY851">
            <v>0</v>
          </cell>
          <cell r="EZ851">
            <v>8</v>
          </cell>
          <cell r="FA851">
            <v>0</v>
          </cell>
          <cell r="FB851">
            <v>0</v>
          </cell>
          <cell r="FC851">
            <v>8.6</v>
          </cell>
          <cell r="FD851">
            <v>0</v>
          </cell>
          <cell r="FE851">
            <v>0</v>
          </cell>
          <cell r="FF851">
            <v>0</v>
          </cell>
          <cell r="FH851">
            <v>0</v>
          </cell>
        </row>
        <row r="852">
          <cell r="B852">
            <v>9986</v>
          </cell>
          <cell r="C852" t="str">
            <v>21.09.2012</v>
          </cell>
          <cell r="D852" t="str">
            <v>Rokade Sandip Rambhau</v>
          </cell>
          <cell r="F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0</v>
          </cell>
          <cell r="AK852">
            <v>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  <cell r="AU852">
            <v>0</v>
          </cell>
          <cell r="AV852">
            <v>0</v>
          </cell>
          <cell r="AW852">
            <v>0</v>
          </cell>
          <cell r="AX852">
            <v>0</v>
          </cell>
          <cell r="AY852">
            <v>0</v>
          </cell>
          <cell r="BA852">
            <v>0</v>
          </cell>
          <cell r="BB852">
            <v>0</v>
          </cell>
          <cell r="BC852">
            <v>0</v>
          </cell>
          <cell r="BD852">
            <v>0</v>
          </cell>
          <cell r="BE852">
            <v>0</v>
          </cell>
          <cell r="BF852">
            <v>0</v>
          </cell>
          <cell r="BG852">
            <v>0</v>
          </cell>
          <cell r="BH852">
            <v>0</v>
          </cell>
          <cell r="BI852">
            <v>0</v>
          </cell>
          <cell r="BK852">
            <v>0</v>
          </cell>
          <cell r="BL852">
            <v>0</v>
          </cell>
          <cell r="BM852">
            <v>0</v>
          </cell>
          <cell r="BN852">
            <v>0</v>
          </cell>
          <cell r="BO852">
            <v>0</v>
          </cell>
          <cell r="BP852">
            <v>0</v>
          </cell>
          <cell r="BQ852">
            <v>0</v>
          </cell>
          <cell r="BR852">
            <v>0</v>
          </cell>
          <cell r="BS852">
            <v>0</v>
          </cell>
          <cell r="BU852">
            <v>0</v>
          </cell>
          <cell r="BV852">
            <v>0</v>
          </cell>
          <cell r="BW852">
            <v>0</v>
          </cell>
          <cell r="BX852">
            <v>0</v>
          </cell>
          <cell r="BY852">
            <v>0</v>
          </cell>
          <cell r="BZ852">
            <v>0</v>
          </cell>
          <cell r="CA852">
            <v>0</v>
          </cell>
          <cell r="CB852">
            <v>0</v>
          </cell>
          <cell r="CC852">
            <v>0</v>
          </cell>
          <cell r="CE852">
            <v>0</v>
          </cell>
          <cell r="CF852">
            <v>0</v>
          </cell>
          <cell r="CG852">
            <v>0</v>
          </cell>
          <cell r="CH852">
            <v>0</v>
          </cell>
          <cell r="CI852">
            <v>0</v>
          </cell>
          <cell r="CJ852">
            <v>0</v>
          </cell>
          <cell r="CK852">
            <v>0</v>
          </cell>
          <cell r="CL852">
            <v>0</v>
          </cell>
          <cell r="CM852">
            <v>0</v>
          </cell>
          <cell r="CO852">
            <v>0</v>
          </cell>
          <cell r="CP852">
            <v>0</v>
          </cell>
          <cell r="CQ852">
            <v>0</v>
          </cell>
          <cell r="CR852">
            <v>0</v>
          </cell>
          <cell r="CS852">
            <v>0</v>
          </cell>
          <cell r="CT852">
            <v>0</v>
          </cell>
          <cell r="CU852">
            <v>0</v>
          </cell>
          <cell r="CV852">
            <v>0</v>
          </cell>
          <cell r="CW852">
            <v>0</v>
          </cell>
          <cell r="CY852">
            <v>0</v>
          </cell>
          <cell r="CZ852">
            <v>0</v>
          </cell>
          <cell r="DA852">
            <v>0</v>
          </cell>
          <cell r="DB852">
            <v>0</v>
          </cell>
          <cell r="DC852">
            <v>0</v>
          </cell>
          <cell r="DD852">
            <v>0</v>
          </cell>
          <cell r="DE852">
            <v>0</v>
          </cell>
          <cell r="DF852">
            <v>0</v>
          </cell>
          <cell r="DG852">
            <v>0</v>
          </cell>
          <cell r="DI852">
            <v>0</v>
          </cell>
          <cell r="DJ852">
            <v>0</v>
          </cell>
          <cell r="DK852">
            <v>0</v>
          </cell>
          <cell r="DL852">
            <v>0</v>
          </cell>
          <cell r="DM852">
            <v>0</v>
          </cell>
          <cell r="DN852">
            <v>0</v>
          </cell>
          <cell r="DO852">
            <v>0</v>
          </cell>
          <cell r="DP852">
            <v>0</v>
          </cell>
          <cell r="DQ852">
            <v>0</v>
          </cell>
          <cell r="DR852">
            <v>0</v>
          </cell>
          <cell r="DS852">
            <v>0</v>
          </cell>
          <cell r="DT852">
            <v>0</v>
          </cell>
          <cell r="DU852">
            <v>0</v>
          </cell>
          <cell r="DW852">
            <v>0</v>
          </cell>
          <cell r="DX852">
            <v>0</v>
          </cell>
          <cell r="DY852">
            <v>0</v>
          </cell>
          <cell r="DZ852">
            <v>0</v>
          </cell>
          <cell r="EA852">
            <v>0</v>
          </cell>
          <cell r="EB852">
            <v>0</v>
          </cell>
          <cell r="EC852">
            <v>0</v>
          </cell>
          <cell r="ED852">
            <v>0</v>
          </cell>
          <cell r="EE852">
            <v>0</v>
          </cell>
          <cell r="EF852">
            <v>0</v>
          </cell>
          <cell r="EG852">
            <v>0</v>
          </cell>
          <cell r="EH852">
            <v>0</v>
          </cell>
          <cell r="EI852">
            <v>0</v>
          </cell>
          <cell r="EK852">
            <v>0</v>
          </cell>
          <cell r="EL852">
            <v>0</v>
          </cell>
          <cell r="EM852">
            <v>0</v>
          </cell>
          <cell r="EN852">
            <v>0</v>
          </cell>
          <cell r="EO852">
            <v>0</v>
          </cell>
          <cell r="EP852">
            <v>0</v>
          </cell>
          <cell r="EQ852">
            <v>0</v>
          </cell>
          <cell r="ER852">
            <v>0</v>
          </cell>
          <cell r="ES852">
            <v>0</v>
          </cell>
          <cell r="ET852">
            <v>0</v>
          </cell>
          <cell r="EU852">
            <v>0</v>
          </cell>
          <cell r="EV852">
            <v>0</v>
          </cell>
          <cell r="EW852">
            <v>0</v>
          </cell>
          <cell r="EY852">
            <v>0</v>
          </cell>
          <cell r="EZ852">
            <v>8</v>
          </cell>
          <cell r="FA852">
            <v>0</v>
          </cell>
          <cell r="FB852">
            <v>0</v>
          </cell>
          <cell r="FC852">
            <v>8.6</v>
          </cell>
          <cell r="FD852">
            <v>0</v>
          </cell>
          <cell r="FE852">
            <v>0</v>
          </cell>
          <cell r="FF852">
            <v>0</v>
          </cell>
          <cell r="FH852">
            <v>0</v>
          </cell>
        </row>
        <row r="853">
          <cell r="B853">
            <v>9987</v>
          </cell>
          <cell r="C853" t="str">
            <v>21.09.2012</v>
          </cell>
          <cell r="D853" t="str">
            <v>Shinde Chetan Balasaheb</v>
          </cell>
          <cell r="F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G853">
            <v>0</v>
          </cell>
          <cell r="AH853">
            <v>0</v>
          </cell>
          <cell r="AI853">
            <v>0</v>
          </cell>
          <cell r="AJ853">
            <v>0</v>
          </cell>
          <cell r="AK853">
            <v>0</v>
          </cell>
          <cell r="AL853">
            <v>0</v>
          </cell>
          <cell r="AM853">
            <v>0</v>
          </cell>
          <cell r="AN853">
            <v>0</v>
          </cell>
          <cell r="AO853">
            <v>0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  <cell r="AU853">
            <v>0</v>
          </cell>
          <cell r="AV853">
            <v>0</v>
          </cell>
          <cell r="AW853">
            <v>0</v>
          </cell>
          <cell r="AX853">
            <v>0</v>
          </cell>
          <cell r="AY853">
            <v>0</v>
          </cell>
          <cell r="BA853">
            <v>0</v>
          </cell>
          <cell r="BB853">
            <v>0</v>
          </cell>
          <cell r="BC853">
            <v>0</v>
          </cell>
          <cell r="BD853">
            <v>0</v>
          </cell>
          <cell r="BE853">
            <v>0</v>
          </cell>
          <cell r="BF853">
            <v>0</v>
          </cell>
          <cell r="BG853">
            <v>0</v>
          </cell>
          <cell r="BH853">
            <v>0</v>
          </cell>
          <cell r="BI853">
            <v>0</v>
          </cell>
          <cell r="BK853">
            <v>0</v>
          </cell>
          <cell r="BL853">
            <v>0</v>
          </cell>
          <cell r="BM853">
            <v>0</v>
          </cell>
          <cell r="BN853">
            <v>0</v>
          </cell>
          <cell r="BO853">
            <v>0</v>
          </cell>
          <cell r="BP853">
            <v>0</v>
          </cell>
          <cell r="BQ853">
            <v>0</v>
          </cell>
          <cell r="BR853">
            <v>0</v>
          </cell>
          <cell r="BS853">
            <v>0</v>
          </cell>
          <cell r="BU853">
            <v>0</v>
          </cell>
          <cell r="BV853">
            <v>0</v>
          </cell>
          <cell r="BW853">
            <v>0</v>
          </cell>
          <cell r="BX853">
            <v>0</v>
          </cell>
          <cell r="BY853">
            <v>0</v>
          </cell>
          <cell r="BZ853">
            <v>0</v>
          </cell>
          <cell r="CA853">
            <v>0</v>
          </cell>
          <cell r="CB853">
            <v>0</v>
          </cell>
          <cell r="CC853">
            <v>0</v>
          </cell>
          <cell r="CE853">
            <v>0</v>
          </cell>
          <cell r="CF853">
            <v>0</v>
          </cell>
          <cell r="CG853">
            <v>0</v>
          </cell>
          <cell r="CH853">
            <v>0</v>
          </cell>
          <cell r="CI853">
            <v>0</v>
          </cell>
          <cell r="CJ853">
            <v>0</v>
          </cell>
          <cell r="CK853">
            <v>0</v>
          </cell>
          <cell r="CL853">
            <v>0</v>
          </cell>
          <cell r="CM853">
            <v>0</v>
          </cell>
          <cell r="CO853">
            <v>0</v>
          </cell>
          <cell r="CP853">
            <v>0</v>
          </cell>
          <cell r="CQ853">
            <v>0</v>
          </cell>
          <cell r="CR853">
            <v>0</v>
          </cell>
          <cell r="CS853">
            <v>0</v>
          </cell>
          <cell r="CT853">
            <v>0</v>
          </cell>
          <cell r="CU853">
            <v>0</v>
          </cell>
          <cell r="CV853">
            <v>0</v>
          </cell>
          <cell r="CW853">
            <v>0</v>
          </cell>
          <cell r="CY853">
            <v>0</v>
          </cell>
          <cell r="CZ853">
            <v>0</v>
          </cell>
          <cell r="DA853">
            <v>0</v>
          </cell>
          <cell r="DB853">
            <v>0</v>
          </cell>
          <cell r="DC853">
            <v>0</v>
          </cell>
          <cell r="DD853">
            <v>0</v>
          </cell>
          <cell r="DE853">
            <v>0</v>
          </cell>
          <cell r="DF853">
            <v>0</v>
          </cell>
          <cell r="DG853">
            <v>0</v>
          </cell>
          <cell r="DI853">
            <v>0</v>
          </cell>
          <cell r="DJ853">
            <v>0</v>
          </cell>
          <cell r="DK853">
            <v>0</v>
          </cell>
          <cell r="DL853">
            <v>0</v>
          </cell>
          <cell r="DM853">
            <v>0</v>
          </cell>
          <cell r="DN853">
            <v>0</v>
          </cell>
          <cell r="DO853">
            <v>0</v>
          </cell>
          <cell r="DP853">
            <v>0</v>
          </cell>
          <cell r="DQ853">
            <v>0</v>
          </cell>
          <cell r="DR853">
            <v>0</v>
          </cell>
          <cell r="DS853">
            <v>0</v>
          </cell>
          <cell r="DT853">
            <v>0</v>
          </cell>
          <cell r="DU853">
            <v>0</v>
          </cell>
          <cell r="DW853">
            <v>0</v>
          </cell>
          <cell r="DX853">
            <v>0</v>
          </cell>
          <cell r="DY853">
            <v>0</v>
          </cell>
          <cell r="DZ853">
            <v>0</v>
          </cell>
          <cell r="EA853">
            <v>0</v>
          </cell>
          <cell r="EB853">
            <v>0</v>
          </cell>
          <cell r="EC853">
            <v>0</v>
          </cell>
          <cell r="ED853">
            <v>0</v>
          </cell>
          <cell r="EE853">
            <v>0</v>
          </cell>
          <cell r="EF853">
            <v>0</v>
          </cell>
          <cell r="EG853">
            <v>0</v>
          </cell>
          <cell r="EH853">
            <v>0</v>
          </cell>
          <cell r="EI853">
            <v>0</v>
          </cell>
          <cell r="EK853">
            <v>0</v>
          </cell>
          <cell r="EL853">
            <v>0</v>
          </cell>
          <cell r="EM853">
            <v>0</v>
          </cell>
          <cell r="EN853">
            <v>0</v>
          </cell>
          <cell r="EO853">
            <v>0</v>
          </cell>
          <cell r="EP853">
            <v>0</v>
          </cell>
          <cell r="EQ853">
            <v>0</v>
          </cell>
          <cell r="ER853">
            <v>0</v>
          </cell>
          <cell r="ES853">
            <v>0</v>
          </cell>
          <cell r="ET853">
            <v>0</v>
          </cell>
          <cell r="EU853">
            <v>0</v>
          </cell>
          <cell r="EV853">
            <v>0</v>
          </cell>
          <cell r="EW853">
            <v>0</v>
          </cell>
          <cell r="EY853">
            <v>0</v>
          </cell>
          <cell r="EZ853">
            <v>8</v>
          </cell>
          <cell r="FA853">
            <v>0</v>
          </cell>
          <cell r="FB853">
            <v>0</v>
          </cell>
          <cell r="FC853">
            <v>8.6</v>
          </cell>
          <cell r="FD853">
            <v>0</v>
          </cell>
          <cell r="FE853">
            <v>0</v>
          </cell>
          <cell r="FF853">
            <v>0</v>
          </cell>
          <cell r="FH853">
            <v>0</v>
          </cell>
        </row>
        <row r="854">
          <cell r="B854">
            <v>9988</v>
          </cell>
          <cell r="C854" t="str">
            <v>21.09.2012</v>
          </cell>
          <cell r="D854" t="str">
            <v>Chavan Shubham Satish</v>
          </cell>
          <cell r="F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G854">
            <v>0</v>
          </cell>
          <cell r="AH854">
            <v>0</v>
          </cell>
          <cell r="AI854">
            <v>0</v>
          </cell>
          <cell r="AJ854">
            <v>0</v>
          </cell>
          <cell r="AK854">
            <v>0</v>
          </cell>
          <cell r="AL854">
            <v>0</v>
          </cell>
          <cell r="AM854">
            <v>0</v>
          </cell>
          <cell r="AN854">
            <v>0</v>
          </cell>
          <cell r="AO854">
            <v>0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  <cell r="AU854">
            <v>0</v>
          </cell>
          <cell r="AV854">
            <v>0</v>
          </cell>
          <cell r="AW854">
            <v>0</v>
          </cell>
          <cell r="AX854">
            <v>0</v>
          </cell>
          <cell r="AY854">
            <v>0</v>
          </cell>
          <cell r="BA854">
            <v>0</v>
          </cell>
          <cell r="BB854">
            <v>0</v>
          </cell>
          <cell r="BC854">
            <v>0</v>
          </cell>
          <cell r="BD854">
            <v>0</v>
          </cell>
          <cell r="BE854">
            <v>0</v>
          </cell>
          <cell r="BF854">
            <v>0</v>
          </cell>
          <cell r="BG854">
            <v>0</v>
          </cell>
          <cell r="BH854">
            <v>0</v>
          </cell>
          <cell r="BI854">
            <v>0</v>
          </cell>
          <cell r="BK854">
            <v>0</v>
          </cell>
          <cell r="BL854">
            <v>0</v>
          </cell>
          <cell r="BM854">
            <v>0</v>
          </cell>
          <cell r="BN854">
            <v>0</v>
          </cell>
          <cell r="BO854">
            <v>0</v>
          </cell>
          <cell r="BP854">
            <v>0</v>
          </cell>
          <cell r="BQ854">
            <v>0</v>
          </cell>
          <cell r="BR854">
            <v>0</v>
          </cell>
          <cell r="BS854">
            <v>0</v>
          </cell>
          <cell r="BU854">
            <v>0</v>
          </cell>
          <cell r="BV854">
            <v>0</v>
          </cell>
          <cell r="BW854">
            <v>0</v>
          </cell>
          <cell r="BX854">
            <v>0</v>
          </cell>
          <cell r="BY854">
            <v>0</v>
          </cell>
          <cell r="BZ854">
            <v>0</v>
          </cell>
          <cell r="CA854">
            <v>0</v>
          </cell>
          <cell r="CB854">
            <v>0</v>
          </cell>
          <cell r="CC854">
            <v>0</v>
          </cell>
          <cell r="CE854">
            <v>0</v>
          </cell>
          <cell r="CF854">
            <v>0</v>
          </cell>
          <cell r="CG854">
            <v>0</v>
          </cell>
          <cell r="CH854">
            <v>0</v>
          </cell>
          <cell r="CI854">
            <v>0</v>
          </cell>
          <cell r="CJ854">
            <v>0</v>
          </cell>
          <cell r="CK854">
            <v>0</v>
          </cell>
          <cell r="CL854">
            <v>0</v>
          </cell>
          <cell r="CM854">
            <v>0</v>
          </cell>
          <cell r="CO854">
            <v>0</v>
          </cell>
          <cell r="CP854">
            <v>0</v>
          </cell>
          <cell r="CQ854">
            <v>0</v>
          </cell>
          <cell r="CR854">
            <v>0</v>
          </cell>
          <cell r="CS854">
            <v>0</v>
          </cell>
          <cell r="CT854">
            <v>0</v>
          </cell>
          <cell r="CU854">
            <v>0</v>
          </cell>
          <cell r="CV854">
            <v>0</v>
          </cell>
          <cell r="CW854">
            <v>0</v>
          </cell>
          <cell r="CY854">
            <v>0</v>
          </cell>
          <cell r="CZ854">
            <v>0</v>
          </cell>
          <cell r="DA854">
            <v>0</v>
          </cell>
          <cell r="DB854">
            <v>0</v>
          </cell>
          <cell r="DC854">
            <v>0</v>
          </cell>
          <cell r="DD854">
            <v>0</v>
          </cell>
          <cell r="DE854">
            <v>0</v>
          </cell>
          <cell r="DF854">
            <v>0</v>
          </cell>
          <cell r="DG854">
            <v>0</v>
          </cell>
          <cell r="DI854">
            <v>0</v>
          </cell>
          <cell r="DJ854">
            <v>0</v>
          </cell>
          <cell r="DK854">
            <v>0</v>
          </cell>
          <cell r="DL854">
            <v>0</v>
          </cell>
          <cell r="DM854">
            <v>0</v>
          </cell>
          <cell r="DN854">
            <v>0</v>
          </cell>
          <cell r="DO854">
            <v>0</v>
          </cell>
          <cell r="DP854">
            <v>0</v>
          </cell>
          <cell r="DQ854">
            <v>0</v>
          </cell>
          <cell r="DR854">
            <v>0</v>
          </cell>
          <cell r="DS854">
            <v>0</v>
          </cell>
          <cell r="DT854">
            <v>0</v>
          </cell>
          <cell r="DU854">
            <v>0</v>
          </cell>
          <cell r="DW854">
            <v>0</v>
          </cell>
          <cell r="DX854">
            <v>0</v>
          </cell>
          <cell r="DY854">
            <v>0</v>
          </cell>
          <cell r="DZ854">
            <v>0</v>
          </cell>
          <cell r="EA854">
            <v>0</v>
          </cell>
          <cell r="EB854">
            <v>0</v>
          </cell>
          <cell r="EC854">
            <v>0</v>
          </cell>
          <cell r="ED854">
            <v>0</v>
          </cell>
          <cell r="EE854">
            <v>0</v>
          </cell>
          <cell r="EF854">
            <v>0</v>
          </cell>
          <cell r="EG854">
            <v>0</v>
          </cell>
          <cell r="EH854">
            <v>0</v>
          </cell>
          <cell r="EI854">
            <v>0</v>
          </cell>
          <cell r="EK854">
            <v>0</v>
          </cell>
          <cell r="EL854">
            <v>0</v>
          </cell>
          <cell r="EM854">
            <v>0</v>
          </cell>
          <cell r="EN854">
            <v>0</v>
          </cell>
          <cell r="EO854">
            <v>0</v>
          </cell>
          <cell r="EP854">
            <v>0</v>
          </cell>
          <cell r="EQ854">
            <v>0</v>
          </cell>
          <cell r="ER854">
            <v>0</v>
          </cell>
          <cell r="ES854">
            <v>0</v>
          </cell>
          <cell r="ET854">
            <v>0</v>
          </cell>
          <cell r="EU854">
            <v>0</v>
          </cell>
          <cell r="EV854">
            <v>0</v>
          </cell>
          <cell r="EW854">
            <v>0</v>
          </cell>
          <cell r="EY854">
            <v>0</v>
          </cell>
          <cell r="EZ854">
            <v>8</v>
          </cell>
          <cell r="FA854">
            <v>0</v>
          </cell>
          <cell r="FB854">
            <v>0</v>
          </cell>
          <cell r="FC854">
            <v>8.6</v>
          </cell>
          <cell r="FD854">
            <v>0</v>
          </cell>
          <cell r="FE854">
            <v>0</v>
          </cell>
          <cell r="FF854">
            <v>0</v>
          </cell>
          <cell r="FH854">
            <v>0</v>
          </cell>
        </row>
        <row r="855">
          <cell r="B855">
            <v>9989</v>
          </cell>
          <cell r="C855" t="str">
            <v>21.09.2012</v>
          </cell>
          <cell r="D855" t="str">
            <v>Nikam Swapnil Manik</v>
          </cell>
          <cell r="F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G855">
            <v>0</v>
          </cell>
          <cell r="AH855">
            <v>0</v>
          </cell>
          <cell r="AI855">
            <v>0</v>
          </cell>
          <cell r="AJ855">
            <v>0</v>
          </cell>
          <cell r="AK855">
            <v>0</v>
          </cell>
          <cell r="AL855">
            <v>0</v>
          </cell>
          <cell r="AM855">
            <v>0</v>
          </cell>
          <cell r="AN855">
            <v>0</v>
          </cell>
          <cell r="AO855">
            <v>0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0</v>
          </cell>
          <cell r="BA855">
            <v>0</v>
          </cell>
          <cell r="BB855">
            <v>0</v>
          </cell>
          <cell r="BC855">
            <v>0</v>
          </cell>
          <cell r="BD855">
            <v>0</v>
          </cell>
          <cell r="BE855">
            <v>0</v>
          </cell>
          <cell r="BF855">
            <v>0</v>
          </cell>
          <cell r="BG855">
            <v>0</v>
          </cell>
          <cell r="BH855">
            <v>0</v>
          </cell>
          <cell r="BI855">
            <v>0</v>
          </cell>
          <cell r="BK855">
            <v>0</v>
          </cell>
          <cell r="BL855">
            <v>0</v>
          </cell>
          <cell r="BM855">
            <v>0</v>
          </cell>
          <cell r="BN855">
            <v>0</v>
          </cell>
          <cell r="BO855">
            <v>0</v>
          </cell>
          <cell r="BP855">
            <v>0</v>
          </cell>
          <cell r="BQ855">
            <v>0</v>
          </cell>
          <cell r="BR855">
            <v>0</v>
          </cell>
          <cell r="BS855">
            <v>0</v>
          </cell>
          <cell r="BU855">
            <v>0</v>
          </cell>
          <cell r="BV855">
            <v>0</v>
          </cell>
          <cell r="BW855">
            <v>0</v>
          </cell>
          <cell r="BX855">
            <v>0</v>
          </cell>
          <cell r="BY855">
            <v>0</v>
          </cell>
          <cell r="BZ855">
            <v>0</v>
          </cell>
          <cell r="CA855">
            <v>0</v>
          </cell>
          <cell r="CB855">
            <v>0</v>
          </cell>
          <cell r="CC855">
            <v>0</v>
          </cell>
          <cell r="CE855">
            <v>0</v>
          </cell>
          <cell r="CF855">
            <v>0</v>
          </cell>
          <cell r="CG855">
            <v>0</v>
          </cell>
          <cell r="CH855">
            <v>0</v>
          </cell>
          <cell r="CI855">
            <v>0</v>
          </cell>
          <cell r="CJ855">
            <v>0</v>
          </cell>
          <cell r="CK855">
            <v>0</v>
          </cell>
          <cell r="CL855">
            <v>0</v>
          </cell>
          <cell r="CM855">
            <v>0</v>
          </cell>
          <cell r="CO855">
            <v>0</v>
          </cell>
          <cell r="CP855">
            <v>0</v>
          </cell>
          <cell r="CQ855">
            <v>0</v>
          </cell>
          <cell r="CR855">
            <v>0</v>
          </cell>
          <cell r="CS855">
            <v>0</v>
          </cell>
          <cell r="CT855">
            <v>0</v>
          </cell>
          <cell r="CU855">
            <v>0</v>
          </cell>
          <cell r="CV855">
            <v>0</v>
          </cell>
          <cell r="CW855">
            <v>0</v>
          </cell>
          <cell r="CY855">
            <v>0</v>
          </cell>
          <cell r="CZ855">
            <v>0</v>
          </cell>
          <cell r="DA855">
            <v>0</v>
          </cell>
          <cell r="DB855">
            <v>0</v>
          </cell>
          <cell r="DC855">
            <v>0</v>
          </cell>
          <cell r="DD855">
            <v>0</v>
          </cell>
          <cell r="DE855">
            <v>0</v>
          </cell>
          <cell r="DF855">
            <v>0</v>
          </cell>
          <cell r="DG855">
            <v>0</v>
          </cell>
          <cell r="DI855">
            <v>0</v>
          </cell>
          <cell r="DJ855">
            <v>0</v>
          </cell>
          <cell r="DK855">
            <v>0</v>
          </cell>
          <cell r="DL855">
            <v>0</v>
          </cell>
          <cell r="DM855">
            <v>0</v>
          </cell>
          <cell r="DN855">
            <v>0</v>
          </cell>
          <cell r="DO855">
            <v>0</v>
          </cell>
          <cell r="DP855">
            <v>0</v>
          </cell>
          <cell r="DQ855">
            <v>0</v>
          </cell>
          <cell r="DR855">
            <v>0</v>
          </cell>
          <cell r="DS855">
            <v>0</v>
          </cell>
          <cell r="DT855">
            <v>0</v>
          </cell>
          <cell r="DU855">
            <v>0</v>
          </cell>
          <cell r="DW855">
            <v>0</v>
          </cell>
          <cell r="DX855">
            <v>0</v>
          </cell>
          <cell r="DY855">
            <v>0</v>
          </cell>
          <cell r="DZ855">
            <v>0</v>
          </cell>
          <cell r="EA855">
            <v>0</v>
          </cell>
          <cell r="EB855">
            <v>0</v>
          </cell>
          <cell r="EC855">
            <v>0</v>
          </cell>
          <cell r="ED855">
            <v>0</v>
          </cell>
          <cell r="EE855">
            <v>0</v>
          </cell>
          <cell r="EF855">
            <v>0</v>
          </cell>
          <cell r="EG855">
            <v>0</v>
          </cell>
          <cell r="EH855">
            <v>0</v>
          </cell>
          <cell r="EI855">
            <v>0</v>
          </cell>
          <cell r="EK855">
            <v>0</v>
          </cell>
          <cell r="EL855">
            <v>0</v>
          </cell>
          <cell r="EM855">
            <v>0</v>
          </cell>
          <cell r="EN855">
            <v>0</v>
          </cell>
          <cell r="EO855">
            <v>0</v>
          </cell>
          <cell r="EP855">
            <v>0</v>
          </cell>
          <cell r="EQ855">
            <v>0</v>
          </cell>
          <cell r="ER855">
            <v>0</v>
          </cell>
          <cell r="ES855">
            <v>0</v>
          </cell>
          <cell r="ET855">
            <v>0</v>
          </cell>
          <cell r="EU855">
            <v>0</v>
          </cell>
          <cell r="EV855">
            <v>0</v>
          </cell>
          <cell r="EW855">
            <v>0</v>
          </cell>
          <cell r="EY855">
            <v>0</v>
          </cell>
          <cell r="EZ855">
            <v>8</v>
          </cell>
          <cell r="FA855">
            <v>0</v>
          </cell>
          <cell r="FB855">
            <v>0</v>
          </cell>
          <cell r="FC855">
            <v>8.6</v>
          </cell>
          <cell r="FD855">
            <v>0</v>
          </cell>
          <cell r="FE855">
            <v>0</v>
          </cell>
          <cell r="FF855">
            <v>0</v>
          </cell>
          <cell r="FH855">
            <v>0</v>
          </cell>
        </row>
        <row r="856">
          <cell r="B856">
            <v>10134</v>
          </cell>
          <cell r="C856" t="str">
            <v>21.09.2012</v>
          </cell>
          <cell r="D856" t="str">
            <v>Sheetal Anil Borse</v>
          </cell>
          <cell r="F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G856">
            <v>0</v>
          </cell>
          <cell r="AH856">
            <v>0</v>
          </cell>
          <cell r="AI856">
            <v>0</v>
          </cell>
          <cell r="AJ856">
            <v>0</v>
          </cell>
          <cell r="AK856">
            <v>0</v>
          </cell>
          <cell r="AL856">
            <v>0</v>
          </cell>
          <cell r="AM856">
            <v>0</v>
          </cell>
          <cell r="AN856">
            <v>0</v>
          </cell>
          <cell r="AO856">
            <v>0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  <cell r="AU856">
            <v>0</v>
          </cell>
          <cell r="AV856">
            <v>0</v>
          </cell>
          <cell r="AW856">
            <v>0</v>
          </cell>
          <cell r="AX856">
            <v>0</v>
          </cell>
          <cell r="AY856">
            <v>0</v>
          </cell>
          <cell r="BA856">
            <v>0</v>
          </cell>
          <cell r="BB856">
            <v>0</v>
          </cell>
          <cell r="BC856">
            <v>0</v>
          </cell>
          <cell r="BD856">
            <v>0</v>
          </cell>
          <cell r="BE856">
            <v>0</v>
          </cell>
          <cell r="BF856">
            <v>0</v>
          </cell>
          <cell r="BG856">
            <v>0</v>
          </cell>
          <cell r="BH856">
            <v>0</v>
          </cell>
          <cell r="BI856">
            <v>0</v>
          </cell>
          <cell r="BK856">
            <v>0</v>
          </cell>
          <cell r="BL856">
            <v>0</v>
          </cell>
          <cell r="BM856">
            <v>0</v>
          </cell>
          <cell r="BN856">
            <v>0</v>
          </cell>
          <cell r="BO856">
            <v>0</v>
          </cell>
          <cell r="BP856">
            <v>0</v>
          </cell>
          <cell r="BQ856">
            <v>0</v>
          </cell>
          <cell r="BR856">
            <v>0</v>
          </cell>
          <cell r="BS856">
            <v>0</v>
          </cell>
          <cell r="BU856">
            <v>0</v>
          </cell>
          <cell r="BV856">
            <v>0</v>
          </cell>
          <cell r="BW856">
            <v>0</v>
          </cell>
          <cell r="BX856">
            <v>0</v>
          </cell>
          <cell r="BY856">
            <v>0</v>
          </cell>
          <cell r="BZ856">
            <v>0</v>
          </cell>
          <cell r="CA856">
            <v>0</v>
          </cell>
          <cell r="CB856">
            <v>0</v>
          </cell>
          <cell r="CC856">
            <v>0</v>
          </cell>
          <cell r="CE856">
            <v>0</v>
          </cell>
          <cell r="CF856">
            <v>0</v>
          </cell>
          <cell r="CG856">
            <v>0</v>
          </cell>
          <cell r="CH856">
            <v>0</v>
          </cell>
          <cell r="CI856">
            <v>0</v>
          </cell>
          <cell r="CJ856">
            <v>0</v>
          </cell>
          <cell r="CK856">
            <v>0</v>
          </cell>
          <cell r="CL856">
            <v>0</v>
          </cell>
          <cell r="CM856">
            <v>0</v>
          </cell>
          <cell r="CO856">
            <v>0</v>
          </cell>
          <cell r="CP856">
            <v>0</v>
          </cell>
          <cell r="CQ856">
            <v>0</v>
          </cell>
          <cell r="CR856">
            <v>0</v>
          </cell>
          <cell r="CS856">
            <v>0</v>
          </cell>
          <cell r="CT856">
            <v>0</v>
          </cell>
          <cell r="CU856">
            <v>0</v>
          </cell>
          <cell r="CV856">
            <v>0</v>
          </cell>
          <cell r="CW856">
            <v>0</v>
          </cell>
          <cell r="CY856">
            <v>0</v>
          </cell>
          <cell r="CZ856">
            <v>0</v>
          </cell>
          <cell r="DA856">
            <v>0</v>
          </cell>
          <cell r="DB856">
            <v>0</v>
          </cell>
          <cell r="DC856">
            <v>0</v>
          </cell>
          <cell r="DD856">
            <v>0</v>
          </cell>
          <cell r="DE856">
            <v>0</v>
          </cell>
          <cell r="DF856">
            <v>0</v>
          </cell>
          <cell r="DG856">
            <v>0</v>
          </cell>
          <cell r="DI856">
            <v>0</v>
          </cell>
          <cell r="DJ856">
            <v>0</v>
          </cell>
          <cell r="DK856">
            <v>0</v>
          </cell>
          <cell r="DL856">
            <v>0</v>
          </cell>
          <cell r="DM856">
            <v>0</v>
          </cell>
          <cell r="DN856">
            <v>0</v>
          </cell>
          <cell r="DO856">
            <v>0</v>
          </cell>
          <cell r="DP856">
            <v>0</v>
          </cell>
          <cell r="DQ856">
            <v>0</v>
          </cell>
          <cell r="DR856">
            <v>0</v>
          </cell>
          <cell r="DS856">
            <v>0</v>
          </cell>
          <cell r="DT856">
            <v>0</v>
          </cell>
          <cell r="DU856">
            <v>0</v>
          </cell>
          <cell r="DW856">
            <v>0</v>
          </cell>
          <cell r="DX856">
            <v>0</v>
          </cell>
          <cell r="DY856">
            <v>0</v>
          </cell>
          <cell r="DZ856">
            <v>0</v>
          </cell>
          <cell r="EA856">
            <v>0</v>
          </cell>
          <cell r="EB856">
            <v>0</v>
          </cell>
          <cell r="EC856">
            <v>0</v>
          </cell>
          <cell r="ED856">
            <v>0</v>
          </cell>
          <cell r="EE856">
            <v>0</v>
          </cell>
          <cell r="EF856">
            <v>0</v>
          </cell>
          <cell r="EG856">
            <v>0</v>
          </cell>
          <cell r="EH856">
            <v>0</v>
          </cell>
          <cell r="EI856">
            <v>0</v>
          </cell>
          <cell r="EK856">
            <v>0</v>
          </cell>
          <cell r="EL856">
            <v>0</v>
          </cell>
          <cell r="EM856">
            <v>0</v>
          </cell>
          <cell r="EN856">
            <v>0</v>
          </cell>
          <cell r="EO856">
            <v>0</v>
          </cell>
          <cell r="EP856">
            <v>0</v>
          </cell>
          <cell r="EQ856">
            <v>0</v>
          </cell>
          <cell r="ER856">
            <v>0</v>
          </cell>
          <cell r="ES856">
            <v>0</v>
          </cell>
          <cell r="ET856">
            <v>0</v>
          </cell>
          <cell r="EU856">
            <v>0</v>
          </cell>
          <cell r="EV856">
            <v>0</v>
          </cell>
          <cell r="EW856">
            <v>0</v>
          </cell>
          <cell r="EY856">
            <v>0</v>
          </cell>
          <cell r="EZ856">
            <v>8</v>
          </cell>
          <cell r="FA856">
            <v>0</v>
          </cell>
          <cell r="FB856">
            <v>0</v>
          </cell>
          <cell r="FC856">
            <v>8.6</v>
          </cell>
          <cell r="FD856">
            <v>0</v>
          </cell>
          <cell r="FE856">
            <v>0</v>
          </cell>
          <cell r="FF856">
            <v>0</v>
          </cell>
          <cell r="FH856">
            <v>0</v>
          </cell>
        </row>
        <row r="857">
          <cell r="B857">
            <v>9990</v>
          </cell>
          <cell r="C857" t="str">
            <v>24.09.2012</v>
          </cell>
          <cell r="D857" t="str">
            <v>Page Nana Lahanu</v>
          </cell>
          <cell r="F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G857">
            <v>0</v>
          </cell>
          <cell r="AH857">
            <v>0</v>
          </cell>
          <cell r="AI857">
            <v>0</v>
          </cell>
          <cell r="AJ857">
            <v>0</v>
          </cell>
          <cell r="AK857">
            <v>0</v>
          </cell>
          <cell r="AL857">
            <v>0</v>
          </cell>
          <cell r="AM857">
            <v>0</v>
          </cell>
          <cell r="AN857">
            <v>0</v>
          </cell>
          <cell r="AO857">
            <v>0</v>
          </cell>
          <cell r="AQ857">
            <v>0</v>
          </cell>
          <cell r="AR857">
            <v>0</v>
          </cell>
          <cell r="AS857">
            <v>0</v>
          </cell>
          <cell r="AT857">
            <v>0</v>
          </cell>
          <cell r="AU857">
            <v>0</v>
          </cell>
          <cell r="AV857">
            <v>0</v>
          </cell>
          <cell r="AW857">
            <v>0</v>
          </cell>
          <cell r="AX857">
            <v>0</v>
          </cell>
          <cell r="AY857">
            <v>0</v>
          </cell>
          <cell r="BA857">
            <v>0</v>
          </cell>
          <cell r="BB857">
            <v>0</v>
          </cell>
          <cell r="BC857">
            <v>0</v>
          </cell>
          <cell r="BD857">
            <v>0</v>
          </cell>
          <cell r="BE857">
            <v>0</v>
          </cell>
          <cell r="BF857">
            <v>0</v>
          </cell>
          <cell r="BG857">
            <v>0</v>
          </cell>
          <cell r="BH857">
            <v>0</v>
          </cell>
          <cell r="BI857">
            <v>0</v>
          </cell>
          <cell r="BK857">
            <v>0</v>
          </cell>
          <cell r="BL857">
            <v>0</v>
          </cell>
          <cell r="BM857">
            <v>0</v>
          </cell>
          <cell r="BN857">
            <v>0</v>
          </cell>
          <cell r="BO857">
            <v>0</v>
          </cell>
          <cell r="BP857">
            <v>0</v>
          </cell>
          <cell r="BQ857">
            <v>0</v>
          </cell>
          <cell r="BR857">
            <v>0</v>
          </cell>
          <cell r="BS857">
            <v>0</v>
          </cell>
          <cell r="BU857">
            <v>0</v>
          </cell>
          <cell r="BV857">
            <v>0</v>
          </cell>
          <cell r="BW857">
            <v>0</v>
          </cell>
          <cell r="BX857">
            <v>0</v>
          </cell>
          <cell r="BY857">
            <v>0</v>
          </cell>
          <cell r="BZ857">
            <v>0</v>
          </cell>
          <cell r="CA857">
            <v>0</v>
          </cell>
          <cell r="CB857">
            <v>0</v>
          </cell>
          <cell r="CC857">
            <v>0</v>
          </cell>
          <cell r="CE857">
            <v>0</v>
          </cell>
          <cell r="CF857">
            <v>0</v>
          </cell>
          <cell r="CG857">
            <v>0</v>
          </cell>
          <cell r="CH857">
            <v>0</v>
          </cell>
          <cell r="CI857">
            <v>0</v>
          </cell>
          <cell r="CJ857">
            <v>0</v>
          </cell>
          <cell r="CK857">
            <v>0</v>
          </cell>
          <cell r="CL857">
            <v>0</v>
          </cell>
          <cell r="CM857">
            <v>0</v>
          </cell>
          <cell r="CO857">
            <v>0</v>
          </cell>
          <cell r="CP857">
            <v>0</v>
          </cell>
          <cell r="CQ857">
            <v>0</v>
          </cell>
          <cell r="CR857">
            <v>0</v>
          </cell>
          <cell r="CS857">
            <v>0</v>
          </cell>
          <cell r="CT857">
            <v>0</v>
          </cell>
          <cell r="CU857">
            <v>0</v>
          </cell>
          <cell r="CV857">
            <v>0</v>
          </cell>
          <cell r="CW857">
            <v>0</v>
          </cell>
          <cell r="CY857">
            <v>0</v>
          </cell>
          <cell r="CZ857">
            <v>0</v>
          </cell>
          <cell r="DA857">
            <v>0</v>
          </cell>
          <cell r="DB857">
            <v>0</v>
          </cell>
          <cell r="DC857">
            <v>0</v>
          </cell>
          <cell r="DD857">
            <v>0</v>
          </cell>
          <cell r="DE857">
            <v>0</v>
          </cell>
          <cell r="DF857">
            <v>0</v>
          </cell>
          <cell r="DG857">
            <v>0</v>
          </cell>
          <cell r="DI857">
            <v>0</v>
          </cell>
          <cell r="DJ857">
            <v>0</v>
          </cell>
          <cell r="DK857">
            <v>0</v>
          </cell>
          <cell r="DL857">
            <v>0</v>
          </cell>
          <cell r="DM857">
            <v>0</v>
          </cell>
          <cell r="DN857">
            <v>0</v>
          </cell>
          <cell r="DO857">
            <v>0</v>
          </cell>
          <cell r="DP857">
            <v>0</v>
          </cell>
          <cell r="DQ857">
            <v>0</v>
          </cell>
          <cell r="DR857">
            <v>0</v>
          </cell>
          <cell r="DS857">
            <v>0</v>
          </cell>
          <cell r="DT857">
            <v>0</v>
          </cell>
          <cell r="DU857">
            <v>0</v>
          </cell>
          <cell r="DW857">
            <v>0</v>
          </cell>
          <cell r="DX857">
            <v>0</v>
          </cell>
          <cell r="DY857">
            <v>0</v>
          </cell>
          <cell r="DZ857">
            <v>0</v>
          </cell>
          <cell r="EA857">
            <v>0</v>
          </cell>
          <cell r="EB857">
            <v>0</v>
          </cell>
          <cell r="EC857">
            <v>0</v>
          </cell>
          <cell r="ED857">
            <v>0</v>
          </cell>
          <cell r="EE857">
            <v>0</v>
          </cell>
          <cell r="EF857">
            <v>0</v>
          </cell>
          <cell r="EG857">
            <v>0</v>
          </cell>
          <cell r="EH857">
            <v>0</v>
          </cell>
          <cell r="EI857">
            <v>0</v>
          </cell>
          <cell r="EK857">
            <v>0</v>
          </cell>
          <cell r="EL857">
            <v>0</v>
          </cell>
          <cell r="EM857">
            <v>0</v>
          </cell>
          <cell r="EN857">
            <v>0</v>
          </cell>
          <cell r="EO857">
            <v>0</v>
          </cell>
          <cell r="EP857">
            <v>0</v>
          </cell>
          <cell r="EQ857">
            <v>0</v>
          </cell>
          <cell r="ER857">
            <v>0</v>
          </cell>
          <cell r="ES857">
            <v>0</v>
          </cell>
          <cell r="ET857">
            <v>0</v>
          </cell>
          <cell r="EU857">
            <v>0</v>
          </cell>
          <cell r="EV857">
            <v>0</v>
          </cell>
          <cell r="EW857">
            <v>0</v>
          </cell>
          <cell r="EY857">
            <v>0</v>
          </cell>
          <cell r="EZ857">
            <v>8</v>
          </cell>
          <cell r="FA857">
            <v>0</v>
          </cell>
          <cell r="FB857">
            <v>0</v>
          </cell>
          <cell r="FC857">
            <v>8.6</v>
          </cell>
          <cell r="FD857">
            <v>0</v>
          </cell>
          <cell r="FE857">
            <v>0</v>
          </cell>
          <cell r="FF857">
            <v>0</v>
          </cell>
          <cell r="FH857">
            <v>0</v>
          </cell>
        </row>
        <row r="858">
          <cell r="B858">
            <v>9991</v>
          </cell>
          <cell r="C858" t="str">
            <v>24.09.2012</v>
          </cell>
          <cell r="D858" t="str">
            <v>Korde Rajendra Tatyaba</v>
          </cell>
          <cell r="F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BA858">
            <v>0</v>
          </cell>
          <cell r="BB858">
            <v>0</v>
          </cell>
          <cell r="BC858">
            <v>0</v>
          </cell>
          <cell r="BD858">
            <v>0</v>
          </cell>
          <cell r="BE858">
            <v>0</v>
          </cell>
          <cell r="BF858">
            <v>0</v>
          </cell>
          <cell r="BG858">
            <v>0</v>
          </cell>
          <cell r="BH858">
            <v>0</v>
          </cell>
          <cell r="BI858">
            <v>0</v>
          </cell>
          <cell r="BK858">
            <v>0</v>
          </cell>
          <cell r="BL858">
            <v>0</v>
          </cell>
          <cell r="BM858">
            <v>0</v>
          </cell>
          <cell r="BN858">
            <v>0</v>
          </cell>
          <cell r="BO858">
            <v>0</v>
          </cell>
          <cell r="BP858">
            <v>0</v>
          </cell>
          <cell r="BQ858">
            <v>0</v>
          </cell>
          <cell r="BR858">
            <v>0</v>
          </cell>
          <cell r="BS858">
            <v>0</v>
          </cell>
          <cell r="BU858">
            <v>0</v>
          </cell>
          <cell r="BV858">
            <v>0</v>
          </cell>
          <cell r="BW858">
            <v>0</v>
          </cell>
          <cell r="BX858">
            <v>0</v>
          </cell>
          <cell r="BY858">
            <v>0</v>
          </cell>
          <cell r="BZ858">
            <v>0</v>
          </cell>
          <cell r="CA858">
            <v>0</v>
          </cell>
          <cell r="CB858">
            <v>0</v>
          </cell>
          <cell r="CC858">
            <v>0</v>
          </cell>
          <cell r="CE858">
            <v>0</v>
          </cell>
          <cell r="CF858">
            <v>0</v>
          </cell>
          <cell r="CG858">
            <v>0</v>
          </cell>
          <cell r="CH858">
            <v>0</v>
          </cell>
          <cell r="CI858">
            <v>0</v>
          </cell>
          <cell r="CJ858">
            <v>0</v>
          </cell>
          <cell r="CK858">
            <v>0</v>
          </cell>
          <cell r="CL858">
            <v>0</v>
          </cell>
          <cell r="CM858">
            <v>0</v>
          </cell>
          <cell r="CO858">
            <v>0</v>
          </cell>
          <cell r="CP858">
            <v>0</v>
          </cell>
          <cell r="CQ858">
            <v>0</v>
          </cell>
          <cell r="CR858">
            <v>0</v>
          </cell>
          <cell r="CS858">
            <v>0</v>
          </cell>
          <cell r="CT858">
            <v>0</v>
          </cell>
          <cell r="CU858">
            <v>0</v>
          </cell>
          <cell r="CV858">
            <v>0</v>
          </cell>
          <cell r="CW858">
            <v>0</v>
          </cell>
          <cell r="CY858">
            <v>0</v>
          </cell>
          <cell r="CZ858">
            <v>0</v>
          </cell>
          <cell r="DA858">
            <v>0</v>
          </cell>
          <cell r="DB858">
            <v>0</v>
          </cell>
          <cell r="DC858">
            <v>0</v>
          </cell>
          <cell r="DD858">
            <v>0</v>
          </cell>
          <cell r="DE858">
            <v>0</v>
          </cell>
          <cell r="DF858">
            <v>0</v>
          </cell>
          <cell r="DG858">
            <v>0</v>
          </cell>
          <cell r="DI858">
            <v>0</v>
          </cell>
          <cell r="DJ858">
            <v>0</v>
          </cell>
          <cell r="DK858">
            <v>0</v>
          </cell>
          <cell r="DL858">
            <v>0</v>
          </cell>
          <cell r="DM858">
            <v>0</v>
          </cell>
          <cell r="DN858">
            <v>0</v>
          </cell>
          <cell r="DO858">
            <v>0</v>
          </cell>
          <cell r="DP858">
            <v>0</v>
          </cell>
          <cell r="DQ858">
            <v>0</v>
          </cell>
          <cell r="DR858">
            <v>0</v>
          </cell>
          <cell r="DS858">
            <v>0</v>
          </cell>
          <cell r="DT858">
            <v>0</v>
          </cell>
          <cell r="DU858">
            <v>0</v>
          </cell>
          <cell r="DW858">
            <v>0</v>
          </cell>
          <cell r="DX858">
            <v>0</v>
          </cell>
          <cell r="DY858">
            <v>0</v>
          </cell>
          <cell r="DZ858">
            <v>0</v>
          </cell>
          <cell r="EA858">
            <v>0</v>
          </cell>
          <cell r="EB858">
            <v>0</v>
          </cell>
          <cell r="EC858">
            <v>0</v>
          </cell>
          <cell r="ED858">
            <v>0</v>
          </cell>
          <cell r="EE858">
            <v>0</v>
          </cell>
          <cell r="EF858">
            <v>0</v>
          </cell>
          <cell r="EG858">
            <v>0</v>
          </cell>
          <cell r="EH858">
            <v>0</v>
          </cell>
          <cell r="EI858">
            <v>0</v>
          </cell>
          <cell r="EK858">
            <v>0</v>
          </cell>
          <cell r="EL858">
            <v>0</v>
          </cell>
          <cell r="EM858">
            <v>0</v>
          </cell>
          <cell r="EN858">
            <v>0</v>
          </cell>
          <cell r="EO858">
            <v>0</v>
          </cell>
          <cell r="EP858">
            <v>0</v>
          </cell>
          <cell r="EQ858">
            <v>0</v>
          </cell>
          <cell r="ER858">
            <v>0</v>
          </cell>
          <cell r="ES858">
            <v>0</v>
          </cell>
          <cell r="ET858">
            <v>0</v>
          </cell>
          <cell r="EU858">
            <v>0</v>
          </cell>
          <cell r="EV858">
            <v>0</v>
          </cell>
          <cell r="EW858">
            <v>0</v>
          </cell>
          <cell r="EY858">
            <v>0</v>
          </cell>
          <cell r="EZ858">
            <v>8</v>
          </cell>
          <cell r="FA858">
            <v>0</v>
          </cell>
          <cell r="FB858">
            <v>0</v>
          </cell>
          <cell r="FC858">
            <v>8.6</v>
          </cell>
          <cell r="FD858">
            <v>0</v>
          </cell>
          <cell r="FE858">
            <v>0</v>
          </cell>
          <cell r="FF858">
            <v>0</v>
          </cell>
          <cell r="FH858">
            <v>0</v>
          </cell>
        </row>
        <row r="859">
          <cell r="B859">
            <v>9992</v>
          </cell>
          <cell r="C859" t="str">
            <v>24.09.2012</v>
          </cell>
          <cell r="D859" t="str">
            <v>Gade Pravin Dilip</v>
          </cell>
          <cell r="F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0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0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Q859">
            <v>0</v>
          </cell>
          <cell r="AR859">
            <v>0</v>
          </cell>
          <cell r="AS859">
            <v>0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BA859">
            <v>0</v>
          </cell>
          <cell r="BB859">
            <v>0</v>
          </cell>
          <cell r="BC859">
            <v>0</v>
          </cell>
          <cell r="BD859">
            <v>0</v>
          </cell>
          <cell r="BE859">
            <v>0</v>
          </cell>
          <cell r="BF859">
            <v>0</v>
          </cell>
          <cell r="BG859">
            <v>0</v>
          </cell>
          <cell r="BH859">
            <v>0</v>
          </cell>
          <cell r="BI859">
            <v>0</v>
          </cell>
          <cell r="BK859">
            <v>0</v>
          </cell>
          <cell r="BL859">
            <v>0</v>
          </cell>
          <cell r="BM859">
            <v>0</v>
          </cell>
          <cell r="BN859">
            <v>0</v>
          </cell>
          <cell r="BO859">
            <v>0</v>
          </cell>
          <cell r="BP859">
            <v>0</v>
          </cell>
          <cell r="BQ859">
            <v>0</v>
          </cell>
          <cell r="BR859">
            <v>0</v>
          </cell>
          <cell r="BS859">
            <v>0</v>
          </cell>
          <cell r="BU859">
            <v>0</v>
          </cell>
          <cell r="BV859">
            <v>0</v>
          </cell>
          <cell r="BW859">
            <v>0</v>
          </cell>
          <cell r="BX859">
            <v>0</v>
          </cell>
          <cell r="BY859">
            <v>0</v>
          </cell>
          <cell r="BZ859">
            <v>0</v>
          </cell>
          <cell r="CA859">
            <v>0</v>
          </cell>
          <cell r="CB859">
            <v>0</v>
          </cell>
          <cell r="CC859">
            <v>0</v>
          </cell>
          <cell r="CE859">
            <v>0</v>
          </cell>
          <cell r="CF859">
            <v>0</v>
          </cell>
          <cell r="CG859">
            <v>0</v>
          </cell>
          <cell r="CH859">
            <v>0</v>
          </cell>
          <cell r="CI859">
            <v>0</v>
          </cell>
          <cell r="CJ859">
            <v>0</v>
          </cell>
          <cell r="CK859">
            <v>0</v>
          </cell>
          <cell r="CL859">
            <v>0</v>
          </cell>
          <cell r="CM859">
            <v>0</v>
          </cell>
          <cell r="CO859">
            <v>0</v>
          </cell>
          <cell r="CP859">
            <v>0</v>
          </cell>
          <cell r="CQ859">
            <v>0</v>
          </cell>
          <cell r="CR859">
            <v>0</v>
          </cell>
          <cell r="CS859">
            <v>0</v>
          </cell>
          <cell r="CT859">
            <v>0</v>
          </cell>
          <cell r="CU859">
            <v>0</v>
          </cell>
          <cell r="CV859">
            <v>0</v>
          </cell>
          <cell r="CW859">
            <v>0</v>
          </cell>
          <cell r="CY859">
            <v>0</v>
          </cell>
          <cell r="CZ859">
            <v>0</v>
          </cell>
          <cell r="DA859">
            <v>0</v>
          </cell>
          <cell r="DB859">
            <v>0</v>
          </cell>
          <cell r="DC859">
            <v>0</v>
          </cell>
          <cell r="DD859">
            <v>0</v>
          </cell>
          <cell r="DE859">
            <v>0</v>
          </cell>
          <cell r="DF859">
            <v>0</v>
          </cell>
          <cell r="DG859">
            <v>0</v>
          </cell>
          <cell r="DI859">
            <v>0</v>
          </cell>
          <cell r="DJ859">
            <v>0</v>
          </cell>
          <cell r="DK859">
            <v>0</v>
          </cell>
          <cell r="DL859">
            <v>0</v>
          </cell>
          <cell r="DM859">
            <v>0</v>
          </cell>
          <cell r="DN859">
            <v>0</v>
          </cell>
          <cell r="DO859">
            <v>0</v>
          </cell>
          <cell r="DP859">
            <v>0</v>
          </cell>
          <cell r="DQ859">
            <v>0</v>
          </cell>
          <cell r="DR859">
            <v>0</v>
          </cell>
          <cell r="DS859">
            <v>0</v>
          </cell>
          <cell r="DT859">
            <v>0</v>
          </cell>
          <cell r="DU859">
            <v>0</v>
          </cell>
          <cell r="DW859">
            <v>0</v>
          </cell>
          <cell r="DX859">
            <v>0</v>
          </cell>
          <cell r="DY859">
            <v>0</v>
          </cell>
          <cell r="DZ859">
            <v>0</v>
          </cell>
          <cell r="EA859">
            <v>0</v>
          </cell>
          <cell r="EB859">
            <v>0</v>
          </cell>
          <cell r="EC859">
            <v>0</v>
          </cell>
          <cell r="ED859">
            <v>0</v>
          </cell>
          <cell r="EE859">
            <v>0</v>
          </cell>
          <cell r="EF859">
            <v>0</v>
          </cell>
          <cell r="EG859">
            <v>0</v>
          </cell>
          <cell r="EH859">
            <v>0</v>
          </cell>
          <cell r="EI859">
            <v>0</v>
          </cell>
          <cell r="EK859">
            <v>0</v>
          </cell>
          <cell r="EL859">
            <v>0</v>
          </cell>
          <cell r="EM859">
            <v>0</v>
          </cell>
          <cell r="EN859">
            <v>0</v>
          </cell>
          <cell r="EO859">
            <v>0</v>
          </cell>
          <cell r="EP859">
            <v>0</v>
          </cell>
          <cell r="EQ859">
            <v>0</v>
          </cell>
          <cell r="ER859">
            <v>0</v>
          </cell>
          <cell r="ES859">
            <v>0</v>
          </cell>
          <cell r="ET859">
            <v>0</v>
          </cell>
          <cell r="EU859">
            <v>0</v>
          </cell>
          <cell r="EV859">
            <v>0</v>
          </cell>
          <cell r="EW859">
            <v>0</v>
          </cell>
          <cell r="EY859">
            <v>0</v>
          </cell>
          <cell r="EZ859">
            <v>8</v>
          </cell>
          <cell r="FA859">
            <v>0</v>
          </cell>
          <cell r="FB859">
            <v>0</v>
          </cell>
          <cell r="FC859">
            <v>8.6</v>
          </cell>
          <cell r="FD859">
            <v>0</v>
          </cell>
          <cell r="FE859">
            <v>0</v>
          </cell>
          <cell r="FF859">
            <v>0</v>
          </cell>
          <cell r="FH859">
            <v>0</v>
          </cell>
        </row>
        <row r="860">
          <cell r="B860">
            <v>9993</v>
          </cell>
          <cell r="C860" t="str">
            <v>24.09.2012</v>
          </cell>
          <cell r="D860" t="str">
            <v>Vazre Gourav Ashok</v>
          </cell>
          <cell r="F860">
            <v>0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Q860">
            <v>0</v>
          </cell>
          <cell r="AR860">
            <v>0</v>
          </cell>
          <cell r="AS860">
            <v>0</v>
          </cell>
          <cell r="AT860">
            <v>0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BA860">
            <v>0</v>
          </cell>
          <cell r="BB860">
            <v>0</v>
          </cell>
          <cell r="BC860">
            <v>0</v>
          </cell>
          <cell r="BD860">
            <v>0</v>
          </cell>
          <cell r="BE860">
            <v>0</v>
          </cell>
          <cell r="BF860">
            <v>0</v>
          </cell>
          <cell r="BG860">
            <v>0</v>
          </cell>
          <cell r="BH860">
            <v>0</v>
          </cell>
          <cell r="BI860">
            <v>0</v>
          </cell>
          <cell r="BK860">
            <v>0</v>
          </cell>
          <cell r="BL860">
            <v>0</v>
          </cell>
          <cell r="BM860">
            <v>0</v>
          </cell>
          <cell r="BN860">
            <v>0</v>
          </cell>
          <cell r="BO860">
            <v>0</v>
          </cell>
          <cell r="BP860">
            <v>0</v>
          </cell>
          <cell r="BQ860">
            <v>0</v>
          </cell>
          <cell r="BR860">
            <v>0</v>
          </cell>
          <cell r="BS860">
            <v>0</v>
          </cell>
          <cell r="BU860">
            <v>0</v>
          </cell>
          <cell r="BV860">
            <v>0</v>
          </cell>
          <cell r="BW860">
            <v>0</v>
          </cell>
          <cell r="BX860">
            <v>0</v>
          </cell>
          <cell r="BY860">
            <v>0</v>
          </cell>
          <cell r="BZ860">
            <v>0</v>
          </cell>
          <cell r="CA860">
            <v>0</v>
          </cell>
          <cell r="CB860">
            <v>0</v>
          </cell>
          <cell r="CC860">
            <v>0</v>
          </cell>
          <cell r="CE860">
            <v>0</v>
          </cell>
          <cell r="CF860">
            <v>0</v>
          </cell>
          <cell r="CG860">
            <v>0</v>
          </cell>
          <cell r="CH860">
            <v>0</v>
          </cell>
          <cell r="CI860">
            <v>0</v>
          </cell>
          <cell r="CJ860">
            <v>0</v>
          </cell>
          <cell r="CK860">
            <v>0</v>
          </cell>
          <cell r="CL860">
            <v>0</v>
          </cell>
          <cell r="CM860">
            <v>0</v>
          </cell>
          <cell r="CO860">
            <v>0</v>
          </cell>
          <cell r="CP860">
            <v>0</v>
          </cell>
          <cell r="CQ860">
            <v>0</v>
          </cell>
          <cell r="CR860">
            <v>0</v>
          </cell>
          <cell r="CS860">
            <v>0</v>
          </cell>
          <cell r="CT860">
            <v>0</v>
          </cell>
          <cell r="CU860">
            <v>0</v>
          </cell>
          <cell r="CV860">
            <v>0</v>
          </cell>
          <cell r="CW860">
            <v>0</v>
          </cell>
          <cell r="CY860">
            <v>0</v>
          </cell>
          <cell r="CZ860">
            <v>0</v>
          </cell>
          <cell r="DA860">
            <v>0</v>
          </cell>
          <cell r="DB860">
            <v>0</v>
          </cell>
          <cell r="DC860">
            <v>0</v>
          </cell>
          <cell r="DD860">
            <v>0</v>
          </cell>
          <cell r="DE860">
            <v>0</v>
          </cell>
          <cell r="DF860">
            <v>0</v>
          </cell>
          <cell r="DG860">
            <v>0</v>
          </cell>
          <cell r="DI860">
            <v>0</v>
          </cell>
          <cell r="DJ860">
            <v>0</v>
          </cell>
          <cell r="DK860">
            <v>0</v>
          </cell>
          <cell r="DL860">
            <v>0</v>
          </cell>
          <cell r="DM860">
            <v>0</v>
          </cell>
          <cell r="DN860">
            <v>0</v>
          </cell>
          <cell r="DO860">
            <v>0</v>
          </cell>
          <cell r="DP860">
            <v>0</v>
          </cell>
          <cell r="DQ860">
            <v>0</v>
          </cell>
          <cell r="DR860">
            <v>0</v>
          </cell>
          <cell r="DS860">
            <v>0</v>
          </cell>
          <cell r="DT860">
            <v>0</v>
          </cell>
          <cell r="DU860">
            <v>0</v>
          </cell>
          <cell r="DW860">
            <v>0</v>
          </cell>
          <cell r="DX860">
            <v>0</v>
          </cell>
          <cell r="DY860">
            <v>0</v>
          </cell>
          <cell r="DZ860">
            <v>0</v>
          </cell>
          <cell r="EA860">
            <v>0</v>
          </cell>
          <cell r="EB860">
            <v>0</v>
          </cell>
          <cell r="EC860">
            <v>0</v>
          </cell>
          <cell r="ED860">
            <v>0</v>
          </cell>
          <cell r="EE860">
            <v>0</v>
          </cell>
          <cell r="EF860">
            <v>0</v>
          </cell>
          <cell r="EG860">
            <v>0</v>
          </cell>
          <cell r="EH860">
            <v>0</v>
          </cell>
          <cell r="EI860">
            <v>0</v>
          </cell>
          <cell r="EK860">
            <v>0</v>
          </cell>
          <cell r="EL860">
            <v>0</v>
          </cell>
          <cell r="EM860">
            <v>0</v>
          </cell>
          <cell r="EN860">
            <v>0</v>
          </cell>
          <cell r="EO860">
            <v>0</v>
          </cell>
          <cell r="EP860">
            <v>0</v>
          </cell>
          <cell r="EQ860">
            <v>0</v>
          </cell>
          <cell r="ER860">
            <v>0</v>
          </cell>
          <cell r="ES860">
            <v>0</v>
          </cell>
          <cell r="ET860">
            <v>0</v>
          </cell>
          <cell r="EU860">
            <v>0</v>
          </cell>
          <cell r="EV860">
            <v>0</v>
          </cell>
          <cell r="EW860">
            <v>0</v>
          </cell>
          <cell r="EY860">
            <v>0</v>
          </cell>
          <cell r="EZ860">
            <v>8</v>
          </cell>
          <cell r="FA860">
            <v>0</v>
          </cell>
          <cell r="FB860">
            <v>0</v>
          </cell>
          <cell r="FC860">
            <v>8.6</v>
          </cell>
          <cell r="FD860">
            <v>0</v>
          </cell>
          <cell r="FE860">
            <v>0</v>
          </cell>
          <cell r="FF860">
            <v>0</v>
          </cell>
          <cell r="FH860">
            <v>0</v>
          </cell>
        </row>
        <row r="861">
          <cell r="B861">
            <v>9994</v>
          </cell>
          <cell r="C861" t="str">
            <v>24.09.2012</v>
          </cell>
          <cell r="D861" t="str">
            <v>Pathan Junaid Aslam</v>
          </cell>
          <cell r="F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BA861">
            <v>0</v>
          </cell>
          <cell r="BB861">
            <v>0</v>
          </cell>
          <cell r="BC861">
            <v>0</v>
          </cell>
          <cell r="BD861">
            <v>0</v>
          </cell>
          <cell r="BE861">
            <v>0</v>
          </cell>
          <cell r="BF861">
            <v>0</v>
          </cell>
          <cell r="BG861">
            <v>0</v>
          </cell>
          <cell r="BH861">
            <v>0</v>
          </cell>
          <cell r="BI861">
            <v>0</v>
          </cell>
          <cell r="BK861">
            <v>0</v>
          </cell>
          <cell r="BL861">
            <v>0</v>
          </cell>
          <cell r="BM861">
            <v>0</v>
          </cell>
          <cell r="BN861">
            <v>0</v>
          </cell>
          <cell r="BO861">
            <v>0</v>
          </cell>
          <cell r="BP861">
            <v>0</v>
          </cell>
          <cell r="BQ861">
            <v>0</v>
          </cell>
          <cell r="BR861">
            <v>0</v>
          </cell>
          <cell r="BS861">
            <v>0</v>
          </cell>
          <cell r="BU861">
            <v>0</v>
          </cell>
          <cell r="BV861">
            <v>0</v>
          </cell>
          <cell r="BW861">
            <v>0</v>
          </cell>
          <cell r="BX861">
            <v>0</v>
          </cell>
          <cell r="BY861">
            <v>0</v>
          </cell>
          <cell r="BZ861">
            <v>0</v>
          </cell>
          <cell r="CA861">
            <v>0</v>
          </cell>
          <cell r="CB861">
            <v>0</v>
          </cell>
          <cell r="CC861">
            <v>0</v>
          </cell>
          <cell r="CE861">
            <v>0</v>
          </cell>
          <cell r="CF861">
            <v>0</v>
          </cell>
          <cell r="CG861">
            <v>0</v>
          </cell>
          <cell r="CH861">
            <v>0</v>
          </cell>
          <cell r="CI861">
            <v>0</v>
          </cell>
          <cell r="CJ861">
            <v>0</v>
          </cell>
          <cell r="CK861">
            <v>0</v>
          </cell>
          <cell r="CL861">
            <v>0</v>
          </cell>
          <cell r="CM861">
            <v>0</v>
          </cell>
          <cell r="CO861">
            <v>0</v>
          </cell>
          <cell r="CP861">
            <v>0</v>
          </cell>
          <cell r="CQ861">
            <v>0</v>
          </cell>
          <cell r="CR861">
            <v>0</v>
          </cell>
          <cell r="CS861">
            <v>0</v>
          </cell>
          <cell r="CT861">
            <v>0</v>
          </cell>
          <cell r="CU861">
            <v>0</v>
          </cell>
          <cell r="CV861">
            <v>0</v>
          </cell>
          <cell r="CW861">
            <v>0</v>
          </cell>
          <cell r="CY861">
            <v>0</v>
          </cell>
          <cell r="CZ861">
            <v>0</v>
          </cell>
          <cell r="DA861">
            <v>0</v>
          </cell>
          <cell r="DB861">
            <v>0</v>
          </cell>
          <cell r="DC861">
            <v>0</v>
          </cell>
          <cell r="DD861">
            <v>0</v>
          </cell>
          <cell r="DE861">
            <v>0</v>
          </cell>
          <cell r="DF861">
            <v>0</v>
          </cell>
          <cell r="DG861">
            <v>0</v>
          </cell>
          <cell r="DI861">
            <v>0</v>
          </cell>
          <cell r="DJ861">
            <v>0</v>
          </cell>
          <cell r="DK861">
            <v>0</v>
          </cell>
          <cell r="DL861">
            <v>0</v>
          </cell>
          <cell r="DM861">
            <v>0</v>
          </cell>
          <cell r="DN861">
            <v>0</v>
          </cell>
          <cell r="DO861">
            <v>0</v>
          </cell>
          <cell r="DP861">
            <v>0</v>
          </cell>
          <cell r="DQ861">
            <v>0</v>
          </cell>
          <cell r="DR861">
            <v>0</v>
          </cell>
          <cell r="DS861">
            <v>0</v>
          </cell>
          <cell r="DT861">
            <v>0</v>
          </cell>
          <cell r="DU861">
            <v>0</v>
          </cell>
          <cell r="DW861">
            <v>0</v>
          </cell>
          <cell r="DX861">
            <v>0</v>
          </cell>
          <cell r="DY861">
            <v>0</v>
          </cell>
          <cell r="DZ861">
            <v>0</v>
          </cell>
          <cell r="EA861">
            <v>0</v>
          </cell>
          <cell r="EB861">
            <v>0</v>
          </cell>
          <cell r="EC861">
            <v>0</v>
          </cell>
          <cell r="ED861">
            <v>0</v>
          </cell>
          <cell r="EE861">
            <v>0</v>
          </cell>
          <cell r="EF861">
            <v>0</v>
          </cell>
          <cell r="EG861">
            <v>0</v>
          </cell>
          <cell r="EH861">
            <v>0</v>
          </cell>
          <cell r="EI861">
            <v>0</v>
          </cell>
          <cell r="EK861">
            <v>0</v>
          </cell>
          <cell r="EL861">
            <v>0</v>
          </cell>
          <cell r="EM861">
            <v>0</v>
          </cell>
          <cell r="EN861">
            <v>0</v>
          </cell>
          <cell r="EO861">
            <v>0</v>
          </cell>
          <cell r="EP861">
            <v>0</v>
          </cell>
          <cell r="EQ861">
            <v>0</v>
          </cell>
          <cell r="ER861">
            <v>0</v>
          </cell>
          <cell r="ES861">
            <v>0</v>
          </cell>
          <cell r="ET861">
            <v>0</v>
          </cell>
          <cell r="EU861">
            <v>0</v>
          </cell>
          <cell r="EV861">
            <v>0</v>
          </cell>
          <cell r="EW861">
            <v>0</v>
          </cell>
          <cell r="EY861">
            <v>0</v>
          </cell>
          <cell r="EZ861">
            <v>8</v>
          </cell>
          <cell r="FA861">
            <v>0</v>
          </cell>
          <cell r="FB861">
            <v>0</v>
          </cell>
          <cell r="FC861">
            <v>8.6</v>
          </cell>
          <cell r="FD861">
            <v>0</v>
          </cell>
          <cell r="FE861">
            <v>0</v>
          </cell>
          <cell r="FF861">
            <v>0</v>
          </cell>
          <cell r="FH861">
            <v>0</v>
          </cell>
        </row>
        <row r="862">
          <cell r="B862">
            <v>9995</v>
          </cell>
          <cell r="C862" t="str">
            <v>24.09.2012</v>
          </cell>
          <cell r="D862" t="str">
            <v>Adhangale Bebibai Laxman</v>
          </cell>
          <cell r="F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Q862">
            <v>0</v>
          </cell>
          <cell r="AR862">
            <v>0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BA862">
            <v>0</v>
          </cell>
          <cell r="BB862">
            <v>0</v>
          </cell>
          <cell r="BC862">
            <v>0</v>
          </cell>
          <cell r="BD862">
            <v>0</v>
          </cell>
          <cell r="BE862">
            <v>0</v>
          </cell>
          <cell r="BF862">
            <v>0</v>
          </cell>
          <cell r="BG862">
            <v>0</v>
          </cell>
          <cell r="BH862">
            <v>0</v>
          </cell>
          <cell r="BI862">
            <v>0</v>
          </cell>
          <cell r="BK862">
            <v>0</v>
          </cell>
          <cell r="BL862">
            <v>0</v>
          </cell>
          <cell r="BM862">
            <v>0</v>
          </cell>
          <cell r="BN862">
            <v>0</v>
          </cell>
          <cell r="BO862">
            <v>0</v>
          </cell>
          <cell r="BP862">
            <v>0</v>
          </cell>
          <cell r="BQ862">
            <v>0</v>
          </cell>
          <cell r="BR862">
            <v>0</v>
          </cell>
          <cell r="BS862">
            <v>0</v>
          </cell>
          <cell r="BU862">
            <v>0</v>
          </cell>
          <cell r="BV862">
            <v>0</v>
          </cell>
          <cell r="BW862">
            <v>0</v>
          </cell>
          <cell r="BX862">
            <v>0</v>
          </cell>
          <cell r="BY862">
            <v>0</v>
          </cell>
          <cell r="BZ862">
            <v>0</v>
          </cell>
          <cell r="CA862">
            <v>0</v>
          </cell>
          <cell r="CB862">
            <v>0</v>
          </cell>
          <cell r="CC862">
            <v>0</v>
          </cell>
          <cell r="CE862">
            <v>0</v>
          </cell>
          <cell r="CF862">
            <v>0</v>
          </cell>
          <cell r="CG862">
            <v>0</v>
          </cell>
          <cell r="CH862">
            <v>0</v>
          </cell>
          <cell r="CI862">
            <v>0</v>
          </cell>
          <cell r="CJ862">
            <v>0</v>
          </cell>
          <cell r="CK862">
            <v>0</v>
          </cell>
          <cell r="CL862">
            <v>0</v>
          </cell>
          <cell r="CM862">
            <v>0</v>
          </cell>
          <cell r="CO862">
            <v>0</v>
          </cell>
          <cell r="CP862">
            <v>0</v>
          </cell>
          <cell r="CQ862">
            <v>0</v>
          </cell>
          <cell r="CR862">
            <v>0</v>
          </cell>
          <cell r="CS862">
            <v>0</v>
          </cell>
          <cell r="CT862">
            <v>0</v>
          </cell>
          <cell r="CU862">
            <v>0</v>
          </cell>
          <cell r="CV862">
            <v>0</v>
          </cell>
          <cell r="CW862">
            <v>0</v>
          </cell>
          <cell r="CY862">
            <v>0</v>
          </cell>
          <cell r="CZ862">
            <v>0</v>
          </cell>
          <cell r="DA862">
            <v>0</v>
          </cell>
          <cell r="DB862">
            <v>0</v>
          </cell>
          <cell r="DC862">
            <v>0</v>
          </cell>
          <cell r="DD862">
            <v>0</v>
          </cell>
          <cell r="DE862">
            <v>0</v>
          </cell>
          <cell r="DF862">
            <v>0</v>
          </cell>
          <cell r="DG862">
            <v>0</v>
          </cell>
          <cell r="DI862">
            <v>0</v>
          </cell>
          <cell r="DJ862">
            <v>0</v>
          </cell>
          <cell r="DK862">
            <v>0</v>
          </cell>
          <cell r="DL862">
            <v>0</v>
          </cell>
          <cell r="DM862">
            <v>0</v>
          </cell>
          <cell r="DN862">
            <v>0</v>
          </cell>
          <cell r="DO862">
            <v>0</v>
          </cell>
          <cell r="DP862">
            <v>0</v>
          </cell>
          <cell r="DQ862">
            <v>0</v>
          </cell>
          <cell r="DR862">
            <v>0</v>
          </cell>
          <cell r="DS862">
            <v>0</v>
          </cell>
          <cell r="DT862">
            <v>0</v>
          </cell>
          <cell r="DU862">
            <v>0</v>
          </cell>
          <cell r="DW862">
            <v>0</v>
          </cell>
          <cell r="DX862">
            <v>0</v>
          </cell>
          <cell r="DY862">
            <v>0</v>
          </cell>
          <cell r="DZ862">
            <v>0</v>
          </cell>
          <cell r="EA862">
            <v>0</v>
          </cell>
          <cell r="EB862">
            <v>0</v>
          </cell>
          <cell r="EC862">
            <v>0</v>
          </cell>
          <cell r="ED862">
            <v>0</v>
          </cell>
          <cell r="EE862">
            <v>0</v>
          </cell>
          <cell r="EF862">
            <v>0</v>
          </cell>
          <cell r="EG862">
            <v>0</v>
          </cell>
          <cell r="EH862">
            <v>0</v>
          </cell>
          <cell r="EI862">
            <v>0</v>
          </cell>
          <cell r="EK862">
            <v>0</v>
          </cell>
          <cell r="EL862">
            <v>0</v>
          </cell>
          <cell r="EM862">
            <v>0</v>
          </cell>
          <cell r="EN862">
            <v>0</v>
          </cell>
          <cell r="EO862">
            <v>0</v>
          </cell>
          <cell r="EP862">
            <v>0</v>
          </cell>
          <cell r="EQ862">
            <v>0</v>
          </cell>
          <cell r="ER862">
            <v>0</v>
          </cell>
          <cell r="ES862">
            <v>0</v>
          </cell>
          <cell r="ET862">
            <v>0</v>
          </cell>
          <cell r="EU862">
            <v>0</v>
          </cell>
          <cell r="EV862">
            <v>0</v>
          </cell>
          <cell r="EW862">
            <v>0</v>
          </cell>
          <cell r="EY862">
            <v>0</v>
          </cell>
          <cell r="EZ862">
            <v>8</v>
          </cell>
          <cell r="FA862">
            <v>0</v>
          </cell>
          <cell r="FB862">
            <v>0</v>
          </cell>
          <cell r="FC862">
            <v>8.6</v>
          </cell>
          <cell r="FD862">
            <v>0</v>
          </cell>
          <cell r="FE862">
            <v>0</v>
          </cell>
          <cell r="FF862">
            <v>0</v>
          </cell>
          <cell r="FH862">
            <v>0</v>
          </cell>
        </row>
        <row r="863">
          <cell r="B863">
            <v>9996</v>
          </cell>
          <cell r="C863" t="str">
            <v>24.09.2012</v>
          </cell>
          <cell r="D863" t="str">
            <v>Khandave Sarla Shamrao</v>
          </cell>
          <cell r="F863">
            <v>0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T863">
            <v>0</v>
          </cell>
          <cell r="U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0</v>
          </cell>
          <cell r="AK863">
            <v>0</v>
          </cell>
          <cell r="AL863">
            <v>0</v>
          </cell>
          <cell r="AM863">
            <v>0</v>
          </cell>
          <cell r="AN863">
            <v>0</v>
          </cell>
          <cell r="AO863">
            <v>0</v>
          </cell>
          <cell r="AQ863">
            <v>0</v>
          </cell>
          <cell r="AR863">
            <v>0</v>
          </cell>
          <cell r="AS863">
            <v>0</v>
          </cell>
          <cell r="AT863">
            <v>0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BA863">
            <v>0</v>
          </cell>
          <cell r="BB863">
            <v>0</v>
          </cell>
          <cell r="BC863">
            <v>0</v>
          </cell>
          <cell r="BD863">
            <v>0</v>
          </cell>
          <cell r="BE863">
            <v>0</v>
          </cell>
          <cell r="BF863">
            <v>0</v>
          </cell>
          <cell r="BG863">
            <v>0</v>
          </cell>
          <cell r="BH863">
            <v>0</v>
          </cell>
          <cell r="BI863">
            <v>0</v>
          </cell>
          <cell r="BK863">
            <v>0</v>
          </cell>
          <cell r="BL863">
            <v>0</v>
          </cell>
          <cell r="BM863">
            <v>0</v>
          </cell>
          <cell r="BN863">
            <v>0</v>
          </cell>
          <cell r="BO863">
            <v>0</v>
          </cell>
          <cell r="BP863">
            <v>0</v>
          </cell>
          <cell r="BQ863">
            <v>0</v>
          </cell>
          <cell r="BR863">
            <v>0</v>
          </cell>
          <cell r="BS863">
            <v>0</v>
          </cell>
          <cell r="BU863">
            <v>0</v>
          </cell>
          <cell r="BV863">
            <v>0</v>
          </cell>
          <cell r="BW863">
            <v>0</v>
          </cell>
          <cell r="BX863">
            <v>0</v>
          </cell>
          <cell r="BY863">
            <v>0</v>
          </cell>
          <cell r="BZ863">
            <v>0</v>
          </cell>
          <cell r="CA863">
            <v>0</v>
          </cell>
          <cell r="CB863">
            <v>0</v>
          </cell>
          <cell r="CC863">
            <v>0</v>
          </cell>
          <cell r="CE863">
            <v>0</v>
          </cell>
          <cell r="CF863">
            <v>0</v>
          </cell>
          <cell r="CG863">
            <v>0</v>
          </cell>
          <cell r="CH863">
            <v>0</v>
          </cell>
          <cell r="CI863">
            <v>0</v>
          </cell>
          <cell r="CJ863">
            <v>0</v>
          </cell>
          <cell r="CK863">
            <v>0</v>
          </cell>
          <cell r="CL863">
            <v>0</v>
          </cell>
          <cell r="CM863">
            <v>0</v>
          </cell>
          <cell r="CO863">
            <v>0</v>
          </cell>
          <cell r="CP863">
            <v>0</v>
          </cell>
          <cell r="CQ863">
            <v>0</v>
          </cell>
          <cell r="CR863">
            <v>0</v>
          </cell>
          <cell r="CS863">
            <v>0</v>
          </cell>
          <cell r="CT863">
            <v>0</v>
          </cell>
          <cell r="CU863">
            <v>0</v>
          </cell>
          <cell r="CV863">
            <v>0</v>
          </cell>
          <cell r="CW863">
            <v>0</v>
          </cell>
          <cell r="CY863">
            <v>0</v>
          </cell>
          <cell r="CZ863">
            <v>0</v>
          </cell>
          <cell r="DA863">
            <v>0</v>
          </cell>
          <cell r="DB863">
            <v>0</v>
          </cell>
          <cell r="DC863">
            <v>0</v>
          </cell>
          <cell r="DD863">
            <v>0</v>
          </cell>
          <cell r="DE863">
            <v>0</v>
          </cell>
          <cell r="DF863">
            <v>0</v>
          </cell>
          <cell r="DG863">
            <v>0</v>
          </cell>
          <cell r="DI863">
            <v>0</v>
          </cell>
          <cell r="DJ863">
            <v>0</v>
          </cell>
          <cell r="DK863">
            <v>0</v>
          </cell>
          <cell r="DL863">
            <v>0</v>
          </cell>
          <cell r="DM863">
            <v>0</v>
          </cell>
          <cell r="DN863">
            <v>0</v>
          </cell>
          <cell r="DO863">
            <v>0</v>
          </cell>
          <cell r="DP863">
            <v>0</v>
          </cell>
          <cell r="DQ863">
            <v>0</v>
          </cell>
          <cell r="DR863">
            <v>0</v>
          </cell>
          <cell r="DS863">
            <v>0</v>
          </cell>
          <cell r="DT863">
            <v>0</v>
          </cell>
          <cell r="DU863">
            <v>0</v>
          </cell>
          <cell r="DW863">
            <v>0</v>
          </cell>
          <cell r="DX863">
            <v>0</v>
          </cell>
          <cell r="DY863">
            <v>0</v>
          </cell>
          <cell r="DZ863">
            <v>0</v>
          </cell>
          <cell r="EA863">
            <v>0</v>
          </cell>
          <cell r="EB863">
            <v>0</v>
          </cell>
          <cell r="EC863">
            <v>0</v>
          </cell>
          <cell r="ED863">
            <v>0</v>
          </cell>
          <cell r="EE863">
            <v>0</v>
          </cell>
          <cell r="EF863">
            <v>0</v>
          </cell>
          <cell r="EG863">
            <v>0</v>
          </cell>
          <cell r="EH863">
            <v>0</v>
          </cell>
          <cell r="EI863">
            <v>0</v>
          </cell>
          <cell r="EK863">
            <v>0</v>
          </cell>
          <cell r="EL863">
            <v>0</v>
          </cell>
          <cell r="EM863">
            <v>0</v>
          </cell>
          <cell r="EN863">
            <v>0</v>
          </cell>
          <cell r="EO863">
            <v>0</v>
          </cell>
          <cell r="EP863">
            <v>0</v>
          </cell>
          <cell r="EQ863">
            <v>0</v>
          </cell>
          <cell r="ER863">
            <v>0</v>
          </cell>
          <cell r="ES863">
            <v>0</v>
          </cell>
          <cell r="ET863">
            <v>0</v>
          </cell>
          <cell r="EU863">
            <v>0</v>
          </cell>
          <cell r="EV863">
            <v>0</v>
          </cell>
          <cell r="EW863">
            <v>0</v>
          </cell>
          <cell r="EY863">
            <v>0</v>
          </cell>
          <cell r="EZ863">
            <v>8</v>
          </cell>
          <cell r="FA863">
            <v>0</v>
          </cell>
          <cell r="FB863">
            <v>0</v>
          </cell>
          <cell r="FC863">
            <v>8.6</v>
          </cell>
          <cell r="FD863">
            <v>0</v>
          </cell>
          <cell r="FE863">
            <v>0</v>
          </cell>
          <cell r="FF863">
            <v>0</v>
          </cell>
          <cell r="FH863">
            <v>0</v>
          </cell>
        </row>
        <row r="864">
          <cell r="B864">
            <v>9997</v>
          </cell>
          <cell r="C864" t="str">
            <v>24.09.2012</v>
          </cell>
          <cell r="D864" t="str">
            <v>Gangurde Usha Pradip</v>
          </cell>
          <cell r="F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Q864">
            <v>0</v>
          </cell>
          <cell r="AR864">
            <v>0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BA864">
            <v>0</v>
          </cell>
          <cell r="BB864">
            <v>0</v>
          </cell>
          <cell r="BC864">
            <v>0</v>
          </cell>
          <cell r="BD864">
            <v>0</v>
          </cell>
          <cell r="BE864">
            <v>0</v>
          </cell>
          <cell r="BF864">
            <v>0</v>
          </cell>
          <cell r="BG864">
            <v>0</v>
          </cell>
          <cell r="BH864">
            <v>0</v>
          </cell>
          <cell r="BI864">
            <v>0</v>
          </cell>
          <cell r="BK864">
            <v>0</v>
          </cell>
          <cell r="BL864">
            <v>0</v>
          </cell>
          <cell r="BM864">
            <v>0</v>
          </cell>
          <cell r="BN864">
            <v>0</v>
          </cell>
          <cell r="BO864">
            <v>0</v>
          </cell>
          <cell r="BP864">
            <v>0</v>
          </cell>
          <cell r="BQ864">
            <v>0</v>
          </cell>
          <cell r="BR864">
            <v>0</v>
          </cell>
          <cell r="BS864">
            <v>0</v>
          </cell>
          <cell r="BU864">
            <v>0</v>
          </cell>
          <cell r="BV864">
            <v>0</v>
          </cell>
          <cell r="BW864">
            <v>0</v>
          </cell>
          <cell r="BX864">
            <v>0</v>
          </cell>
          <cell r="BY864">
            <v>0</v>
          </cell>
          <cell r="BZ864">
            <v>0</v>
          </cell>
          <cell r="CA864">
            <v>0</v>
          </cell>
          <cell r="CB864">
            <v>0</v>
          </cell>
          <cell r="CC864">
            <v>0</v>
          </cell>
          <cell r="CE864">
            <v>0</v>
          </cell>
          <cell r="CF864">
            <v>0</v>
          </cell>
          <cell r="CG864">
            <v>0</v>
          </cell>
          <cell r="CH864">
            <v>0</v>
          </cell>
          <cell r="CI864">
            <v>0</v>
          </cell>
          <cell r="CJ864">
            <v>0</v>
          </cell>
          <cell r="CK864">
            <v>0</v>
          </cell>
          <cell r="CL864">
            <v>0</v>
          </cell>
          <cell r="CM864">
            <v>0</v>
          </cell>
          <cell r="CO864">
            <v>0</v>
          </cell>
          <cell r="CP864">
            <v>0</v>
          </cell>
          <cell r="CQ864">
            <v>0</v>
          </cell>
          <cell r="CR864">
            <v>0</v>
          </cell>
          <cell r="CS864">
            <v>0</v>
          </cell>
          <cell r="CT864">
            <v>0</v>
          </cell>
          <cell r="CU864">
            <v>0</v>
          </cell>
          <cell r="CV864">
            <v>0</v>
          </cell>
          <cell r="CW864">
            <v>0</v>
          </cell>
          <cell r="CY864">
            <v>0</v>
          </cell>
          <cell r="CZ864">
            <v>0</v>
          </cell>
          <cell r="DA864">
            <v>0</v>
          </cell>
          <cell r="DB864">
            <v>0</v>
          </cell>
          <cell r="DC864">
            <v>0</v>
          </cell>
          <cell r="DD864">
            <v>0</v>
          </cell>
          <cell r="DE864">
            <v>0</v>
          </cell>
          <cell r="DF864">
            <v>0</v>
          </cell>
          <cell r="DG864">
            <v>0</v>
          </cell>
          <cell r="DI864">
            <v>0</v>
          </cell>
          <cell r="DJ864">
            <v>0</v>
          </cell>
          <cell r="DK864">
            <v>0</v>
          </cell>
          <cell r="DL864">
            <v>0</v>
          </cell>
          <cell r="DM864">
            <v>0</v>
          </cell>
          <cell r="DN864">
            <v>0</v>
          </cell>
          <cell r="DO864">
            <v>0</v>
          </cell>
          <cell r="DP864">
            <v>0</v>
          </cell>
          <cell r="DQ864">
            <v>0</v>
          </cell>
          <cell r="DR864">
            <v>0</v>
          </cell>
          <cell r="DS864">
            <v>0</v>
          </cell>
          <cell r="DT864">
            <v>0</v>
          </cell>
          <cell r="DU864">
            <v>0</v>
          </cell>
          <cell r="DW864">
            <v>0</v>
          </cell>
          <cell r="DX864">
            <v>0</v>
          </cell>
          <cell r="DY864">
            <v>0</v>
          </cell>
          <cell r="DZ864">
            <v>0</v>
          </cell>
          <cell r="EA864">
            <v>0</v>
          </cell>
          <cell r="EB864">
            <v>0</v>
          </cell>
          <cell r="EC864">
            <v>0</v>
          </cell>
          <cell r="ED864">
            <v>0</v>
          </cell>
          <cell r="EE864">
            <v>0</v>
          </cell>
          <cell r="EF864">
            <v>0</v>
          </cell>
          <cell r="EG864">
            <v>0</v>
          </cell>
          <cell r="EH864">
            <v>0</v>
          </cell>
          <cell r="EI864">
            <v>0</v>
          </cell>
          <cell r="EK864">
            <v>0</v>
          </cell>
          <cell r="EL864">
            <v>0</v>
          </cell>
          <cell r="EM864">
            <v>0</v>
          </cell>
          <cell r="EN864">
            <v>0</v>
          </cell>
          <cell r="EO864">
            <v>0</v>
          </cell>
          <cell r="EP864">
            <v>0</v>
          </cell>
          <cell r="EQ864">
            <v>0</v>
          </cell>
          <cell r="ER864">
            <v>0</v>
          </cell>
          <cell r="ES864">
            <v>0</v>
          </cell>
          <cell r="ET864">
            <v>0</v>
          </cell>
          <cell r="EU864">
            <v>0</v>
          </cell>
          <cell r="EV864">
            <v>0</v>
          </cell>
          <cell r="EW864">
            <v>0</v>
          </cell>
          <cell r="EY864">
            <v>0</v>
          </cell>
          <cell r="EZ864">
            <v>8</v>
          </cell>
          <cell r="FA864">
            <v>0</v>
          </cell>
          <cell r="FB864">
            <v>0</v>
          </cell>
          <cell r="FC864">
            <v>8.6</v>
          </cell>
          <cell r="FD864">
            <v>0</v>
          </cell>
          <cell r="FE864">
            <v>0</v>
          </cell>
          <cell r="FF864">
            <v>0</v>
          </cell>
          <cell r="FH864">
            <v>0</v>
          </cell>
        </row>
        <row r="865">
          <cell r="B865">
            <v>9998</v>
          </cell>
          <cell r="C865" t="str">
            <v>24.09.2012</v>
          </cell>
          <cell r="D865" t="str">
            <v>Thete Sharad Bhima</v>
          </cell>
          <cell r="F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BA865">
            <v>0</v>
          </cell>
          <cell r="BB865">
            <v>0</v>
          </cell>
          <cell r="BC865">
            <v>0</v>
          </cell>
          <cell r="BD865">
            <v>0</v>
          </cell>
          <cell r="BE865">
            <v>0</v>
          </cell>
          <cell r="BF865">
            <v>0</v>
          </cell>
          <cell r="BG865">
            <v>0</v>
          </cell>
          <cell r="BH865">
            <v>0</v>
          </cell>
          <cell r="BI865">
            <v>0</v>
          </cell>
          <cell r="BK865">
            <v>0</v>
          </cell>
          <cell r="BL865">
            <v>0</v>
          </cell>
          <cell r="BM865">
            <v>0</v>
          </cell>
          <cell r="BN865">
            <v>0</v>
          </cell>
          <cell r="BO865">
            <v>0</v>
          </cell>
          <cell r="BP865">
            <v>0</v>
          </cell>
          <cell r="BQ865">
            <v>0</v>
          </cell>
          <cell r="BR865">
            <v>0</v>
          </cell>
          <cell r="BS865">
            <v>0</v>
          </cell>
          <cell r="BU865">
            <v>0</v>
          </cell>
          <cell r="BV865">
            <v>0</v>
          </cell>
          <cell r="BW865">
            <v>0</v>
          </cell>
          <cell r="BX865">
            <v>0</v>
          </cell>
          <cell r="BY865">
            <v>0</v>
          </cell>
          <cell r="BZ865">
            <v>0</v>
          </cell>
          <cell r="CA865">
            <v>0</v>
          </cell>
          <cell r="CB865">
            <v>0</v>
          </cell>
          <cell r="CC865">
            <v>0</v>
          </cell>
          <cell r="CE865">
            <v>0</v>
          </cell>
          <cell r="CF865">
            <v>0</v>
          </cell>
          <cell r="CG865">
            <v>0</v>
          </cell>
          <cell r="CH865">
            <v>0</v>
          </cell>
          <cell r="CI865">
            <v>0</v>
          </cell>
          <cell r="CJ865">
            <v>0</v>
          </cell>
          <cell r="CK865">
            <v>0</v>
          </cell>
          <cell r="CL865">
            <v>0</v>
          </cell>
          <cell r="CM865">
            <v>0</v>
          </cell>
          <cell r="CO865">
            <v>0</v>
          </cell>
          <cell r="CP865">
            <v>0</v>
          </cell>
          <cell r="CQ865">
            <v>0</v>
          </cell>
          <cell r="CR865">
            <v>0</v>
          </cell>
          <cell r="CS865">
            <v>0</v>
          </cell>
          <cell r="CT865">
            <v>0</v>
          </cell>
          <cell r="CU865">
            <v>0</v>
          </cell>
          <cell r="CV865">
            <v>0</v>
          </cell>
          <cell r="CW865">
            <v>0</v>
          </cell>
          <cell r="CY865">
            <v>0</v>
          </cell>
          <cell r="CZ865">
            <v>0</v>
          </cell>
          <cell r="DA865">
            <v>0</v>
          </cell>
          <cell r="DB865">
            <v>0</v>
          </cell>
          <cell r="DC865">
            <v>0</v>
          </cell>
          <cell r="DD865">
            <v>0</v>
          </cell>
          <cell r="DE865">
            <v>0</v>
          </cell>
          <cell r="DF865">
            <v>0</v>
          </cell>
          <cell r="DG865">
            <v>0</v>
          </cell>
          <cell r="DI865">
            <v>0</v>
          </cell>
          <cell r="DJ865">
            <v>0</v>
          </cell>
          <cell r="DK865">
            <v>0</v>
          </cell>
          <cell r="DL865">
            <v>0</v>
          </cell>
          <cell r="DM865">
            <v>0</v>
          </cell>
          <cell r="DN865">
            <v>0</v>
          </cell>
          <cell r="DO865">
            <v>0</v>
          </cell>
          <cell r="DP865">
            <v>0</v>
          </cell>
          <cell r="DQ865">
            <v>0</v>
          </cell>
          <cell r="DR865">
            <v>0</v>
          </cell>
          <cell r="DS865">
            <v>0</v>
          </cell>
          <cell r="DT865">
            <v>0</v>
          </cell>
          <cell r="DU865">
            <v>0</v>
          </cell>
          <cell r="DW865">
            <v>0</v>
          </cell>
          <cell r="DX865">
            <v>0</v>
          </cell>
          <cell r="DY865">
            <v>0</v>
          </cell>
          <cell r="DZ865">
            <v>0</v>
          </cell>
          <cell r="EA865">
            <v>0</v>
          </cell>
          <cell r="EB865">
            <v>0</v>
          </cell>
          <cell r="EC865">
            <v>0</v>
          </cell>
          <cell r="ED865">
            <v>0</v>
          </cell>
          <cell r="EE865">
            <v>0</v>
          </cell>
          <cell r="EF865">
            <v>0</v>
          </cell>
          <cell r="EG865">
            <v>0</v>
          </cell>
          <cell r="EH865">
            <v>0</v>
          </cell>
          <cell r="EI865">
            <v>0</v>
          </cell>
          <cell r="EK865">
            <v>0</v>
          </cell>
          <cell r="EL865">
            <v>0</v>
          </cell>
          <cell r="EM865">
            <v>0</v>
          </cell>
          <cell r="EN865">
            <v>0</v>
          </cell>
          <cell r="EO865">
            <v>0</v>
          </cell>
          <cell r="EP865">
            <v>0</v>
          </cell>
          <cell r="EQ865">
            <v>0</v>
          </cell>
          <cell r="ER865">
            <v>0</v>
          </cell>
          <cell r="ES865">
            <v>0</v>
          </cell>
          <cell r="ET865">
            <v>0</v>
          </cell>
          <cell r="EU865">
            <v>0</v>
          </cell>
          <cell r="EV865">
            <v>0</v>
          </cell>
          <cell r="EW865">
            <v>0</v>
          </cell>
          <cell r="EY865">
            <v>0</v>
          </cell>
          <cell r="EZ865">
            <v>8</v>
          </cell>
          <cell r="FA865">
            <v>0</v>
          </cell>
          <cell r="FB865">
            <v>0</v>
          </cell>
          <cell r="FC865">
            <v>8.6</v>
          </cell>
          <cell r="FD865">
            <v>0</v>
          </cell>
          <cell r="FE865">
            <v>0</v>
          </cell>
          <cell r="FF865">
            <v>0</v>
          </cell>
          <cell r="FH865">
            <v>0</v>
          </cell>
        </row>
        <row r="866">
          <cell r="B866">
            <v>9999</v>
          </cell>
          <cell r="C866" t="str">
            <v>24.09.2012</v>
          </cell>
          <cell r="D866" t="str">
            <v>Handore Asha Ganpat</v>
          </cell>
          <cell r="F866">
            <v>0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Q866">
            <v>0</v>
          </cell>
          <cell r="AR866">
            <v>0</v>
          </cell>
          <cell r="AS866">
            <v>0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BA866">
            <v>0</v>
          </cell>
          <cell r="BB866">
            <v>0</v>
          </cell>
          <cell r="BC866">
            <v>0</v>
          </cell>
          <cell r="BD866">
            <v>0</v>
          </cell>
          <cell r="BE866">
            <v>0</v>
          </cell>
          <cell r="BF866">
            <v>0</v>
          </cell>
          <cell r="BG866">
            <v>0</v>
          </cell>
          <cell r="BH866">
            <v>0</v>
          </cell>
          <cell r="BI866">
            <v>0</v>
          </cell>
          <cell r="BK866">
            <v>0</v>
          </cell>
          <cell r="BL866">
            <v>0</v>
          </cell>
          <cell r="BM866">
            <v>0</v>
          </cell>
          <cell r="BN866">
            <v>0</v>
          </cell>
          <cell r="BO866">
            <v>0</v>
          </cell>
          <cell r="BP866">
            <v>0</v>
          </cell>
          <cell r="BQ866">
            <v>0</v>
          </cell>
          <cell r="BR866">
            <v>0</v>
          </cell>
          <cell r="BS866">
            <v>0</v>
          </cell>
          <cell r="BU866">
            <v>0</v>
          </cell>
          <cell r="BV866">
            <v>0</v>
          </cell>
          <cell r="BW866">
            <v>0</v>
          </cell>
          <cell r="BX866">
            <v>0</v>
          </cell>
          <cell r="BY866">
            <v>0</v>
          </cell>
          <cell r="BZ866">
            <v>0</v>
          </cell>
          <cell r="CA866">
            <v>0</v>
          </cell>
          <cell r="CB866">
            <v>0</v>
          </cell>
          <cell r="CC866">
            <v>0</v>
          </cell>
          <cell r="CE866">
            <v>0</v>
          </cell>
          <cell r="CF866">
            <v>0</v>
          </cell>
          <cell r="CG866">
            <v>0</v>
          </cell>
          <cell r="CH866">
            <v>0</v>
          </cell>
          <cell r="CI866">
            <v>0</v>
          </cell>
          <cell r="CJ866">
            <v>0</v>
          </cell>
          <cell r="CK866">
            <v>0</v>
          </cell>
          <cell r="CL866">
            <v>0</v>
          </cell>
          <cell r="CM866">
            <v>0</v>
          </cell>
          <cell r="CO866">
            <v>0</v>
          </cell>
          <cell r="CP866">
            <v>0</v>
          </cell>
          <cell r="CQ866">
            <v>0</v>
          </cell>
          <cell r="CR866">
            <v>0</v>
          </cell>
          <cell r="CS866">
            <v>0</v>
          </cell>
          <cell r="CT866">
            <v>0</v>
          </cell>
          <cell r="CU866">
            <v>0</v>
          </cell>
          <cell r="CV866">
            <v>0</v>
          </cell>
          <cell r="CW866">
            <v>0</v>
          </cell>
          <cell r="CY866">
            <v>0</v>
          </cell>
          <cell r="CZ866">
            <v>0</v>
          </cell>
          <cell r="DA866">
            <v>0</v>
          </cell>
          <cell r="DB866">
            <v>0</v>
          </cell>
          <cell r="DC866">
            <v>0</v>
          </cell>
          <cell r="DD866">
            <v>0</v>
          </cell>
          <cell r="DE866">
            <v>0</v>
          </cell>
          <cell r="DF866">
            <v>0</v>
          </cell>
          <cell r="DG866">
            <v>0</v>
          </cell>
          <cell r="DI866">
            <v>0</v>
          </cell>
          <cell r="DJ866">
            <v>0</v>
          </cell>
          <cell r="DK866">
            <v>0</v>
          </cell>
          <cell r="DL866">
            <v>0</v>
          </cell>
          <cell r="DM866">
            <v>0</v>
          </cell>
          <cell r="DN866">
            <v>0</v>
          </cell>
          <cell r="DO866">
            <v>0</v>
          </cell>
          <cell r="DP866">
            <v>0</v>
          </cell>
          <cell r="DQ866">
            <v>0</v>
          </cell>
          <cell r="DR866">
            <v>0</v>
          </cell>
          <cell r="DS866">
            <v>0</v>
          </cell>
          <cell r="DT866">
            <v>0</v>
          </cell>
          <cell r="DU866">
            <v>0</v>
          </cell>
          <cell r="DW866">
            <v>0</v>
          </cell>
          <cell r="DX866">
            <v>0</v>
          </cell>
          <cell r="DY866">
            <v>0</v>
          </cell>
          <cell r="DZ866">
            <v>0</v>
          </cell>
          <cell r="EA866">
            <v>0</v>
          </cell>
          <cell r="EB866">
            <v>0</v>
          </cell>
          <cell r="EC866">
            <v>0</v>
          </cell>
          <cell r="ED866">
            <v>0</v>
          </cell>
          <cell r="EE866">
            <v>0</v>
          </cell>
          <cell r="EF866">
            <v>0</v>
          </cell>
          <cell r="EG866">
            <v>0</v>
          </cell>
          <cell r="EH866">
            <v>0</v>
          </cell>
          <cell r="EI866">
            <v>0</v>
          </cell>
          <cell r="EK866">
            <v>0</v>
          </cell>
          <cell r="EL866">
            <v>0</v>
          </cell>
          <cell r="EM866">
            <v>0</v>
          </cell>
          <cell r="EN866">
            <v>0</v>
          </cell>
          <cell r="EO866">
            <v>0</v>
          </cell>
          <cell r="EP866">
            <v>0</v>
          </cell>
          <cell r="EQ866">
            <v>0</v>
          </cell>
          <cell r="ER866">
            <v>0</v>
          </cell>
          <cell r="ES866">
            <v>0</v>
          </cell>
          <cell r="ET866">
            <v>0</v>
          </cell>
          <cell r="EU866">
            <v>0</v>
          </cell>
          <cell r="EV866">
            <v>0</v>
          </cell>
          <cell r="EW866">
            <v>0</v>
          </cell>
          <cell r="EY866">
            <v>0</v>
          </cell>
          <cell r="EZ866">
            <v>8</v>
          </cell>
          <cell r="FA866">
            <v>0</v>
          </cell>
          <cell r="FB866">
            <v>0</v>
          </cell>
          <cell r="FC866">
            <v>8.6</v>
          </cell>
          <cell r="FD866">
            <v>0</v>
          </cell>
          <cell r="FE866">
            <v>0</v>
          </cell>
          <cell r="FF866">
            <v>0</v>
          </cell>
          <cell r="FH866">
            <v>0</v>
          </cell>
        </row>
        <row r="867">
          <cell r="B867">
            <v>10000</v>
          </cell>
          <cell r="C867" t="str">
            <v>24.09.2012</v>
          </cell>
          <cell r="D867" t="str">
            <v>More Jaya Dilip</v>
          </cell>
          <cell r="F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BA867">
            <v>0</v>
          </cell>
          <cell r="BB867">
            <v>0</v>
          </cell>
          <cell r="BC867">
            <v>0</v>
          </cell>
          <cell r="BD867">
            <v>0</v>
          </cell>
          <cell r="BE867">
            <v>0</v>
          </cell>
          <cell r="BF867">
            <v>0</v>
          </cell>
          <cell r="BG867">
            <v>0</v>
          </cell>
          <cell r="BH867">
            <v>0</v>
          </cell>
          <cell r="BI867">
            <v>0</v>
          </cell>
          <cell r="BK867">
            <v>0</v>
          </cell>
          <cell r="BL867">
            <v>0</v>
          </cell>
          <cell r="BM867">
            <v>0</v>
          </cell>
          <cell r="BN867">
            <v>0</v>
          </cell>
          <cell r="BO867">
            <v>0</v>
          </cell>
          <cell r="BP867">
            <v>0</v>
          </cell>
          <cell r="BQ867">
            <v>0</v>
          </cell>
          <cell r="BR867">
            <v>0</v>
          </cell>
          <cell r="BS867">
            <v>0</v>
          </cell>
          <cell r="BU867">
            <v>0</v>
          </cell>
          <cell r="BV867">
            <v>0</v>
          </cell>
          <cell r="BW867">
            <v>0</v>
          </cell>
          <cell r="BX867">
            <v>0</v>
          </cell>
          <cell r="BY867">
            <v>0</v>
          </cell>
          <cell r="BZ867">
            <v>0</v>
          </cell>
          <cell r="CA867">
            <v>0</v>
          </cell>
          <cell r="CB867">
            <v>0</v>
          </cell>
          <cell r="CC867">
            <v>0</v>
          </cell>
          <cell r="CE867">
            <v>0</v>
          </cell>
          <cell r="CF867">
            <v>0</v>
          </cell>
          <cell r="CG867">
            <v>0</v>
          </cell>
          <cell r="CH867">
            <v>0</v>
          </cell>
          <cell r="CI867">
            <v>0</v>
          </cell>
          <cell r="CJ867">
            <v>0</v>
          </cell>
          <cell r="CK867">
            <v>0</v>
          </cell>
          <cell r="CL867">
            <v>0</v>
          </cell>
          <cell r="CM867">
            <v>0</v>
          </cell>
          <cell r="CO867">
            <v>0</v>
          </cell>
          <cell r="CP867">
            <v>0</v>
          </cell>
          <cell r="CQ867">
            <v>0</v>
          </cell>
          <cell r="CR867">
            <v>0</v>
          </cell>
          <cell r="CS867">
            <v>0</v>
          </cell>
          <cell r="CT867">
            <v>0</v>
          </cell>
          <cell r="CU867">
            <v>0</v>
          </cell>
          <cell r="CV867">
            <v>0</v>
          </cell>
          <cell r="CW867">
            <v>0</v>
          </cell>
          <cell r="CY867">
            <v>0</v>
          </cell>
          <cell r="CZ867">
            <v>0</v>
          </cell>
          <cell r="DA867">
            <v>0</v>
          </cell>
          <cell r="DB867">
            <v>0</v>
          </cell>
          <cell r="DC867">
            <v>0</v>
          </cell>
          <cell r="DD867">
            <v>0</v>
          </cell>
          <cell r="DE867">
            <v>0</v>
          </cell>
          <cell r="DF867">
            <v>0</v>
          </cell>
          <cell r="DG867">
            <v>0</v>
          </cell>
          <cell r="DI867">
            <v>0</v>
          </cell>
          <cell r="DJ867">
            <v>0</v>
          </cell>
          <cell r="DK867">
            <v>0</v>
          </cell>
          <cell r="DL867">
            <v>0</v>
          </cell>
          <cell r="DM867">
            <v>0</v>
          </cell>
          <cell r="DN867">
            <v>0</v>
          </cell>
          <cell r="DO867">
            <v>0</v>
          </cell>
          <cell r="DP867">
            <v>0</v>
          </cell>
          <cell r="DQ867">
            <v>0</v>
          </cell>
          <cell r="DR867">
            <v>0</v>
          </cell>
          <cell r="DS867">
            <v>0</v>
          </cell>
          <cell r="DT867">
            <v>0</v>
          </cell>
          <cell r="DU867">
            <v>0</v>
          </cell>
          <cell r="DW867">
            <v>0</v>
          </cell>
          <cell r="DX867">
            <v>0</v>
          </cell>
          <cell r="DY867">
            <v>0</v>
          </cell>
          <cell r="DZ867">
            <v>0</v>
          </cell>
          <cell r="EA867">
            <v>0</v>
          </cell>
          <cell r="EB867">
            <v>0</v>
          </cell>
          <cell r="EC867">
            <v>0</v>
          </cell>
          <cell r="ED867">
            <v>0</v>
          </cell>
          <cell r="EE867">
            <v>0</v>
          </cell>
          <cell r="EF867">
            <v>0</v>
          </cell>
          <cell r="EG867">
            <v>0</v>
          </cell>
          <cell r="EH867">
            <v>0</v>
          </cell>
          <cell r="EI867">
            <v>0</v>
          </cell>
          <cell r="EK867">
            <v>0</v>
          </cell>
          <cell r="EL867">
            <v>0</v>
          </cell>
          <cell r="EM867">
            <v>0</v>
          </cell>
          <cell r="EN867">
            <v>0</v>
          </cell>
          <cell r="EO867">
            <v>0</v>
          </cell>
          <cell r="EP867">
            <v>0</v>
          </cell>
          <cell r="EQ867">
            <v>0</v>
          </cell>
          <cell r="ER867">
            <v>0</v>
          </cell>
          <cell r="ES867">
            <v>0</v>
          </cell>
          <cell r="ET867">
            <v>0</v>
          </cell>
          <cell r="EU867">
            <v>0</v>
          </cell>
          <cell r="EV867">
            <v>0</v>
          </cell>
          <cell r="EW867">
            <v>0</v>
          </cell>
          <cell r="EY867">
            <v>0</v>
          </cell>
          <cell r="EZ867">
            <v>8</v>
          </cell>
          <cell r="FA867">
            <v>0</v>
          </cell>
          <cell r="FB867">
            <v>0</v>
          </cell>
          <cell r="FC867">
            <v>8.6</v>
          </cell>
          <cell r="FD867">
            <v>0</v>
          </cell>
          <cell r="FE867">
            <v>0</v>
          </cell>
          <cell r="FF867">
            <v>0</v>
          </cell>
          <cell r="FH867">
            <v>0</v>
          </cell>
        </row>
        <row r="868">
          <cell r="B868">
            <v>10001</v>
          </cell>
          <cell r="C868" t="str">
            <v>24.09.2012</v>
          </cell>
          <cell r="D868" t="str">
            <v>Sayyed Tabassum Ismail</v>
          </cell>
          <cell r="F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G868">
            <v>0</v>
          </cell>
          <cell r="AH868">
            <v>0</v>
          </cell>
          <cell r="AI868">
            <v>0</v>
          </cell>
          <cell r="AJ868">
            <v>0</v>
          </cell>
          <cell r="AK868">
            <v>0</v>
          </cell>
          <cell r="AL868">
            <v>0</v>
          </cell>
          <cell r="AM868">
            <v>0</v>
          </cell>
          <cell r="AN868">
            <v>0</v>
          </cell>
          <cell r="AO868">
            <v>0</v>
          </cell>
          <cell r="AQ868">
            <v>0</v>
          </cell>
          <cell r="AR868">
            <v>0</v>
          </cell>
          <cell r="AS868">
            <v>0</v>
          </cell>
          <cell r="AT868">
            <v>0</v>
          </cell>
          <cell r="AU868">
            <v>0</v>
          </cell>
          <cell r="AV868">
            <v>0</v>
          </cell>
          <cell r="AW868">
            <v>0</v>
          </cell>
          <cell r="AX868">
            <v>0</v>
          </cell>
          <cell r="AY868">
            <v>0</v>
          </cell>
          <cell r="BA868">
            <v>0</v>
          </cell>
          <cell r="BB868">
            <v>0</v>
          </cell>
          <cell r="BC868">
            <v>0</v>
          </cell>
          <cell r="BD868">
            <v>0</v>
          </cell>
          <cell r="BE868">
            <v>0</v>
          </cell>
          <cell r="BF868">
            <v>0</v>
          </cell>
          <cell r="BG868">
            <v>0</v>
          </cell>
          <cell r="BH868">
            <v>0</v>
          </cell>
          <cell r="BI868">
            <v>0</v>
          </cell>
          <cell r="BK868">
            <v>0</v>
          </cell>
          <cell r="BL868">
            <v>0</v>
          </cell>
          <cell r="BM868">
            <v>0</v>
          </cell>
          <cell r="BN868">
            <v>0</v>
          </cell>
          <cell r="BO868">
            <v>0</v>
          </cell>
          <cell r="BP868">
            <v>0</v>
          </cell>
          <cell r="BQ868">
            <v>0</v>
          </cell>
          <cell r="BR868">
            <v>0</v>
          </cell>
          <cell r="BS868">
            <v>0</v>
          </cell>
          <cell r="BU868">
            <v>0</v>
          </cell>
          <cell r="BV868">
            <v>0</v>
          </cell>
          <cell r="BW868">
            <v>0</v>
          </cell>
          <cell r="BX868">
            <v>0</v>
          </cell>
          <cell r="BY868">
            <v>0</v>
          </cell>
          <cell r="BZ868">
            <v>0</v>
          </cell>
          <cell r="CA868">
            <v>0</v>
          </cell>
          <cell r="CB868">
            <v>0</v>
          </cell>
          <cell r="CC868">
            <v>0</v>
          </cell>
          <cell r="CE868">
            <v>0</v>
          </cell>
          <cell r="CF868">
            <v>0</v>
          </cell>
          <cell r="CG868">
            <v>0</v>
          </cell>
          <cell r="CH868">
            <v>0</v>
          </cell>
          <cell r="CI868">
            <v>0</v>
          </cell>
          <cell r="CJ868">
            <v>0</v>
          </cell>
          <cell r="CK868">
            <v>0</v>
          </cell>
          <cell r="CL868">
            <v>0</v>
          </cell>
          <cell r="CM868">
            <v>0</v>
          </cell>
          <cell r="CO868">
            <v>0</v>
          </cell>
          <cell r="CP868">
            <v>0</v>
          </cell>
          <cell r="CQ868">
            <v>0</v>
          </cell>
          <cell r="CR868">
            <v>0</v>
          </cell>
          <cell r="CS868">
            <v>0</v>
          </cell>
          <cell r="CT868">
            <v>0</v>
          </cell>
          <cell r="CU868">
            <v>0</v>
          </cell>
          <cell r="CV868">
            <v>0</v>
          </cell>
          <cell r="CW868">
            <v>0</v>
          </cell>
          <cell r="CY868">
            <v>0</v>
          </cell>
          <cell r="CZ868">
            <v>0</v>
          </cell>
          <cell r="DA868">
            <v>0</v>
          </cell>
          <cell r="DB868">
            <v>0</v>
          </cell>
          <cell r="DC868">
            <v>0</v>
          </cell>
          <cell r="DD868">
            <v>0</v>
          </cell>
          <cell r="DE868">
            <v>0</v>
          </cell>
          <cell r="DF868">
            <v>0</v>
          </cell>
          <cell r="DG868">
            <v>0</v>
          </cell>
          <cell r="DI868">
            <v>0</v>
          </cell>
          <cell r="DJ868">
            <v>0</v>
          </cell>
          <cell r="DK868">
            <v>0</v>
          </cell>
          <cell r="DL868">
            <v>0</v>
          </cell>
          <cell r="DM868">
            <v>0</v>
          </cell>
          <cell r="DN868">
            <v>0</v>
          </cell>
          <cell r="DO868">
            <v>0</v>
          </cell>
          <cell r="DP868">
            <v>0</v>
          </cell>
          <cell r="DQ868">
            <v>0</v>
          </cell>
          <cell r="DR868">
            <v>0</v>
          </cell>
          <cell r="DS868">
            <v>0</v>
          </cell>
          <cell r="DT868">
            <v>0</v>
          </cell>
          <cell r="DU868">
            <v>0</v>
          </cell>
          <cell r="DW868">
            <v>0</v>
          </cell>
          <cell r="DX868">
            <v>0</v>
          </cell>
          <cell r="DY868">
            <v>0</v>
          </cell>
          <cell r="DZ868">
            <v>0</v>
          </cell>
          <cell r="EA868">
            <v>0</v>
          </cell>
          <cell r="EB868">
            <v>0</v>
          </cell>
          <cell r="EC868">
            <v>0</v>
          </cell>
          <cell r="ED868">
            <v>0</v>
          </cell>
          <cell r="EE868">
            <v>0</v>
          </cell>
          <cell r="EF868">
            <v>0</v>
          </cell>
          <cell r="EG868">
            <v>0</v>
          </cell>
          <cell r="EH868">
            <v>0</v>
          </cell>
          <cell r="EI868">
            <v>0</v>
          </cell>
          <cell r="EK868">
            <v>0</v>
          </cell>
          <cell r="EL868">
            <v>0</v>
          </cell>
          <cell r="EM868">
            <v>0</v>
          </cell>
          <cell r="EN868">
            <v>0</v>
          </cell>
          <cell r="EO868">
            <v>0</v>
          </cell>
          <cell r="EP868">
            <v>0</v>
          </cell>
          <cell r="EQ868">
            <v>0</v>
          </cell>
          <cell r="ER868">
            <v>0</v>
          </cell>
          <cell r="ES868">
            <v>0</v>
          </cell>
          <cell r="ET868">
            <v>0</v>
          </cell>
          <cell r="EU868">
            <v>0</v>
          </cell>
          <cell r="EV868">
            <v>0</v>
          </cell>
          <cell r="EW868">
            <v>0</v>
          </cell>
          <cell r="EY868">
            <v>0</v>
          </cell>
          <cell r="EZ868">
            <v>8</v>
          </cell>
          <cell r="FA868">
            <v>0</v>
          </cell>
          <cell r="FB868">
            <v>0</v>
          </cell>
          <cell r="FC868">
            <v>8.6</v>
          </cell>
          <cell r="FD868">
            <v>0</v>
          </cell>
          <cell r="FE868">
            <v>0</v>
          </cell>
          <cell r="FF868">
            <v>0</v>
          </cell>
          <cell r="FH868">
            <v>0</v>
          </cell>
        </row>
        <row r="869">
          <cell r="B869">
            <v>10002</v>
          </cell>
          <cell r="C869" t="str">
            <v>24.09.2012</v>
          </cell>
          <cell r="D869" t="str">
            <v>Ghavate Vaishali Vilas</v>
          </cell>
          <cell r="F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0</v>
          </cell>
          <cell r="R869">
            <v>0</v>
          </cell>
          <cell r="S869">
            <v>0</v>
          </cell>
          <cell r="T869">
            <v>0</v>
          </cell>
          <cell r="U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0</v>
          </cell>
          <cell r="AA869">
            <v>0</v>
          </cell>
          <cell r="AB869">
            <v>0</v>
          </cell>
          <cell r="AC869">
            <v>0</v>
          </cell>
          <cell r="AD869">
            <v>0</v>
          </cell>
          <cell r="AE869">
            <v>0</v>
          </cell>
          <cell r="AG869">
            <v>0</v>
          </cell>
          <cell r="AH869">
            <v>0</v>
          </cell>
          <cell r="AI869">
            <v>0</v>
          </cell>
          <cell r="AJ869">
            <v>0</v>
          </cell>
          <cell r="AK869">
            <v>0</v>
          </cell>
          <cell r="AL869">
            <v>0</v>
          </cell>
          <cell r="AM869">
            <v>0</v>
          </cell>
          <cell r="AN869">
            <v>0</v>
          </cell>
          <cell r="AO869">
            <v>0</v>
          </cell>
          <cell r="AQ869">
            <v>0</v>
          </cell>
          <cell r="AR869">
            <v>0</v>
          </cell>
          <cell r="AS869">
            <v>0</v>
          </cell>
          <cell r="AT869">
            <v>0</v>
          </cell>
          <cell r="AU869">
            <v>0</v>
          </cell>
          <cell r="AV869">
            <v>0</v>
          </cell>
          <cell r="AW869">
            <v>0</v>
          </cell>
          <cell r="AX869">
            <v>0</v>
          </cell>
          <cell r="AY869">
            <v>0</v>
          </cell>
          <cell r="BA869">
            <v>0</v>
          </cell>
          <cell r="BB869">
            <v>0</v>
          </cell>
          <cell r="BC869">
            <v>0</v>
          </cell>
          <cell r="BD869">
            <v>0</v>
          </cell>
          <cell r="BE869">
            <v>0</v>
          </cell>
          <cell r="BF869">
            <v>0</v>
          </cell>
          <cell r="BG869">
            <v>0</v>
          </cell>
          <cell r="BH869">
            <v>0</v>
          </cell>
          <cell r="BI869">
            <v>0</v>
          </cell>
          <cell r="BK869">
            <v>0</v>
          </cell>
          <cell r="BL869">
            <v>0</v>
          </cell>
          <cell r="BM869">
            <v>0</v>
          </cell>
          <cell r="BN869">
            <v>0</v>
          </cell>
          <cell r="BO869">
            <v>0</v>
          </cell>
          <cell r="BP869">
            <v>0</v>
          </cell>
          <cell r="BQ869">
            <v>0</v>
          </cell>
          <cell r="BR869">
            <v>0</v>
          </cell>
          <cell r="BS869">
            <v>0</v>
          </cell>
          <cell r="BU869">
            <v>0</v>
          </cell>
          <cell r="BV869">
            <v>0</v>
          </cell>
          <cell r="BW869">
            <v>0</v>
          </cell>
          <cell r="BX869">
            <v>0</v>
          </cell>
          <cell r="BY869">
            <v>0</v>
          </cell>
          <cell r="BZ869">
            <v>0</v>
          </cell>
          <cell r="CA869">
            <v>0</v>
          </cell>
          <cell r="CB869">
            <v>0</v>
          </cell>
          <cell r="CC869">
            <v>0</v>
          </cell>
          <cell r="CE869">
            <v>0</v>
          </cell>
          <cell r="CF869">
            <v>0</v>
          </cell>
          <cell r="CG869">
            <v>0</v>
          </cell>
          <cell r="CH869">
            <v>0</v>
          </cell>
          <cell r="CI869">
            <v>0</v>
          </cell>
          <cell r="CJ869">
            <v>0</v>
          </cell>
          <cell r="CK869">
            <v>0</v>
          </cell>
          <cell r="CL869">
            <v>0</v>
          </cell>
          <cell r="CM869">
            <v>0</v>
          </cell>
          <cell r="CO869">
            <v>0</v>
          </cell>
          <cell r="CP869">
            <v>0</v>
          </cell>
          <cell r="CQ869">
            <v>0</v>
          </cell>
          <cell r="CR869">
            <v>0</v>
          </cell>
          <cell r="CS869">
            <v>0</v>
          </cell>
          <cell r="CT869">
            <v>0</v>
          </cell>
          <cell r="CU869">
            <v>0</v>
          </cell>
          <cell r="CV869">
            <v>0</v>
          </cell>
          <cell r="CW869">
            <v>0</v>
          </cell>
          <cell r="CY869">
            <v>0</v>
          </cell>
          <cell r="CZ869">
            <v>0</v>
          </cell>
          <cell r="DA869">
            <v>0</v>
          </cell>
          <cell r="DB869">
            <v>0</v>
          </cell>
          <cell r="DC869">
            <v>0</v>
          </cell>
          <cell r="DD869">
            <v>0</v>
          </cell>
          <cell r="DE869">
            <v>0</v>
          </cell>
          <cell r="DF869">
            <v>0</v>
          </cell>
          <cell r="DG869">
            <v>0</v>
          </cell>
          <cell r="DI869">
            <v>0</v>
          </cell>
          <cell r="DJ869">
            <v>0</v>
          </cell>
          <cell r="DK869">
            <v>0</v>
          </cell>
          <cell r="DL869">
            <v>0</v>
          </cell>
          <cell r="DM869">
            <v>0</v>
          </cell>
          <cell r="DN869">
            <v>0</v>
          </cell>
          <cell r="DO869">
            <v>0</v>
          </cell>
          <cell r="DP869">
            <v>0</v>
          </cell>
          <cell r="DQ869">
            <v>0</v>
          </cell>
          <cell r="DR869">
            <v>0</v>
          </cell>
          <cell r="DS869">
            <v>0</v>
          </cell>
          <cell r="DT869">
            <v>0</v>
          </cell>
          <cell r="DU869">
            <v>0</v>
          </cell>
          <cell r="DW869">
            <v>0</v>
          </cell>
          <cell r="DX869">
            <v>0</v>
          </cell>
          <cell r="DY869">
            <v>0</v>
          </cell>
          <cell r="DZ869">
            <v>0</v>
          </cell>
          <cell r="EA869">
            <v>0</v>
          </cell>
          <cell r="EB869">
            <v>0</v>
          </cell>
          <cell r="EC869">
            <v>0</v>
          </cell>
          <cell r="ED869">
            <v>0</v>
          </cell>
          <cell r="EE869">
            <v>0</v>
          </cell>
          <cell r="EF869">
            <v>0</v>
          </cell>
          <cell r="EG869">
            <v>0</v>
          </cell>
          <cell r="EH869">
            <v>0</v>
          </cell>
          <cell r="EI869">
            <v>0</v>
          </cell>
          <cell r="EK869">
            <v>0</v>
          </cell>
          <cell r="EL869">
            <v>0</v>
          </cell>
          <cell r="EM869">
            <v>0</v>
          </cell>
          <cell r="EN869">
            <v>0</v>
          </cell>
          <cell r="EO869">
            <v>0</v>
          </cell>
          <cell r="EP869">
            <v>0</v>
          </cell>
          <cell r="EQ869">
            <v>0</v>
          </cell>
          <cell r="ER869">
            <v>0</v>
          </cell>
          <cell r="ES869">
            <v>0</v>
          </cell>
          <cell r="ET869">
            <v>0</v>
          </cell>
          <cell r="EU869">
            <v>0</v>
          </cell>
          <cell r="EV869">
            <v>0</v>
          </cell>
          <cell r="EW869">
            <v>0</v>
          </cell>
          <cell r="EY869">
            <v>0</v>
          </cell>
          <cell r="EZ869">
            <v>8</v>
          </cell>
          <cell r="FA869">
            <v>0</v>
          </cell>
          <cell r="FB869">
            <v>0</v>
          </cell>
          <cell r="FC869">
            <v>8.6</v>
          </cell>
          <cell r="FD869">
            <v>0</v>
          </cell>
          <cell r="FE869">
            <v>0</v>
          </cell>
          <cell r="FF869">
            <v>0</v>
          </cell>
          <cell r="FH869">
            <v>0</v>
          </cell>
        </row>
        <row r="870">
          <cell r="B870">
            <v>10003</v>
          </cell>
          <cell r="C870" t="str">
            <v>24.09.2012</v>
          </cell>
          <cell r="D870" t="str">
            <v>Baviskar Sunil Totharam</v>
          </cell>
          <cell r="F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G870">
            <v>0</v>
          </cell>
          <cell r="AH870">
            <v>0</v>
          </cell>
          <cell r="AI870">
            <v>0</v>
          </cell>
          <cell r="AJ870">
            <v>0</v>
          </cell>
          <cell r="AK870">
            <v>0</v>
          </cell>
          <cell r="AL870">
            <v>0</v>
          </cell>
          <cell r="AM870">
            <v>0</v>
          </cell>
          <cell r="AN870">
            <v>0</v>
          </cell>
          <cell r="AO870">
            <v>0</v>
          </cell>
          <cell r="AQ870">
            <v>0</v>
          </cell>
          <cell r="AR870">
            <v>0</v>
          </cell>
          <cell r="AS870">
            <v>0</v>
          </cell>
          <cell r="AT870">
            <v>0</v>
          </cell>
          <cell r="AU870">
            <v>0</v>
          </cell>
          <cell r="AV870">
            <v>0</v>
          </cell>
          <cell r="AW870">
            <v>0</v>
          </cell>
          <cell r="AX870">
            <v>0</v>
          </cell>
          <cell r="AY870">
            <v>0</v>
          </cell>
          <cell r="BA870">
            <v>0</v>
          </cell>
          <cell r="BB870">
            <v>0</v>
          </cell>
          <cell r="BC870">
            <v>0</v>
          </cell>
          <cell r="BD870">
            <v>0</v>
          </cell>
          <cell r="BE870">
            <v>0</v>
          </cell>
          <cell r="BF870">
            <v>0</v>
          </cell>
          <cell r="BG870">
            <v>0</v>
          </cell>
          <cell r="BH870">
            <v>0</v>
          </cell>
          <cell r="BI870">
            <v>0</v>
          </cell>
          <cell r="BK870">
            <v>0</v>
          </cell>
          <cell r="BL870">
            <v>0</v>
          </cell>
          <cell r="BM870">
            <v>0</v>
          </cell>
          <cell r="BN870">
            <v>0</v>
          </cell>
          <cell r="BO870">
            <v>0</v>
          </cell>
          <cell r="BP870">
            <v>0</v>
          </cell>
          <cell r="BQ870">
            <v>0</v>
          </cell>
          <cell r="BR870">
            <v>0</v>
          </cell>
          <cell r="BS870">
            <v>0</v>
          </cell>
          <cell r="BU870">
            <v>0</v>
          </cell>
          <cell r="BV870">
            <v>0</v>
          </cell>
          <cell r="BW870">
            <v>0</v>
          </cell>
          <cell r="BX870">
            <v>0</v>
          </cell>
          <cell r="BY870">
            <v>0</v>
          </cell>
          <cell r="BZ870">
            <v>0</v>
          </cell>
          <cell r="CA870">
            <v>0</v>
          </cell>
          <cell r="CB870">
            <v>0</v>
          </cell>
          <cell r="CC870">
            <v>0</v>
          </cell>
          <cell r="CE870">
            <v>0</v>
          </cell>
          <cell r="CF870">
            <v>0</v>
          </cell>
          <cell r="CG870">
            <v>0</v>
          </cell>
          <cell r="CH870">
            <v>0</v>
          </cell>
          <cell r="CI870">
            <v>0</v>
          </cell>
          <cell r="CJ870">
            <v>0</v>
          </cell>
          <cell r="CK870">
            <v>0</v>
          </cell>
          <cell r="CL870">
            <v>0</v>
          </cell>
          <cell r="CM870">
            <v>0</v>
          </cell>
          <cell r="CO870">
            <v>0</v>
          </cell>
          <cell r="CP870">
            <v>0</v>
          </cell>
          <cell r="CQ870">
            <v>0</v>
          </cell>
          <cell r="CR870">
            <v>0</v>
          </cell>
          <cell r="CS870">
            <v>0</v>
          </cell>
          <cell r="CT870">
            <v>0</v>
          </cell>
          <cell r="CU870">
            <v>0</v>
          </cell>
          <cell r="CV870">
            <v>0</v>
          </cell>
          <cell r="CW870">
            <v>0</v>
          </cell>
          <cell r="CY870">
            <v>0</v>
          </cell>
          <cell r="CZ870">
            <v>0</v>
          </cell>
          <cell r="DA870">
            <v>0</v>
          </cell>
          <cell r="DB870">
            <v>0</v>
          </cell>
          <cell r="DC870">
            <v>0</v>
          </cell>
          <cell r="DD870">
            <v>0</v>
          </cell>
          <cell r="DE870">
            <v>0</v>
          </cell>
          <cell r="DF870">
            <v>0</v>
          </cell>
          <cell r="DG870">
            <v>0</v>
          </cell>
          <cell r="DI870">
            <v>0</v>
          </cell>
          <cell r="DJ870">
            <v>0</v>
          </cell>
          <cell r="DK870">
            <v>0</v>
          </cell>
          <cell r="DL870">
            <v>0</v>
          </cell>
          <cell r="DM870">
            <v>0</v>
          </cell>
          <cell r="DN870">
            <v>0</v>
          </cell>
          <cell r="DO870">
            <v>0</v>
          </cell>
          <cell r="DP870">
            <v>0</v>
          </cell>
          <cell r="DQ870">
            <v>0</v>
          </cell>
          <cell r="DR870">
            <v>0</v>
          </cell>
          <cell r="DS870">
            <v>0</v>
          </cell>
          <cell r="DT870">
            <v>0</v>
          </cell>
          <cell r="DU870">
            <v>0</v>
          </cell>
          <cell r="DW870">
            <v>0</v>
          </cell>
          <cell r="DX870">
            <v>0</v>
          </cell>
          <cell r="DY870">
            <v>0</v>
          </cell>
          <cell r="DZ870">
            <v>0</v>
          </cell>
          <cell r="EA870">
            <v>0</v>
          </cell>
          <cell r="EB870">
            <v>0</v>
          </cell>
          <cell r="EC870">
            <v>0</v>
          </cell>
          <cell r="ED870">
            <v>0</v>
          </cell>
          <cell r="EE870">
            <v>0</v>
          </cell>
          <cell r="EF870">
            <v>0</v>
          </cell>
          <cell r="EG870">
            <v>0</v>
          </cell>
          <cell r="EH870">
            <v>0</v>
          </cell>
          <cell r="EI870">
            <v>0</v>
          </cell>
          <cell r="EK870">
            <v>0</v>
          </cell>
          <cell r="EL870">
            <v>0</v>
          </cell>
          <cell r="EM870">
            <v>0</v>
          </cell>
          <cell r="EN870">
            <v>0</v>
          </cell>
          <cell r="EO870">
            <v>0</v>
          </cell>
          <cell r="EP870">
            <v>0</v>
          </cell>
          <cell r="EQ870">
            <v>0</v>
          </cell>
          <cell r="ER870">
            <v>0</v>
          </cell>
          <cell r="ES870">
            <v>0</v>
          </cell>
          <cell r="ET870">
            <v>0</v>
          </cell>
          <cell r="EU870">
            <v>0</v>
          </cell>
          <cell r="EV870">
            <v>0</v>
          </cell>
          <cell r="EW870">
            <v>0</v>
          </cell>
          <cell r="EY870">
            <v>0</v>
          </cell>
          <cell r="EZ870">
            <v>8</v>
          </cell>
          <cell r="FA870">
            <v>0</v>
          </cell>
          <cell r="FB870">
            <v>0</v>
          </cell>
          <cell r="FC870">
            <v>8.6</v>
          </cell>
          <cell r="FD870">
            <v>0</v>
          </cell>
          <cell r="FE870">
            <v>0</v>
          </cell>
          <cell r="FF870">
            <v>0</v>
          </cell>
          <cell r="FH870">
            <v>0</v>
          </cell>
        </row>
        <row r="871">
          <cell r="B871">
            <v>10004</v>
          </cell>
          <cell r="C871" t="str">
            <v>24.09.2012</v>
          </cell>
          <cell r="D871" t="str">
            <v>More Gajanan Yashwant</v>
          </cell>
          <cell r="F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G871">
            <v>0</v>
          </cell>
          <cell r="AH871">
            <v>0</v>
          </cell>
          <cell r="AI871">
            <v>0</v>
          </cell>
          <cell r="AJ871">
            <v>0</v>
          </cell>
          <cell r="AK871">
            <v>0</v>
          </cell>
          <cell r="AL871">
            <v>0</v>
          </cell>
          <cell r="AM871">
            <v>0</v>
          </cell>
          <cell r="AN871">
            <v>0</v>
          </cell>
          <cell r="AO871">
            <v>0</v>
          </cell>
          <cell r="AQ871">
            <v>0</v>
          </cell>
          <cell r="AR871">
            <v>0</v>
          </cell>
          <cell r="AS871">
            <v>0</v>
          </cell>
          <cell r="AT871">
            <v>0</v>
          </cell>
          <cell r="AU871">
            <v>0</v>
          </cell>
          <cell r="AV871">
            <v>0</v>
          </cell>
          <cell r="AW871">
            <v>0</v>
          </cell>
          <cell r="AX871">
            <v>0</v>
          </cell>
          <cell r="AY871">
            <v>0</v>
          </cell>
          <cell r="BA871">
            <v>0</v>
          </cell>
          <cell r="BB871">
            <v>0</v>
          </cell>
          <cell r="BC871">
            <v>0</v>
          </cell>
          <cell r="BD871">
            <v>0</v>
          </cell>
          <cell r="BE871">
            <v>0</v>
          </cell>
          <cell r="BF871">
            <v>0</v>
          </cell>
          <cell r="BG871">
            <v>0</v>
          </cell>
          <cell r="BH871">
            <v>0</v>
          </cell>
          <cell r="BI871">
            <v>0</v>
          </cell>
          <cell r="BK871">
            <v>0</v>
          </cell>
          <cell r="BL871">
            <v>0</v>
          </cell>
          <cell r="BM871">
            <v>0</v>
          </cell>
          <cell r="BN871">
            <v>0</v>
          </cell>
          <cell r="BO871">
            <v>0</v>
          </cell>
          <cell r="BP871">
            <v>0</v>
          </cell>
          <cell r="BQ871">
            <v>0</v>
          </cell>
          <cell r="BR871">
            <v>0</v>
          </cell>
          <cell r="BS871">
            <v>0</v>
          </cell>
          <cell r="BU871">
            <v>0</v>
          </cell>
          <cell r="BV871">
            <v>0</v>
          </cell>
          <cell r="BW871">
            <v>0</v>
          </cell>
          <cell r="BX871">
            <v>0</v>
          </cell>
          <cell r="BY871">
            <v>0</v>
          </cell>
          <cell r="BZ871">
            <v>0</v>
          </cell>
          <cell r="CA871">
            <v>0</v>
          </cell>
          <cell r="CB871">
            <v>0</v>
          </cell>
          <cell r="CC871">
            <v>0</v>
          </cell>
          <cell r="CE871">
            <v>0</v>
          </cell>
          <cell r="CF871">
            <v>0</v>
          </cell>
          <cell r="CG871">
            <v>0</v>
          </cell>
          <cell r="CH871">
            <v>0</v>
          </cell>
          <cell r="CI871">
            <v>0</v>
          </cell>
          <cell r="CJ871">
            <v>0</v>
          </cell>
          <cell r="CK871">
            <v>0</v>
          </cell>
          <cell r="CL871">
            <v>0</v>
          </cell>
          <cell r="CM871">
            <v>0</v>
          </cell>
          <cell r="CO871">
            <v>0</v>
          </cell>
          <cell r="CP871">
            <v>0</v>
          </cell>
          <cell r="CQ871">
            <v>0</v>
          </cell>
          <cell r="CR871">
            <v>0</v>
          </cell>
          <cell r="CS871">
            <v>0</v>
          </cell>
          <cell r="CT871">
            <v>0</v>
          </cell>
          <cell r="CU871">
            <v>0</v>
          </cell>
          <cell r="CV871">
            <v>0</v>
          </cell>
          <cell r="CW871">
            <v>0</v>
          </cell>
          <cell r="CY871">
            <v>0</v>
          </cell>
          <cell r="CZ871">
            <v>0</v>
          </cell>
          <cell r="DA871">
            <v>0</v>
          </cell>
          <cell r="DB871">
            <v>0</v>
          </cell>
          <cell r="DC871">
            <v>0</v>
          </cell>
          <cell r="DD871">
            <v>0</v>
          </cell>
          <cell r="DE871">
            <v>0</v>
          </cell>
          <cell r="DF871">
            <v>0</v>
          </cell>
          <cell r="DG871">
            <v>0</v>
          </cell>
          <cell r="DI871">
            <v>0</v>
          </cell>
          <cell r="DJ871">
            <v>0</v>
          </cell>
          <cell r="DK871">
            <v>0</v>
          </cell>
          <cell r="DL871">
            <v>0</v>
          </cell>
          <cell r="DM871">
            <v>0</v>
          </cell>
          <cell r="DN871">
            <v>0</v>
          </cell>
          <cell r="DO871">
            <v>0</v>
          </cell>
          <cell r="DP871">
            <v>0</v>
          </cell>
          <cell r="DQ871">
            <v>0</v>
          </cell>
          <cell r="DR871">
            <v>0</v>
          </cell>
          <cell r="DS871">
            <v>0</v>
          </cell>
          <cell r="DT871">
            <v>0</v>
          </cell>
          <cell r="DU871">
            <v>0</v>
          </cell>
          <cell r="DW871">
            <v>0</v>
          </cell>
          <cell r="DX871">
            <v>0</v>
          </cell>
          <cell r="DY871">
            <v>0</v>
          </cell>
          <cell r="DZ871">
            <v>0</v>
          </cell>
          <cell r="EA871">
            <v>0</v>
          </cell>
          <cell r="EB871">
            <v>0</v>
          </cell>
          <cell r="EC871">
            <v>0</v>
          </cell>
          <cell r="ED871">
            <v>0</v>
          </cell>
          <cell r="EE871">
            <v>0</v>
          </cell>
          <cell r="EF871">
            <v>0</v>
          </cell>
          <cell r="EG871">
            <v>0</v>
          </cell>
          <cell r="EH871">
            <v>0</v>
          </cell>
          <cell r="EI871">
            <v>0</v>
          </cell>
          <cell r="EK871">
            <v>0</v>
          </cell>
          <cell r="EL871">
            <v>0</v>
          </cell>
          <cell r="EM871">
            <v>0</v>
          </cell>
          <cell r="EN871">
            <v>0</v>
          </cell>
          <cell r="EO871">
            <v>0</v>
          </cell>
          <cell r="EP871">
            <v>0</v>
          </cell>
          <cell r="EQ871">
            <v>0</v>
          </cell>
          <cell r="ER871">
            <v>0</v>
          </cell>
          <cell r="ES871">
            <v>0</v>
          </cell>
          <cell r="ET871">
            <v>0</v>
          </cell>
          <cell r="EU871">
            <v>0</v>
          </cell>
          <cell r="EV871">
            <v>0</v>
          </cell>
          <cell r="EW871">
            <v>0</v>
          </cell>
          <cell r="EY871">
            <v>0</v>
          </cell>
          <cell r="EZ871">
            <v>8</v>
          </cell>
          <cell r="FA871">
            <v>0</v>
          </cell>
          <cell r="FB871">
            <v>0</v>
          </cell>
          <cell r="FC871">
            <v>8.6</v>
          </cell>
          <cell r="FD871">
            <v>0</v>
          </cell>
          <cell r="FE871">
            <v>0</v>
          </cell>
          <cell r="FF871">
            <v>0</v>
          </cell>
          <cell r="FH871">
            <v>0</v>
          </cell>
        </row>
        <row r="872">
          <cell r="B872">
            <v>10005</v>
          </cell>
          <cell r="C872" t="str">
            <v>24.09.2012</v>
          </cell>
          <cell r="D872" t="str">
            <v>Saudagar Rizwan Nazir</v>
          </cell>
          <cell r="F872">
            <v>0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Q872">
            <v>0</v>
          </cell>
          <cell r="AR872">
            <v>0</v>
          </cell>
          <cell r="AS872">
            <v>0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BA872">
            <v>0</v>
          </cell>
          <cell r="BB872">
            <v>0</v>
          </cell>
          <cell r="BC872">
            <v>0</v>
          </cell>
          <cell r="BD872">
            <v>0</v>
          </cell>
          <cell r="BE872">
            <v>0</v>
          </cell>
          <cell r="BF872">
            <v>0</v>
          </cell>
          <cell r="BG872">
            <v>0</v>
          </cell>
          <cell r="BH872">
            <v>0</v>
          </cell>
          <cell r="BI872">
            <v>0</v>
          </cell>
          <cell r="BK872">
            <v>0</v>
          </cell>
          <cell r="BL872">
            <v>0</v>
          </cell>
          <cell r="BM872">
            <v>0</v>
          </cell>
          <cell r="BN872">
            <v>0</v>
          </cell>
          <cell r="BO872">
            <v>0</v>
          </cell>
          <cell r="BP872">
            <v>0</v>
          </cell>
          <cell r="BQ872">
            <v>0</v>
          </cell>
          <cell r="BR872">
            <v>0</v>
          </cell>
          <cell r="BS872">
            <v>0</v>
          </cell>
          <cell r="BU872">
            <v>0</v>
          </cell>
          <cell r="BV872">
            <v>0</v>
          </cell>
          <cell r="BW872">
            <v>0</v>
          </cell>
          <cell r="BX872">
            <v>0</v>
          </cell>
          <cell r="BY872">
            <v>0</v>
          </cell>
          <cell r="BZ872">
            <v>0</v>
          </cell>
          <cell r="CA872">
            <v>0</v>
          </cell>
          <cell r="CB872">
            <v>0</v>
          </cell>
          <cell r="CC872">
            <v>0</v>
          </cell>
          <cell r="CE872">
            <v>0</v>
          </cell>
          <cell r="CF872">
            <v>0</v>
          </cell>
          <cell r="CG872">
            <v>0</v>
          </cell>
          <cell r="CH872">
            <v>0</v>
          </cell>
          <cell r="CI872">
            <v>0</v>
          </cell>
          <cell r="CJ872">
            <v>0</v>
          </cell>
          <cell r="CK872">
            <v>0</v>
          </cell>
          <cell r="CL872">
            <v>0</v>
          </cell>
          <cell r="CM872">
            <v>0</v>
          </cell>
          <cell r="CO872">
            <v>0</v>
          </cell>
          <cell r="CP872">
            <v>0</v>
          </cell>
          <cell r="CQ872">
            <v>0</v>
          </cell>
          <cell r="CR872">
            <v>0</v>
          </cell>
          <cell r="CS872">
            <v>0</v>
          </cell>
          <cell r="CT872">
            <v>0</v>
          </cell>
          <cell r="CU872">
            <v>0</v>
          </cell>
          <cell r="CV872">
            <v>0</v>
          </cell>
          <cell r="CW872">
            <v>0</v>
          </cell>
          <cell r="CY872">
            <v>0</v>
          </cell>
          <cell r="CZ872">
            <v>0</v>
          </cell>
          <cell r="DA872">
            <v>0</v>
          </cell>
          <cell r="DB872">
            <v>0</v>
          </cell>
          <cell r="DC872">
            <v>0</v>
          </cell>
          <cell r="DD872">
            <v>0</v>
          </cell>
          <cell r="DE872">
            <v>0</v>
          </cell>
          <cell r="DF872">
            <v>0</v>
          </cell>
          <cell r="DG872">
            <v>0</v>
          </cell>
          <cell r="DI872">
            <v>0</v>
          </cell>
          <cell r="DJ872">
            <v>0</v>
          </cell>
          <cell r="DK872">
            <v>0</v>
          </cell>
          <cell r="DL872">
            <v>0</v>
          </cell>
          <cell r="DM872">
            <v>0</v>
          </cell>
          <cell r="DN872">
            <v>0</v>
          </cell>
          <cell r="DO872">
            <v>0</v>
          </cell>
          <cell r="DP872">
            <v>0</v>
          </cell>
          <cell r="DQ872">
            <v>0</v>
          </cell>
          <cell r="DR872">
            <v>0</v>
          </cell>
          <cell r="DS872">
            <v>0</v>
          </cell>
          <cell r="DT872">
            <v>0</v>
          </cell>
          <cell r="DU872">
            <v>0</v>
          </cell>
          <cell r="DW872">
            <v>0</v>
          </cell>
          <cell r="DX872">
            <v>0</v>
          </cell>
          <cell r="DY872">
            <v>0</v>
          </cell>
          <cell r="DZ872">
            <v>0</v>
          </cell>
          <cell r="EA872">
            <v>0</v>
          </cell>
          <cell r="EB872">
            <v>0</v>
          </cell>
          <cell r="EC872">
            <v>0</v>
          </cell>
          <cell r="ED872">
            <v>0</v>
          </cell>
          <cell r="EE872">
            <v>0</v>
          </cell>
          <cell r="EF872">
            <v>0</v>
          </cell>
          <cell r="EG872">
            <v>0</v>
          </cell>
          <cell r="EH872">
            <v>0</v>
          </cell>
          <cell r="EI872">
            <v>0</v>
          </cell>
          <cell r="EK872">
            <v>0</v>
          </cell>
          <cell r="EL872">
            <v>0</v>
          </cell>
          <cell r="EM872">
            <v>0</v>
          </cell>
          <cell r="EN872">
            <v>0</v>
          </cell>
          <cell r="EO872">
            <v>0</v>
          </cell>
          <cell r="EP872">
            <v>0</v>
          </cell>
          <cell r="EQ872">
            <v>0</v>
          </cell>
          <cell r="ER872">
            <v>0</v>
          </cell>
          <cell r="ES872">
            <v>0</v>
          </cell>
          <cell r="ET872">
            <v>0</v>
          </cell>
          <cell r="EU872">
            <v>0</v>
          </cell>
          <cell r="EV872">
            <v>0</v>
          </cell>
          <cell r="EW872">
            <v>0</v>
          </cell>
          <cell r="EY872">
            <v>0</v>
          </cell>
          <cell r="EZ872">
            <v>8</v>
          </cell>
          <cell r="FA872">
            <v>0</v>
          </cell>
          <cell r="FB872">
            <v>0</v>
          </cell>
          <cell r="FC872">
            <v>8.6</v>
          </cell>
          <cell r="FD872">
            <v>0</v>
          </cell>
          <cell r="FE872">
            <v>0</v>
          </cell>
          <cell r="FF872">
            <v>0</v>
          </cell>
          <cell r="FH872">
            <v>0</v>
          </cell>
        </row>
        <row r="873">
          <cell r="B873">
            <v>10006</v>
          </cell>
          <cell r="C873" t="str">
            <v>26.09.2012</v>
          </cell>
          <cell r="D873" t="str">
            <v>Kalamkar Priti Murlidhar</v>
          </cell>
          <cell r="F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BA873">
            <v>0</v>
          </cell>
          <cell r="BB873">
            <v>0</v>
          </cell>
          <cell r="BC873">
            <v>0</v>
          </cell>
          <cell r="BD873">
            <v>0</v>
          </cell>
          <cell r="BE873">
            <v>0</v>
          </cell>
          <cell r="BF873">
            <v>0</v>
          </cell>
          <cell r="BG873">
            <v>0</v>
          </cell>
          <cell r="BH873">
            <v>0</v>
          </cell>
          <cell r="BI873">
            <v>0</v>
          </cell>
          <cell r="BK873">
            <v>0</v>
          </cell>
          <cell r="BL873">
            <v>0</v>
          </cell>
          <cell r="BM873">
            <v>0</v>
          </cell>
          <cell r="BN873">
            <v>0</v>
          </cell>
          <cell r="BO873">
            <v>0</v>
          </cell>
          <cell r="BP873">
            <v>0</v>
          </cell>
          <cell r="BQ873">
            <v>0</v>
          </cell>
          <cell r="BR873">
            <v>0</v>
          </cell>
          <cell r="BS873">
            <v>0</v>
          </cell>
          <cell r="BU873">
            <v>0</v>
          </cell>
          <cell r="BV873">
            <v>0</v>
          </cell>
          <cell r="BW873">
            <v>0</v>
          </cell>
          <cell r="BX873">
            <v>0</v>
          </cell>
          <cell r="BY873">
            <v>0</v>
          </cell>
          <cell r="BZ873">
            <v>0</v>
          </cell>
          <cell r="CA873">
            <v>0</v>
          </cell>
          <cell r="CB873">
            <v>0</v>
          </cell>
          <cell r="CC873">
            <v>0</v>
          </cell>
          <cell r="CE873">
            <v>0</v>
          </cell>
          <cell r="CF873">
            <v>0</v>
          </cell>
          <cell r="CG873">
            <v>0</v>
          </cell>
          <cell r="CH873">
            <v>0</v>
          </cell>
          <cell r="CI873">
            <v>0</v>
          </cell>
          <cell r="CJ873">
            <v>0</v>
          </cell>
          <cell r="CK873">
            <v>0</v>
          </cell>
          <cell r="CL873">
            <v>0</v>
          </cell>
          <cell r="CM873">
            <v>0</v>
          </cell>
          <cell r="CO873">
            <v>0</v>
          </cell>
          <cell r="CP873">
            <v>0</v>
          </cell>
          <cell r="CQ873">
            <v>0</v>
          </cell>
          <cell r="CR873">
            <v>0</v>
          </cell>
          <cell r="CS873">
            <v>0</v>
          </cell>
          <cell r="CT873">
            <v>0</v>
          </cell>
          <cell r="CU873">
            <v>0</v>
          </cell>
          <cell r="CV873">
            <v>0</v>
          </cell>
          <cell r="CW873">
            <v>0</v>
          </cell>
          <cell r="CY873">
            <v>0</v>
          </cell>
          <cell r="CZ873">
            <v>0</v>
          </cell>
          <cell r="DA873">
            <v>0</v>
          </cell>
          <cell r="DB873">
            <v>0</v>
          </cell>
          <cell r="DC873">
            <v>0</v>
          </cell>
          <cell r="DD873">
            <v>0</v>
          </cell>
          <cell r="DE873">
            <v>0</v>
          </cell>
          <cell r="DF873">
            <v>0</v>
          </cell>
          <cell r="DG873">
            <v>0</v>
          </cell>
          <cell r="DI873">
            <v>0</v>
          </cell>
          <cell r="DJ873">
            <v>0</v>
          </cell>
          <cell r="DK873">
            <v>0</v>
          </cell>
          <cell r="DL873">
            <v>0</v>
          </cell>
          <cell r="DM873">
            <v>0</v>
          </cell>
          <cell r="DN873">
            <v>0</v>
          </cell>
          <cell r="DO873">
            <v>0</v>
          </cell>
          <cell r="DP873">
            <v>0</v>
          </cell>
          <cell r="DQ873">
            <v>0</v>
          </cell>
          <cell r="DR873">
            <v>0</v>
          </cell>
          <cell r="DS873">
            <v>0</v>
          </cell>
          <cell r="DT873">
            <v>0</v>
          </cell>
          <cell r="DU873">
            <v>0</v>
          </cell>
          <cell r="DW873">
            <v>0</v>
          </cell>
          <cell r="DX873">
            <v>0</v>
          </cell>
          <cell r="DY873">
            <v>0</v>
          </cell>
          <cell r="DZ873">
            <v>0</v>
          </cell>
          <cell r="EA873">
            <v>0</v>
          </cell>
          <cell r="EB873">
            <v>0</v>
          </cell>
          <cell r="EC873">
            <v>0</v>
          </cell>
          <cell r="ED873">
            <v>0</v>
          </cell>
          <cell r="EE873">
            <v>0</v>
          </cell>
          <cell r="EF873">
            <v>0</v>
          </cell>
          <cell r="EG873">
            <v>0</v>
          </cell>
          <cell r="EH873">
            <v>0</v>
          </cell>
          <cell r="EI873">
            <v>0</v>
          </cell>
          <cell r="EK873">
            <v>0</v>
          </cell>
          <cell r="EL873">
            <v>0</v>
          </cell>
          <cell r="EM873">
            <v>0</v>
          </cell>
          <cell r="EN873">
            <v>0</v>
          </cell>
          <cell r="EO873">
            <v>0</v>
          </cell>
          <cell r="EP873">
            <v>0</v>
          </cell>
          <cell r="EQ873">
            <v>0</v>
          </cell>
          <cell r="ER873">
            <v>0</v>
          </cell>
          <cell r="ES873">
            <v>0</v>
          </cell>
          <cell r="ET873">
            <v>0</v>
          </cell>
          <cell r="EU873">
            <v>0</v>
          </cell>
          <cell r="EV873">
            <v>0</v>
          </cell>
          <cell r="EW873">
            <v>0</v>
          </cell>
          <cell r="EY873">
            <v>0</v>
          </cell>
          <cell r="EZ873">
            <v>8</v>
          </cell>
          <cell r="FA873">
            <v>0</v>
          </cell>
          <cell r="FB873">
            <v>0</v>
          </cell>
          <cell r="FC873">
            <v>8.6</v>
          </cell>
          <cell r="FD873">
            <v>0</v>
          </cell>
          <cell r="FE873">
            <v>0</v>
          </cell>
          <cell r="FF873">
            <v>0</v>
          </cell>
          <cell r="FH873">
            <v>0</v>
          </cell>
        </row>
        <row r="874">
          <cell r="B874">
            <v>10007</v>
          </cell>
          <cell r="C874" t="str">
            <v>26.09.2012</v>
          </cell>
          <cell r="D874" t="str">
            <v>Thakare Shyam Prakash</v>
          </cell>
          <cell r="F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G874">
            <v>0</v>
          </cell>
          <cell r="AH874">
            <v>0</v>
          </cell>
          <cell r="AI874">
            <v>0</v>
          </cell>
          <cell r="AJ874">
            <v>0</v>
          </cell>
          <cell r="AK874">
            <v>0</v>
          </cell>
          <cell r="AL874">
            <v>0</v>
          </cell>
          <cell r="AM874">
            <v>0</v>
          </cell>
          <cell r="AN874">
            <v>0</v>
          </cell>
          <cell r="AO874">
            <v>0</v>
          </cell>
          <cell r="AQ874">
            <v>0</v>
          </cell>
          <cell r="AR874">
            <v>0</v>
          </cell>
          <cell r="AS874">
            <v>0</v>
          </cell>
          <cell r="AT874">
            <v>0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BA874">
            <v>0</v>
          </cell>
          <cell r="BB874">
            <v>0</v>
          </cell>
          <cell r="BC874">
            <v>0</v>
          </cell>
          <cell r="BD874">
            <v>0</v>
          </cell>
          <cell r="BE874">
            <v>0</v>
          </cell>
          <cell r="BF874">
            <v>0</v>
          </cell>
          <cell r="BG874">
            <v>0</v>
          </cell>
          <cell r="BH874">
            <v>0</v>
          </cell>
          <cell r="BI874">
            <v>0</v>
          </cell>
          <cell r="BK874">
            <v>0</v>
          </cell>
          <cell r="BL874">
            <v>0</v>
          </cell>
          <cell r="BM874">
            <v>0</v>
          </cell>
          <cell r="BN874">
            <v>0</v>
          </cell>
          <cell r="BO874">
            <v>0</v>
          </cell>
          <cell r="BP874">
            <v>0</v>
          </cell>
          <cell r="BQ874">
            <v>0</v>
          </cell>
          <cell r="BR874">
            <v>0</v>
          </cell>
          <cell r="BS874">
            <v>0</v>
          </cell>
          <cell r="BU874">
            <v>0</v>
          </cell>
          <cell r="BV874">
            <v>0</v>
          </cell>
          <cell r="BW874">
            <v>0</v>
          </cell>
          <cell r="BX874">
            <v>0</v>
          </cell>
          <cell r="BY874">
            <v>0</v>
          </cell>
          <cell r="BZ874">
            <v>0</v>
          </cell>
          <cell r="CA874">
            <v>0</v>
          </cell>
          <cell r="CB874">
            <v>0</v>
          </cell>
          <cell r="CC874">
            <v>0</v>
          </cell>
          <cell r="CE874">
            <v>0</v>
          </cell>
          <cell r="CF874">
            <v>0</v>
          </cell>
          <cell r="CG874">
            <v>0</v>
          </cell>
          <cell r="CH874">
            <v>0</v>
          </cell>
          <cell r="CI874">
            <v>0</v>
          </cell>
          <cell r="CJ874">
            <v>0</v>
          </cell>
          <cell r="CK874">
            <v>0</v>
          </cell>
          <cell r="CL874">
            <v>0</v>
          </cell>
          <cell r="CM874">
            <v>0</v>
          </cell>
          <cell r="CO874">
            <v>0</v>
          </cell>
          <cell r="CP874">
            <v>0</v>
          </cell>
          <cell r="CQ874">
            <v>0</v>
          </cell>
          <cell r="CR874">
            <v>0</v>
          </cell>
          <cell r="CS874">
            <v>0</v>
          </cell>
          <cell r="CT874">
            <v>0</v>
          </cell>
          <cell r="CU874">
            <v>0</v>
          </cell>
          <cell r="CV874">
            <v>0</v>
          </cell>
          <cell r="CW874">
            <v>0</v>
          </cell>
          <cell r="CY874">
            <v>0</v>
          </cell>
          <cell r="CZ874">
            <v>0</v>
          </cell>
          <cell r="DA874">
            <v>0</v>
          </cell>
          <cell r="DB874">
            <v>0</v>
          </cell>
          <cell r="DC874">
            <v>0</v>
          </cell>
          <cell r="DD874">
            <v>0</v>
          </cell>
          <cell r="DE874">
            <v>0</v>
          </cell>
          <cell r="DF874">
            <v>0</v>
          </cell>
          <cell r="DG874">
            <v>0</v>
          </cell>
          <cell r="DI874">
            <v>0</v>
          </cell>
          <cell r="DJ874">
            <v>0</v>
          </cell>
          <cell r="DK874">
            <v>0</v>
          </cell>
          <cell r="DL874">
            <v>0</v>
          </cell>
          <cell r="DM874">
            <v>0</v>
          </cell>
          <cell r="DN874">
            <v>0</v>
          </cell>
          <cell r="DO874">
            <v>0</v>
          </cell>
          <cell r="DP874">
            <v>0</v>
          </cell>
          <cell r="DQ874">
            <v>0</v>
          </cell>
          <cell r="DR874">
            <v>0</v>
          </cell>
          <cell r="DS874">
            <v>0</v>
          </cell>
          <cell r="DT874">
            <v>0</v>
          </cell>
          <cell r="DU874">
            <v>0</v>
          </cell>
          <cell r="DW874">
            <v>0</v>
          </cell>
          <cell r="DX874">
            <v>0</v>
          </cell>
          <cell r="DY874">
            <v>0</v>
          </cell>
          <cell r="DZ874">
            <v>0</v>
          </cell>
          <cell r="EA874">
            <v>0</v>
          </cell>
          <cell r="EB874">
            <v>0</v>
          </cell>
          <cell r="EC874">
            <v>0</v>
          </cell>
          <cell r="ED874">
            <v>0</v>
          </cell>
          <cell r="EE874">
            <v>0</v>
          </cell>
          <cell r="EF874">
            <v>0</v>
          </cell>
          <cell r="EG874">
            <v>0</v>
          </cell>
          <cell r="EH874">
            <v>0</v>
          </cell>
          <cell r="EI874">
            <v>0</v>
          </cell>
          <cell r="EK874">
            <v>0</v>
          </cell>
          <cell r="EL874">
            <v>0</v>
          </cell>
          <cell r="EM874">
            <v>0</v>
          </cell>
          <cell r="EN874">
            <v>0</v>
          </cell>
          <cell r="EO874">
            <v>0</v>
          </cell>
          <cell r="EP874">
            <v>0</v>
          </cell>
          <cell r="EQ874">
            <v>0</v>
          </cell>
          <cell r="ER874">
            <v>0</v>
          </cell>
          <cell r="ES874">
            <v>0</v>
          </cell>
          <cell r="ET874">
            <v>0</v>
          </cell>
          <cell r="EU874">
            <v>0</v>
          </cell>
          <cell r="EV874">
            <v>0</v>
          </cell>
          <cell r="EW874">
            <v>0</v>
          </cell>
          <cell r="EY874">
            <v>0</v>
          </cell>
          <cell r="EZ874">
            <v>8</v>
          </cell>
          <cell r="FA874">
            <v>0</v>
          </cell>
          <cell r="FB874">
            <v>0</v>
          </cell>
          <cell r="FC874">
            <v>8.6</v>
          </cell>
          <cell r="FD874">
            <v>0</v>
          </cell>
          <cell r="FE874">
            <v>0</v>
          </cell>
          <cell r="FF874">
            <v>0</v>
          </cell>
          <cell r="FH874">
            <v>0</v>
          </cell>
        </row>
        <row r="875">
          <cell r="B875">
            <v>9721</v>
          </cell>
          <cell r="C875" t="str">
            <v>27.09.2012</v>
          </cell>
          <cell r="D875" t="str">
            <v>Kurnawal Vasuda Vjinath</v>
          </cell>
          <cell r="F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0</v>
          </cell>
          <cell r="U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  <cell r="AG875">
            <v>0</v>
          </cell>
          <cell r="AH875">
            <v>0</v>
          </cell>
          <cell r="AI875">
            <v>0</v>
          </cell>
          <cell r="AJ875">
            <v>0</v>
          </cell>
          <cell r="AK875">
            <v>0</v>
          </cell>
          <cell r="AL875">
            <v>0</v>
          </cell>
          <cell r="AM875">
            <v>0</v>
          </cell>
          <cell r="AN875">
            <v>0</v>
          </cell>
          <cell r="AO875">
            <v>0</v>
          </cell>
          <cell r="AQ875">
            <v>0</v>
          </cell>
          <cell r="AR875">
            <v>0</v>
          </cell>
          <cell r="AS875">
            <v>0</v>
          </cell>
          <cell r="AT875">
            <v>0</v>
          </cell>
          <cell r="AU875">
            <v>0</v>
          </cell>
          <cell r="AV875">
            <v>0</v>
          </cell>
          <cell r="AW875">
            <v>0</v>
          </cell>
          <cell r="AX875">
            <v>0</v>
          </cell>
          <cell r="AY875">
            <v>0</v>
          </cell>
          <cell r="BA875">
            <v>0</v>
          </cell>
          <cell r="BB875">
            <v>0</v>
          </cell>
          <cell r="BC875">
            <v>0</v>
          </cell>
          <cell r="BD875">
            <v>0</v>
          </cell>
          <cell r="BE875">
            <v>0</v>
          </cell>
          <cell r="BF875">
            <v>0</v>
          </cell>
          <cell r="BG875">
            <v>0</v>
          </cell>
          <cell r="BH875">
            <v>0</v>
          </cell>
          <cell r="BI875">
            <v>0</v>
          </cell>
          <cell r="BK875">
            <v>0</v>
          </cell>
          <cell r="BL875">
            <v>0</v>
          </cell>
          <cell r="BM875">
            <v>0</v>
          </cell>
          <cell r="BN875">
            <v>0</v>
          </cell>
          <cell r="BO875">
            <v>0</v>
          </cell>
          <cell r="BP875">
            <v>0</v>
          </cell>
          <cell r="BQ875">
            <v>0</v>
          </cell>
          <cell r="BR875">
            <v>0</v>
          </cell>
          <cell r="BS875">
            <v>0</v>
          </cell>
          <cell r="BU875">
            <v>0</v>
          </cell>
          <cell r="BV875">
            <v>0</v>
          </cell>
          <cell r="BW875">
            <v>0</v>
          </cell>
          <cell r="BX875">
            <v>0</v>
          </cell>
          <cell r="BY875">
            <v>0</v>
          </cell>
          <cell r="BZ875">
            <v>0</v>
          </cell>
          <cell r="CA875">
            <v>0</v>
          </cell>
          <cell r="CB875">
            <v>0</v>
          </cell>
          <cell r="CC875">
            <v>0</v>
          </cell>
          <cell r="CE875">
            <v>0</v>
          </cell>
          <cell r="CF875">
            <v>0</v>
          </cell>
          <cell r="CG875">
            <v>0</v>
          </cell>
          <cell r="CH875">
            <v>0</v>
          </cell>
          <cell r="CI875">
            <v>0</v>
          </cell>
          <cell r="CJ875">
            <v>0</v>
          </cell>
          <cell r="CK875">
            <v>0</v>
          </cell>
          <cell r="CL875">
            <v>0</v>
          </cell>
          <cell r="CM875">
            <v>0</v>
          </cell>
          <cell r="CO875">
            <v>0</v>
          </cell>
          <cell r="CP875">
            <v>0</v>
          </cell>
          <cell r="CQ875">
            <v>0</v>
          </cell>
          <cell r="CR875">
            <v>0</v>
          </cell>
          <cell r="CS875">
            <v>0</v>
          </cell>
          <cell r="CT875">
            <v>0</v>
          </cell>
          <cell r="CU875">
            <v>0</v>
          </cell>
          <cell r="CV875">
            <v>0</v>
          </cell>
          <cell r="CW875">
            <v>0</v>
          </cell>
          <cell r="CY875">
            <v>0</v>
          </cell>
          <cell r="CZ875">
            <v>0</v>
          </cell>
          <cell r="DA875">
            <v>0</v>
          </cell>
          <cell r="DB875">
            <v>0</v>
          </cell>
          <cell r="DC875">
            <v>0</v>
          </cell>
          <cell r="DD875">
            <v>0</v>
          </cell>
          <cell r="DE875">
            <v>0</v>
          </cell>
          <cell r="DF875">
            <v>0</v>
          </cell>
          <cell r="DG875">
            <v>0</v>
          </cell>
          <cell r="DI875">
            <v>0</v>
          </cell>
          <cell r="DJ875">
            <v>0</v>
          </cell>
          <cell r="DK875">
            <v>0</v>
          </cell>
          <cell r="DL875">
            <v>0</v>
          </cell>
          <cell r="DM875">
            <v>0</v>
          </cell>
          <cell r="DN875">
            <v>0</v>
          </cell>
          <cell r="DO875">
            <v>0</v>
          </cell>
          <cell r="DP875">
            <v>0</v>
          </cell>
          <cell r="DQ875">
            <v>0</v>
          </cell>
          <cell r="DR875">
            <v>0</v>
          </cell>
          <cell r="DS875">
            <v>0</v>
          </cell>
          <cell r="DT875">
            <v>0</v>
          </cell>
          <cell r="DU875">
            <v>0</v>
          </cell>
          <cell r="DW875">
            <v>0</v>
          </cell>
          <cell r="DX875">
            <v>0</v>
          </cell>
          <cell r="DY875">
            <v>0</v>
          </cell>
          <cell r="DZ875">
            <v>0</v>
          </cell>
          <cell r="EA875">
            <v>0</v>
          </cell>
          <cell r="EB875">
            <v>0</v>
          </cell>
          <cell r="EC875">
            <v>0</v>
          </cell>
          <cell r="ED875">
            <v>0</v>
          </cell>
          <cell r="EE875">
            <v>0</v>
          </cell>
          <cell r="EF875">
            <v>0</v>
          </cell>
          <cell r="EG875">
            <v>0</v>
          </cell>
          <cell r="EH875">
            <v>0</v>
          </cell>
          <cell r="EI875">
            <v>0</v>
          </cell>
          <cell r="EK875">
            <v>0</v>
          </cell>
          <cell r="EL875">
            <v>0</v>
          </cell>
          <cell r="EM875">
            <v>0</v>
          </cell>
          <cell r="EN875">
            <v>0</v>
          </cell>
          <cell r="EO875">
            <v>0</v>
          </cell>
          <cell r="EP875">
            <v>0</v>
          </cell>
          <cell r="EQ875">
            <v>0</v>
          </cell>
          <cell r="ER875">
            <v>0</v>
          </cell>
          <cell r="ES875">
            <v>0</v>
          </cell>
          <cell r="ET875">
            <v>0</v>
          </cell>
          <cell r="EU875">
            <v>0</v>
          </cell>
          <cell r="EV875">
            <v>0</v>
          </cell>
          <cell r="EW875">
            <v>0</v>
          </cell>
          <cell r="EY875">
            <v>0</v>
          </cell>
          <cell r="EZ875">
            <v>8</v>
          </cell>
          <cell r="FA875">
            <v>0</v>
          </cell>
          <cell r="FB875">
            <v>0</v>
          </cell>
          <cell r="FC875">
            <v>8.6</v>
          </cell>
          <cell r="FD875">
            <v>0</v>
          </cell>
          <cell r="FE875">
            <v>0</v>
          </cell>
          <cell r="FF875">
            <v>0</v>
          </cell>
          <cell r="FH875">
            <v>0</v>
          </cell>
        </row>
        <row r="876">
          <cell r="B876">
            <v>10008</v>
          </cell>
          <cell r="C876" t="str">
            <v>28.09.2012</v>
          </cell>
          <cell r="D876" t="str">
            <v>Nikam Abhijit Hiraman</v>
          </cell>
          <cell r="F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0</v>
          </cell>
          <cell r="AK876">
            <v>0</v>
          </cell>
          <cell r="AL876">
            <v>0</v>
          </cell>
          <cell r="AM876">
            <v>0</v>
          </cell>
          <cell r="AN876">
            <v>0</v>
          </cell>
          <cell r="AO876">
            <v>0</v>
          </cell>
          <cell r="AQ876">
            <v>0</v>
          </cell>
          <cell r="AR876">
            <v>0</v>
          </cell>
          <cell r="AS876">
            <v>0</v>
          </cell>
          <cell r="AT876">
            <v>0</v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  <cell r="AY876">
            <v>0</v>
          </cell>
          <cell r="BA876">
            <v>0</v>
          </cell>
          <cell r="BB876">
            <v>0</v>
          </cell>
          <cell r="BC876">
            <v>0</v>
          </cell>
          <cell r="BD876">
            <v>0</v>
          </cell>
          <cell r="BE876">
            <v>0</v>
          </cell>
          <cell r="BF876">
            <v>0</v>
          </cell>
          <cell r="BG876">
            <v>0</v>
          </cell>
          <cell r="BH876">
            <v>0</v>
          </cell>
          <cell r="BI876">
            <v>0</v>
          </cell>
          <cell r="BK876">
            <v>0</v>
          </cell>
          <cell r="BL876">
            <v>0</v>
          </cell>
          <cell r="BM876">
            <v>0</v>
          </cell>
          <cell r="BN876">
            <v>0</v>
          </cell>
          <cell r="BO876">
            <v>0</v>
          </cell>
          <cell r="BP876">
            <v>0</v>
          </cell>
          <cell r="BQ876">
            <v>0</v>
          </cell>
          <cell r="BR876">
            <v>0</v>
          </cell>
          <cell r="BS876">
            <v>0</v>
          </cell>
          <cell r="BU876">
            <v>0</v>
          </cell>
          <cell r="BV876">
            <v>0</v>
          </cell>
          <cell r="BW876">
            <v>0</v>
          </cell>
          <cell r="BX876">
            <v>0</v>
          </cell>
          <cell r="BY876">
            <v>0</v>
          </cell>
          <cell r="BZ876">
            <v>0</v>
          </cell>
          <cell r="CA876">
            <v>0</v>
          </cell>
          <cell r="CB876">
            <v>0</v>
          </cell>
          <cell r="CC876">
            <v>0</v>
          </cell>
          <cell r="CE876">
            <v>0</v>
          </cell>
          <cell r="CF876">
            <v>0</v>
          </cell>
          <cell r="CG876">
            <v>0</v>
          </cell>
          <cell r="CH876">
            <v>0</v>
          </cell>
          <cell r="CI876">
            <v>0</v>
          </cell>
          <cell r="CJ876">
            <v>0</v>
          </cell>
          <cell r="CK876">
            <v>0</v>
          </cell>
          <cell r="CL876">
            <v>0</v>
          </cell>
          <cell r="CM876">
            <v>0</v>
          </cell>
          <cell r="CO876">
            <v>0</v>
          </cell>
          <cell r="CP876">
            <v>0</v>
          </cell>
          <cell r="CQ876">
            <v>0</v>
          </cell>
          <cell r="CR876">
            <v>0</v>
          </cell>
          <cell r="CS876">
            <v>0</v>
          </cell>
          <cell r="CT876">
            <v>0</v>
          </cell>
          <cell r="CU876">
            <v>0</v>
          </cell>
          <cell r="CV876">
            <v>0</v>
          </cell>
          <cell r="CW876">
            <v>0</v>
          </cell>
          <cell r="CY876">
            <v>0</v>
          </cell>
          <cell r="CZ876">
            <v>0</v>
          </cell>
          <cell r="DA876">
            <v>0</v>
          </cell>
          <cell r="DB876">
            <v>0</v>
          </cell>
          <cell r="DC876">
            <v>0</v>
          </cell>
          <cell r="DD876">
            <v>0</v>
          </cell>
          <cell r="DE876">
            <v>0</v>
          </cell>
          <cell r="DF876">
            <v>0</v>
          </cell>
          <cell r="DG876">
            <v>0</v>
          </cell>
          <cell r="DI876">
            <v>0</v>
          </cell>
          <cell r="DJ876">
            <v>0</v>
          </cell>
          <cell r="DK876">
            <v>0</v>
          </cell>
          <cell r="DL876">
            <v>0</v>
          </cell>
          <cell r="DM876">
            <v>0</v>
          </cell>
          <cell r="DN876">
            <v>0</v>
          </cell>
          <cell r="DO876">
            <v>0</v>
          </cell>
          <cell r="DP876">
            <v>0</v>
          </cell>
          <cell r="DQ876">
            <v>0</v>
          </cell>
          <cell r="DR876">
            <v>0</v>
          </cell>
          <cell r="DS876">
            <v>0</v>
          </cell>
          <cell r="DT876">
            <v>0</v>
          </cell>
          <cell r="DU876">
            <v>0</v>
          </cell>
          <cell r="DW876">
            <v>0</v>
          </cell>
          <cell r="DX876">
            <v>0</v>
          </cell>
          <cell r="DY876">
            <v>0</v>
          </cell>
          <cell r="DZ876">
            <v>0</v>
          </cell>
          <cell r="EA876">
            <v>0</v>
          </cell>
          <cell r="EB876">
            <v>0</v>
          </cell>
          <cell r="EC876">
            <v>0</v>
          </cell>
          <cell r="ED876">
            <v>0</v>
          </cell>
          <cell r="EE876">
            <v>0</v>
          </cell>
          <cell r="EF876">
            <v>0</v>
          </cell>
          <cell r="EG876">
            <v>0</v>
          </cell>
          <cell r="EH876">
            <v>0</v>
          </cell>
          <cell r="EI876">
            <v>0</v>
          </cell>
          <cell r="EK876">
            <v>0</v>
          </cell>
          <cell r="EL876">
            <v>0</v>
          </cell>
          <cell r="EM876">
            <v>0</v>
          </cell>
          <cell r="EN876">
            <v>0</v>
          </cell>
          <cell r="EO876">
            <v>0</v>
          </cell>
          <cell r="EP876">
            <v>0</v>
          </cell>
          <cell r="EQ876">
            <v>0</v>
          </cell>
          <cell r="ER876">
            <v>0</v>
          </cell>
          <cell r="ES876">
            <v>0</v>
          </cell>
          <cell r="ET876">
            <v>0</v>
          </cell>
          <cell r="EU876">
            <v>0</v>
          </cell>
          <cell r="EV876">
            <v>0</v>
          </cell>
          <cell r="EW876">
            <v>0</v>
          </cell>
          <cell r="EY876">
            <v>0</v>
          </cell>
          <cell r="EZ876">
            <v>8</v>
          </cell>
          <cell r="FA876">
            <v>0</v>
          </cell>
          <cell r="FB876">
            <v>0</v>
          </cell>
          <cell r="FC876">
            <v>8.6</v>
          </cell>
          <cell r="FD876">
            <v>0</v>
          </cell>
          <cell r="FE876">
            <v>0</v>
          </cell>
          <cell r="FF876">
            <v>0</v>
          </cell>
          <cell r="FH876">
            <v>0</v>
          </cell>
        </row>
        <row r="877">
          <cell r="B877">
            <v>10009</v>
          </cell>
          <cell r="C877" t="str">
            <v>12.02.2013</v>
          </cell>
          <cell r="D877" t="str">
            <v>Makwana Bhavna Lalji</v>
          </cell>
          <cell r="F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G877">
            <v>0</v>
          </cell>
          <cell r="AH877">
            <v>0</v>
          </cell>
          <cell r="AI877">
            <v>0</v>
          </cell>
          <cell r="AJ877">
            <v>0</v>
          </cell>
          <cell r="AK877">
            <v>0</v>
          </cell>
          <cell r="AL877">
            <v>0</v>
          </cell>
          <cell r="AM877">
            <v>0</v>
          </cell>
          <cell r="AN877">
            <v>0</v>
          </cell>
          <cell r="AO877">
            <v>0</v>
          </cell>
          <cell r="AQ877">
            <v>0</v>
          </cell>
          <cell r="AR877">
            <v>0</v>
          </cell>
          <cell r="AS877">
            <v>0</v>
          </cell>
          <cell r="AT877">
            <v>0</v>
          </cell>
          <cell r="AU877">
            <v>0</v>
          </cell>
          <cell r="AV877">
            <v>0</v>
          </cell>
          <cell r="AW877">
            <v>0</v>
          </cell>
          <cell r="AX877">
            <v>0</v>
          </cell>
          <cell r="AY877">
            <v>0</v>
          </cell>
          <cell r="BA877">
            <v>0</v>
          </cell>
          <cell r="BB877">
            <v>0</v>
          </cell>
          <cell r="BC877">
            <v>0</v>
          </cell>
          <cell r="BD877">
            <v>0</v>
          </cell>
          <cell r="BE877">
            <v>0</v>
          </cell>
          <cell r="BF877">
            <v>0</v>
          </cell>
          <cell r="BG877">
            <v>0</v>
          </cell>
          <cell r="BH877">
            <v>0</v>
          </cell>
          <cell r="BI877">
            <v>0</v>
          </cell>
          <cell r="BK877">
            <v>0</v>
          </cell>
          <cell r="BL877">
            <v>0</v>
          </cell>
          <cell r="BM877">
            <v>0</v>
          </cell>
          <cell r="BN877">
            <v>0</v>
          </cell>
          <cell r="BO877">
            <v>0</v>
          </cell>
          <cell r="BP877">
            <v>0</v>
          </cell>
          <cell r="BQ877">
            <v>0</v>
          </cell>
          <cell r="BR877">
            <v>0</v>
          </cell>
          <cell r="BS877">
            <v>0</v>
          </cell>
          <cell r="BU877">
            <v>0</v>
          </cell>
          <cell r="BV877">
            <v>0</v>
          </cell>
          <cell r="BW877">
            <v>0</v>
          </cell>
          <cell r="BX877">
            <v>0</v>
          </cell>
          <cell r="BY877">
            <v>0</v>
          </cell>
          <cell r="BZ877">
            <v>0</v>
          </cell>
          <cell r="CA877">
            <v>0</v>
          </cell>
          <cell r="CB877">
            <v>0</v>
          </cell>
          <cell r="CC877">
            <v>0</v>
          </cell>
          <cell r="CE877">
            <v>0</v>
          </cell>
          <cell r="CF877">
            <v>0</v>
          </cell>
          <cell r="CG877">
            <v>0</v>
          </cell>
          <cell r="CH877">
            <v>0</v>
          </cell>
          <cell r="CI877">
            <v>0</v>
          </cell>
          <cell r="CJ877">
            <v>0</v>
          </cell>
          <cell r="CK877">
            <v>0</v>
          </cell>
          <cell r="CL877">
            <v>0</v>
          </cell>
          <cell r="CM877">
            <v>0</v>
          </cell>
          <cell r="CO877">
            <v>0</v>
          </cell>
          <cell r="CP877">
            <v>0</v>
          </cell>
          <cell r="CQ877">
            <v>0</v>
          </cell>
          <cell r="CR877">
            <v>0</v>
          </cell>
          <cell r="CS877">
            <v>0</v>
          </cell>
          <cell r="CT877">
            <v>0</v>
          </cell>
          <cell r="CU877">
            <v>0</v>
          </cell>
          <cell r="CV877">
            <v>0</v>
          </cell>
          <cell r="CW877">
            <v>0</v>
          </cell>
          <cell r="CY877">
            <v>0</v>
          </cell>
          <cell r="CZ877">
            <v>0</v>
          </cell>
          <cell r="DA877">
            <v>0</v>
          </cell>
          <cell r="DB877">
            <v>0</v>
          </cell>
          <cell r="DC877">
            <v>0</v>
          </cell>
          <cell r="DD877">
            <v>0</v>
          </cell>
          <cell r="DE877">
            <v>0</v>
          </cell>
          <cell r="DF877">
            <v>0</v>
          </cell>
          <cell r="DG877">
            <v>0</v>
          </cell>
          <cell r="DI877">
            <v>0</v>
          </cell>
          <cell r="DJ877">
            <v>0</v>
          </cell>
          <cell r="DK877">
            <v>0</v>
          </cell>
          <cell r="DL877">
            <v>0</v>
          </cell>
          <cell r="DM877">
            <v>0</v>
          </cell>
          <cell r="DN877">
            <v>0</v>
          </cell>
          <cell r="DO877">
            <v>0</v>
          </cell>
          <cell r="DP877">
            <v>0</v>
          </cell>
          <cell r="DQ877">
            <v>0</v>
          </cell>
          <cell r="DR877">
            <v>0</v>
          </cell>
          <cell r="DS877">
            <v>0</v>
          </cell>
          <cell r="DT877">
            <v>0</v>
          </cell>
          <cell r="DU877">
            <v>0</v>
          </cell>
          <cell r="DW877">
            <v>0</v>
          </cell>
          <cell r="DX877">
            <v>0</v>
          </cell>
          <cell r="DY877">
            <v>0</v>
          </cell>
          <cell r="DZ877">
            <v>0</v>
          </cell>
          <cell r="EA877">
            <v>0</v>
          </cell>
          <cell r="EB877">
            <v>0</v>
          </cell>
          <cell r="EC877">
            <v>0</v>
          </cell>
          <cell r="ED877">
            <v>0</v>
          </cell>
          <cell r="EE877">
            <v>0</v>
          </cell>
          <cell r="EF877">
            <v>0</v>
          </cell>
          <cell r="EG877">
            <v>0</v>
          </cell>
          <cell r="EH877">
            <v>0</v>
          </cell>
          <cell r="EI877">
            <v>0</v>
          </cell>
          <cell r="EK877">
            <v>0</v>
          </cell>
          <cell r="EL877">
            <v>0</v>
          </cell>
          <cell r="EM877">
            <v>0</v>
          </cell>
          <cell r="EN877">
            <v>0</v>
          </cell>
          <cell r="EO877">
            <v>0</v>
          </cell>
          <cell r="EP877">
            <v>0</v>
          </cell>
          <cell r="EQ877">
            <v>0</v>
          </cell>
          <cell r="ER877">
            <v>0</v>
          </cell>
          <cell r="ES877">
            <v>0</v>
          </cell>
          <cell r="ET877">
            <v>0</v>
          </cell>
          <cell r="EU877">
            <v>0</v>
          </cell>
          <cell r="EV877">
            <v>0</v>
          </cell>
          <cell r="EW877">
            <v>0</v>
          </cell>
          <cell r="EY877">
            <v>0</v>
          </cell>
          <cell r="EZ877">
            <v>8</v>
          </cell>
          <cell r="FA877">
            <v>0</v>
          </cell>
          <cell r="FB877">
            <v>0</v>
          </cell>
          <cell r="FC877">
            <v>8.6</v>
          </cell>
          <cell r="FD877">
            <v>0</v>
          </cell>
          <cell r="FE877">
            <v>0</v>
          </cell>
          <cell r="FF877">
            <v>0</v>
          </cell>
          <cell r="FH877">
            <v>0</v>
          </cell>
        </row>
        <row r="878">
          <cell r="B878">
            <v>10010</v>
          </cell>
          <cell r="C878" t="str">
            <v>12.02.2013</v>
          </cell>
          <cell r="D878" t="str">
            <v>Topale Mahendra Somnat</v>
          </cell>
          <cell r="F878">
            <v>0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0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Q878">
            <v>0</v>
          </cell>
          <cell r="AR878">
            <v>0</v>
          </cell>
          <cell r="AS878">
            <v>0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BA878">
            <v>0</v>
          </cell>
          <cell r="BB878">
            <v>0</v>
          </cell>
          <cell r="BC878">
            <v>0</v>
          </cell>
          <cell r="BD878">
            <v>0</v>
          </cell>
          <cell r="BE878">
            <v>0</v>
          </cell>
          <cell r="BF878">
            <v>0</v>
          </cell>
          <cell r="BG878">
            <v>0</v>
          </cell>
          <cell r="BH878">
            <v>0</v>
          </cell>
          <cell r="BI878">
            <v>0</v>
          </cell>
          <cell r="BK878">
            <v>0</v>
          </cell>
          <cell r="BL878">
            <v>0</v>
          </cell>
          <cell r="BM878">
            <v>0</v>
          </cell>
          <cell r="BN878">
            <v>0</v>
          </cell>
          <cell r="BO878">
            <v>0</v>
          </cell>
          <cell r="BP878">
            <v>0</v>
          </cell>
          <cell r="BQ878">
            <v>0</v>
          </cell>
          <cell r="BR878">
            <v>0</v>
          </cell>
          <cell r="BS878">
            <v>0</v>
          </cell>
          <cell r="BU878">
            <v>0</v>
          </cell>
          <cell r="BV878">
            <v>0</v>
          </cell>
          <cell r="BW878">
            <v>0</v>
          </cell>
          <cell r="BX878">
            <v>0</v>
          </cell>
          <cell r="BY878">
            <v>0</v>
          </cell>
          <cell r="BZ878">
            <v>0</v>
          </cell>
          <cell r="CA878">
            <v>0</v>
          </cell>
          <cell r="CB878">
            <v>0</v>
          </cell>
          <cell r="CC878">
            <v>0</v>
          </cell>
          <cell r="CE878">
            <v>0</v>
          </cell>
          <cell r="CF878">
            <v>0</v>
          </cell>
          <cell r="CG878">
            <v>0</v>
          </cell>
          <cell r="CH878">
            <v>0</v>
          </cell>
          <cell r="CI878">
            <v>0</v>
          </cell>
          <cell r="CJ878">
            <v>0</v>
          </cell>
          <cell r="CK878">
            <v>0</v>
          </cell>
          <cell r="CL878">
            <v>0</v>
          </cell>
          <cell r="CM878">
            <v>0</v>
          </cell>
          <cell r="CO878">
            <v>0</v>
          </cell>
          <cell r="CP878">
            <v>0</v>
          </cell>
          <cell r="CQ878">
            <v>0</v>
          </cell>
          <cell r="CR878">
            <v>0</v>
          </cell>
          <cell r="CS878">
            <v>0</v>
          </cell>
          <cell r="CT878">
            <v>0</v>
          </cell>
          <cell r="CU878">
            <v>0</v>
          </cell>
          <cell r="CV878">
            <v>0</v>
          </cell>
          <cell r="CW878">
            <v>0</v>
          </cell>
          <cell r="CY878">
            <v>0</v>
          </cell>
          <cell r="CZ878">
            <v>0</v>
          </cell>
          <cell r="DA878">
            <v>0</v>
          </cell>
          <cell r="DB878">
            <v>0</v>
          </cell>
          <cell r="DC878">
            <v>0</v>
          </cell>
          <cell r="DD878">
            <v>0</v>
          </cell>
          <cell r="DE878">
            <v>0</v>
          </cell>
          <cell r="DF878">
            <v>0</v>
          </cell>
          <cell r="DG878">
            <v>0</v>
          </cell>
          <cell r="DI878">
            <v>0</v>
          </cell>
          <cell r="DJ878">
            <v>0</v>
          </cell>
          <cell r="DK878">
            <v>0</v>
          </cell>
          <cell r="DL878">
            <v>0</v>
          </cell>
          <cell r="DM878">
            <v>0</v>
          </cell>
          <cell r="DN878">
            <v>0</v>
          </cell>
          <cell r="DO878">
            <v>0</v>
          </cell>
          <cell r="DP878">
            <v>0</v>
          </cell>
          <cell r="DQ878">
            <v>0</v>
          </cell>
          <cell r="DR878">
            <v>0</v>
          </cell>
          <cell r="DS878">
            <v>0</v>
          </cell>
          <cell r="DT878">
            <v>0</v>
          </cell>
          <cell r="DU878">
            <v>0</v>
          </cell>
          <cell r="DW878">
            <v>0</v>
          </cell>
          <cell r="DX878">
            <v>0</v>
          </cell>
          <cell r="DY878">
            <v>0</v>
          </cell>
          <cell r="DZ878">
            <v>0</v>
          </cell>
          <cell r="EA878">
            <v>0</v>
          </cell>
          <cell r="EB878">
            <v>0</v>
          </cell>
          <cell r="EC878">
            <v>0</v>
          </cell>
          <cell r="ED878">
            <v>0</v>
          </cell>
          <cell r="EE878">
            <v>0</v>
          </cell>
          <cell r="EF878">
            <v>0</v>
          </cell>
          <cell r="EG878">
            <v>0</v>
          </cell>
          <cell r="EH878">
            <v>0</v>
          </cell>
          <cell r="EI878">
            <v>0</v>
          </cell>
          <cell r="EK878">
            <v>0</v>
          </cell>
          <cell r="EL878">
            <v>0</v>
          </cell>
          <cell r="EM878">
            <v>0</v>
          </cell>
          <cell r="EN878">
            <v>0</v>
          </cell>
          <cell r="EO878">
            <v>0</v>
          </cell>
          <cell r="EP878">
            <v>0</v>
          </cell>
          <cell r="EQ878">
            <v>0</v>
          </cell>
          <cell r="ER878">
            <v>0</v>
          </cell>
          <cell r="ES878">
            <v>0</v>
          </cell>
          <cell r="ET878">
            <v>0</v>
          </cell>
          <cell r="EU878">
            <v>0</v>
          </cell>
          <cell r="EV878">
            <v>0</v>
          </cell>
          <cell r="EW878">
            <v>0</v>
          </cell>
          <cell r="EY878">
            <v>0</v>
          </cell>
          <cell r="EZ878">
            <v>8</v>
          </cell>
          <cell r="FA878">
            <v>0</v>
          </cell>
          <cell r="FB878">
            <v>0</v>
          </cell>
          <cell r="FC878">
            <v>8.6</v>
          </cell>
          <cell r="FD878">
            <v>0</v>
          </cell>
          <cell r="FE878">
            <v>0</v>
          </cell>
          <cell r="FF878">
            <v>0</v>
          </cell>
          <cell r="FH878">
            <v>0</v>
          </cell>
        </row>
        <row r="879">
          <cell r="B879">
            <v>10011</v>
          </cell>
          <cell r="C879" t="str">
            <v>12.02.2013</v>
          </cell>
          <cell r="D879" t="str">
            <v>Gaikwad Sachin Shravan</v>
          </cell>
          <cell r="F879">
            <v>0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T879">
            <v>0</v>
          </cell>
          <cell r="U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0</v>
          </cell>
          <cell r="AA879">
            <v>0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Q879">
            <v>0</v>
          </cell>
          <cell r="AR879">
            <v>0</v>
          </cell>
          <cell r="AS879">
            <v>0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BA879">
            <v>0</v>
          </cell>
          <cell r="BB879">
            <v>0</v>
          </cell>
          <cell r="BC879">
            <v>0</v>
          </cell>
          <cell r="BD879">
            <v>0</v>
          </cell>
          <cell r="BE879">
            <v>0</v>
          </cell>
          <cell r="BF879">
            <v>0</v>
          </cell>
          <cell r="BG879">
            <v>0</v>
          </cell>
          <cell r="BH879">
            <v>0</v>
          </cell>
          <cell r="BI879">
            <v>0</v>
          </cell>
          <cell r="BK879">
            <v>0</v>
          </cell>
          <cell r="BL879">
            <v>0</v>
          </cell>
          <cell r="BM879">
            <v>0</v>
          </cell>
          <cell r="BN879">
            <v>0</v>
          </cell>
          <cell r="BO879">
            <v>0</v>
          </cell>
          <cell r="BP879">
            <v>0</v>
          </cell>
          <cell r="BQ879">
            <v>0</v>
          </cell>
          <cell r="BR879">
            <v>0</v>
          </cell>
          <cell r="BS879">
            <v>0</v>
          </cell>
          <cell r="BU879">
            <v>0</v>
          </cell>
          <cell r="BV879">
            <v>0</v>
          </cell>
          <cell r="BW879">
            <v>0</v>
          </cell>
          <cell r="BX879">
            <v>0</v>
          </cell>
          <cell r="BY879">
            <v>0</v>
          </cell>
          <cell r="BZ879">
            <v>0</v>
          </cell>
          <cell r="CA879">
            <v>0</v>
          </cell>
          <cell r="CB879">
            <v>0</v>
          </cell>
          <cell r="CC879">
            <v>0</v>
          </cell>
          <cell r="CE879">
            <v>0</v>
          </cell>
          <cell r="CF879">
            <v>0</v>
          </cell>
          <cell r="CG879">
            <v>0</v>
          </cell>
          <cell r="CH879">
            <v>0</v>
          </cell>
          <cell r="CI879">
            <v>0</v>
          </cell>
          <cell r="CJ879">
            <v>0</v>
          </cell>
          <cell r="CK879">
            <v>0</v>
          </cell>
          <cell r="CL879">
            <v>0</v>
          </cell>
          <cell r="CM879">
            <v>0</v>
          </cell>
          <cell r="CO879">
            <v>0</v>
          </cell>
          <cell r="CP879">
            <v>0</v>
          </cell>
          <cell r="CQ879">
            <v>0</v>
          </cell>
          <cell r="CR879">
            <v>0</v>
          </cell>
          <cell r="CS879">
            <v>0</v>
          </cell>
          <cell r="CT879">
            <v>0</v>
          </cell>
          <cell r="CU879">
            <v>0</v>
          </cell>
          <cell r="CV879">
            <v>0</v>
          </cell>
          <cell r="CW879">
            <v>0</v>
          </cell>
          <cell r="CY879">
            <v>0</v>
          </cell>
          <cell r="CZ879">
            <v>0</v>
          </cell>
          <cell r="DA879">
            <v>0</v>
          </cell>
          <cell r="DB879">
            <v>0</v>
          </cell>
          <cell r="DC879">
            <v>0</v>
          </cell>
          <cell r="DD879">
            <v>0</v>
          </cell>
          <cell r="DE879">
            <v>0</v>
          </cell>
          <cell r="DF879">
            <v>0</v>
          </cell>
          <cell r="DG879">
            <v>0</v>
          </cell>
          <cell r="DI879">
            <v>0</v>
          </cell>
          <cell r="DJ879">
            <v>0</v>
          </cell>
          <cell r="DK879">
            <v>0</v>
          </cell>
          <cell r="DL879">
            <v>0</v>
          </cell>
          <cell r="DM879">
            <v>0</v>
          </cell>
          <cell r="DN879">
            <v>0</v>
          </cell>
          <cell r="DO879">
            <v>0</v>
          </cell>
          <cell r="DP879">
            <v>0</v>
          </cell>
          <cell r="DQ879">
            <v>0</v>
          </cell>
          <cell r="DR879">
            <v>0</v>
          </cell>
          <cell r="DS879">
            <v>0</v>
          </cell>
          <cell r="DT879">
            <v>0</v>
          </cell>
          <cell r="DU879">
            <v>0</v>
          </cell>
          <cell r="DW879">
            <v>0</v>
          </cell>
          <cell r="DX879">
            <v>0</v>
          </cell>
          <cell r="DY879">
            <v>0</v>
          </cell>
          <cell r="DZ879">
            <v>0</v>
          </cell>
          <cell r="EA879">
            <v>0</v>
          </cell>
          <cell r="EB879">
            <v>0</v>
          </cell>
          <cell r="EC879">
            <v>0</v>
          </cell>
          <cell r="ED879">
            <v>0</v>
          </cell>
          <cell r="EE879">
            <v>0</v>
          </cell>
          <cell r="EF879">
            <v>0</v>
          </cell>
          <cell r="EG879">
            <v>0</v>
          </cell>
          <cell r="EH879">
            <v>0</v>
          </cell>
          <cell r="EI879">
            <v>0</v>
          </cell>
          <cell r="EK879">
            <v>0</v>
          </cell>
          <cell r="EL879">
            <v>0</v>
          </cell>
          <cell r="EM879">
            <v>0</v>
          </cell>
          <cell r="EN879">
            <v>0</v>
          </cell>
          <cell r="EO879">
            <v>0</v>
          </cell>
          <cell r="EP879">
            <v>0</v>
          </cell>
          <cell r="EQ879">
            <v>0</v>
          </cell>
          <cell r="ER879">
            <v>0</v>
          </cell>
          <cell r="ES879">
            <v>0</v>
          </cell>
          <cell r="ET879">
            <v>0</v>
          </cell>
          <cell r="EU879">
            <v>0</v>
          </cell>
          <cell r="EV879">
            <v>0</v>
          </cell>
          <cell r="EW879">
            <v>0</v>
          </cell>
          <cell r="EY879">
            <v>0</v>
          </cell>
          <cell r="EZ879">
            <v>8</v>
          </cell>
          <cell r="FA879">
            <v>0</v>
          </cell>
          <cell r="FB879">
            <v>0</v>
          </cell>
          <cell r="FC879">
            <v>8.6</v>
          </cell>
          <cell r="FD879">
            <v>0</v>
          </cell>
          <cell r="FE879">
            <v>0</v>
          </cell>
          <cell r="FF879">
            <v>0</v>
          </cell>
          <cell r="FH879">
            <v>0</v>
          </cell>
        </row>
        <row r="880">
          <cell r="B880">
            <v>10012</v>
          </cell>
          <cell r="C880" t="str">
            <v>12.02.2013</v>
          </cell>
          <cell r="D880" t="str">
            <v>Gaikwad Vandana Gautam</v>
          </cell>
          <cell r="F880">
            <v>0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0</v>
          </cell>
          <cell r="U880">
            <v>0</v>
          </cell>
          <cell r="W880">
            <v>0</v>
          </cell>
          <cell r="X880">
            <v>0</v>
          </cell>
          <cell r="Y880">
            <v>0</v>
          </cell>
          <cell r="Z880">
            <v>0</v>
          </cell>
          <cell r="AA880">
            <v>0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0</v>
          </cell>
          <cell r="AK880">
            <v>0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  <cell r="AQ880">
            <v>0</v>
          </cell>
          <cell r="AR880">
            <v>0</v>
          </cell>
          <cell r="AS880">
            <v>0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BA880">
            <v>0</v>
          </cell>
          <cell r="BB880">
            <v>0</v>
          </cell>
          <cell r="BC880">
            <v>0</v>
          </cell>
          <cell r="BD880">
            <v>0</v>
          </cell>
          <cell r="BE880">
            <v>0</v>
          </cell>
          <cell r="BF880">
            <v>0</v>
          </cell>
          <cell r="BG880">
            <v>0</v>
          </cell>
          <cell r="BH880">
            <v>0</v>
          </cell>
          <cell r="BI880">
            <v>0</v>
          </cell>
          <cell r="BK880">
            <v>0</v>
          </cell>
          <cell r="BL880">
            <v>0</v>
          </cell>
          <cell r="BM880">
            <v>0</v>
          </cell>
          <cell r="BN880">
            <v>0</v>
          </cell>
          <cell r="BO880">
            <v>0</v>
          </cell>
          <cell r="BP880">
            <v>0</v>
          </cell>
          <cell r="BQ880">
            <v>0</v>
          </cell>
          <cell r="BR880">
            <v>0</v>
          </cell>
          <cell r="BS880">
            <v>0</v>
          </cell>
          <cell r="BU880">
            <v>0</v>
          </cell>
          <cell r="BV880">
            <v>0</v>
          </cell>
          <cell r="BW880">
            <v>0</v>
          </cell>
          <cell r="BX880">
            <v>0</v>
          </cell>
          <cell r="BY880">
            <v>0</v>
          </cell>
          <cell r="BZ880">
            <v>0</v>
          </cell>
          <cell r="CA880">
            <v>0</v>
          </cell>
          <cell r="CB880">
            <v>0</v>
          </cell>
          <cell r="CC880">
            <v>0</v>
          </cell>
          <cell r="CE880">
            <v>0</v>
          </cell>
          <cell r="CF880">
            <v>0</v>
          </cell>
          <cell r="CG880">
            <v>0</v>
          </cell>
          <cell r="CH880">
            <v>0</v>
          </cell>
          <cell r="CI880">
            <v>0</v>
          </cell>
          <cell r="CJ880">
            <v>0</v>
          </cell>
          <cell r="CK880">
            <v>0</v>
          </cell>
          <cell r="CL880">
            <v>0</v>
          </cell>
          <cell r="CM880">
            <v>0</v>
          </cell>
          <cell r="CO880">
            <v>0</v>
          </cell>
          <cell r="CP880">
            <v>0</v>
          </cell>
          <cell r="CQ880">
            <v>0</v>
          </cell>
          <cell r="CR880">
            <v>0</v>
          </cell>
          <cell r="CS880">
            <v>0</v>
          </cell>
          <cell r="CT880">
            <v>0</v>
          </cell>
          <cell r="CU880">
            <v>0</v>
          </cell>
          <cell r="CV880">
            <v>0</v>
          </cell>
          <cell r="CW880">
            <v>0</v>
          </cell>
          <cell r="CY880">
            <v>0</v>
          </cell>
          <cell r="CZ880">
            <v>0</v>
          </cell>
          <cell r="DA880">
            <v>0</v>
          </cell>
          <cell r="DB880">
            <v>0</v>
          </cell>
          <cell r="DC880">
            <v>0</v>
          </cell>
          <cell r="DD880">
            <v>0</v>
          </cell>
          <cell r="DE880">
            <v>0</v>
          </cell>
          <cell r="DF880">
            <v>0</v>
          </cell>
          <cell r="DG880">
            <v>0</v>
          </cell>
          <cell r="DI880">
            <v>0</v>
          </cell>
          <cell r="DJ880">
            <v>0</v>
          </cell>
          <cell r="DK880">
            <v>0</v>
          </cell>
          <cell r="DL880">
            <v>0</v>
          </cell>
          <cell r="DM880">
            <v>0</v>
          </cell>
          <cell r="DN880">
            <v>0</v>
          </cell>
          <cell r="DO880">
            <v>0</v>
          </cell>
          <cell r="DP880">
            <v>0</v>
          </cell>
          <cell r="DQ880">
            <v>0</v>
          </cell>
          <cell r="DR880">
            <v>0</v>
          </cell>
          <cell r="DS880">
            <v>0</v>
          </cell>
          <cell r="DT880">
            <v>0</v>
          </cell>
          <cell r="DU880">
            <v>0</v>
          </cell>
          <cell r="DW880">
            <v>0</v>
          </cell>
          <cell r="DX880">
            <v>0</v>
          </cell>
          <cell r="DY880">
            <v>0</v>
          </cell>
          <cell r="DZ880">
            <v>0</v>
          </cell>
          <cell r="EA880">
            <v>0</v>
          </cell>
          <cell r="EB880">
            <v>0</v>
          </cell>
          <cell r="EC880">
            <v>0</v>
          </cell>
          <cell r="ED880">
            <v>0</v>
          </cell>
          <cell r="EE880">
            <v>0</v>
          </cell>
          <cell r="EF880">
            <v>0</v>
          </cell>
          <cell r="EG880">
            <v>0</v>
          </cell>
          <cell r="EH880">
            <v>0</v>
          </cell>
          <cell r="EI880">
            <v>0</v>
          </cell>
          <cell r="EK880">
            <v>0</v>
          </cell>
          <cell r="EL880">
            <v>0</v>
          </cell>
          <cell r="EM880">
            <v>0</v>
          </cell>
          <cell r="EN880">
            <v>0</v>
          </cell>
          <cell r="EO880">
            <v>0</v>
          </cell>
          <cell r="EP880">
            <v>0</v>
          </cell>
          <cell r="EQ880">
            <v>0</v>
          </cell>
          <cell r="ER880">
            <v>0</v>
          </cell>
          <cell r="ES880">
            <v>0</v>
          </cell>
          <cell r="ET880">
            <v>0</v>
          </cell>
          <cell r="EU880">
            <v>0</v>
          </cell>
          <cell r="EV880">
            <v>0</v>
          </cell>
          <cell r="EW880">
            <v>0</v>
          </cell>
          <cell r="EY880">
            <v>0</v>
          </cell>
          <cell r="EZ880">
            <v>8</v>
          </cell>
          <cell r="FA880">
            <v>0</v>
          </cell>
          <cell r="FB880">
            <v>0</v>
          </cell>
          <cell r="FC880">
            <v>8.6</v>
          </cell>
          <cell r="FD880">
            <v>0</v>
          </cell>
          <cell r="FE880">
            <v>0</v>
          </cell>
          <cell r="FF880">
            <v>0</v>
          </cell>
          <cell r="FH880">
            <v>0</v>
          </cell>
        </row>
        <row r="881">
          <cell r="B881">
            <v>10013</v>
          </cell>
          <cell r="C881" t="str">
            <v>12.02.2013</v>
          </cell>
          <cell r="D881" t="str">
            <v>Pawar Dilip Jagan</v>
          </cell>
          <cell r="F881">
            <v>0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  <cell r="T881">
            <v>0</v>
          </cell>
          <cell r="U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0</v>
          </cell>
          <cell r="AD881">
            <v>0</v>
          </cell>
          <cell r="AE881">
            <v>0</v>
          </cell>
          <cell r="AG881">
            <v>0</v>
          </cell>
          <cell r="AH881">
            <v>0</v>
          </cell>
          <cell r="AI881">
            <v>0</v>
          </cell>
          <cell r="AJ881">
            <v>0</v>
          </cell>
          <cell r="AK881">
            <v>0</v>
          </cell>
          <cell r="AL881">
            <v>0</v>
          </cell>
          <cell r="AM881">
            <v>0</v>
          </cell>
          <cell r="AN881">
            <v>0</v>
          </cell>
          <cell r="AO881">
            <v>0</v>
          </cell>
          <cell r="AQ881">
            <v>0</v>
          </cell>
          <cell r="AR881">
            <v>0</v>
          </cell>
          <cell r="AS881">
            <v>0</v>
          </cell>
          <cell r="AT881">
            <v>0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BA881">
            <v>0</v>
          </cell>
          <cell r="BB881">
            <v>0</v>
          </cell>
          <cell r="BC881">
            <v>0</v>
          </cell>
          <cell r="BD881">
            <v>0</v>
          </cell>
          <cell r="BE881">
            <v>0</v>
          </cell>
          <cell r="BF881">
            <v>0</v>
          </cell>
          <cell r="BG881">
            <v>0</v>
          </cell>
          <cell r="BH881">
            <v>0</v>
          </cell>
          <cell r="BI881">
            <v>0</v>
          </cell>
          <cell r="BK881">
            <v>0</v>
          </cell>
          <cell r="BL881">
            <v>0</v>
          </cell>
          <cell r="BM881">
            <v>0</v>
          </cell>
          <cell r="BN881">
            <v>0</v>
          </cell>
          <cell r="BO881">
            <v>0</v>
          </cell>
          <cell r="BP881">
            <v>0</v>
          </cell>
          <cell r="BQ881">
            <v>0</v>
          </cell>
          <cell r="BR881">
            <v>0</v>
          </cell>
          <cell r="BS881">
            <v>0</v>
          </cell>
          <cell r="BU881">
            <v>0</v>
          </cell>
          <cell r="BV881">
            <v>0</v>
          </cell>
          <cell r="BW881">
            <v>0</v>
          </cell>
          <cell r="BX881">
            <v>0</v>
          </cell>
          <cell r="BY881">
            <v>0</v>
          </cell>
          <cell r="BZ881">
            <v>0</v>
          </cell>
          <cell r="CA881">
            <v>0</v>
          </cell>
          <cell r="CB881">
            <v>0</v>
          </cell>
          <cell r="CC881">
            <v>0</v>
          </cell>
          <cell r="CE881">
            <v>0</v>
          </cell>
          <cell r="CF881">
            <v>0</v>
          </cell>
          <cell r="CG881">
            <v>0</v>
          </cell>
          <cell r="CH881">
            <v>0</v>
          </cell>
          <cell r="CI881">
            <v>0</v>
          </cell>
          <cell r="CJ881">
            <v>0</v>
          </cell>
          <cell r="CK881">
            <v>0</v>
          </cell>
          <cell r="CL881">
            <v>0</v>
          </cell>
          <cell r="CM881">
            <v>0</v>
          </cell>
          <cell r="CO881">
            <v>0</v>
          </cell>
          <cell r="CP881">
            <v>0</v>
          </cell>
          <cell r="CQ881">
            <v>0</v>
          </cell>
          <cell r="CR881">
            <v>0</v>
          </cell>
          <cell r="CS881">
            <v>0</v>
          </cell>
          <cell r="CT881">
            <v>0</v>
          </cell>
          <cell r="CU881">
            <v>0</v>
          </cell>
          <cell r="CV881">
            <v>0</v>
          </cell>
          <cell r="CW881">
            <v>0</v>
          </cell>
          <cell r="CY881">
            <v>0</v>
          </cell>
          <cell r="CZ881">
            <v>0</v>
          </cell>
          <cell r="DA881">
            <v>0</v>
          </cell>
          <cell r="DB881">
            <v>0</v>
          </cell>
          <cell r="DC881">
            <v>0</v>
          </cell>
          <cell r="DD881">
            <v>0</v>
          </cell>
          <cell r="DE881">
            <v>0</v>
          </cell>
          <cell r="DF881">
            <v>0</v>
          </cell>
          <cell r="DG881">
            <v>0</v>
          </cell>
          <cell r="DI881">
            <v>0</v>
          </cell>
          <cell r="DJ881">
            <v>0</v>
          </cell>
          <cell r="DK881">
            <v>0</v>
          </cell>
          <cell r="DL881">
            <v>0</v>
          </cell>
          <cell r="DM881">
            <v>0</v>
          </cell>
          <cell r="DN881">
            <v>0</v>
          </cell>
          <cell r="DO881">
            <v>0</v>
          </cell>
          <cell r="DP881">
            <v>0</v>
          </cell>
          <cell r="DQ881">
            <v>0</v>
          </cell>
          <cell r="DR881">
            <v>0</v>
          </cell>
          <cell r="DS881">
            <v>0</v>
          </cell>
          <cell r="DT881">
            <v>0</v>
          </cell>
          <cell r="DU881">
            <v>0</v>
          </cell>
          <cell r="DW881">
            <v>0</v>
          </cell>
          <cell r="DX881">
            <v>0</v>
          </cell>
          <cell r="DY881">
            <v>0</v>
          </cell>
          <cell r="DZ881">
            <v>0</v>
          </cell>
          <cell r="EA881">
            <v>0</v>
          </cell>
          <cell r="EB881">
            <v>0</v>
          </cell>
          <cell r="EC881">
            <v>0</v>
          </cell>
          <cell r="ED881">
            <v>0</v>
          </cell>
          <cell r="EE881">
            <v>0</v>
          </cell>
          <cell r="EF881">
            <v>0</v>
          </cell>
          <cell r="EG881">
            <v>0</v>
          </cell>
          <cell r="EH881">
            <v>0</v>
          </cell>
          <cell r="EI881">
            <v>0</v>
          </cell>
          <cell r="EK881">
            <v>0</v>
          </cell>
          <cell r="EL881">
            <v>0</v>
          </cell>
          <cell r="EM881">
            <v>0</v>
          </cell>
          <cell r="EN881">
            <v>0</v>
          </cell>
          <cell r="EO881">
            <v>0</v>
          </cell>
          <cell r="EP881">
            <v>0</v>
          </cell>
          <cell r="EQ881">
            <v>0</v>
          </cell>
          <cell r="ER881">
            <v>0</v>
          </cell>
          <cell r="ES881">
            <v>0</v>
          </cell>
          <cell r="ET881">
            <v>0</v>
          </cell>
          <cell r="EU881">
            <v>0</v>
          </cell>
          <cell r="EV881">
            <v>0</v>
          </cell>
          <cell r="EW881">
            <v>0</v>
          </cell>
          <cell r="EY881">
            <v>0</v>
          </cell>
          <cell r="EZ881">
            <v>8</v>
          </cell>
          <cell r="FA881">
            <v>0</v>
          </cell>
          <cell r="FB881">
            <v>0</v>
          </cell>
          <cell r="FC881">
            <v>8.6</v>
          </cell>
          <cell r="FD881">
            <v>0</v>
          </cell>
          <cell r="FE881">
            <v>0</v>
          </cell>
          <cell r="FF881">
            <v>0</v>
          </cell>
          <cell r="FH881">
            <v>0</v>
          </cell>
        </row>
        <row r="882">
          <cell r="B882">
            <v>10014</v>
          </cell>
          <cell r="C882" t="str">
            <v>12.02.2013</v>
          </cell>
          <cell r="D882" t="str">
            <v>Bhojane Sarita Jaidev</v>
          </cell>
          <cell r="F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BA882">
            <v>0</v>
          </cell>
          <cell r="BB882">
            <v>0</v>
          </cell>
          <cell r="BC882">
            <v>0</v>
          </cell>
          <cell r="BD882">
            <v>0</v>
          </cell>
          <cell r="BE882">
            <v>0</v>
          </cell>
          <cell r="BF882">
            <v>0</v>
          </cell>
          <cell r="BG882">
            <v>0</v>
          </cell>
          <cell r="BH882">
            <v>0</v>
          </cell>
          <cell r="BI882">
            <v>0</v>
          </cell>
          <cell r="BK882">
            <v>0</v>
          </cell>
          <cell r="BL882">
            <v>0</v>
          </cell>
          <cell r="BM882">
            <v>0</v>
          </cell>
          <cell r="BN882">
            <v>0</v>
          </cell>
          <cell r="BO882">
            <v>0</v>
          </cell>
          <cell r="BP882">
            <v>0</v>
          </cell>
          <cell r="BQ882">
            <v>0</v>
          </cell>
          <cell r="BR882">
            <v>0</v>
          </cell>
          <cell r="BS882">
            <v>0</v>
          </cell>
          <cell r="BU882">
            <v>0</v>
          </cell>
          <cell r="BV882">
            <v>0</v>
          </cell>
          <cell r="BW882">
            <v>0</v>
          </cell>
          <cell r="BX882">
            <v>0</v>
          </cell>
          <cell r="BY882">
            <v>0</v>
          </cell>
          <cell r="BZ882">
            <v>0</v>
          </cell>
          <cell r="CA882">
            <v>0</v>
          </cell>
          <cell r="CB882">
            <v>0</v>
          </cell>
          <cell r="CC882">
            <v>0</v>
          </cell>
          <cell r="CE882">
            <v>0</v>
          </cell>
          <cell r="CF882">
            <v>0</v>
          </cell>
          <cell r="CG882">
            <v>0</v>
          </cell>
          <cell r="CH882">
            <v>0</v>
          </cell>
          <cell r="CI882">
            <v>0</v>
          </cell>
          <cell r="CJ882">
            <v>0</v>
          </cell>
          <cell r="CK882">
            <v>0</v>
          </cell>
          <cell r="CL882">
            <v>0</v>
          </cell>
          <cell r="CM882">
            <v>0</v>
          </cell>
          <cell r="CO882">
            <v>0</v>
          </cell>
          <cell r="CP882">
            <v>0</v>
          </cell>
          <cell r="CQ882">
            <v>0</v>
          </cell>
          <cell r="CR882">
            <v>0</v>
          </cell>
          <cell r="CS882">
            <v>0</v>
          </cell>
          <cell r="CT882">
            <v>0</v>
          </cell>
          <cell r="CU882">
            <v>0</v>
          </cell>
          <cell r="CV882">
            <v>0</v>
          </cell>
          <cell r="CW882">
            <v>0</v>
          </cell>
          <cell r="CY882">
            <v>0</v>
          </cell>
          <cell r="CZ882">
            <v>0</v>
          </cell>
          <cell r="DA882">
            <v>0</v>
          </cell>
          <cell r="DB882">
            <v>0</v>
          </cell>
          <cell r="DC882">
            <v>0</v>
          </cell>
          <cell r="DD882">
            <v>0</v>
          </cell>
          <cell r="DE882">
            <v>0</v>
          </cell>
          <cell r="DF882">
            <v>0</v>
          </cell>
          <cell r="DG882">
            <v>0</v>
          </cell>
          <cell r="DI882">
            <v>0</v>
          </cell>
          <cell r="DJ882">
            <v>0</v>
          </cell>
          <cell r="DK882">
            <v>0</v>
          </cell>
          <cell r="DL882">
            <v>0</v>
          </cell>
          <cell r="DM882">
            <v>0</v>
          </cell>
          <cell r="DN882">
            <v>0</v>
          </cell>
          <cell r="DO882">
            <v>0</v>
          </cell>
          <cell r="DP882">
            <v>0</v>
          </cell>
          <cell r="DQ882">
            <v>0</v>
          </cell>
          <cell r="DR882">
            <v>0</v>
          </cell>
          <cell r="DS882">
            <v>0</v>
          </cell>
          <cell r="DT882">
            <v>0</v>
          </cell>
          <cell r="DU882">
            <v>0</v>
          </cell>
          <cell r="DW882">
            <v>0</v>
          </cell>
          <cell r="DX882">
            <v>0</v>
          </cell>
          <cell r="DY882">
            <v>0</v>
          </cell>
          <cell r="DZ882">
            <v>0</v>
          </cell>
          <cell r="EA882">
            <v>0</v>
          </cell>
          <cell r="EB882">
            <v>0</v>
          </cell>
          <cell r="EC882">
            <v>0</v>
          </cell>
          <cell r="ED882">
            <v>0</v>
          </cell>
          <cell r="EE882">
            <v>0</v>
          </cell>
          <cell r="EF882">
            <v>0</v>
          </cell>
          <cell r="EG882">
            <v>0</v>
          </cell>
          <cell r="EH882">
            <v>0</v>
          </cell>
          <cell r="EI882">
            <v>0</v>
          </cell>
          <cell r="EK882">
            <v>0</v>
          </cell>
          <cell r="EL882">
            <v>0</v>
          </cell>
          <cell r="EM882">
            <v>0</v>
          </cell>
          <cell r="EN882">
            <v>0</v>
          </cell>
          <cell r="EO882">
            <v>0</v>
          </cell>
          <cell r="EP882">
            <v>0</v>
          </cell>
          <cell r="EQ882">
            <v>0</v>
          </cell>
          <cell r="ER882">
            <v>0</v>
          </cell>
          <cell r="ES882">
            <v>0</v>
          </cell>
          <cell r="ET882">
            <v>0</v>
          </cell>
          <cell r="EU882">
            <v>0</v>
          </cell>
          <cell r="EV882">
            <v>0</v>
          </cell>
          <cell r="EW882">
            <v>0</v>
          </cell>
          <cell r="EY882">
            <v>0</v>
          </cell>
          <cell r="EZ882">
            <v>8</v>
          </cell>
          <cell r="FA882">
            <v>0</v>
          </cell>
          <cell r="FB882">
            <v>0</v>
          </cell>
          <cell r="FC882">
            <v>8.6</v>
          </cell>
          <cell r="FD882">
            <v>0</v>
          </cell>
          <cell r="FE882">
            <v>0</v>
          </cell>
          <cell r="FF882">
            <v>0</v>
          </cell>
          <cell r="FH882">
            <v>0</v>
          </cell>
        </row>
        <row r="883">
          <cell r="B883">
            <v>10015</v>
          </cell>
          <cell r="C883" t="str">
            <v>12.02.2013</v>
          </cell>
          <cell r="D883" t="str">
            <v>Jadhav Narendra Anand</v>
          </cell>
          <cell r="F883">
            <v>0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  <cell r="T883">
            <v>0</v>
          </cell>
          <cell r="U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0</v>
          </cell>
          <cell r="AA883">
            <v>0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0</v>
          </cell>
          <cell r="AK883">
            <v>0</v>
          </cell>
          <cell r="AL883">
            <v>0</v>
          </cell>
          <cell r="AM883">
            <v>0</v>
          </cell>
          <cell r="AN883">
            <v>0</v>
          </cell>
          <cell r="AO883">
            <v>0</v>
          </cell>
          <cell r="AQ883">
            <v>0</v>
          </cell>
          <cell r="AR883">
            <v>0</v>
          </cell>
          <cell r="AS883">
            <v>0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BA883">
            <v>0</v>
          </cell>
          <cell r="BB883">
            <v>0</v>
          </cell>
          <cell r="BC883">
            <v>0</v>
          </cell>
          <cell r="BD883">
            <v>0</v>
          </cell>
          <cell r="BE883">
            <v>0</v>
          </cell>
          <cell r="BF883">
            <v>0</v>
          </cell>
          <cell r="BG883">
            <v>0</v>
          </cell>
          <cell r="BH883">
            <v>0</v>
          </cell>
          <cell r="BI883">
            <v>0</v>
          </cell>
          <cell r="BK883">
            <v>0</v>
          </cell>
          <cell r="BL883">
            <v>0</v>
          </cell>
          <cell r="BM883">
            <v>0</v>
          </cell>
          <cell r="BN883">
            <v>0</v>
          </cell>
          <cell r="BO883">
            <v>0</v>
          </cell>
          <cell r="BP883">
            <v>0</v>
          </cell>
          <cell r="BQ883">
            <v>0</v>
          </cell>
          <cell r="BR883">
            <v>0</v>
          </cell>
          <cell r="BS883">
            <v>0</v>
          </cell>
          <cell r="BU883">
            <v>0</v>
          </cell>
          <cell r="BV883">
            <v>0</v>
          </cell>
          <cell r="BW883">
            <v>0</v>
          </cell>
          <cell r="BX883">
            <v>0</v>
          </cell>
          <cell r="BY883">
            <v>0</v>
          </cell>
          <cell r="BZ883">
            <v>0</v>
          </cell>
          <cell r="CA883">
            <v>0</v>
          </cell>
          <cell r="CB883">
            <v>0</v>
          </cell>
          <cell r="CC883">
            <v>0</v>
          </cell>
          <cell r="CE883">
            <v>0</v>
          </cell>
          <cell r="CF883">
            <v>0</v>
          </cell>
          <cell r="CG883">
            <v>0</v>
          </cell>
          <cell r="CH883">
            <v>0</v>
          </cell>
          <cell r="CI883">
            <v>0</v>
          </cell>
          <cell r="CJ883">
            <v>0</v>
          </cell>
          <cell r="CK883">
            <v>0</v>
          </cell>
          <cell r="CL883">
            <v>0</v>
          </cell>
          <cell r="CM883">
            <v>0</v>
          </cell>
          <cell r="CO883">
            <v>0</v>
          </cell>
          <cell r="CP883">
            <v>0</v>
          </cell>
          <cell r="CQ883">
            <v>0</v>
          </cell>
          <cell r="CR883">
            <v>0</v>
          </cell>
          <cell r="CS883">
            <v>0</v>
          </cell>
          <cell r="CT883">
            <v>0</v>
          </cell>
          <cell r="CU883">
            <v>0</v>
          </cell>
          <cell r="CV883">
            <v>0</v>
          </cell>
          <cell r="CW883">
            <v>0</v>
          </cell>
          <cell r="CY883">
            <v>0</v>
          </cell>
          <cell r="CZ883">
            <v>0</v>
          </cell>
          <cell r="DA883">
            <v>0</v>
          </cell>
          <cell r="DB883">
            <v>0</v>
          </cell>
          <cell r="DC883">
            <v>0</v>
          </cell>
          <cell r="DD883">
            <v>0</v>
          </cell>
          <cell r="DE883">
            <v>0</v>
          </cell>
          <cell r="DF883">
            <v>0</v>
          </cell>
          <cell r="DG883">
            <v>0</v>
          </cell>
          <cell r="DI883">
            <v>0</v>
          </cell>
          <cell r="DJ883">
            <v>0</v>
          </cell>
          <cell r="DK883">
            <v>0</v>
          </cell>
          <cell r="DL883">
            <v>0</v>
          </cell>
          <cell r="DM883">
            <v>0</v>
          </cell>
          <cell r="DN883">
            <v>0</v>
          </cell>
          <cell r="DO883">
            <v>0</v>
          </cell>
          <cell r="DP883">
            <v>0</v>
          </cell>
          <cell r="DQ883">
            <v>0</v>
          </cell>
          <cell r="DR883">
            <v>0</v>
          </cell>
          <cell r="DS883">
            <v>0</v>
          </cell>
          <cell r="DT883">
            <v>0</v>
          </cell>
          <cell r="DU883">
            <v>0</v>
          </cell>
          <cell r="DW883">
            <v>0</v>
          </cell>
          <cell r="DX883">
            <v>0</v>
          </cell>
          <cell r="DY883">
            <v>0</v>
          </cell>
          <cell r="DZ883">
            <v>0</v>
          </cell>
          <cell r="EA883">
            <v>0</v>
          </cell>
          <cell r="EB883">
            <v>0</v>
          </cell>
          <cell r="EC883">
            <v>0</v>
          </cell>
          <cell r="ED883">
            <v>0</v>
          </cell>
          <cell r="EE883">
            <v>0</v>
          </cell>
          <cell r="EF883">
            <v>0</v>
          </cell>
          <cell r="EG883">
            <v>0</v>
          </cell>
          <cell r="EH883">
            <v>0</v>
          </cell>
          <cell r="EI883">
            <v>0</v>
          </cell>
          <cell r="EK883">
            <v>0</v>
          </cell>
          <cell r="EL883">
            <v>0</v>
          </cell>
          <cell r="EM883">
            <v>0</v>
          </cell>
          <cell r="EN883">
            <v>0</v>
          </cell>
          <cell r="EO883">
            <v>0</v>
          </cell>
          <cell r="EP883">
            <v>0</v>
          </cell>
          <cell r="EQ883">
            <v>0</v>
          </cell>
          <cell r="ER883">
            <v>0</v>
          </cell>
          <cell r="ES883">
            <v>0</v>
          </cell>
          <cell r="ET883">
            <v>0</v>
          </cell>
          <cell r="EU883">
            <v>0</v>
          </cell>
          <cell r="EV883">
            <v>0</v>
          </cell>
          <cell r="EW883">
            <v>0</v>
          </cell>
          <cell r="EY883">
            <v>0</v>
          </cell>
          <cell r="EZ883">
            <v>8</v>
          </cell>
          <cell r="FA883">
            <v>0</v>
          </cell>
          <cell r="FB883">
            <v>0</v>
          </cell>
          <cell r="FC883">
            <v>8.6</v>
          </cell>
          <cell r="FD883">
            <v>0</v>
          </cell>
          <cell r="FE883">
            <v>0</v>
          </cell>
          <cell r="FF883">
            <v>0</v>
          </cell>
          <cell r="FH883">
            <v>0</v>
          </cell>
        </row>
        <row r="884">
          <cell r="B884">
            <v>10016</v>
          </cell>
          <cell r="C884" t="str">
            <v>12.02.2013</v>
          </cell>
          <cell r="D884" t="str">
            <v>Babriya Harshad Ravindra</v>
          </cell>
          <cell r="F884">
            <v>0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  <cell r="R884">
            <v>0</v>
          </cell>
          <cell r="S884">
            <v>0</v>
          </cell>
          <cell r="T884">
            <v>0</v>
          </cell>
          <cell r="U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>
            <v>0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0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  <cell r="AQ884">
            <v>0</v>
          </cell>
          <cell r="AR884">
            <v>0</v>
          </cell>
          <cell r="AS884">
            <v>0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BA884">
            <v>0</v>
          </cell>
          <cell r="BB884">
            <v>0</v>
          </cell>
          <cell r="BC884">
            <v>0</v>
          </cell>
          <cell r="BD884">
            <v>0</v>
          </cell>
          <cell r="BE884">
            <v>0</v>
          </cell>
          <cell r="BF884">
            <v>0</v>
          </cell>
          <cell r="BG884">
            <v>0</v>
          </cell>
          <cell r="BH884">
            <v>0</v>
          </cell>
          <cell r="BI884">
            <v>0</v>
          </cell>
          <cell r="BK884">
            <v>0</v>
          </cell>
          <cell r="BL884">
            <v>0</v>
          </cell>
          <cell r="BM884">
            <v>0</v>
          </cell>
          <cell r="BN884">
            <v>0</v>
          </cell>
          <cell r="BO884">
            <v>0</v>
          </cell>
          <cell r="BP884">
            <v>0</v>
          </cell>
          <cell r="BQ884">
            <v>0</v>
          </cell>
          <cell r="BR884">
            <v>0</v>
          </cell>
          <cell r="BS884">
            <v>0</v>
          </cell>
          <cell r="BU884">
            <v>0</v>
          </cell>
          <cell r="BV884">
            <v>0</v>
          </cell>
          <cell r="BW884">
            <v>0</v>
          </cell>
          <cell r="BX884">
            <v>0</v>
          </cell>
          <cell r="BY884">
            <v>0</v>
          </cell>
          <cell r="BZ884">
            <v>0</v>
          </cell>
          <cell r="CA884">
            <v>0</v>
          </cell>
          <cell r="CB884">
            <v>0</v>
          </cell>
          <cell r="CC884">
            <v>0</v>
          </cell>
          <cell r="CE884">
            <v>0</v>
          </cell>
          <cell r="CF884">
            <v>0</v>
          </cell>
          <cell r="CG884">
            <v>0</v>
          </cell>
          <cell r="CH884">
            <v>0</v>
          </cell>
          <cell r="CI884">
            <v>0</v>
          </cell>
          <cell r="CJ884">
            <v>0</v>
          </cell>
          <cell r="CK884">
            <v>0</v>
          </cell>
          <cell r="CL884">
            <v>0</v>
          </cell>
          <cell r="CM884">
            <v>0</v>
          </cell>
          <cell r="CO884">
            <v>0</v>
          </cell>
          <cell r="CP884">
            <v>0</v>
          </cell>
          <cell r="CQ884">
            <v>0</v>
          </cell>
          <cell r="CR884">
            <v>0</v>
          </cell>
          <cell r="CS884">
            <v>0</v>
          </cell>
          <cell r="CT884">
            <v>0</v>
          </cell>
          <cell r="CU884">
            <v>0</v>
          </cell>
          <cell r="CV884">
            <v>0</v>
          </cell>
          <cell r="CW884">
            <v>0</v>
          </cell>
          <cell r="CY884">
            <v>0</v>
          </cell>
          <cell r="CZ884">
            <v>0</v>
          </cell>
          <cell r="DA884">
            <v>0</v>
          </cell>
          <cell r="DB884">
            <v>0</v>
          </cell>
          <cell r="DC884">
            <v>0</v>
          </cell>
          <cell r="DD884">
            <v>0</v>
          </cell>
          <cell r="DE884">
            <v>0</v>
          </cell>
          <cell r="DF884">
            <v>0</v>
          </cell>
          <cell r="DG884">
            <v>0</v>
          </cell>
          <cell r="DI884">
            <v>0</v>
          </cell>
          <cell r="DJ884">
            <v>0</v>
          </cell>
          <cell r="DK884">
            <v>0</v>
          </cell>
          <cell r="DL884">
            <v>0</v>
          </cell>
          <cell r="DM884">
            <v>0</v>
          </cell>
          <cell r="DN884">
            <v>0</v>
          </cell>
          <cell r="DO884">
            <v>0</v>
          </cell>
          <cell r="DP884">
            <v>0</v>
          </cell>
          <cell r="DQ884">
            <v>0</v>
          </cell>
          <cell r="DR884">
            <v>0</v>
          </cell>
          <cell r="DS884">
            <v>0</v>
          </cell>
          <cell r="DT884">
            <v>0</v>
          </cell>
          <cell r="DU884">
            <v>0</v>
          </cell>
          <cell r="DW884">
            <v>0</v>
          </cell>
          <cell r="DX884">
            <v>0</v>
          </cell>
          <cell r="DY884">
            <v>0</v>
          </cell>
          <cell r="DZ884">
            <v>0</v>
          </cell>
          <cell r="EA884">
            <v>0</v>
          </cell>
          <cell r="EB884">
            <v>0</v>
          </cell>
          <cell r="EC884">
            <v>0</v>
          </cell>
          <cell r="ED884">
            <v>0</v>
          </cell>
          <cell r="EE884">
            <v>0</v>
          </cell>
          <cell r="EF884">
            <v>0</v>
          </cell>
          <cell r="EG884">
            <v>0</v>
          </cell>
          <cell r="EH884">
            <v>0</v>
          </cell>
          <cell r="EI884">
            <v>0</v>
          </cell>
          <cell r="EK884">
            <v>0</v>
          </cell>
          <cell r="EL884">
            <v>0</v>
          </cell>
          <cell r="EM884">
            <v>0</v>
          </cell>
          <cell r="EN884">
            <v>0</v>
          </cell>
          <cell r="EO884">
            <v>0</v>
          </cell>
          <cell r="EP884">
            <v>0</v>
          </cell>
          <cell r="EQ884">
            <v>0</v>
          </cell>
          <cell r="ER884">
            <v>0</v>
          </cell>
          <cell r="ES884">
            <v>0</v>
          </cell>
          <cell r="ET884">
            <v>0</v>
          </cell>
          <cell r="EU884">
            <v>0</v>
          </cell>
          <cell r="EV884">
            <v>0</v>
          </cell>
          <cell r="EW884">
            <v>0</v>
          </cell>
          <cell r="EY884">
            <v>0</v>
          </cell>
          <cell r="EZ884">
            <v>8</v>
          </cell>
          <cell r="FA884">
            <v>0</v>
          </cell>
          <cell r="FB884">
            <v>0</v>
          </cell>
          <cell r="FC884">
            <v>8.6</v>
          </cell>
          <cell r="FD884">
            <v>0</v>
          </cell>
          <cell r="FE884">
            <v>0</v>
          </cell>
          <cell r="FF884">
            <v>0</v>
          </cell>
          <cell r="FH884">
            <v>0</v>
          </cell>
        </row>
        <row r="885">
          <cell r="B885">
            <v>10017</v>
          </cell>
          <cell r="C885" t="str">
            <v>12.02.2013</v>
          </cell>
          <cell r="D885" t="str">
            <v>Lokhande Rohit Balraj</v>
          </cell>
          <cell r="F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BA885">
            <v>0</v>
          </cell>
          <cell r="BB885">
            <v>0</v>
          </cell>
          <cell r="BC885">
            <v>0</v>
          </cell>
          <cell r="BD885">
            <v>0</v>
          </cell>
          <cell r="BE885">
            <v>0</v>
          </cell>
          <cell r="BF885">
            <v>0</v>
          </cell>
          <cell r="BG885">
            <v>0</v>
          </cell>
          <cell r="BH885">
            <v>0</v>
          </cell>
          <cell r="BI885">
            <v>0</v>
          </cell>
          <cell r="BK885">
            <v>0</v>
          </cell>
          <cell r="BL885">
            <v>0</v>
          </cell>
          <cell r="BM885">
            <v>0</v>
          </cell>
          <cell r="BN885">
            <v>0</v>
          </cell>
          <cell r="BO885">
            <v>0</v>
          </cell>
          <cell r="BP885">
            <v>0</v>
          </cell>
          <cell r="BQ885">
            <v>0</v>
          </cell>
          <cell r="BR885">
            <v>0</v>
          </cell>
          <cell r="BS885">
            <v>0</v>
          </cell>
          <cell r="BU885">
            <v>0</v>
          </cell>
          <cell r="BV885">
            <v>0</v>
          </cell>
          <cell r="BW885">
            <v>0</v>
          </cell>
          <cell r="BX885">
            <v>0</v>
          </cell>
          <cell r="BY885">
            <v>0</v>
          </cell>
          <cell r="BZ885">
            <v>0</v>
          </cell>
          <cell r="CA885">
            <v>0</v>
          </cell>
          <cell r="CB885">
            <v>0</v>
          </cell>
          <cell r="CC885">
            <v>0</v>
          </cell>
          <cell r="CE885">
            <v>0</v>
          </cell>
          <cell r="CF885">
            <v>0</v>
          </cell>
          <cell r="CG885">
            <v>0</v>
          </cell>
          <cell r="CH885">
            <v>0</v>
          </cell>
          <cell r="CI885">
            <v>0</v>
          </cell>
          <cell r="CJ885">
            <v>0</v>
          </cell>
          <cell r="CK885">
            <v>0</v>
          </cell>
          <cell r="CL885">
            <v>0</v>
          </cell>
          <cell r="CM885">
            <v>0</v>
          </cell>
          <cell r="CO885">
            <v>0</v>
          </cell>
          <cell r="CP885">
            <v>0</v>
          </cell>
          <cell r="CQ885">
            <v>0</v>
          </cell>
          <cell r="CR885">
            <v>0</v>
          </cell>
          <cell r="CS885">
            <v>0</v>
          </cell>
          <cell r="CT885">
            <v>0</v>
          </cell>
          <cell r="CU885">
            <v>0</v>
          </cell>
          <cell r="CV885">
            <v>0</v>
          </cell>
          <cell r="CW885">
            <v>0</v>
          </cell>
          <cell r="CY885">
            <v>0</v>
          </cell>
          <cell r="CZ885">
            <v>0</v>
          </cell>
          <cell r="DA885">
            <v>0</v>
          </cell>
          <cell r="DB885">
            <v>0</v>
          </cell>
          <cell r="DC885">
            <v>0</v>
          </cell>
          <cell r="DD885">
            <v>0</v>
          </cell>
          <cell r="DE885">
            <v>0</v>
          </cell>
          <cell r="DF885">
            <v>0</v>
          </cell>
          <cell r="DG885">
            <v>0</v>
          </cell>
          <cell r="DI885">
            <v>0</v>
          </cell>
          <cell r="DJ885">
            <v>0</v>
          </cell>
          <cell r="DK885">
            <v>0</v>
          </cell>
          <cell r="DL885">
            <v>0</v>
          </cell>
          <cell r="DM885">
            <v>0</v>
          </cell>
          <cell r="DN885">
            <v>0</v>
          </cell>
          <cell r="DO885">
            <v>0</v>
          </cell>
          <cell r="DP885">
            <v>0</v>
          </cell>
          <cell r="DQ885">
            <v>0</v>
          </cell>
          <cell r="DR885">
            <v>0</v>
          </cell>
          <cell r="DS885">
            <v>0</v>
          </cell>
          <cell r="DT885">
            <v>0</v>
          </cell>
          <cell r="DU885">
            <v>0</v>
          </cell>
          <cell r="DW885">
            <v>0</v>
          </cell>
          <cell r="DX885">
            <v>0</v>
          </cell>
          <cell r="DY885">
            <v>0</v>
          </cell>
          <cell r="DZ885">
            <v>0</v>
          </cell>
          <cell r="EA885">
            <v>0</v>
          </cell>
          <cell r="EB885">
            <v>0</v>
          </cell>
          <cell r="EC885">
            <v>0</v>
          </cell>
          <cell r="ED885">
            <v>0</v>
          </cell>
          <cell r="EE885">
            <v>0</v>
          </cell>
          <cell r="EF885">
            <v>0</v>
          </cell>
          <cell r="EG885">
            <v>0</v>
          </cell>
          <cell r="EH885">
            <v>0</v>
          </cell>
          <cell r="EI885">
            <v>0</v>
          </cell>
          <cell r="EK885">
            <v>0</v>
          </cell>
          <cell r="EL885">
            <v>0</v>
          </cell>
          <cell r="EM885">
            <v>0</v>
          </cell>
          <cell r="EN885">
            <v>0</v>
          </cell>
          <cell r="EO885">
            <v>0</v>
          </cell>
          <cell r="EP885">
            <v>0</v>
          </cell>
          <cell r="EQ885">
            <v>0</v>
          </cell>
          <cell r="ER885">
            <v>0</v>
          </cell>
          <cell r="ES885">
            <v>0</v>
          </cell>
          <cell r="ET885">
            <v>0</v>
          </cell>
          <cell r="EU885">
            <v>0</v>
          </cell>
          <cell r="EV885">
            <v>0</v>
          </cell>
          <cell r="EW885">
            <v>0</v>
          </cell>
          <cell r="EY885">
            <v>0</v>
          </cell>
          <cell r="EZ885">
            <v>8</v>
          </cell>
          <cell r="FA885">
            <v>0</v>
          </cell>
          <cell r="FB885">
            <v>0</v>
          </cell>
          <cell r="FC885">
            <v>8.6</v>
          </cell>
          <cell r="FD885">
            <v>0</v>
          </cell>
          <cell r="FE885">
            <v>0</v>
          </cell>
          <cell r="FF885">
            <v>0</v>
          </cell>
          <cell r="FH885">
            <v>0</v>
          </cell>
        </row>
        <row r="886">
          <cell r="B886">
            <v>10018</v>
          </cell>
          <cell r="C886" t="str">
            <v>12.02.2013</v>
          </cell>
          <cell r="D886" t="str">
            <v>Lokhande Amol Ananda</v>
          </cell>
          <cell r="F886">
            <v>0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Q886">
            <v>0</v>
          </cell>
          <cell r="AR886">
            <v>0</v>
          </cell>
          <cell r="AS886">
            <v>0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BA886">
            <v>0</v>
          </cell>
          <cell r="BB886">
            <v>0</v>
          </cell>
          <cell r="BC886">
            <v>0</v>
          </cell>
          <cell r="BD886">
            <v>0</v>
          </cell>
          <cell r="BE886">
            <v>0</v>
          </cell>
          <cell r="BF886">
            <v>0</v>
          </cell>
          <cell r="BG886">
            <v>0</v>
          </cell>
          <cell r="BH886">
            <v>0</v>
          </cell>
          <cell r="BI886">
            <v>0</v>
          </cell>
          <cell r="BK886">
            <v>0</v>
          </cell>
          <cell r="BL886">
            <v>0</v>
          </cell>
          <cell r="BM886">
            <v>0</v>
          </cell>
          <cell r="BN886">
            <v>0</v>
          </cell>
          <cell r="BO886">
            <v>0</v>
          </cell>
          <cell r="BP886">
            <v>0</v>
          </cell>
          <cell r="BQ886">
            <v>0</v>
          </cell>
          <cell r="BR886">
            <v>0</v>
          </cell>
          <cell r="BS886">
            <v>0</v>
          </cell>
          <cell r="BU886">
            <v>0</v>
          </cell>
          <cell r="BV886">
            <v>0</v>
          </cell>
          <cell r="BW886">
            <v>0</v>
          </cell>
          <cell r="BX886">
            <v>0</v>
          </cell>
          <cell r="BY886">
            <v>0</v>
          </cell>
          <cell r="BZ886">
            <v>0</v>
          </cell>
          <cell r="CA886">
            <v>0</v>
          </cell>
          <cell r="CB886">
            <v>0</v>
          </cell>
          <cell r="CC886">
            <v>0</v>
          </cell>
          <cell r="CE886">
            <v>0</v>
          </cell>
          <cell r="CF886">
            <v>0</v>
          </cell>
          <cell r="CG886">
            <v>0</v>
          </cell>
          <cell r="CH886">
            <v>0</v>
          </cell>
          <cell r="CI886">
            <v>0</v>
          </cell>
          <cell r="CJ886">
            <v>0</v>
          </cell>
          <cell r="CK886">
            <v>0</v>
          </cell>
          <cell r="CL886">
            <v>0</v>
          </cell>
          <cell r="CM886">
            <v>0</v>
          </cell>
          <cell r="CO886">
            <v>0</v>
          </cell>
          <cell r="CP886">
            <v>0</v>
          </cell>
          <cell r="CQ886">
            <v>0</v>
          </cell>
          <cell r="CR886">
            <v>0</v>
          </cell>
          <cell r="CS886">
            <v>0</v>
          </cell>
          <cell r="CT886">
            <v>0</v>
          </cell>
          <cell r="CU886">
            <v>0</v>
          </cell>
          <cell r="CV886">
            <v>0</v>
          </cell>
          <cell r="CW886">
            <v>0</v>
          </cell>
          <cell r="CY886">
            <v>0</v>
          </cell>
          <cell r="CZ886">
            <v>0</v>
          </cell>
          <cell r="DA886">
            <v>0</v>
          </cell>
          <cell r="DB886">
            <v>0</v>
          </cell>
          <cell r="DC886">
            <v>0</v>
          </cell>
          <cell r="DD886">
            <v>0</v>
          </cell>
          <cell r="DE886">
            <v>0</v>
          </cell>
          <cell r="DF886">
            <v>0</v>
          </cell>
          <cell r="DG886">
            <v>0</v>
          </cell>
          <cell r="DI886">
            <v>0</v>
          </cell>
          <cell r="DJ886">
            <v>0</v>
          </cell>
          <cell r="DK886">
            <v>0</v>
          </cell>
          <cell r="DL886">
            <v>0</v>
          </cell>
          <cell r="DM886">
            <v>0</v>
          </cell>
          <cell r="DN886">
            <v>0</v>
          </cell>
          <cell r="DO886">
            <v>0</v>
          </cell>
          <cell r="DP886">
            <v>0</v>
          </cell>
          <cell r="DQ886">
            <v>0</v>
          </cell>
          <cell r="DR886">
            <v>0</v>
          </cell>
          <cell r="DS886">
            <v>0</v>
          </cell>
          <cell r="DT886">
            <v>0</v>
          </cell>
          <cell r="DU886">
            <v>0</v>
          </cell>
          <cell r="DW886">
            <v>0</v>
          </cell>
          <cell r="DX886">
            <v>0</v>
          </cell>
          <cell r="DY886">
            <v>0</v>
          </cell>
          <cell r="DZ886">
            <v>0</v>
          </cell>
          <cell r="EA886">
            <v>0</v>
          </cell>
          <cell r="EB886">
            <v>0</v>
          </cell>
          <cell r="EC886">
            <v>0</v>
          </cell>
          <cell r="ED886">
            <v>0</v>
          </cell>
          <cell r="EE886">
            <v>0</v>
          </cell>
          <cell r="EF886">
            <v>0</v>
          </cell>
          <cell r="EG886">
            <v>0</v>
          </cell>
          <cell r="EH886">
            <v>0</v>
          </cell>
          <cell r="EI886">
            <v>0</v>
          </cell>
          <cell r="EK886">
            <v>0</v>
          </cell>
          <cell r="EL886">
            <v>0</v>
          </cell>
          <cell r="EM886">
            <v>0</v>
          </cell>
          <cell r="EN886">
            <v>0</v>
          </cell>
          <cell r="EO886">
            <v>0</v>
          </cell>
          <cell r="EP886">
            <v>0</v>
          </cell>
          <cell r="EQ886">
            <v>0</v>
          </cell>
          <cell r="ER886">
            <v>0</v>
          </cell>
          <cell r="ES886">
            <v>0</v>
          </cell>
          <cell r="ET886">
            <v>0</v>
          </cell>
          <cell r="EU886">
            <v>0</v>
          </cell>
          <cell r="EV886">
            <v>0</v>
          </cell>
          <cell r="EW886">
            <v>0</v>
          </cell>
          <cell r="EY886">
            <v>0</v>
          </cell>
          <cell r="EZ886">
            <v>8</v>
          </cell>
          <cell r="FA886">
            <v>0</v>
          </cell>
          <cell r="FB886">
            <v>0</v>
          </cell>
          <cell r="FC886">
            <v>8.6</v>
          </cell>
          <cell r="FD886">
            <v>0</v>
          </cell>
          <cell r="FE886">
            <v>0</v>
          </cell>
          <cell r="FF886">
            <v>0</v>
          </cell>
          <cell r="FH886">
            <v>0</v>
          </cell>
        </row>
        <row r="887">
          <cell r="B887">
            <v>10019</v>
          </cell>
          <cell r="C887" t="str">
            <v>12.02.2013</v>
          </cell>
          <cell r="D887" t="str">
            <v>Pawar Sarika Raghunath</v>
          </cell>
          <cell r="F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Q887">
            <v>0</v>
          </cell>
          <cell r="AR887">
            <v>0</v>
          </cell>
          <cell r="AS887">
            <v>0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BA887">
            <v>0</v>
          </cell>
          <cell r="BB887">
            <v>0</v>
          </cell>
          <cell r="BC887">
            <v>0</v>
          </cell>
          <cell r="BD887">
            <v>0</v>
          </cell>
          <cell r="BE887">
            <v>0</v>
          </cell>
          <cell r="BF887">
            <v>0</v>
          </cell>
          <cell r="BG887">
            <v>0</v>
          </cell>
          <cell r="BH887">
            <v>0</v>
          </cell>
          <cell r="BI887">
            <v>0</v>
          </cell>
          <cell r="BK887">
            <v>0</v>
          </cell>
          <cell r="BL887">
            <v>0</v>
          </cell>
          <cell r="BM887">
            <v>0</v>
          </cell>
          <cell r="BN887">
            <v>0</v>
          </cell>
          <cell r="BO887">
            <v>0</v>
          </cell>
          <cell r="BP887">
            <v>0</v>
          </cell>
          <cell r="BQ887">
            <v>0</v>
          </cell>
          <cell r="BR887">
            <v>0</v>
          </cell>
          <cell r="BS887">
            <v>0</v>
          </cell>
          <cell r="BU887">
            <v>0</v>
          </cell>
          <cell r="BV887">
            <v>0</v>
          </cell>
          <cell r="BW887">
            <v>0</v>
          </cell>
          <cell r="BX887">
            <v>0</v>
          </cell>
          <cell r="BY887">
            <v>0</v>
          </cell>
          <cell r="BZ887">
            <v>0</v>
          </cell>
          <cell r="CA887">
            <v>0</v>
          </cell>
          <cell r="CB887">
            <v>0</v>
          </cell>
          <cell r="CC887">
            <v>0</v>
          </cell>
          <cell r="CE887">
            <v>0</v>
          </cell>
          <cell r="CF887">
            <v>0</v>
          </cell>
          <cell r="CG887">
            <v>0</v>
          </cell>
          <cell r="CH887">
            <v>0</v>
          </cell>
          <cell r="CI887">
            <v>0</v>
          </cell>
          <cell r="CJ887">
            <v>0</v>
          </cell>
          <cell r="CK887">
            <v>0</v>
          </cell>
          <cell r="CL887">
            <v>0</v>
          </cell>
          <cell r="CM887">
            <v>0</v>
          </cell>
          <cell r="CO887">
            <v>0</v>
          </cell>
          <cell r="CP887">
            <v>0</v>
          </cell>
          <cell r="CQ887">
            <v>0</v>
          </cell>
          <cell r="CR887">
            <v>0</v>
          </cell>
          <cell r="CS887">
            <v>0</v>
          </cell>
          <cell r="CT887">
            <v>0</v>
          </cell>
          <cell r="CU887">
            <v>0</v>
          </cell>
          <cell r="CV887">
            <v>0</v>
          </cell>
          <cell r="CW887">
            <v>0</v>
          </cell>
          <cell r="CY887">
            <v>0</v>
          </cell>
          <cell r="CZ887">
            <v>0</v>
          </cell>
          <cell r="DA887">
            <v>0</v>
          </cell>
          <cell r="DB887">
            <v>0</v>
          </cell>
          <cell r="DC887">
            <v>0</v>
          </cell>
          <cell r="DD887">
            <v>0</v>
          </cell>
          <cell r="DE887">
            <v>0</v>
          </cell>
          <cell r="DF887">
            <v>0</v>
          </cell>
          <cell r="DG887">
            <v>0</v>
          </cell>
          <cell r="DI887">
            <v>0</v>
          </cell>
          <cell r="DJ887">
            <v>0</v>
          </cell>
          <cell r="DK887">
            <v>0</v>
          </cell>
          <cell r="DL887">
            <v>0</v>
          </cell>
          <cell r="DM887">
            <v>0</v>
          </cell>
          <cell r="DN887">
            <v>0</v>
          </cell>
          <cell r="DO887">
            <v>0</v>
          </cell>
          <cell r="DP887">
            <v>0</v>
          </cell>
          <cell r="DQ887">
            <v>0</v>
          </cell>
          <cell r="DR887">
            <v>0</v>
          </cell>
          <cell r="DS887">
            <v>0</v>
          </cell>
          <cell r="DT887">
            <v>0</v>
          </cell>
          <cell r="DU887">
            <v>0</v>
          </cell>
          <cell r="DW887">
            <v>0</v>
          </cell>
          <cell r="DX887">
            <v>0</v>
          </cell>
          <cell r="DY887">
            <v>0</v>
          </cell>
          <cell r="DZ887">
            <v>0</v>
          </cell>
          <cell r="EA887">
            <v>0</v>
          </cell>
          <cell r="EB887">
            <v>0</v>
          </cell>
          <cell r="EC887">
            <v>0</v>
          </cell>
          <cell r="ED887">
            <v>0</v>
          </cell>
          <cell r="EE887">
            <v>0</v>
          </cell>
          <cell r="EF887">
            <v>0</v>
          </cell>
          <cell r="EG887">
            <v>0</v>
          </cell>
          <cell r="EH887">
            <v>0</v>
          </cell>
          <cell r="EI887">
            <v>0</v>
          </cell>
          <cell r="EK887">
            <v>0</v>
          </cell>
          <cell r="EL887">
            <v>0</v>
          </cell>
          <cell r="EM887">
            <v>0</v>
          </cell>
          <cell r="EN887">
            <v>0</v>
          </cell>
          <cell r="EO887">
            <v>0</v>
          </cell>
          <cell r="EP887">
            <v>0</v>
          </cell>
          <cell r="EQ887">
            <v>0</v>
          </cell>
          <cell r="ER887">
            <v>0</v>
          </cell>
          <cell r="ES887">
            <v>0</v>
          </cell>
          <cell r="ET887">
            <v>0</v>
          </cell>
          <cell r="EU887">
            <v>0</v>
          </cell>
          <cell r="EV887">
            <v>0</v>
          </cell>
          <cell r="EW887">
            <v>0</v>
          </cell>
          <cell r="EY887">
            <v>0</v>
          </cell>
          <cell r="EZ887">
            <v>8</v>
          </cell>
          <cell r="FA887">
            <v>0</v>
          </cell>
          <cell r="FB887">
            <v>0</v>
          </cell>
          <cell r="FC887">
            <v>8.6</v>
          </cell>
          <cell r="FD887">
            <v>0</v>
          </cell>
          <cell r="FE887">
            <v>0</v>
          </cell>
          <cell r="FF887">
            <v>0</v>
          </cell>
          <cell r="FH887">
            <v>0</v>
          </cell>
        </row>
        <row r="888">
          <cell r="B888">
            <v>10020</v>
          </cell>
          <cell r="C888" t="str">
            <v>12.02.2013</v>
          </cell>
          <cell r="D888" t="str">
            <v>Satdive Chandrabhan Bhagwat</v>
          </cell>
          <cell r="F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BA888">
            <v>0</v>
          </cell>
          <cell r="BB888">
            <v>0</v>
          </cell>
          <cell r="BC888">
            <v>0</v>
          </cell>
          <cell r="BD888">
            <v>0</v>
          </cell>
          <cell r="BE888">
            <v>0</v>
          </cell>
          <cell r="BF888">
            <v>0</v>
          </cell>
          <cell r="BG888">
            <v>0</v>
          </cell>
          <cell r="BH888">
            <v>0</v>
          </cell>
          <cell r="BI888">
            <v>0</v>
          </cell>
          <cell r="BK888">
            <v>0</v>
          </cell>
          <cell r="BL888">
            <v>0</v>
          </cell>
          <cell r="BM888">
            <v>0</v>
          </cell>
          <cell r="BN888">
            <v>0</v>
          </cell>
          <cell r="BO888">
            <v>0</v>
          </cell>
          <cell r="BP888">
            <v>0</v>
          </cell>
          <cell r="BQ888">
            <v>0</v>
          </cell>
          <cell r="BR888">
            <v>0</v>
          </cell>
          <cell r="BS888">
            <v>0</v>
          </cell>
          <cell r="BU888">
            <v>0</v>
          </cell>
          <cell r="BV888">
            <v>0</v>
          </cell>
          <cell r="BW888">
            <v>0</v>
          </cell>
          <cell r="BX888">
            <v>0</v>
          </cell>
          <cell r="BY888">
            <v>0</v>
          </cell>
          <cell r="BZ888">
            <v>0</v>
          </cell>
          <cell r="CA888">
            <v>0</v>
          </cell>
          <cell r="CB888">
            <v>0</v>
          </cell>
          <cell r="CC888">
            <v>0</v>
          </cell>
          <cell r="CE888">
            <v>0</v>
          </cell>
          <cell r="CF888">
            <v>0</v>
          </cell>
          <cell r="CG888">
            <v>0</v>
          </cell>
          <cell r="CH888">
            <v>0</v>
          </cell>
          <cell r="CI888">
            <v>0</v>
          </cell>
          <cell r="CJ888">
            <v>0</v>
          </cell>
          <cell r="CK888">
            <v>0</v>
          </cell>
          <cell r="CL888">
            <v>0</v>
          </cell>
          <cell r="CM888">
            <v>0</v>
          </cell>
          <cell r="CO888">
            <v>0</v>
          </cell>
          <cell r="CP888">
            <v>0</v>
          </cell>
          <cell r="CQ888">
            <v>0</v>
          </cell>
          <cell r="CR888">
            <v>0</v>
          </cell>
          <cell r="CS888">
            <v>0</v>
          </cell>
          <cell r="CT888">
            <v>0</v>
          </cell>
          <cell r="CU888">
            <v>0</v>
          </cell>
          <cell r="CV888">
            <v>0</v>
          </cell>
          <cell r="CW888">
            <v>0</v>
          </cell>
          <cell r="CY888">
            <v>0</v>
          </cell>
          <cell r="CZ888">
            <v>0</v>
          </cell>
          <cell r="DA888">
            <v>0</v>
          </cell>
          <cell r="DB888">
            <v>0</v>
          </cell>
          <cell r="DC888">
            <v>0</v>
          </cell>
          <cell r="DD888">
            <v>0</v>
          </cell>
          <cell r="DE888">
            <v>0</v>
          </cell>
          <cell r="DF888">
            <v>0</v>
          </cell>
          <cell r="DG888">
            <v>0</v>
          </cell>
          <cell r="DI888">
            <v>0</v>
          </cell>
          <cell r="DJ888">
            <v>0</v>
          </cell>
          <cell r="DK888">
            <v>0</v>
          </cell>
          <cell r="DL888">
            <v>0</v>
          </cell>
          <cell r="DM888">
            <v>0</v>
          </cell>
          <cell r="DN888">
            <v>0</v>
          </cell>
          <cell r="DO888">
            <v>0</v>
          </cell>
          <cell r="DP888">
            <v>0</v>
          </cell>
          <cell r="DQ888">
            <v>0</v>
          </cell>
          <cell r="DR888">
            <v>0</v>
          </cell>
          <cell r="DS888">
            <v>0</v>
          </cell>
          <cell r="DT888">
            <v>0</v>
          </cell>
          <cell r="DU888">
            <v>0</v>
          </cell>
          <cell r="DW888">
            <v>0</v>
          </cell>
          <cell r="DX888">
            <v>0</v>
          </cell>
          <cell r="DY888">
            <v>0</v>
          </cell>
          <cell r="DZ888">
            <v>0</v>
          </cell>
          <cell r="EA888">
            <v>0</v>
          </cell>
          <cell r="EB888">
            <v>0</v>
          </cell>
          <cell r="EC888">
            <v>0</v>
          </cell>
          <cell r="ED888">
            <v>0</v>
          </cell>
          <cell r="EE888">
            <v>0</v>
          </cell>
          <cell r="EF888">
            <v>0</v>
          </cell>
          <cell r="EG888">
            <v>0</v>
          </cell>
          <cell r="EH888">
            <v>0</v>
          </cell>
          <cell r="EI888">
            <v>0</v>
          </cell>
          <cell r="EK888">
            <v>0</v>
          </cell>
          <cell r="EL888">
            <v>0</v>
          </cell>
          <cell r="EM888">
            <v>0</v>
          </cell>
          <cell r="EN888">
            <v>0</v>
          </cell>
          <cell r="EO888">
            <v>0</v>
          </cell>
          <cell r="EP888">
            <v>0</v>
          </cell>
          <cell r="EQ888">
            <v>0</v>
          </cell>
          <cell r="ER888">
            <v>0</v>
          </cell>
          <cell r="ES888">
            <v>0</v>
          </cell>
          <cell r="ET888">
            <v>0</v>
          </cell>
          <cell r="EU888">
            <v>0</v>
          </cell>
          <cell r="EV888">
            <v>0</v>
          </cell>
          <cell r="EW888">
            <v>0</v>
          </cell>
          <cell r="EY888">
            <v>0</v>
          </cell>
          <cell r="EZ888">
            <v>8</v>
          </cell>
          <cell r="FA888">
            <v>0</v>
          </cell>
          <cell r="FB888">
            <v>0</v>
          </cell>
          <cell r="FC888">
            <v>8.6</v>
          </cell>
          <cell r="FD888">
            <v>0</v>
          </cell>
          <cell r="FE888">
            <v>0</v>
          </cell>
          <cell r="FF888">
            <v>0</v>
          </cell>
          <cell r="FH888">
            <v>0</v>
          </cell>
        </row>
        <row r="889">
          <cell r="B889">
            <v>10021</v>
          </cell>
          <cell r="C889" t="str">
            <v>12.02.2013</v>
          </cell>
          <cell r="D889" t="str">
            <v>Chavan Ritesh Sunil</v>
          </cell>
          <cell r="F889">
            <v>0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0</v>
          </cell>
          <cell r="AA889">
            <v>0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  <cell r="AG889">
            <v>0</v>
          </cell>
          <cell r="AH889">
            <v>0</v>
          </cell>
          <cell r="AI889">
            <v>0</v>
          </cell>
          <cell r="AJ889">
            <v>0</v>
          </cell>
          <cell r="AK889">
            <v>0</v>
          </cell>
          <cell r="AL889">
            <v>0</v>
          </cell>
          <cell r="AM889">
            <v>0</v>
          </cell>
          <cell r="AN889">
            <v>0</v>
          </cell>
          <cell r="AO889">
            <v>0</v>
          </cell>
          <cell r="AQ889">
            <v>0</v>
          </cell>
          <cell r="AR889">
            <v>0</v>
          </cell>
          <cell r="AS889">
            <v>0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BA889">
            <v>0</v>
          </cell>
          <cell r="BB889">
            <v>0</v>
          </cell>
          <cell r="BC889">
            <v>0</v>
          </cell>
          <cell r="BD889">
            <v>0</v>
          </cell>
          <cell r="BE889">
            <v>0</v>
          </cell>
          <cell r="BF889">
            <v>0</v>
          </cell>
          <cell r="BG889">
            <v>0</v>
          </cell>
          <cell r="BH889">
            <v>0</v>
          </cell>
          <cell r="BI889">
            <v>0</v>
          </cell>
          <cell r="BK889">
            <v>0</v>
          </cell>
          <cell r="BL889">
            <v>0</v>
          </cell>
          <cell r="BM889">
            <v>0</v>
          </cell>
          <cell r="BN889">
            <v>0</v>
          </cell>
          <cell r="BO889">
            <v>0</v>
          </cell>
          <cell r="BP889">
            <v>0</v>
          </cell>
          <cell r="BQ889">
            <v>0</v>
          </cell>
          <cell r="BR889">
            <v>0</v>
          </cell>
          <cell r="BS889">
            <v>0</v>
          </cell>
          <cell r="BU889">
            <v>0</v>
          </cell>
          <cell r="BV889">
            <v>0</v>
          </cell>
          <cell r="BW889">
            <v>0</v>
          </cell>
          <cell r="BX889">
            <v>0</v>
          </cell>
          <cell r="BY889">
            <v>0</v>
          </cell>
          <cell r="BZ889">
            <v>0</v>
          </cell>
          <cell r="CA889">
            <v>0</v>
          </cell>
          <cell r="CB889">
            <v>0</v>
          </cell>
          <cell r="CC889">
            <v>0</v>
          </cell>
          <cell r="CE889">
            <v>0</v>
          </cell>
          <cell r="CF889">
            <v>0</v>
          </cell>
          <cell r="CG889">
            <v>0</v>
          </cell>
          <cell r="CH889">
            <v>0</v>
          </cell>
          <cell r="CI889">
            <v>0</v>
          </cell>
          <cell r="CJ889">
            <v>0</v>
          </cell>
          <cell r="CK889">
            <v>0</v>
          </cell>
          <cell r="CL889">
            <v>0</v>
          </cell>
          <cell r="CM889">
            <v>0</v>
          </cell>
          <cell r="CO889">
            <v>0</v>
          </cell>
          <cell r="CP889">
            <v>0</v>
          </cell>
          <cell r="CQ889">
            <v>0</v>
          </cell>
          <cell r="CR889">
            <v>0</v>
          </cell>
          <cell r="CS889">
            <v>0</v>
          </cell>
          <cell r="CT889">
            <v>0</v>
          </cell>
          <cell r="CU889">
            <v>0</v>
          </cell>
          <cell r="CV889">
            <v>0</v>
          </cell>
          <cell r="CW889">
            <v>0</v>
          </cell>
          <cell r="CY889">
            <v>0</v>
          </cell>
          <cell r="CZ889">
            <v>0</v>
          </cell>
          <cell r="DA889">
            <v>0</v>
          </cell>
          <cell r="DB889">
            <v>0</v>
          </cell>
          <cell r="DC889">
            <v>0</v>
          </cell>
          <cell r="DD889">
            <v>0</v>
          </cell>
          <cell r="DE889">
            <v>0</v>
          </cell>
          <cell r="DF889">
            <v>0</v>
          </cell>
          <cell r="DG889">
            <v>0</v>
          </cell>
          <cell r="DI889">
            <v>0</v>
          </cell>
          <cell r="DJ889">
            <v>0</v>
          </cell>
          <cell r="DK889">
            <v>0</v>
          </cell>
          <cell r="DL889">
            <v>0</v>
          </cell>
          <cell r="DM889">
            <v>0</v>
          </cell>
          <cell r="DN889">
            <v>0</v>
          </cell>
          <cell r="DO889">
            <v>0</v>
          </cell>
          <cell r="DP889">
            <v>0</v>
          </cell>
          <cell r="DQ889">
            <v>0</v>
          </cell>
          <cell r="DR889">
            <v>0</v>
          </cell>
          <cell r="DS889">
            <v>0</v>
          </cell>
          <cell r="DT889">
            <v>0</v>
          </cell>
          <cell r="DU889">
            <v>0</v>
          </cell>
          <cell r="DW889">
            <v>0</v>
          </cell>
          <cell r="DX889">
            <v>0</v>
          </cell>
          <cell r="DY889">
            <v>0</v>
          </cell>
          <cell r="DZ889">
            <v>0</v>
          </cell>
          <cell r="EA889">
            <v>0</v>
          </cell>
          <cell r="EB889">
            <v>0</v>
          </cell>
          <cell r="EC889">
            <v>0</v>
          </cell>
          <cell r="ED889">
            <v>0</v>
          </cell>
          <cell r="EE889">
            <v>0</v>
          </cell>
          <cell r="EF889">
            <v>0</v>
          </cell>
          <cell r="EG889">
            <v>0</v>
          </cell>
          <cell r="EH889">
            <v>0</v>
          </cell>
          <cell r="EI889">
            <v>0</v>
          </cell>
          <cell r="EK889">
            <v>0</v>
          </cell>
          <cell r="EL889">
            <v>0</v>
          </cell>
          <cell r="EM889">
            <v>0</v>
          </cell>
          <cell r="EN889">
            <v>0</v>
          </cell>
          <cell r="EO889">
            <v>0</v>
          </cell>
          <cell r="EP889">
            <v>0</v>
          </cell>
          <cell r="EQ889">
            <v>0</v>
          </cell>
          <cell r="ER889">
            <v>0</v>
          </cell>
          <cell r="ES889">
            <v>0</v>
          </cell>
          <cell r="ET889">
            <v>0</v>
          </cell>
          <cell r="EU889">
            <v>0</v>
          </cell>
          <cell r="EV889">
            <v>0</v>
          </cell>
          <cell r="EW889">
            <v>0</v>
          </cell>
          <cell r="EY889">
            <v>0</v>
          </cell>
          <cell r="EZ889">
            <v>8</v>
          </cell>
          <cell r="FA889">
            <v>0</v>
          </cell>
          <cell r="FB889">
            <v>0</v>
          </cell>
          <cell r="FC889">
            <v>8.6</v>
          </cell>
          <cell r="FD889">
            <v>0</v>
          </cell>
          <cell r="FE889">
            <v>0</v>
          </cell>
          <cell r="FF889">
            <v>0</v>
          </cell>
          <cell r="FH889">
            <v>0</v>
          </cell>
        </row>
        <row r="890">
          <cell r="B890">
            <v>10022</v>
          </cell>
          <cell r="C890" t="str">
            <v>12.02.2013</v>
          </cell>
          <cell r="D890" t="str">
            <v>Chavre Asha Ravindra</v>
          </cell>
          <cell r="F890">
            <v>0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0</v>
          </cell>
          <cell r="AK890">
            <v>0</v>
          </cell>
          <cell r="AL890">
            <v>0</v>
          </cell>
          <cell r="AM890">
            <v>0</v>
          </cell>
          <cell r="AN890">
            <v>0</v>
          </cell>
          <cell r="AO890">
            <v>0</v>
          </cell>
          <cell r="AQ890">
            <v>0</v>
          </cell>
          <cell r="AR890">
            <v>0</v>
          </cell>
          <cell r="AS890">
            <v>0</v>
          </cell>
          <cell r="AT890">
            <v>0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  <cell r="BA890">
            <v>0</v>
          </cell>
          <cell r="BB890">
            <v>0</v>
          </cell>
          <cell r="BC890">
            <v>0</v>
          </cell>
          <cell r="BD890">
            <v>0</v>
          </cell>
          <cell r="BE890">
            <v>0</v>
          </cell>
          <cell r="BF890">
            <v>0</v>
          </cell>
          <cell r="BG890">
            <v>0</v>
          </cell>
          <cell r="BH890">
            <v>0</v>
          </cell>
          <cell r="BI890">
            <v>0</v>
          </cell>
          <cell r="BK890">
            <v>0</v>
          </cell>
          <cell r="BL890">
            <v>0</v>
          </cell>
          <cell r="BM890">
            <v>0</v>
          </cell>
          <cell r="BN890">
            <v>0</v>
          </cell>
          <cell r="BO890">
            <v>0</v>
          </cell>
          <cell r="BP890">
            <v>0</v>
          </cell>
          <cell r="BQ890">
            <v>0</v>
          </cell>
          <cell r="BR890">
            <v>0</v>
          </cell>
          <cell r="BS890">
            <v>0</v>
          </cell>
          <cell r="BU890">
            <v>0</v>
          </cell>
          <cell r="BV890">
            <v>0</v>
          </cell>
          <cell r="BW890">
            <v>0</v>
          </cell>
          <cell r="BX890">
            <v>0</v>
          </cell>
          <cell r="BY890">
            <v>0</v>
          </cell>
          <cell r="BZ890">
            <v>0</v>
          </cell>
          <cell r="CA890">
            <v>0</v>
          </cell>
          <cell r="CB890">
            <v>0</v>
          </cell>
          <cell r="CC890">
            <v>0</v>
          </cell>
          <cell r="CE890">
            <v>0</v>
          </cell>
          <cell r="CF890">
            <v>0</v>
          </cell>
          <cell r="CG890">
            <v>0</v>
          </cell>
          <cell r="CH890">
            <v>0</v>
          </cell>
          <cell r="CI890">
            <v>0</v>
          </cell>
          <cell r="CJ890">
            <v>0</v>
          </cell>
          <cell r="CK890">
            <v>0</v>
          </cell>
          <cell r="CL890">
            <v>0</v>
          </cell>
          <cell r="CM890">
            <v>0</v>
          </cell>
          <cell r="CO890">
            <v>0</v>
          </cell>
          <cell r="CP890">
            <v>0</v>
          </cell>
          <cell r="CQ890">
            <v>0</v>
          </cell>
          <cell r="CR890">
            <v>0</v>
          </cell>
          <cell r="CS890">
            <v>0</v>
          </cell>
          <cell r="CT890">
            <v>0</v>
          </cell>
          <cell r="CU890">
            <v>0</v>
          </cell>
          <cell r="CV890">
            <v>0</v>
          </cell>
          <cell r="CW890">
            <v>0</v>
          </cell>
          <cell r="CY890">
            <v>0</v>
          </cell>
          <cell r="CZ890">
            <v>0</v>
          </cell>
          <cell r="DA890">
            <v>0</v>
          </cell>
          <cell r="DB890">
            <v>0</v>
          </cell>
          <cell r="DC890">
            <v>0</v>
          </cell>
          <cell r="DD890">
            <v>0</v>
          </cell>
          <cell r="DE890">
            <v>0</v>
          </cell>
          <cell r="DF890">
            <v>0</v>
          </cell>
          <cell r="DG890">
            <v>0</v>
          </cell>
          <cell r="DI890">
            <v>0</v>
          </cell>
          <cell r="DJ890">
            <v>0</v>
          </cell>
          <cell r="DK890">
            <v>0</v>
          </cell>
          <cell r="DL890">
            <v>0</v>
          </cell>
          <cell r="DM890">
            <v>0</v>
          </cell>
          <cell r="DN890">
            <v>0</v>
          </cell>
          <cell r="DO890">
            <v>0</v>
          </cell>
          <cell r="DP890">
            <v>0</v>
          </cell>
          <cell r="DQ890">
            <v>0</v>
          </cell>
          <cell r="DR890">
            <v>0</v>
          </cell>
          <cell r="DS890">
            <v>0</v>
          </cell>
          <cell r="DT890">
            <v>0</v>
          </cell>
          <cell r="DU890">
            <v>0</v>
          </cell>
          <cell r="DW890">
            <v>0</v>
          </cell>
          <cell r="DX890">
            <v>0</v>
          </cell>
          <cell r="DY890">
            <v>0</v>
          </cell>
          <cell r="DZ890">
            <v>0</v>
          </cell>
          <cell r="EA890">
            <v>0</v>
          </cell>
          <cell r="EB890">
            <v>0</v>
          </cell>
          <cell r="EC890">
            <v>0</v>
          </cell>
          <cell r="ED890">
            <v>0</v>
          </cell>
          <cell r="EE890">
            <v>0</v>
          </cell>
          <cell r="EF890">
            <v>0</v>
          </cell>
          <cell r="EG890">
            <v>0</v>
          </cell>
          <cell r="EH890">
            <v>0</v>
          </cell>
          <cell r="EI890">
            <v>0</v>
          </cell>
          <cell r="EK890">
            <v>0</v>
          </cell>
          <cell r="EL890">
            <v>0</v>
          </cell>
          <cell r="EM890">
            <v>0</v>
          </cell>
          <cell r="EN890">
            <v>0</v>
          </cell>
          <cell r="EO890">
            <v>0</v>
          </cell>
          <cell r="EP890">
            <v>0</v>
          </cell>
          <cell r="EQ890">
            <v>0</v>
          </cell>
          <cell r="ER890">
            <v>0</v>
          </cell>
          <cell r="ES890">
            <v>0</v>
          </cell>
          <cell r="ET890">
            <v>0</v>
          </cell>
          <cell r="EU890">
            <v>0</v>
          </cell>
          <cell r="EV890">
            <v>0</v>
          </cell>
          <cell r="EW890">
            <v>0</v>
          </cell>
          <cell r="EY890">
            <v>0</v>
          </cell>
          <cell r="EZ890">
            <v>8</v>
          </cell>
          <cell r="FA890">
            <v>0</v>
          </cell>
          <cell r="FB890">
            <v>0</v>
          </cell>
          <cell r="FC890">
            <v>8.6</v>
          </cell>
          <cell r="FD890">
            <v>0</v>
          </cell>
          <cell r="FE890">
            <v>0</v>
          </cell>
          <cell r="FF890">
            <v>0</v>
          </cell>
          <cell r="FH890">
            <v>0</v>
          </cell>
        </row>
        <row r="891">
          <cell r="B891">
            <v>10023</v>
          </cell>
          <cell r="C891" t="str">
            <v>12.02.2013</v>
          </cell>
          <cell r="D891" t="str">
            <v>Rathod Hansa Kishore</v>
          </cell>
          <cell r="F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Q891">
            <v>0</v>
          </cell>
          <cell r="AR891">
            <v>0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BA891">
            <v>0</v>
          </cell>
          <cell r="BB891">
            <v>0</v>
          </cell>
          <cell r="BC891">
            <v>0</v>
          </cell>
          <cell r="BD891">
            <v>0</v>
          </cell>
          <cell r="BE891">
            <v>0</v>
          </cell>
          <cell r="BF891">
            <v>0</v>
          </cell>
          <cell r="BG891">
            <v>0</v>
          </cell>
          <cell r="BH891">
            <v>0</v>
          </cell>
          <cell r="BI891">
            <v>0</v>
          </cell>
          <cell r="BK891">
            <v>0</v>
          </cell>
          <cell r="BL891">
            <v>0</v>
          </cell>
          <cell r="BM891">
            <v>0</v>
          </cell>
          <cell r="BN891">
            <v>0</v>
          </cell>
          <cell r="BO891">
            <v>0</v>
          </cell>
          <cell r="BP891">
            <v>0</v>
          </cell>
          <cell r="BQ891">
            <v>0</v>
          </cell>
          <cell r="BR891">
            <v>0</v>
          </cell>
          <cell r="BS891">
            <v>0</v>
          </cell>
          <cell r="BU891">
            <v>0</v>
          </cell>
          <cell r="BV891">
            <v>0</v>
          </cell>
          <cell r="BW891">
            <v>0</v>
          </cell>
          <cell r="BX891">
            <v>0</v>
          </cell>
          <cell r="BY891">
            <v>0</v>
          </cell>
          <cell r="BZ891">
            <v>0</v>
          </cell>
          <cell r="CA891">
            <v>0</v>
          </cell>
          <cell r="CB891">
            <v>0</v>
          </cell>
          <cell r="CC891">
            <v>0</v>
          </cell>
          <cell r="CE891">
            <v>0</v>
          </cell>
          <cell r="CF891">
            <v>0</v>
          </cell>
          <cell r="CG891">
            <v>0</v>
          </cell>
          <cell r="CH891">
            <v>0</v>
          </cell>
          <cell r="CI891">
            <v>0</v>
          </cell>
          <cell r="CJ891">
            <v>0</v>
          </cell>
          <cell r="CK891">
            <v>0</v>
          </cell>
          <cell r="CL891">
            <v>0</v>
          </cell>
          <cell r="CM891">
            <v>0</v>
          </cell>
          <cell r="CO891">
            <v>0</v>
          </cell>
          <cell r="CP891">
            <v>0</v>
          </cell>
          <cell r="CQ891">
            <v>0</v>
          </cell>
          <cell r="CR891">
            <v>0</v>
          </cell>
          <cell r="CS891">
            <v>0</v>
          </cell>
          <cell r="CT891">
            <v>0</v>
          </cell>
          <cell r="CU891">
            <v>0</v>
          </cell>
          <cell r="CV891">
            <v>0</v>
          </cell>
          <cell r="CW891">
            <v>0</v>
          </cell>
          <cell r="CY891">
            <v>0</v>
          </cell>
          <cell r="CZ891">
            <v>0</v>
          </cell>
          <cell r="DA891">
            <v>0</v>
          </cell>
          <cell r="DB891">
            <v>0</v>
          </cell>
          <cell r="DC891">
            <v>0</v>
          </cell>
          <cell r="DD891">
            <v>0</v>
          </cell>
          <cell r="DE891">
            <v>0</v>
          </cell>
          <cell r="DF891">
            <v>0</v>
          </cell>
          <cell r="DG891">
            <v>0</v>
          </cell>
          <cell r="DI891">
            <v>0</v>
          </cell>
          <cell r="DJ891">
            <v>0</v>
          </cell>
          <cell r="DK891">
            <v>0</v>
          </cell>
          <cell r="DL891">
            <v>0</v>
          </cell>
          <cell r="DM891">
            <v>0</v>
          </cell>
          <cell r="DN891">
            <v>0</v>
          </cell>
          <cell r="DO891">
            <v>0</v>
          </cell>
          <cell r="DP891">
            <v>0</v>
          </cell>
          <cell r="DQ891">
            <v>0</v>
          </cell>
          <cell r="DR891">
            <v>0</v>
          </cell>
          <cell r="DS891">
            <v>0</v>
          </cell>
          <cell r="DT891">
            <v>0</v>
          </cell>
          <cell r="DU891">
            <v>0</v>
          </cell>
          <cell r="DW891">
            <v>0</v>
          </cell>
          <cell r="DX891">
            <v>0</v>
          </cell>
          <cell r="DY891">
            <v>0</v>
          </cell>
          <cell r="DZ891">
            <v>0</v>
          </cell>
          <cell r="EA891">
            <v>0</v>
          </cell>
          <cell r="EB891">
            <v>0</v>
          </cell>
          <cell r="EC891">
            <v>0</v>
          </cell>
          <cell r="ED891">
            <v>0</v>
          </cell>
          <cell r="EE891">
            <v>0</v>
          </cell>
          <cell r="EF891">
            <v>0</v>
          </cell>
          <cell r="EG891">
            <v>0</v>
          </cell>
          <cell r="EH891">
            <v>0</v>
          </cell>
          <cell r="EI891">
            <v>0</v>
          </cell>
          <cell r="EK891">
            <v>0</v>
          </cell>
          <cell r="EL891">
            <v>0</v>
          </cell>
          <cell r="EM891">
            <v>0</v>
          </cell>
          <cell r="EN891">
            <v>0</v>
          </cell>
          <cell r="EO891">
            <v>0</v>
          </cell>
          <cell r="EP891">
            <v>0</v>
          </cell>
          <cell r="EQ891">
            <v>0</v>
          </cell>
          <cell r="ER891">
            <v>0</v>
          </cell>
          <cell r="ES891">
            <v>0</v>
          </cell>
          <cell r="ET891">
            <v>0</v>
          </cell>
          <cell r="EU891">
            <v>0</v>
          </cell>
          <cell r="EV891">
            <v>0</v>
          </cell>
          <cell r="EW891">
            <v>0</v>
          </cell>
          <cell r="EY891">
            <v>0</v>
          </cell>
          <cell r="EZ891">
            <v>8</v>
          </cell>
          <cell r="FA891">
            <v>0</v>
          </cell>
          <cell r="FB891">
            <v>0</v>
          </cell>
          <cell r="FC891">
            <v>8.6</v>
          </cell>
          <cell r="FD891">
            <v>0</v>
          </cell>
          <cell r="FE891">
            <v>0</v>
          </cell>
          <cell r="FF891">
            <v>0</v>
          </cell>
          <cell r="FH891">
            <v>0</v>
          </cell>
        </row>
        <row r="892">
          <cell r="B892">
            <v>10024</v>
          </cell>
          <cell r="C892" t="str">
            <v>12.02.2013</v>
          </cell>
          <cell r="D892" t="str">
            <v>Revar Vinay Ramesh</v>
          </cell>
          <cell r="F892">
            <v>0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0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0</v>
          </cell>
          <cell r="AK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Q892">
            <v>0</v>
          </cell>
          <cell r="AR892">
            <v>0</v>
          </cell>
          <cell r="AS892">
            <v>0</v>
          </cell>
          <cell r="AT892">
            <v>0</v>
          </cell>
          <cell r="AU892">
            <v>0</v>
          </cell>
          <cell r="AV892">
            <v>0</v>
          </cell>
          <cell r="AW892">
            <v>0</v>
          </cell>
          <cell r="AX892">
            <v>0</v>
          </cell>
          <cell r="AY892">
            <v>0</v>
          </cell>
          <cell r="BA892">
            <v>0</v>
          </cell>
          <cell r="BB892">
            <v>0</v>
          </cell>
          <cell r="BC892">
            <v>0</v>
          </cell>
          <cell r="BD892">
            <v>0</v>
          </cell>
          <cell r="BE892">
            <v>0</v>
          </cell>
          <cell r="BF892">
            <v>0</v>
          </cell>
          <cell r="BG892">
            <v>0</v>
          </cell>
          <cell r="BH892">
            <v>0</v>
          </cell>
          <cell r="BI892">
            <v>0</v>
          </cell>
          <cell r="BK892">
            <v>0</v>
          </cell>
          <cell r="BL892">
            <v>0</v>
          </cell>
          <cell r="BM892">
            <v>0</v>
          </cell>
          <cell r="BN892">
            <v>0</v>
          </cell>
          <cell r="BO892">
            <v>0</v>
          </cell>
          <cell r="BP892">
            <v>0</v>
          </cell>
          <cell r="BQ892">
            <v>0</v>
          </cell>
          <cell r="BR892">
            <v>0</v>
          </cell>
          <cell r="BS892">
            <v>0</v>
          </cell>
          <cell r="BU892">
            <v>0</v>
          </cell>
          <cell r="BV892">
            <v>0</v>
          </cell>
          <cell r="BW892">
            <v>0</v>
          </cell>
          <cell r="BX892">
            <v>0</v>
          </cell>
          <cell r="BY892">
            <v>0</v>
          </cell>
          <cell r="BZ892">
            <v>0</v>
          </cell>
          <cell r="CA892">
            <v>0</v>
          </cell>
          <cell r="CB892">
            <v>0</v>
          </cell>
          <cell r="CC892">
            <v>0</v>
          </cell>
          <cell r="CE892">
            <v>0</v>
          </cell>
          <cell r="CF892">
            <v>0</v>
          </cell>
          <cell r="CG892">
            <v>0</v>
          </cell>
          <cell r="CH892">
            <v>0</v>
          </cell>
          <cell r="CI892">
            <v>0</v>
          </cell>
          <cell r="CJ892">
            <v>0</v>
          </cell>
          <cell r="CK892">
            <v>0</v>
          </cell>
          <cell r="CL892">
            <v>0</v>
          </cell>
          <cell r="CM892">
            <v>0</v>
          </cell>
          <cell r="CO892">
            <v>0</v>
          </cell>
          <cell r="CP892">
            <v>0</v>
          </cell>
          <cell r="CQ892">
            <v>0</v>
          </cell>
          <cell r="CR892">
            <v>0</v>
          </cell>
          <cell r="CS892">
            <v>0</v>
          </cell>
          <cell r="CT892">
            <v>0</v>
          </cell>
          <cell r="CU892">
            <v>0</v>
          </cell>
          <cell r="CV892">
            <v>0</v>
          </cell>
          <cell r="CW892">
            <v>0</v>
          </cell>
          <cell r="CY892">
            <v>0</v>
          </cell>
          <cell r="CZ892">
            <v>0</v>
          </cell>
          <cell r="DA892">
            <v>0</v>
          </cell>
          <cell r="DB892">
            <v>0</v>
          </cell>
          <cell r="DC892">
            <v>0</v>
          </cell>
          <cell r="DD892">
            <v>0</v>
          </cell>
          <cell r="DE892">
            <v>0</v>
          </cell>
          <cell r="DF892">
            <v>0</v>
          </cell>
          <cell r="DG892">
            <v>0</v>
          </cell>
          <cell r="DI892">
            <v>0</v>
          </cell>
          <cell r="DJ892">
            <v>0</v>
          </cell>
          <cell r="DK892">
            <v>0</v>
          </cell>
          <cell r="DL892">
            <v>0</v>
          </cell>
          <cell r="DM892">
            <v>0</v>
          </cell>
          <cell r="DN892">
            <v>0</v>
          </cell>
          <cell r="DO892">
            <v>0</v>
          </cell>
          <cell r="DP892">
            <v>0</v>
          </cell>
          <cell r="DQ892">
            <v>0</v>
          </cell>
          <cell r="DR892">
            <v>0</v>
          </cell>
          <cell r="DS892">
            <v>0</v>
          </cell>
          <cell r="DT892">
            <v>0</v>
          </cell>
          <cell r="DU892">
            <v>0</v>
          </cell>
          <cell r="DW892">
            <v>0</v>
          </cell>
          <cell r="DX892">
            <v>0</v>
          </cell>
          <cell r="DY892">
            <v>0</v>
          </cell>
          <cell r="DZ892">
            <v>0</v>
          </cell>
          <cell r="EA892">
            <v>0</v>
          </cell>
          <cell r="EB892">
            <v>0</v>
          </cell>
          <cell r="EC892">
            <v>0</v>
          </cell>
          <cell r="ED892">
            <v>0</v>
          </cell>
          <cell r="EE892">
            <v>0</v>
          </cell>
          <cell r="EF892">
            <v>0</v>
          </cell>
          <cell r="EG892">
            <v>0</v>
          </cell>
          <cell r="EH892">
            <v>0</v>
          </cell>
          <cell r="EI892">
            <v>0</v>
          </cell>
          <cell r="EK892">
            <v>0</v>
          </cell>
          <cell r="EL892">
            <v>0</v>
          </cell>
          <cell r="EM892">
            <v>0</v>
          </cell>
          <cell r="EN892">
            <v>0</v>
          </cell>
          <cell r="EO892">
            <v>0</v>
          </cell>
          <cell r="EP892">
            <v>0</v>
          </cell>
          <cell r="EQ892">
            <v>0</v>
          </cell>
          <cell r="ER892">
            <v>0</v>
          </cell>
          <cell r="ES892">
            <v>0</v>
          </cell>
          <cell r="ET892">
            <v>0</v>
          </cell>
          <cell r="EU892">
            <v>0</v>
          </cell>
          <cell r="EV892">
            <v>0</v>
          </cell>
          <cell r="EW892">
            <v>0</v>
          </cell>
          <cell r="EY892">
            <v>0</v>
          </cell>
          <cell r="EZ892">
            <v>8</v>
          </cell>
          <cell r="FA892">
            <v>0</v>
          </cell>
          <cell r="FB892">
            <v>0</v>
          </cell>
          <cell r="FC892">
            <v>8.6</v>
          </cell>
          <cell r="FD892">
            <v>0</v>
          </cell>
          <cell r="FE892">
            <v>0</v>
          </cell>
          <cell r="FF892">
            <v>0</v>
          </cell>
          <cell r="FH892">
            <v>0</v>
          </cell>
        </row>
        <row r="893">
          <cell r="B893">
            <v>10025</v>
          </cell>
          <cell r="C893" t="str">
            <v>12.02.2013</v>
          </cell>
          <cell r="D893" t="str">
            <v>Barve Suresh Prakash</v>
          </cell>
          <cell r="F893">
            <v>0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0</v>
          </cell>
          <cell r="U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0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G893">
            <v>0</v>
          </cell>
          <cell r="AH893">
            <v>0</v>
          </cell>
          <cell r="AI893">
            <v>0</v>
          </cell>
          <cell r="AJ893">
            <v>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Q893">
            <v>0</v>
          </cell>
          <cell r="AR893">
            <v>0</v>
          </cell>
          <cell r="AS893">
            <v>0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0</v>
          </cell>
          <cell r="AY893">
            <v>0</v>
          </cell>
          <cell r="BA893">
            <v>0</v>
          </cell>
          <cell r="BB893">
            <v>0</v>
          </cell>
          <cell r="BC893">
            <v>0</v>
          </cell>
          <cell r="BD893">
            <v>0</v>
          </cell>
          <cell r="BE893">
            <v>0</v>
          </cell>
          <cell r="BF893">
            <v>0</v>
          </cell>
          <cell r="BG893">
            <v>0</v>
          </cell>
          <cell r="BH893">
            <v>0</v>
          </cell>
          <cell r="BI893">
            <v>0</v>
          </cell>
          <cell r="BK893">
            <v>0</v>
          </cell>
          <cell r="BL893">
            <v>0</v>
          </cell>
          <cell r="BM893">
            <v>0</v>
          </cell>
          <cell r="BN893">
            <v>0</v>
          </cell>
          <cell r="BO893">
            <v>0</v>
          </cell>
          <cell r="BP893">
            <v>0</v>
          </cell>
          <cell r="BQ893">
            <v>0</v>
          </cell>
          <cell r="BR893">
            <v>0</v>
          </cell>
          <cell r="BS893">
            <v>0</v>
          </cell>
          <cell r="BU893">
            <v>0</v>
          </cell>
          <cell r="BV893">
            <v>0</v>
          </cell>
          <cell r="BW893">
            <v>0</v>
          </cell>
          <cell r="BX893">
            <v>0</v>
          </cell>
          <cell r="BY893">
            <v>0</v>
          </cell>
          <cell r="BZ893">
            <v>0</v>
          </cell>
          <cell r="CA893">
            <v>0</v>
          </cell>
          <cell r="CB893">
            <v>0</v>
          </cell>
          <cell r="CC893">
            <v>0</v>
          </cell>
          <cell r="CE893">
            <v>0</v>
          </cell>
          <cell r="CF893">
            <v>0</v>
          </cell>
          <cell r="CG893">
            <v>0</v>
          </cell>
          <cell r="CH893">
            <v>0</v>
          </cell>
          <cell r="CI893">
            <v>0</v>
          </cell>
          <cell r="CJ893">
            <v>0</v>
          </cell>
          <cell r="CK893">
            <v>0</v>
          </cell>
          <cell r="CL893">
            <v>0</v>
          </cell>
          <cell r="CM893">
            <v>0</v>
          </cell>
          <cell r="CO893">
            <v>0</v>
          </cell>
          <cell r="CP893">
            <v>0</v>
          </cell>
          <cell r="CQ893">
            <v>0</v>
          </cell>
          <cell r="CR893">
            <v>0</v>
          </cell>
          <cell r="CS893">
            <v>0</v>
          </cell>
          <cell r="CT893">
            <v>0</v>
          </cell>
          <cell r="CU893">
            <v>0</v>
          </cell>
          <cell r="CV893">
            <v>0</v>
          </cell>
          <cell r="CW893">
            <v>0</v>
          </cell>
          <cell r="CY893">
            <v>0</v>
          </cell>
          <cell r="CZ893">
            <v>0</v>
          </cell>
          <cell r="DA893">
            <v>0</v>
          </cell>
          <cell r="DB893">
            <v>0</v>
          </cell>
          <cell r="DC893">
            <v>0</v>
          </cell>
          <cell r="DD893">
            <v>0</v>
          </cell>
          <cell r="DE893">
            <v>0</v>
          </cell>
          <cell r="DF893">
            <v>0</v>
          </cell>
          <cell r="DG893">
            <v>0</v>
          </cell>
          <cell r="DI893">
            <v>0</v>
          </cell>
          <cell r="DJ893">
            <v>0</v>
          </cell>
          <cell r="DK893">
            <v>0</v>
          </cell>
          <cell r="DL893">
            <v>0</v>
          </cell>
          <cell r="DM893">
            <v>0</v>
          </cell>
          <cell r="DN893">
            <v>0</v>
          </cell>
          <cell r="DO893">
            <v>0</v>
          </cell>
          <cell r="DP893">
            <v>0</v>
          </cell>
          <cell r="DQ893">
            <v>0</v>
          </cell>
          <cell r="DR893">
            <v>0</v>
          </cell>
          <cell r="DS893">
            <v>0</v>
          </cell>
          <cell r="DT893">
            <v>0</v>
          </cell>
          <cell r="DU893">
            <v>0</v>
          </cell>
          <cell r="DW893">
            <v>0</v>
          </cell>
          <cell r="DX893">
            <v>0</v>
          </cell>
          <cell r="DY893">
            <v>0</v>
          </cell>
          <cell r="DZ893">
            <v>0</v>
          </cell>
          <cell r="EA893">
            <v>0</v>
          </cell>
          <cell r="EB893">
            <v>0</v>
          </cell>
          <cell r="EC893">
            <v>0</v>
          </cell>
          <cell r="ED893">
            <v>0</v>
          </cell>
          <cell r="EE893">
            <v>0</v>
          </cell>
          <cell r="EF893">
            <v>0</v>
          </cell>
          <cell r="EG893">
            <v>0</v>
          </cell>
          <cell r="EH893">
            <v>0</v>
          </cell>
          <cell r="EI893">
            <v>0</v>
          </cell>
          <cell r="EK893">
            <v>0</v>
          </cell>
          <cell r="EL893">
            <v>0</v>
          </cell>
          <cell r="EM893">
            <v>0</v>
          </cell>
          <cell r="EN893">
            <v>0</v>
          </cell>
          <cell r="EO893">
            <v>0</v>
          </cell>
          <cell r="EP893">
            <v>0</v>
          </cell>
          <cell r="EQ893">
            <v>0</v>
          </cell>
          <cell r="ER893">
            <v>0</v>
          </cell>
          <cell r="ES893">
            <v>0</v>
          </cell>
          <cell r="ET893">
            <v>0</v>
          </cell>
          <cell r="EU893">
            <v>0</v>
          </cell>
          <cell r="EV893">
            <v>0</v>
          </cell>
          <cell r="EW893">
            <v>0</v>
          </cell>
          <cell r="EY893">
            <v>0</v>
          </cell>
          <cell r="EZ893">
            <v>8</v>
          </cell>
          <cell r="FA893">
            <v>0</v>
          </cell>
          <cell r="FB893">
            <v>0</v>
          </cell>
          <cell r="FC893">
            <v>8.6</v>
          </cell>
          <cell r="FD893">
            <v>0</v>
          </cell>
          <cell r="FE893">
            <v>0</v>
          </cell>
          <cell r="FF893">
            <v>0</v>
          </cell>
          <cell r="FH893">
            <v>0</v>
          </cell>
        </row>
        <row r="894">
          <cell r="B894">
            <v>10026</v>
          </cell>
          <cell r="C894" t="str">
            <v>12.02.2013</v>
          </cell>
          <cell r="D894" t="str">
            <v>Kajale Kamal Hari</v>
          </cell>
          <cell r="F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Q894">
            <v>0</v>
          </cell>
          <cell r="AR894">
            <v>0</v>
          </cell>
          <cell r="AS894">
            <v>0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BA894">
            <v>0</v>
          </cell>
          <cell r="BB894">
            <v>0</v>
          </cell>
          <cell r="BC894">
            <v>0</v>
          </cell>
          <cell r="BD894">
            <v>0</v>
          </cell>
          <cell r="BE894">
            <v>0</v>
          </cell>
          <cell r="BF894">
            <v>0</v>
          </cell>
          <cell r="BG894">
            <v>0</v>
          </cell>
          <cell r="BH894">
            <v>0</v>
          </cell>
          <cell r="BI894">
            <v>0</v>
          </cell>
          <cell r="BK894">
            <v>0</v>
          </cell>
          <cell r="BL894">
            <v>0</v>
          </cell>
          <cell r="BM894">
            <v>0</v>
          </cell>
          <cell r="BN894">
            <v>0</v>
          </cell>
          <cell r="BO894">
            <v>0</v>
          </cell>
          <cell r="BP894">
            <v>0</v>
          </cell>
          <cell r="BQ894">
            <v>0</v>
          </cell>
          <cell r="BR894">
            <v>0</v>
          </cell>
          <cell r="BS894">
            <v>0</v>
          </cell>
          <cell r="BU894">
            <v>0</v>
          </cell>
          <cell r="BV894">
            <v>0</v>
          </cell>
          <cell r="BW894">
            <v>0</v>
          </cell>
          <cell r="BX894">
            <v>0</v>
          </cell>
          <cell r="BY894">
            <v>0</v>
          </cell>
          <cell r="BZ894">
            <v>0</v>
          </cell>
          <cell r="CA894">
            <v>0</v>
          </cell>
          <cell r="CB894">
            <v>0</v>
          </cell>
          <cell r="CC894">
            <v>0</v>
          </cell>
          <cell r="CE894">
            <v>0</v>
          </cell>
          <cell r="CF894">
            <v>0</v>
          </cell>
          <cell r="CG894">
            <v>0</v>
          </cell>
          <cell r="CH894">
            <v>0</v>
          </cell>
          <cell r="CI894">
            <v>0</v>
          </cell>
          <cell r="CJ894">
            <v>0</v>
          </cell>
          <cell r="CK894">
            <v>0</v>
          </cell>
          <cell r="CL894">
            <v>0</v>
          </cell>
          <cell r="CM894">
            <v>0</v>
          </cell>
          <cell r="CO894">
            <v>0</v>
          </cell>
          <cell r="CP894">
            <v>0</v>
          </cell>
          <cell r="CQ894">
            <v>0</v>
          </cell>
          <cell r="CR894">
            <v>0</v>
          </cell>
          <cell r="CS894">
            <v>0</v>
          </cell>
          <cell r="CT894">
            <v>0</v>
          </cell>
          <cell r="CU894">
            <v>0</v>
          </cell>
          <cell r="CV894">
            <v>0</v>
          </cell>
          <cell r="CW894">
            <v>0</v>
          </cell>
          <cell r="CY894">
            <v>0</v>
          </cell>
          <cell r="CZ894">
            <v>0</v>
          </cell>
          <cell r="DA894">
            <v>0</v>
          </cell>
          <cell r="DB894">
            <v>0</v>
          </cell>
          <cell r="DC894">
            <v>0</v>
          </cell>
          <cell r="DD894">
            <v>0</v>
          </cell>
          <cell r="DE894">
            <v>0</v>
          </cell>
          <cell r="DF894">
            <v>0</v>
          </cell>
          <cell r="DG894">
            <v>0</v>
          </cell>
          <cell r="DI894">
            <v>0</v>
          </cell>
          <cell r="DJ894">
            <v>0</v>
          </cell>
          <cell r="DK894">
            <v>0</v>
          </cell>
          <cell r="DL894">
            <v>0</v>
          </cell>
          <cell r="DM894">
            <v>0</v>
          </cell>
          <cell r="DN894">
            <v>0</v>
          </cell>
          <cell r="DO894">
            <v>0</v>
          </cell>
          <cell r="DP894">
            <v>0</v>
          </cell>
          <cell r="DQ894">
            <v>0</v>
          </cell>
          <cell r="DR894">
            <v>0</v>
          </cell>
          <cell r="DS894">
            <v>0</v>
          </cell>
          <cell r="DT894">
            <v>0</v>
          </cell>
          <cell r="DU894">
            <v>0</v>
          </cell>
          <cell r="DW894">
            <v>0</v>
          </cell>
          <cell r="DX894">
            <v>0</v>
          </cell>
          <cell r="DY894">
            <v>0</v>
          </cell>
          <cell r="DZ894">
            <v>0</v>
          </cell>
          <cell r="EA894">
            <v>0</v>
          </cell>
          <cell r="EB894">
            <v>0</v>
          </cell>
          <cell r="EC894">
            <v>0</v>
          </cell>
          <cell r="ED894">
            <v>0</v>
          </cell>
          <cell r="EE894">
            <v>0</v>
          </cell>
          <cell r="EF894">
            <v>0</v>
          </cell>
          <cell r="EG894">
            <v>0</v>
          </cell>
          <cell r="EH894">
            <v>0</v>
          </cell>
          <cell r="EI894">
            <v>0</v>
          </cell>
          <cell r="EK894">
            <v>0</v>
          </cell>
          <cell r="EL894">
            <v>0</v>
          </cell>
          <cell r="EM894">
            <v>0</v>
          </cell>
          <cell r="EN894">
            <v>0</v>
          </cell>
          <cell r="EO894">
            <v>0</v>
          </cell>
          <cell r="EP894">
            <v>0</v>
          </cell>
          <cell r="EQ894">
            <v>0</v>
          </cell>
          <cell r="ER894">
            <v>0</v>
          </cell>
          <cell r="ES894">
            <v>0</v>
          </cell>
          <cell r="ET894">
            <v>0</v>
          </cell>
          <cell r="EU894">
            <v>0</v>
          </cell>
          <cell r="EV894">
            <v>0</v>
          </cell>
          <cell r="EW894">
            <v>0</v>
          </cell>
          <cell r="EY894">
            <v>0</v>
          </cell>
          <cell r="EZ894">
            <v>8</v>
          </cell>
          <cell r="FA894">
            <v>0</v>
          </cell>
          <cell r="FB894">
            <v>0</v>
          </cell>
          <cell r="FC894">
            <v>8.6</v>
          </cell>
          <cell r="FD894">
            <v>0</v>
          </cell>
          <cell r="FE894">
            <v>0</v>
          </cell>
          <cell r="FF894">
            <v>0</v>
          </cell>
          <cell r="FH894">
            <v>0</v>
          </cell>
        </row>
        <row r="895">
          <cell r="B895">
            <v>10027</v>
          </cell>
          <cell r="C895" t="str">
            <v>12.02.2013</v>
          </cell>
          <cell r="D895" t="str">
            <v>Jagtap Milind Ashok</v>
          </cell>
          <cell r="F895">
            <v>0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>
            <v>0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G895">
            <v>0</v>
          </cell>
          <cell r="AH895">
            <v>0</v>
          </cell>
          <cell r="AI895">
            <v>0</v>
          </cell>
          <cell r="AJ895">
            <v>0</v>
          </cell>
          <cell r="AK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Q895">
            <v>0</v>
          </cell>
          <cell r="AR895">
            <v>0</v>
          </cell>
          <cell r="AS895">
            <v>0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0</v>
          </cell>
          <cell r="AY895">
            <v>0</v>
          </cell>
          <cell r="BA895">
            <v>0</v>
          </cell>
          <cell r="BB895">
            <v>0</v>
          </cell>
          <cell r="BC895">
            <v>0</v>
          </cell>
          <cell r="BD895">
            <v>0</v>
          </cell>
          <cell r="BE895">
            <v>0</v>
          </cell>
          <cell r="BF895">
            <v>0</v>
          </cell>
          <cell r="BG895">
            <v>0</v>
          </cell>
          <cell r="BH895">
            <v>0</v>
          </cell>
          <cell r="BI895">
            <v>0</v>
          </cell>
          <cell r="BK895">
            <v>0</v>
          </cell>
          <cell r="BL895">
            <v>0</v>
          </cell>
          <cell r="BM895">
            <v>0</v>
          </cell>
          <cell r="BN895">
            <v>0</v>
          </cell>
          <cell r="BO895">
            <v>0</v>
          </cell>
          <cell r="BP895">
            <v>0</v>
          </cell>
          <cell r="BQ895">
            <v>0</v>
          </cell>
          <cell r="BR895">
            <v>0</v>
          </cell>
          <cell r="BS895">
            <v>0</v>
          </cell>
          <cell r="BU895">
            <v>0</v>
          </cell>
          <cell r="BV895">
            <v>0</v>
          </cell>
          <cell r="BW895">
            <v>0</v>
          </cell>
          <cell r="BX895">
            <v>0</v>
          </cell>
          <cell r="BY895">
            <v>0</v>
          </cell>
          <cell r="BZ895">
            <v>0</v>
          </cell>
          <cell r="CA895">
            <v>0</v>
          </cell>
          <cell r="CB895">
            <v>0</v>
          </cell>
          <cell r="CC895">
            <v>0</v>
          </cell>
          <cell r="CE895">
            <v>0</v>
          </cell>
          <cell r="CF895">
            <v>0</v>
          </cell>
          <cell r="CG895">
            <v>0</v>
          </cell>
          <cell r="CH895">
            <v>0</v>
          </cell>
          <cell r="CI895">
            <v>0</v>
          </cell>
          <cell r="CJ895">
            <v>0</v>
          </cell>
          <cell r="CK895">
            <v>0</v>
          </cell>
          <cell r="CL895">
            <v>0</v>
          </cell>
          <cell r="CM895">
            <v>0</v>
          </cell>
          <cell r="CO895">
            <v>0</v>
          </cell>
          <cell r="CP895">
            <v>0</v>
          </cell>
          <cell r="CQ895">
            <v>0</v>
          </cell>
          <cell r="CR895">
            <v>0</v>
          </cell>
          <cell r="CS895">
            <v>0</v>
          </cell>
          <cell r="CT895">
            <v>0</v>
          </cell>
          <cell r="CU895">
            <v>0</v>
          </cell>
          <cell r="CV895">
            <v>0</v>
          </cell>
          <cell r="CW895">
            <v>0</v>
          </cell>
          <cell r="CY895">
            <v>0</v>
          </cell>
          <cell r="CZ895">
            <v>0</v>
          </cell>
          <cell r="DA895">
            <v>0</v>
          </cell>
          <cell r="DB895">
            <v>0</v>
          </cell>
          <cell r="DC895">
            <v>0</v>
          </cell>
          <cell r="DD895">
            <v>0</v>
          </cell>
          <cell r="DE895">
            <v>0</v>
          </cell>
          <cell r="DF895">
            <v>0</v>
          </cell>
          <cell r="DG895">
            <v>0</v>
          </cell>
          <cell r="DI895">
            <v>0</v>
          </cell>
          <cell r="DJ895">
            <v>0</v>
          </cell>
          <cell r="DK895">
            <v>0</v>
          </cell>
          <cell r="DL895">
            <v>0</v>
          </cell>
          <cell r="DM895">
            <v>0</v>
          </cell>
          <cell r="DN895">
            <v>0</v>
          </cell>
          <cell r="DO895">
            <v>0</v>
          </cell>
          <cell r="DP895">
            <v>0</v>
          </cell>
          <cell r="DQ895">
            <v>0</v>
          </cell>
          <cell r="DR895">
            <v>0</v>
          </cell>
          <cell r="DS895">
            <v>0</v>
          </cell>
          <cell r="DT895">
            <v>0</v>
          </cell>
          <cell r="DU895">
            <v>0</v>
          </cell>
          <cell r="DW895">
            <v>0</v>
          </cell>
          <cell r="DX895">
            <v>0</v>
          </cell>
          <cell r="DY895">
            <v>0</v>
          </cell>
          <cell r="DZ895">
            <v>0</v>
          </cell>
          <cell r="EA895">
            <v>0</v>
          </cell>
          <cell r="EB895">
            <v>0</v>
          </cell>
          <cell r="EC895">
            <v>0</v>
          </cell>
          <cell r="ED895">
            <v>0</v>
          </cell>
          <cell r="EE895">
            <v>0</v>
          </cell>
          <cell r="EF895">
            <v>0</v>
          </cell>
          <cell r="EG895">
            <v>0</v>
          </cell>
          <cell r="EH895">
            <v>0</v>
          </cell>
          <cell r="EI895">
            <v>0</v>
          </cell>
          <cell r="EK895">
            <v>0</v>
          </cell>
          <cell r="EL895">
            <v>0</v>
          </cell>
          <cell r="EM895">
            <v>0</v>
          </cell>
          <cell r="EN895">
            <v>0</v>
          </cell>
          <cell r="EO895">
            <v>0</v>
          </cell>
          <cell r="EP895">
            <v>0</v>
          </cell>
          <cell r="EQ895">
            <v>0</v>
          </cell>
          <cell r="ER895">
            <v>0</v>
          </cell>
          <cell r="ES895">
            <v>0</v>
          </cell>
          <cell r="ET895">
            <v>0</v>
          </cell>
          <cell r="EU895">
            <v>0</v>
          </cell>
          <cell r="EV895">
            <v>0</v>
          </cell>
          <cell r="EW895">
            <v>0</v>
          </cell>
          <cell r="EY895">
            <v>0</v>
          </cell>
          <cell r="EZ895">
            <v>8</v>
          </cell>
          <cell r="FA895">
            <v>0</v>
          </cell>
          <cell r="FB895">
            <v>0</v>
          </cell>
          <cell r="FC895">
            <v>8.6</v>
          </cell>
          <cell r="FD895">
            <v>0</v>
          </cell>
          <cell r="FE895">
            <v>0</v>
          </cell>
          <cell r="FF895">
            <v>0</v>
          </cell>
          <cell r="FH895">
            <v>0</v>
          </cell>
        </row>
        <row r="896">
          <cell r="B896">
            <v>10028</v>
          </cell>
          <cell r="C896" t="str">
            <v>12.02.2013</v>
          </cell>
          <cell r="D896" t="str">
            <v>Kale Kalpana Eaknath</v>
          </cell>
          <cell r="F896">
            <v>0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W896">
            <v>0</v>
          </cell>
          <cell r="X896">
            <v>0</v>
          </cell>
          <cell r="Y896">
            <v>0</v>
          </cell>
          <cell r="Z896">
            <v>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G896">
            <v>0</v>
          </cell>
          <cell r="AH896">
            <v>0</v>
          </cell>
          <cell r="AI896">
            <v>0</v>
          </cell>
          <cell r="AJ896">
            <v>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Q896">
            <v>0</v>
          </cell>
          <cell r="AR896">
            <v>0</v>
          </cell>
          <cell r="AS896">
            <v>0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  <cell r="AY896">
            <v>0</v>
          </cell>
          <cell r="BA896">
            <v>0</v>
          </cell>
          <cell r="BB896">
            <v>0</v>
          </cell>
          <cell r="BC896">
            <v>0</v>
          </cell>
          <cell r="BD896">
            <v>0</v>
          </cell>
          <cell r="BE896">
            <v>0</v>
          </cell>
          <cell r="BF896">
            <v>0</v>
          </cell>
          <cell r="BG896">
            <v>0</v>
          </cell>
          <cell r="BH896">
            <v>0</v>
          </cell>
          <cell r="BI896">
            <v>0</v>
          </cell>
          <cell r="BK896">
            <v>0</v>
          </cell>
          <cell r="BL896">
            <v>0</v>
          </cell>
          <cell r="BM896">
            <v>0</v>
          </cell>
          <cell r="BN896">
            <v>0</v>
          </cell>
          <cell r="BO896">
            <v>0</v>
          </cell>
          <cell r="BP896">
            <v>0</v>
          </cell>
          <cell r="BQ896">
            <v>0</v>
          </cell>
          <cell r="BR896">
            <v>0</v>
          </cell>
          <cell r="BS896">
            <v>0</v>
          </cell>
          <cell r="BU896">
            <v>0</v>
          </cell>
          <cell r="BV896">
            <v>0</v>
          </cell>
          <cell r="BW896">
            <v>0</v>
          </cell>
          <cell r="BX896">
            <v>0</v>
          </cell>
          <cell r="BY896">
            <v>0</v>
          </cell>
          <cell r="BZ896">
            <v>0</v>
          </cell>
          <cell r="CA896">
            <v>0</v>
          </cell>
          <cell r="CB896">
            <v>0</v>
          </cell>
          <cell r="CC896">
            <v>0</v>
          </cell>
          <cell r="CE896">
            <v>0</v>
          </cell>
          <cell r="CF896">
            <v>0</v>
          </cell>
          <cell r="CG896">
            <v>0</v>
          </cell>
          <cell r="CH896">
            <v>0</v>
          </cell>
          <cell r="CI896">
            <v>0</v>
          </cell>
          <cell r="CJ896">
            <v>0</v>
          </cell>
          <cell r="CK896">
            <v>0</v>
          </cell>
          <cell r="CL896">
            <v>0</v>
          </cell>
          <cell r="CM896">
            <v>0</v>
          </cell>
          <cell r="CO896">
            <v>0</v>
          </cell>
          <cell r="CP896">
            <v>0</v>
          </cell>
          <cell r="CQ896">
            <v>0</v>
          </cell>
          <cell r="CR896">
            <v>0</v>
          </cell>
          <cell r="CS896">
            <v>0</v>
          </cell>
          <cell r="CT896">
            <v>0</v>
          </cell>
          <cell r="CU896">
            <v>0</v>
          </cell>
          <cell r="CV896">
            <v>0</v>
          </cell>
          <cell r="CW896">
            <v>0</v>
          </cell>
          <cell r="CY896">
            <v>0</v>
          </cell>
          <cell r="CZ896">
            <v>0</v>
          </cell>
          <cell r="DA896">
            <v>0</v>
          </cell>
          <cell r="DB896">
            <v>0</v>
          </cell>
          <cell r="DC896">
            <v>0</v>
          </cell>
          <cell r="DD896">
            <v>0</v>
          </cell>
          <cell r="DE896">
            <v>0</v>
          </cell>
          <cell r="DF896">
            <v>0</v>
          </cell>
          <cell r="DG896">
            <v>0</v>
          </cell>
          <cell r="DI896">
            <v>0</v>
          </cell>
          <cell r="DJ896">
            <v>0</v>
          </cell>
          <cell r="DK896">
            <v>0</v>
          </cell>
          <cell r="DL896">
            <v>0</v>
          </cell>
          <cell r="DM896">
            <v>0</v>
          </cell>
          <cell r="DN896">
            <v>0</v>
          </cell>
          <cell r="DO896">
            <v>0</v>
          </cell>
          <cell r="DP896">
            <v>0</v>
          </cell>
          <cell r="DQ896">
            <v>0</v>
          </cell>
          <cell r="DR896">
            <v>0</v>
          </cell>
          <cell r="DS896">
            <v>0</v>
          </cell>
          <cell r="DT896">
            <v>0</v>
          </cell>
          <cell r="DU896">
            <v>0</v>
          </cell>
          <cell r="DW896">
            <v>0</v>
          </cell>
          <cell r="DX896">
            <v>0</v>
          </cell>
          <cell r="DY896">
            <v>0</v>
          </cell>
          <cell r="DZ896">
            <v>0</v>
          </cell>
          <cell r="EA896">
            <v>0</v>
          </cell>
          <cell r="EB896">
            <v>0</v>
          </cell>
          <cell r="EC896">
            <v>0</v>
          </cell>
          <cell r="ED896">
            <v>0</v>
          </cell>
          <cell r="EE896">
            <v>0</v>
          </cell>
          <cell r="EF896">
            <v>0</v>
          </cell>
          <cell r="EG896">
            <v>0</v>
          </cell>
          <cell r="EH896">
            <v>0</v>
          </cell>
          <cell r="EI896">
            <v>0</v>
          </cell>
          <cell r="EK896">
            <v>0</v>
          </cell>
          <cell r="EL896">
            <v>0</v>
          </cell>
          <cell r="EM896">
            <v>0</v>
          </cell>
          <cell r="EN896">
            <v>0</v>
          </cell>
          <cell r="EO896">
            <v>0</v>
          </cell>
          <cell r="EP896">
            <v>0</v>
          </cell>
          <cell r="EQ896">
            <v>0</v>
          </cell>
          <cell r="ER896">
            <v>0</v>
          </cell>
          <cell r="ES896">
            <v>0</v>
          </cell>
          <cell r="ET896">
            <v>0</v>
          </cell>
          <cell r="EU896">
            <v>0</v>
          </cell>
          <cell r="EV896">
            <v>0</v>
          </cell>
          <cell r="EW896">
            <v>0</v>
          </cell>
          <cell r="EY896">
            <v>0</v>
          </cell>
          <cell r="EZ896">
            <v>8</v>
          </cell>
          <cell r="FA896">
            <v>0</v>
          </cell>
          <cell r="FB896">
            <v>0</v>
          </cell>
          <cell r="FC896">
            <v>8.6</v>
          </cell>
          <cell r="FD896">
            <v>0</v>
          </cell>
          <cell r="FE896">
            <v>0</v>
          </cell>
          <cell r="FF896">
            <v>0</v>
          </cell>
          <cell r="FH896">
            <v>0</v>
          </cell>
        </row>
        <row r="897">
          <cell r="B897">
            <v>10029</v>
          </cell>
          <cell r="C897" t="str">
            <v>12.02.2013</v>
          </cell>
          <cell r="D897" t="str">
            <v>Godhade Sandeep Nana</v>
          </cell>
          <cell r="F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Q897">
            <v>0</v>
          </cell>
          <cell r="AR897">
            <v>0</v>
          </cell>
          <cell r="AS897">
            <v>0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BA897">
            <v>0</v>
          </cell>
          <cell r="BB897">
            <v>0</v>
          </cell>
          <cell r="BC897">
            <v>0</v>
          </cell>
          <cell r="BD897">
            <v>0</v>
          </cell>
          <cell r="BE897">
            <v>0</v>
          </cell>
          <cell r="BF897">
            <v>0</v>
          </cell>
          <cell r="BG897">
            <v>0</v>
          </cell>
          <cell r="BH897">
            <v>0</v>
          </cell>
          <cell r="BI897">
            <v>0</v>
          </cell>
          <cell r="BK897">
            <v>0</v>
          </cell>
          <cell r="BL897">
            <v>0</v>
          </cell>
          <cell r="BM897">
            <v>0</v>
          </cell>
          <cell r="BN897">
            <v>0</v>
          </cell>
          <cell r="BO897">
            <v>0</v>
          </cell>
          <cell r="BP897">
            <v>0</v>
          </cell>
          <cell r="BQ897">
            <v>0</v>
          </cell>
          <cell r="BR897">
            <v>0</v>
          </cell>
          <cell r="BS897">
            <v>0</v>
          </cell>
          <cell r="BU897">
            <v>0</v>
          </cell>
          <cell r="BV897">
            <v>0</v>
          </cell>
          <cell r="BW897">
            <v>0</v>
          </cell>
          <cell r="BX897">
            <v>0</v>
          </cell>
          <cell r="BY897">
            <v>0</v>
          </cell>
          <cell r="BZ897">
            <v>0</v>
          </cell>
          <cell r="CA897">
            <v>0</v>
          </cell>
          <cell r="CB897">
            <v>0</v>
          </cell>
          <cell r="CC897">
            <v>0</v>
          </cell>
          <cell r="CE897">
            <v>0</v>
          </cell>
          <cell r="CF897">
            <v>0</v>
          </cell>
          <cell r="CG897">
            <v>0</v>
          </cell>
          <cell r="CH897">
            <v>0</v>
          </cell>
          <cell r="CI897">
            <v>0</v>
          </cell>
          <cell r="CJ897">
            <v>0</v>
          </cell>
          <cell r="CK897">
            <v>0</v>
          </cell>
          <cell r="CL897">
            <v>0</v>
          </cell>
          <cell r="CM897">
            <v>0</v>
          </cell>
          <cell r="CO897">
            <v>0</v>
          </cell>
          <cell r="CP897">
            <v>0</v>
          </cell>
          <cell r="CQ897">
            <v>0</v>
          </cell>
          <cell r="CR897">
            <v>0</v>
          </cell>
          <cell r="CS897">
            <v>0</v>
          </cell>
          <cell r="CT897">
            <v>0</v>
          </cell>
          <cell r="CU897">
            <v>0</v>
          </cell>
          <cell r="CV897">
            <v>0</v>
          </cell>
          <cell r="CW897">
            <v>0</v>
          </cell>
          <cell r="CY897">
            <v>0</v>
          </cell>
          <cell r="CZ897">
            <v>0</v>
          </cell>
          <cell r="DA897">
            <v>0</v>
          </cell>
          <cell r="DB897">
            <v>0</v>
          </cell>
          <cell r="DC897">
            <v>0</v>
          </cell>
          <cell r="DD897">
            <v>0</v>
          </cell>
          <cell r="DE897">
            <v>0</v>
          </cell>
          <cell r="DF897">
            <v>0</v>
          </cell>
          <cell r="DG897">
            <v>0</v>
          </cell>
          <cell r="DI897">
            <v>0</v>
          </cell>
          <cell r="DJ897">
            <v>0</v>
          </cell>
          <cell r="DK897">
            <v>0</v>
          </cell>
          <cell r="DL897">
            <v>0</v>
          </cell>
          <cell r="DM897">
            <v>0</v>
          </cell>
          <cell r="DN897">
            <v>0</v>
          </cell>
          <cell r="DO897">
            <v>0</v>
          </cell>
          <cell r="DP897">
            <v>0</v>
          </cell>
          <cell r="DQ897">
            <v>0</v>
          </cell>
          <cell r="DR897">
            <v>0</v>
          </cell>
          <cell r="DS897">
            <v>0</v>
          </cell>
          <cell r="DT897">
            <v>0</v>
          </cell>
          <cell r="DU897">
            <v>0</v>
          </cell>
          <cell r="DW897">
            <v>0</v>
          </cell>
          <cell r="DX897">
            <v>0</v>
          </cell>
          <cell r="DY897">
            <v>0</v>
          </cell>
          <cell r="DZ897">
            <v>0</v>
          </cell>
          <cell r="EA897">
            <v>0</v>
          </cell>
          <cell r="EB897">
            <v>0</v>
          </cell>
          <cell r="EC897">
            <v>0</v>
          </cell>
          <cell r="ED897">
            <v>0</v>
          </cell>
          <cell r="EE897">
            <v>0</v>
          </cell>
          <cell r="EF897">
            <v>0</v>
          </cell>
          <cell r="EG897">
            <v>0</v>
          </cell>
          <cell r="EH897">
            <v>0</v>
          </cell>
          <cell r="EI897">
            <v>0</v>
          </cell>
          <cell r="EK897">
            <v>0</v>
          </cell>
          <cell r="EL897">
            <v>0</v>
          </cell>
          <cell r="EM897">
            <v>0</v>
          </cell>
          <cell r="EN897">
            <v>0</v>
          </cell>
          <cell r="EO897">
            <v>0</v>
          </cell>
          <cell r="EP897">
            <v>0</v>
          </cell>
          <cell r="EQ897">
            <v>0</v>
          </cell>
          <cell r="ER897">
            <v>0</v>
          </cell>
          <cell r="ES897">
            <v>0</v>
          </cell>
          <cell r="ET897">
            <v>0</v>
          </cell>
          <cell r="EU897">
            <v>0</v>
          </cell>
          <cell r="EV897">
            <v>0</v>
          </cell>
          <cell r="EW897">
            <v>0</v>
          </cell>
          <cell r="EY897">
            <v>0</v>
          </cell>
          <cell r="EZ897">
            <v>8</v>
          </cell>
          <cell r="FA897">
            <v>0</v>
          </cell>
          <cell r="FB897">
            <v>0</v>
          </cell>
          <cell r="FC897">
            <v>8.6</v>
          </cell>
          <cell r="FD897">
            <v>0</v>
          </cell>
          <cell r="FE897">
            <v>0</v>
          </cell>
          <cell r="FF897">
            <v>0</v>
          </cell>
          <cell r="FH897">
            <v>0</v>
          </cell>
        </row>
        <row r="898">
          <cell r="B898">
            <v>10030</v>
          </cell>
          <cell r="C898" t="str">
            <v>12.02.2013</v>
          </cell>
          <cell r="D898" t="str">
            <v>Maru Harsha Ketan</v>
          </cell>
          <cell r="F898">
            <v>0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0</v>
          </cell>
          <cell r="AA898">
            <v>0</v>
          </cell>
          <cell r="AB898">
            <v>0</v>
          </cell>
          <cell r="AC898">
            <v>0</v>
          </cell>
          <cell r="AD898">
            <v>0</v>
          </cell>
          <cell r="AE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Q898">
            <v>0</v>
          </cell>
          <cell r="AR898">
            <v>0</v>
          </cell>
          <cell r="AS898">
            <v>0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0</v>
          </cell>
          <cell r="AY898">
            <v>0</v>
          </cell>
          <cell r="BA898">
            <v>0</v>
          </cell>
          <cell r="BB898">
            <v>0</v>
          </cell>
          <cell r="BC898">
            <v>0</v>
          </cell>
          <cell r="BD898">
            <v>0</v>
          </cell>
          <cell r="BE898">
            <v>0</v>
          </cell>
          <cell r="BF898">
            <v>0</v>
          </cell>
          <cell r="BG898">
            <v>0</v>
          </cell>
          <cell r="BH898">
            <v>0</v>
          </cell>
          <cell r="BI898">
            <v>0</v>
          </cell>
          <cell r="BK898">
            <v>0</v>
          </cell>
          <cell r="BL898">
            <v>0</v>
          </cell>
          <cell r="BM898">
            <v>0</v>
          </cell>
          <cell r="BN898">
            <v>0</v>
          </cell>
          <cell r="BO898">
            <v>0</v>
          </cell>
          <cell r="BP898">
            <v>0</v>
          </cell>
          <cell r="BQ898">
            <v>0</v>
          </cell>
          <cell r="BR898">
            <v>0</v>
          </cell>
          <cell r="BS898">
            <v>0</v>
          </cell>
          <cell r="BU898">
            <v>0</v>
          </cell>
          <cell r="BV898">
            <v>0</v>
          </cell>
          <cell r="BW898">
            <v>0</v>
          </cell>
          <cell r="BX898">
            <v>0</v>
          </cell>
          <cell r="BY898">
            <v>0</v>
          </cell>
          <cell r="BZ898">
            <v>0</v>
          </cell>
          <cell r="CA898">
            <v>0</v>
          </cell>
          <cell r="CB898">
            <v>0</v>
          </cell>
          <cell r="CC898">
            <v>0</v>
          </cell>
          <cell r="CE898">
            <v>0</v>
          </cell>
          <cell r="CF898">
            <v>0</v>
          </cell>
          <cell r="CG898">
            <v>0</v>
          </cell>
          <cell r="CH898">
            <v>0</v>
          </cell>
          <cell r="CI898">
            <v>0</v>
          </cell>
          <cell r="CJ898">
            <v>0</v>
          </cell>
          <cell r="CK898">
            <v>0</v>
          </cell>
          <cell r="CL898">
            <v>0</v>
          </cell>
          <cell r="CM898">
            <v>0</v>
          </cell>
          <cell r="CO898">
            <v>0</v>
          </cell>
          <cell r="CP898">
            <v>0</v>
          </cell>
          <cell r="CQ898">
            <v>0</v>
          </cell>
          <cell r="CR898">
            <v>0</v>
          </cell>
          <cell r="CS898">
            <v>0</v>
          </cell>
          <cell r="CT898">
            <v>0</v>
          </cell>
          <cell r="CU898">
            <v>0</v>
          </cell>
          <cell r="CV898">
            <v>0</v>
          </cell>
          <cell r="CW898">
            <v>0</v>
          </cell>
          <cell r="CY898">
            <v>0</v>
          </cell>
          <cell r="CZ898">
            <v>0</v>
          </cell>
          <cell r="DA898">
            <v>0</v>
          </cell>
          <cell r="DB898">
            <v>0</v>
          </cell>
          <cell r="DC898">
            <v>0</v>
          </cell>
          <cell r="DD898">
            <v>0</v>
          </cell>
          <cell r="DE898">
            <v>0</v>
          </cell>
          <cell r="DF898">
            <v>0</v>
          </cell>
          <cell r="DG898">
            <v>0</v>
          </cell>
          <cell r="DI898">
            <v>0</v>
          </cell>
          <cell r="DJ898">
            <v>0</v>
          </cell>
          <cell r="DK898">
            <v>0</v>
          </cell>
          <cell r="DL898">
            <v>0</v>
          </cell>
          <cell r="DM898">
            <v>0</v>
          </cell>
          <cell r="DN898">
            <v>0</v>
          </cell>
          <cell r="DO898">
            <v>0</v>
          </cell>
          <cell r="DP898">
            <v>0</v>
          </cell>
          <cell r="DQ898">
            <v>0</v>
          </cell>
          <cell r="DR898">
            <v>0</v>
          </cell>
          <cell r="DS898">
            <v>0</v>
          </cell>
          <cell r="DT898">
            <v>0</v>
          </cell>
          <cell r="DU898">
            <v>0</v>
          </cell>
          <cell r="DW898">
            <v>0</v>
          </cell>
          <cell r="DX898">
            <v>0</v>
          </cell>
          <cell r="DY898">
            <v>0</v>
          </cell>
          <cell r="DZ898">
            <v>0</v>
          </cell>
          <cell r="EA898">
            <v>0</v>
          </cell>
          <cell r="EB898">
            <v>0</v>
          </cell>
          <cell r="EC898">
            <v>0</v>
          </cell>
          <cell r="ED898">
            <v>0</v>
          </cell>
          <cell r="EE898">
            <v>0</v>
          </cell>
          <cell r="EF898">
            <v>0</v>
          </cell>
          <cell r="EG898">
            <v>0</v>
          </cell>
          <cell r="EH898">
            <v>0</v>
          </cell>
          <cell r="EI898">
            <v>0</v>
          </cell>
          <cell r="EK898">
            <v>0</v>
          </cell>
          <cell r="EL898">
            <v>0</v>
          </cell>
          <cell r="EM898">
            <v>0</v>
          </cell>
          <cell r="EN898">
            <v>0</v>
          </cell>
          <cell r="EO898">
            <v>0</v>
          </cell>
          <cell r="EP898">
            <v>0</v>
          </cell>
          <cell r="EQ898">
            <v>0</v>
          </cell>
          <cell r="ER898">
            <v>0</v>
          </cell>
          <cell r="ES898">
            <v>0</v>
          </cell>
          <cell r="ET898">
            <v>0</v>
          </cell>
          <cell r="EU898">
            <v>0</v>
          </cell>
          <cell r="EV898">
            <v>0</v>
          </cell>
          <cell r="EW898">
            <v>0</v>
          </cell>
          <cell r="EY898">
            <v>0</v>
          </cell>
          <cell r="EZ898">
            <v>8</v>
          </cell>
          <cell r="FA898">
            <v>0</v>
          </cell>
          <cell r="FB898">
            <v>0</v>
          </cell>
          <cell r="FC898">
            <v>8.6</v>
          </cell>
          <cell r="FD898">
            <v>0</v>
          </cell>
          <cell r="FE898">
            <v>0</v>
          </cell>
          <cell r="FF898">
            <v>0</v>
          </cell>
          <cell r="FH898">
            <v>0</v>
          </cell>
        </row>
        <row r="899">
          <cell r="B899">
            <v>10031</v>
          </cell>
          <cell r="C899" t="str">
            <v>13.02.2013</v>
          </cell>
          <cell r="D899" t="str">
            <v>Thorat Shashikant Ramesh</v>
          </cell>
          <cell r="F899">
            <v>0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>
            <v>0</v>
          </cell>
          <cell r="R899">
            <v>0</v>
          </cell>
          <cell r="S899">
            <v>0</v>
          </cell>
          <cell r="T899">
            <v>0</v>
          </cell>
          <cell r="U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G899">
            <v>0</v>
          </cell>
          <cell r="AH899">
            <v>0</v>
          </cell>
          <cell r="AI899">
            <v>0</v>
          </cell>
          <cell r="AJ899">
            <v>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Q899">
            <v>0</v>
          </cell>
          <cell r="AR899">
            <v>0</v>
          </cell>
          <cell r="AS899">
            <v>0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0</v>
          </cell>
          <cell r="AY899">
            <v>0</v>
          </cell>
          <cell r="BA899">
            <v>0</v>
          </cell>
          <cell r="BB899">
            <v>0</v>
          </cell>
          <cell r="BC899">
            <v>0</v>
          </cell>
          <cell r="BD899">
            <v>0</v>
          </cell>
          <cell r="BE899">
            <v>0</v>
          </cell>
          <cell r="BF899">
            <v>0</v>
          </cell>
          <cell r="BG899">
            <v>0</v>
          </cell>
          <cell r="BH899">
            <v>0</v>
          </cell>
          <cell r="BI899">
            <v>0</v>
          </cell>
          <cell r="BK899">
            <v>0</v>
          </cell>
          <cell r="BL899">
            <v>0</v>
          </cell>
          <cell r="BM899">
            <v>0</v>
          </cell>
          <cell r="BN899">
            <v>0</v>
          </cell>
          <cell r="BO899">
            <v>0</v>
          </cell>
          <cell r="BP899">
            <v>0</v>
          </cell>
          <cell r="BQ899">
            <v>0</v>
          </cell>
          <cell r="BR899">
            <v>0</v>
          </cell>
          <cell r="BS899">
            <v>0</v>
          </cell>
          <cell r="BU899">
            <v>0</v>
          </cell>
          <cell r="BV899">
            <v>0</v>
          </cell>
          <cell r="BW899">
            <v>0</v>
          </cell>
          <cell r="BX899">
            <v>0</v>
          </cell>
          <cell r="BY899">
            <v>0</v>
          </cell>
          <cell r="BZ899">
            <v>0</v>
          </cell>
          <cell r="CA899">
            <v>0</v>
          </cell>
          <cell r="CB899">
            <v>0</v>
          </cell>
          <cell r="CC899">
            <v>0</v>
          </cell>
          <cell r="CE899">
            <v>0</v>
          </cell>
          <cell r="CF899">
            <v>0</v>
          </cell>
          <cell r="CG899">
            <v>0</v>
          </cell>
          <cell r="CH899">
            <v>0</v>
          </cell>
          <cell r="CI899">
            <v>0</v>
          </cell>
          <cell r="CJ899">
            <v>0</v>
          </cell>
          <cell r="CK899">
            <v>0</v>
          </cell>
          <cell r="CL899">
            <v>0</v>
          </cell>
          <cell r="CM899">
            <v>0</v>
          </cell>
          <cell r="CO899">
            <v>0</v>
          </cell>
          <cell r="CP899">
            <v>0</v>
          </cell>
          <cell r="CQ899">
            <v>0</v>
          </cell>
          <cell r="CR899">
            <v>0</v>
          </cell>
          <cell r="CS899">
            <v>0</v>
          </cell>
          <cell r="CT899">
            <v>0</v>
          </cell>
          <cell r="CU899">
            <v>0</v>
          </cell>
          <cell r="CV899">
            <v>0</v>
          </cell>
          <cell r="CW899">
            <v>0</v>
          </cell>
          <cell r="CY899">
            <v>0</v>
          </cell>
          <cell r="CZ899">
            <v>0</v>
          </cell>
          <cell r="DA899">
            <v>0</v>
          </cell>
          <cell r="DB899">
            <v>0</v>
          </cell>
          <cell r="DC899">
            <v>0</v>
          </cell>
          <cell r="DD899">
            <v>0</v>
          </cell>
          <cell r="DE899">
            <v>0</v>
          </cell>
          <cell r="DF899">
            <v>0</v>
          </cell>
          <cell r="DG899">
            <v>0</v>
          </cell>
          <cell r="DI899">
            <v>0</v>
          </cell>
          <cell r="DJ899">
            <v>0</v>
          </cell>
          <cell r="DK899">
            <v>0</v>
          </cell>
          <cell r="DL899">
            <v>0</v>
          </cell>
          <cell r="DM899">
            <v>0</v>
          </cell>
          <cell r="DN899">
            <v>0</v>
          </cell>
          <cell r="DO899">
            <v>0</v>
          </cell>
          <cell r="DP899">
            <v>0</v>
          </cell>
          <cell r="DQ899">
            <v>0</v>
          </cell>
          <cell r="DR899">
            <v>0</v>
          </cell>
          <cell r="DS899">
            <v>0</v>
          </cell>
          <cell r="DT899">
            <v>0</v>
          </cell>
          <cell r="DU899">
            <v>0</v>
          </cell>
          <cell r="DW899">
            <v>0</v>
          </cell>
          <cell r="DX899">
            <v>0</v>
          </cell>
          <cell r="DY899">
            <v>0</v>
          </cell>
          <cell r="DZ899">
            <v>0</v>
          </cell>
          <cell r="EA899">
            <v>0</v>
          </cell>
          <cell r="EB899">
            <v>0</v>
          </cell>
          <cell r="EC899">
            <v>0</v>
          </cell>
          <cell r="ED899">
            <v>0</v>
          </cell>
          <cell r="EE899">
            <v>0</v>
          </cell>
          <cell r="EF899">
            <v>0</v>
          </cell>
          <cell r="EG899">
            <v>0</v>
          </cell>
          <cell r="EH899">
            <v>0</v>
          </cell>
          <cell r="EI899">
            <v>0</v>
          </cell>
          <cell r="EK899">
            <v>0</v>
          </cell>
          <cell r="EL899">
            <v>0</v>
          </cell>
          <cell r="EM899">
            <v>0</v>
          </cell>
          <cell r="EN899">
            <v>0</v>
          </cell>
          <cell r="EO899">
            <v>0</v>
          </cell>
          <cell r="EP899">
            <v>0</v>
          </cell>
          <cell r="EQ899">
            <v>0</v>
          </cell>
          <cell r="ER899">
            <v>0</v>
          </cell>
          <cell r="ES899">
            <v>0</v>
          </cell>
          <cell r="ET899">
            <v>0</v>
          </cell>
          <cell r="EU899">
            <v>0</v>
          </cell>
          <cell r="EV899">
            <v>0</v>
          </cell>
          <cell r="EW899">
            <v>0</v>
          </cell>
          <cell r="EY899">
            <v>0</v>
          </cell>
          <cell r="EZ899">
            <v>8</v>
          </cell>
          <cell r="FA899">
            <v>0</v>
          </cell>
          <cell r="FB899">
            <v>0</v>
          </cell>
          <cell r="FC899">
            <v>8.6</v>
          </cell>
          <cell r="FD899">
            <v>0</v>
          </cell>
          <cell r="FE899">
            <v>0</v>
          </cell>
          <cell r="FF899">
            <v>0</v>
          </cell>
          <cell r="FH899">
            <v>0</v>
          </cell>
        </row>
        <row r="900">
          <cell r="B900">
            <v>10032</v>
          </cell>
          <cell r="C900" t="str">
            <v>13.02.2013</v>
          </cell>
          <cell r="D900" t="str">
            <v>Nikam Kiran Ananda</v>
          </cell>
          <cell r="F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BA900">
            <v>0</v>
          </cell>
          <cell r="BB900">
            <v>0</v>
          </cell>
          <cell r="BC900">
            <v>0</v>
          </cell>
          <cell r="BD900">
            <v>0</v>
          </cell>
          <cell r="BE900">
            <v>0</v>
          </cell>
          <cell r="BF900">
            <v>0</v>
          </cell>
          <cell r="BG900">
            <v>0</v>
          </cell>
          <cell r="BH900">
            <v>0</v>
          </cell>
          <cell r="BI900">
            <v>0</v>
          </cell>
          <cell r="BK900">
            <v>0</v>
          </cell>
          <cell r="BL900">
            <v>0</v>
          </cell>
          <cell r="BM900">
            <v>0</v>
          </cell>
          <cell r="BN900">
            <v>0</v>
          </cell>
          <cell r="BO900">
            <v>0</v>
          </cell>
          <cell r="BP900">
            <v>0</v>
          </cell>
          <cell r="BQ900">
            <v>0</v>
          </cell>
          <cell r="BR900">
            <v>0</v>
          </cell>
          <cell r="BS900">
            <v>0</v>
          </cell>
          <cell r="BU900">
            <v>0</v>
          </cell>
          <cell r="BV900">
            <v>0</v>
          </cell>
          <cell r="BW900">
            <v>0</v>
          </cell>
          <cell r="BX900">
            <v>0</v>
          </cell>
          <cell r="BY900">
            <v>0</v>
          </cell>
          <cell r="BZ900">
            <v>0</v>
          </cell>
          <cell r="CA900">
            <v>0</v>
          </cell>
          <cell r="CB900">
            <v>0</v>
          </cell>
          <cell r="CC900">
            <v>0</v>
          </cell>
          <cell r="CE900">
            <v>0</v>
          </cell>
          <cell r="CF900">
            <v>0</v>
          </cell>
          <cell r="CG900">
            <v>0</v>
          </cell>
          <cell r="CH900">
            <v>0</v>
          </cell>
          <cell r="CI900">
            <v>0</v>
          </cell>
          <cell r="CJ900">
            <v>0</v>
          </cell>
          <cell r="CK900">
            <v>0</v>
          </cell>
          <cell r="CL900">
            <v>0</v>
          </cell>
          <cell r="CM900">
            <v>0</v>
          </cell>
          <cell r="CO900">
            <v>0</v>
          </cell>
          <cell r="CP900">
            <v>0</v>
          </cell>
          <cell r="CQ900">
            <v>0</v>
          </cell>
          <cell r="CR900">
            <v>0</v>
          </cell>
          <cell r="CS900">
            <v>0</v>
          </cell>
          <cell r="CT900">
            <v>0</v>
          </cell>
          <cell r="CU900">
            <v>0</v>
          </cell>
          <cell r="CV900">
            <v>0</v>
          </cell>
          <cell r="CW900">
            <v>0</v>
          </cell>
          <cell r="CY900">
            <v>0</v>
          </cell>
          <cell r="CZ900">
            <v>0</v>
          </cell>
          <cell r="DA900">
            <v>0</v>
          </cell>
          <cell r="DB900">
            <v>0</v>
          </cell>
          <cell r="DC900">
            <v>0</v>
          </cell>
          <cell r="DD900">
            <v>0</v>
          </cell>
          <cell r="DE900">
            <v>0</v>
          </cell>
          <cell r="DF900">
            <v>0</v>
          </cell>
          <cell r="DG900">
            <v>0</v>
          </cell>
          <cell r="DI900">
            <v>0</v>
          </cell>
          <cell r="DJ900">
            <v>0</v>
          </cell>
          <cell r="DK900">
            <v>0</v>
          </cell>
          <cell r="DL900">
            <v>0</v>
          </cell>
          <cell r="DM900">
            <v>0</v>
          </cell>
          <cell r="DN900">
            <v>0</v>
          </cell>
          <cell r="DO900">
            <v>0</v>
          </cell>
          <cell r="DP900">
            <v>0</v>
          </cell>
          <cell r="DQ900">
            <v>0</v>
          </cell>
          <cell r="DR900">
            <v>0</v>
          </cell>
          <cell r="DS900">
            <v>0</v>
          </cell>
          <cell r="DT900">
            <v>0</v>
          </cell>
          <cell r="DU900">
            <v>0</v>
          </cell>
          <cell r="DW900">
            <v>0</v>
          </cell>
          <cell r="DX900">
            <v>0</v>
          </cell>
          <cell r="DY900">
            <v>0</v>
          </cell>
          <cell r="DZ900">
            <v>0</v>
          </cell>
          <cell r="EA900">
            <v>0</v>
          </cell>
          <cell r="EB900">
            <v>0</v>
          </cell>
          <cell r="EC900">
            <v>0</v>
          </cell>
          <cell r="ED900">
            <v>0</v>
          </cell>
          <cell r="EE900">
            <v>0</v>
          </cell>
          <cell r="EF900">
            <v>0</v>
          </cell>
          <cell r="EG900">
            <v>0</v>
          </cell>
          <cell r="EH900">
            <v>0</v>
          </cell>
          <cell r="EI900">
            <v>0</v>
          </cell>
          <cell r="EK900">
            <v>0</v>
          </cell>
          <cell r="EL900">
            <v>0</v>
          </cell>
          <cell r="EM900">
            <v>0</v>
          </cell>
          <cell r="EN900">
            <v>0</v>
          </cell>
          <cell r="EO900">
            <v>0</v>
          </cell>
          <cell r="EP900">
            <v>0</v>
          </cell>
          <cell r="EQ900">
            <v>0</v>
          </cell>
          <cell r="ER900">
            <v>0</v>
          </cell>
          <cell r="ES900">
            <v>0</v>
          </cell>
          <cell r="ET900">
            <v>0</v>
          </cell>
          <cell r="EU900">
            <v>0</v>
          </cell>
          <cell r="EV900">
            <v>0</v>
          </cell>
          <cell r="EW900">
            <v>0</v>
          </cell>
          <cell r="EY900">
            <v>0</v>
          </cell>
          <cell r="EZ900">
            <v>8</v>
          </cell>
          <cell r="FA900">
            <v>0</v>
          </cell>
          <cell r="FB900">
            <v>0</v>
          </cell>
          <cell r="FC900">
            <v>8.6</v>
          </cell>
          <cell r="FD900">
            <v>0</v>
          </cell>
          <cell r="FE900">
            <v>0</v>
          </cell>
          <cell r="FF900">
            <v>0</v>
          </cell>
          <cell r="FH900">
            <v>0</v>
          </cell>
        </row>
        <row r="901">
          <cell r="B901">
            <v>10033</v>
          </cell>
          <cell r="C901" t="str">
            <v>14.02.2013</v>
          </cell>
          <cell r="D901" t="str">
            <v>Jadhav Vinayak Suresh</v>
          </cell>
          <cell r="F901">
            <v>0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>
            <v>0</v>
          </cell>
          <cell r="R901">
            <v>0</v>
          </cell>
          <cell r="S901">
            <v>0</v>
          </cell>
          <cell r="T901">
            <v>0</v>
          </cell>
          <cell r="U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0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0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Q901">
            <v>0</v>
          </cell>
          <cell r="AR901">
            <v>0</v>
          </cell>
          <cell r="AS901">
            <v>0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BA901">
            <v>0</v>
          </cell>
          <cell r="BB901">
            <v>0</v>
          </cell>
          <cell r="BC901">
            <v>0</v>
          </cell>
          <cell r="BD901">
            <v>0</v>
          </cell>
          <cell r="BE901">
            <v>0</v>
          </cell>
          <cell r="BF901">
            <v>0</v>
          </cell>
          <cell r="BG901">
            <v>0</v>
          </cell>
          <cell r="BH901">
            <v>0</v>
          </cell>
          <cell r="BI901">
            <v>0</v>
          </cell>
          <cell r="BK901">
            <v>0</v>
          </cell>
          <cell r="BL901">
            <v>0</v>
          </cell>
          <cell r="BM901">
            <v>0</v>
          </cell>
          <cell r="BN901">
            <v>0</v>
          </cell>
          <cell r="BO901">
            <v>0</v>
          </cell>
          <cell r="BP901">
            <v>0</v>
          </cell>
          <cell r="BQ901">
            <v>0</v>
          </cell>
          <cell r="BR901">
            <v>0</v>
          </cell>
          <cell r="BS901">
            <v>0</v>
          </cell>
          <cell r="BU901">
            <v>0</v>
          </cell>
          <cell r="BV901">
            <v>0</v>
          </cell>
          <cell r="BW901">
            <v>0</v>
          </cell>
          <cell r="BX901">
            <v>0</v>
          </cell>
          <cell r="BY901">
            <v>0</v>
          </cell>
          <cell r="BZ901">
            <v>0</v>
          </cell>
          <cell r="CA901">
            <v>0</v>
          </cell>
          <cell r="CB901">
            <v>0</v>
          </cell>
          <cell r="CC901">
            <v>0</v>
          </cell>
          <cell r="CE901">
            <v>0</v>
          </cell>
          <cell r="CF901">
            <v>0</v>
          </cell>
          <cell r="CG901">
            <v>0</v>
          </cell>
          <cell r="CH901">
            <v>0</v>
          </cell>
          <cell r="CI901">
            <v>0</v>
          </cell>
          <cell r="CJ901">
            <v>0</v>
          </cell>
          <cell r="CK901">
            <v>0</v>
          </cell>
          <cell r="CL901">
            <v>0</v>
          </cell>
          <cell r="CM901">
            <v>0</v>
          </cell>
          <cell r="CO901">
            <v>0</v>
          </cell>
          <cell r="CP901">
            <v>0</v>
          </cell>
          <cell r="CQ901">
            <v>0</v>
          </cell>
          <cell r="CR901">
            <v>0</v>
          </cell>
          <cell r="CS901">
            <v>0</v>
          </cell>
          <cell r="CT901">
            <v>0</v>
          </cell>
          <cell r="CU901">
            <v>0</v>
          </cell>
          <cell r="CV901">
            <v>0</v>
          </cell>
          <cell r="CW901">
            <v>0</v>
          </cell>
          <cell r="CY901">
            <v>0</v>
          </cell>
          <cell r="CZ901">
            <v>0</v>
          </cell>
          <cell r="DA901">
            <v>0</v>
          </cell>
          <cell r="DB901">
            <v>0</v>
          </cell>
          <cell r="DC901">
            <v>0</v>
          </cell>
          <cell r="DD901">
            <v>0</v>
          </cell>
          <cell r="DE901">
            <v>0</v>
          </cell>
          <cell r="DF901">
            <v>0</v>
          </cell>
          <cell r="DG901">
            <v>0</v>
          </cell>
          <cell r="DI901">
            <v>0</v>
          </cell>
          <cell r="DJ901">
            <v>0</v>
          </cell>
          <cell r="DK901">
            <v>0</v>
          </cell>
          <cell r="DL901">
            <v>0</v>
          </cell>
          <cell r="DM901">
            <v>0</v>
          </cell>
          <cell r="DN901">
            <v>0</v>
          </cell>
          <cell r="DO901">
            <v>0</v>
          </cell>
          <cell r="DP901">
            <v>0</v>
          </cell>
          <cell r="DQ901">
            <v>0</v>
          </cell>
          <cell r="DR901">
            <v>0</v>
          </cell>
          <cell r="DS901">
            <v>0</v>
          </cell>
          <cell r="DT901">
            <v>0</v>
          </cell>
          <cell r="DU901">
            <v>0</v>
          </cell>
          <cell r="DW901">
            <v>0</v>
          </cell>
          <cell r="DX901">
            <v>0</v>
          </cell>
          <cell r="DY901">
            <v>0</v>
          </cell>
          <cell r="DZ901">
            <v>0</v>
          </cell>
          <cell r="EA901">
            <v>0</v>
          </cell>
          <cell r="EB901">
            <v>0</v>
          </cell>
          <cell r="EC901">
            <v>0</v>
          </cell>
          <cell r="ED901">
            <v>0</v>
          </cell>
          <cell r="EE901">
            <v>0</v>
          </cell>
          <cell r="EF901">
            <v>0</v>
          </cell>
          <cell r="EG901">
            <v>0</v>
          </cell>
          <cell r="EH901">
            <v>0</v>
          </cell>
          <cell r="EI901">
            <v>0</v>
          </cell>
          <cell r="EK901">
            <v>0</v>
          </cell>
          <cell r="EL901">
            <v>0</v>
          </cell>
          <cell r="EM901">
            <v>0</v>
          </cell>
          <cell r="EN901">
            <v>0</v>
          </cell>
          <cell r="EO901">
            <v>0</v>
          </cell>
          <cell r="EP901">
            <v>0</v>
          </cell>
          <cell r="EQ901">
            <v>0</v>
          </cell>
          <cell r="ER901">
            <v>0</v>
          </cell>
          <cell r="ES901">
            <v>0</v>
          </cell>
          <cell r="ET901">
            <v>0</v>
          </cell>
          <cell r="EU901">
            <v>0</v>
          </cell>
          <cell r="EV901">
            <v>0</v>
          </cell>
          <cell r="EW901">
            <v>0</v>
          </cell>
          <cell r="EY901">
            <v>0</v>
          </cell>
          <cell r="EZ901">
            <v>8</v>
          </cell>
          <cell r="FA901">
            <v>0</v>
          </cell>
          <cell r="FB901">
            <v>0</v>
          </cell>
          <cell r="FC901">
            <v>8.6</v>
          </cell>
          <cell r="FD901">
            <v>0</v>
          </cell>
          <cell r="FE901">
            <v>0</v>
          </cell>
          <cell r="FF901">
            <v>0</v>
          </cell>
          <cell r="FH901">
            <v>0</v>
          </cell>
        </row>
        <row r="902">
          <cell r="B902">
            <v>10128</v>
          </cell>
          <cell r="C902" t="str">
            <v>14.02.2013</v>
          </cell>
          <cell r="D902" t="str">
            <v>Pawar Ravi Jagdish</v>
          </cell>
          <cell r="F902">
            <v>0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Q902">
            <v>0</v>
          </cell>
          <cell r="AR902">
            <v>0</v>
          </cell>
          <cell r="AS902">
            <v>0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BA902">
            <v>0</v>
          </cell>
          <cell r="BB902">
            <v>0</v>
          </cell>
          <cell r="BC902">
            <v>0</v>
          </cell>
          <cell r="BD902">
            <v>0</v>
          </cell>
          <cell r="BE902">
            <v>0</v>
          </cell>
          <cell r="BF902">
            <v>0</v>
          </cell>
          <cell r="BG902">
            <v>0</v>
          </cell>
          <cell r="BH902">
            <v>0</v>
          </cell>
          <cell r="BI902">
            <v>0</v>
          </cell>
          <cell r="BK902">
            <v>0</v>
          </cell>
          <cell r="BL902">
            <v>0</v>
          </cell>
          <cell r="BM902">
            <v>0</v>
          </cell>
          <cell r="BN902">
            <v>0</v>
          </cell>
          <cell r="BO902">
            <v>0</v>
          </cell>
          <cell r="BP902">
            <v>0</v>
          </cell>
          <cell r="BQ902">
            <v>0</v>
          </cell>
          <cell r="BR902">
            <v>0</v>
          </cell>
          <cell r="BS902">
            <v>0</v>
          </cell>
          <cell r="BU902">
            <v>0</v>
          </cell>
          <cell r="BV902">
            <v>0</v>
          </cell>
          <cell r="BW902">
            <v>0</v>
          </cell>
          <cell r="BX902">
            <v>0</v>
          </cell>
          <cell r="BY902">
            <v>0</v>
          </cell>
          <cell r="BZ902">
            <v>0</v>
          </cell>
          <cell r="CA902">
            <v>0</v>
          </cell>
          <cell r="CB902">
            <v>0</v>
          </cell>
          <cell r="CC902">
            <v>0</v>
          </cell>
          <cell r="CE902">
            <v>0</v>
          </cell>
          <cell r="CF902">
            <v>0</v>
          </cell>
          <cell r="CG902">
            <v>0</v>
          </cell>
          <cell r="CH902">
            <v>0</v>
          </cell>
          <cell r="CI902">
            <v>0</v>
          </cell>
          <cell r="CJ902">
            <v>0</v>
          </cell>
          <cell r="CK902">
            <v>0</v>
          </cell>
          <cell r="CL902">
            <v>0</v>
          </cell>
          <cell r="CM902">
            <v>0</v>
          </cell>
          <cell r="CO902">
            <v>0</v>
          </cell>
          <cell r="CP902">
            <v>0</v>
          </cell>
          <cell r="CQ902">
            <v>0</v>
          </cell>
          <cell r="CR902">
            <v>0</v>
          </cell>
          <cell r="CS902">
            <v>0</v>
          </cell>
          <cell r="CT902">
            <v>0</v>
          </cell>
          <cell r="CU902">
            <v>0</v>
          </cell>
          <cell r="CV902">
            <v>0</v>
          </cell>
          <cell r="CW902">
            <v>0</v>
          </cell>
          <cell r="CY902">
            <v>0</v>
          </cell>
          <cell r="CZ902">
            <v>0</v>
          </cell>
          <cell r="DA902">
            <v>0</v>
          </cell>
          <cell r="DB902">
            <v>0</v>
          </cell>
          <cell r="DC902">
            <v>0</v>
          </cell>
          <cell r="DD902">
            <v>0</v>
          </cell>
          <cell r="DE902">
            <v>0</v>
          </cell>
          <cell r="DF902">
            <v>0</v>
          </cell>
          <cell r="DG902">
            <v>0</v>
          </cell>
          <cell r="DI902">
            <v>0</v>
          </cell>
          <cell r="DJ902">
            <v>0</v>
          </cell>
          <cell r="DK902">
            <v>0</v>
          </cell>
          <cell r="DL902">
            <v>0</v>
          </cell>
          <cell r="DM902">
            <v>0</v>
          </cell>
          <cell r="DN902">
            <v>0</v>
          </cell>
          <cell r="DO902">
            <v>0</v>
          </cell>
          <cell r="DP902">
            <v>0</v>
          </cell>
          <cell r="DQ902">
            <v>0</v>
          </cell>
          <cell r="DR902">
            <v>0</v>
          </cell>
          <cell r="DS902">
            <v>0</v>
          </cell>
          <cell r="DT902">
            <v>0</v>
          </cell>
          <cell r="DU902">
            <v>0</v>
          </cell>
          <cell r="DW902">
            <v>0</v>
          </cell>
          <cell r="DX902">
            <v>0</v>
          </cell>
          <cell r="DY902">
            <v>0</v>
          </cell>
          <cell r="DZ902">
            <v>0</v>
          </cell>
          <cell r="EA902">
            <v>0</v>
          </cell>
          <cell r="EB902">
            <v>0</v>
          </cell>
          <cell r="EC902">
            <v>0</v>
          </cell>
          <cell r="ED902">
            <v>0</v>
          </cell>
          <cell r="EE902">
            <v>0</v>
          </cell>
          <cell r="EF902">
            <v>0</v>
          </cell>
          <cell r="EG902">
            <v>0</v>
          </cell>
          <cell r="EH902">
            <v>0</v>
          </cell>
          <cell r="EI902">
            <v>0</v>
          </cell>
          <cell r="EK902">
            <v>0</v>
          </cell>
          <cell r="EL902">
            <v>0</v>
          </cell>
          <cell r="EM902">
            <v>0</v>
          </cell>
          <cell r="EN902">
            <v>0</v>
          </cell>
          <cell r="EO902">
            <v>0</v>
          </cell>
          <cell r="EP902">
            <v>0</v>
          </cell>
          <cell r="EQ902">
            <v>0</v>
          </cell>
          <cell r="ER902">
            <v>0</v>
          </cell>
          <cell r="ES902">
            <v>0</v>
          </cell>
          <cell r="ET902">
            <v>0</v>
          </cell>
          <cell r="EU902">
            <v>0</v>
          </cell>
          <cell r="EV902">
            <v>0</v>
          </cell>
          <cell r="EW902">
            <v>0</v>
          </cell>
          <cell r="EY902">
            <v>0</v>
          </cell>
          <cell r="EZ902">
            <v>8</v>
          </cell>
          <cell r="FA902">
            <v>0</v>
          </cell>
          <cell r="FB902">
            <v>0</v>
          </cell>
          <cell r="FC902">
            <v>8.6</v>
          </cell>
          <cell r="FD902">
            <v>0</v>
          </cell>
          <cell r="FE902">
            <v>0</v>
          </cell>
          <cell r="FF902">
            <v>0</v>
          </cell>
          <cell r="FH902">
            <v>0</v>
          </cell>
        </row>
        <row r="903">
          <cell r="B903">
            <v>10034</v>
          </cell>
          <cell r="C903" t="str">
            <v>16.02.2013</v>
          </cell>
          <cell r="D903" t="str">
            <v>Salve Shankar Mogal</v>
          </cell>
          <cell r="F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BA903">
            <v>0</v>
          </cell>
          <cell r="BB903">
            <v>0</v>
          </cell>
          <cell r="BC903">
            <v>0</v>
          </cell>
          <cell r="BD903">
            <v>0</v>
          </cell>
          <cell r="BE903">
            <v>0</v>
          </cell>
          <cell r="BF903">
            <v>0</v>
          </cell>
          <cell r="BG903">
            <v>0</v>
          </cell>
          <cell r="BH903">
            <v>0</v>
          </cell>
          <cell r="BI903">
            <v>0</v>
          </cell>
          <cell r="BK903">
            <v>0</v>
          </cell>
          <cell r="BL903">
            <v>0</v>
          </cell>
          <cell r="BM903">
            <v>0</v>
          </cell>
          <cell r="BN903">
            <v>0</v>
          </cell>
          <cell r="BO903">
            <v>0</v>
          </cell>
          <cell r="BP903">
            <v>0</v>
          </cell>
          <cell r="BQ903">
            <v>0</v>
          </cell>
          <cell r="BR903">
            <v>0</v>
          </cell>
          <cell r="BS903">
            <v>0</v>
          </cell>
          <cell r="BU903">
            <v>0</v>
          </cell>
          <cell r="BV903">
            <v>0</v>
          </cell>
          <cell r="BW903">
            <v>0</v>
          </cell>
          <cell r="BX903">
            <v>0</v>
          </cell>
          <cell r="BY903">
            <v>0</v>
          </cell>
          <cell r="BZ903">
            <v>0</v>
          </cell>
          <cell r="CA903">
            <v>0</v>
          </cell>
          <cell r="CB903">
            <v>0</v>
          </cell>
          <cell r="CC903">
            <v>0</v>
          </cell>
          <cell r="CE903">
            <v>0</v>
          </cell>
          <cell r="CF903">
            <v>0</v>
          </cell>
          <cell r="CG903">
            <v>0</v>
          </cell>
          <cell r="CH903">
            <v>0</v>
          </cell>
          <cell r="CI903">
            <v>0</v>
          </cell>
          <cell r="CJ903">
            <v>0</v>
          </cell>
          <cell r="CK903">
            <v>0</v>
          </cell>
          <cell r="CL903">
            <v>0</v>
          </cell>
          <cell r="CM903">
            <v>0</v>
          </cell>
          <cell r="CO903">
            <v>0</v>
          </cell>
          <cell r="CP903">
            <v>0</v>
          </cell>
          <cell r="CQ903">
            <v>0</v>
          </cell>
          <cell r="CR903">
            <v>0</v>
          </cell>
          <cell r="CS903">
            <v>0</v>
          </cell>
          <cell r="CT903">
            <v>0</v>
          </cell>
          <cell r="CU903">
            <v>0</v>
          </cell>
          <cell r="CV903">
            <v>0</v>
          </cell>
          <cell r="CW903">
            <v>0</v>
          </cell>
          <cell r="CY903">
            <v>0</v>
          </cell>
          <cell r="CZ903">
            <v>0</v>
          </cell>
          <cell r="DA903">
            <v>0</v>
          </cell>
          <cell r="DB903">
            <v>0</v>
          </cell>
          <cell r="DC903">
            <v>0</v>
          </cell>
          <cell r="DD903">
            <v>0</v>
          </cell>
          <cell r="DE903">
            <v>0</v>
          </cell>
          <cell r="DF903">
            <v>0</v>
          </cell>
          <cell r="DG903">
            <v>0</v>
          </cell>
          <cell r="DI903">
            <v>0</v>
          </cell>
          <cell r="DJ903">
            <v>0</v>
          </cell>
          <cell r="DK903">
            <v>0</v>
          </cell>
          <cell r="DL903">
            <v>0</v>
          </cell>
          <cell r="DM903">
            <v>0</v>
          </cell>
          <cell r="DN903">
            <v>0</v>
          </cell>
          <cell r="DO903">
            <v>0</v>
          </cell>
          <cell r="DP903">
            <v>0</v>
          </cell>
          <cell r="DQ903">
            <v>0</v>
          </cell>
          <cell r="DR903">
            <v>0</v>
          </cell>
          <cell r="DS903">
            <v>0</v>
          </cell>
          <cell r="DT903">
            <v>0</v>
          </cell>
          <cell r="DU903">
            <v>0</v>
          </cell>
          <cell r="DW903">
            <v>0</v>
          </cell>
          <cell r="DX903">
            <v>0</v>
          </cell>
          <cell r="DY903">
            <v>0</v>
          </cell>
          <cell r="DZ903">
            <v>0</v>
          </cell>
          <cell r="EA903">
            <v>0</v>
          </cell>
          <cell r="EB903">
            <v>0</v>
          </cell>
          <cell r="EC903">
            <v>0</v>
          </cell>
          <cell r="ED903">
            <v>0</v>
          </cell>
          <cell r="EE903">
            <v>0</v>
          </cell>
          <cell r="EF903">
            <v>0</v>
          </cell>
          <cell r="EG903">
            <v>0</v>
          </cell>
          <cell r="EH903">
            <v>0</v>
          </cell>
          <cell r="EI903">
            <v>0</v>
          </cell>
          <cell r="EK903">
            <v>0</v>
          </cell>
          <cell r="EL903">
            <v>0</v>
          </cell>
          <cell r="EM903">
            <v>0</v>
          </cell>
          <cell r="EN903">
            <v>0</v>
          </cell>
          <cell r="EO903">
            <v>0</v>
          </cell>
          <cell r="EP903">
            <v>0</v>
          </cell>
          <cell r="EQ903">
            <v>0</v>
          </cell>
          <cell r="ER903">
            <v>0</v>
          </cell>
          <cell r="ES903">
            <v>0</v>
          </cell>
          <cell r="ET903">
            <v>0</v>
          </cell>
          <cell r="EU903">
            <v>0</v>
          </cell>
          <cell r="EV903">
            <v>0</v>
          </cell>
          <cell r="EW903">
            <v>0</v>
          </cell>
          <cell r="EY903">
            <v>0</v>
          </cell>
          <cell r="EZ903">
            <v>8</v>
          </cell>
          <cell r="FA903">
            <v>0</v>
          </cell>
          <cell r="FB903">
            <v>0</v>
          </cell>
          <cell r="FC903">
            <v>8.6</v>
          </cell>
          <cell r="FD903">
            <v>0</v>
          </cell>
          <cell r="FE903">
            <v>0</v>
          </cell>
          <cell r="FF903">
            <v>0</v>
          </cell>
          <cell r="FH903">
            <v>0</v>
          </cell>
        </row>
        <row r="904">
          <cell r="B904">
            <v>10035</v>
          </cell>
          <cell r="C904" t="str">
            <v>09.04.2013</v>
          </cell>
          <cell r="D904" t="str">
            <v>Dushing Rahul Raosaheb</v>
          </cell>
          <cell r="F904">
            <v>0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0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  <cell r="AG904">
            <v>0</v>
          </cell>
          <cell r="AH904">
            <v>0</v>
          </cell>
          <cell r="AI904">
            <v>0</v>
          </cell>
          <cell r="AJ904">
            <v>0</v>
          </cell>
          <cell r="AK904">
            <v>0</v>
          </cell>
          <cell r="AL904">
            <v>0</v>
          </cell>
          <cell r="AM904">
            <v>0</v>
          </cell>
          <cell r="AN904">
            <v>0</v>
          </cell>
          <cell r="AO904">
            <v>0</v>
          </cell>
          <cell r="AQ904">
            <v>0</v>
          </cell>
          <cell r="AR904">
            <v>0</v>
          </cell>
          <cell r="AS904">
            <v>0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BA904">
            <v>0</v>
          </cell>
          <cell r="BB904">
            <v>0</v>
          </cell>
          <cell r="BC904">
            <v>0</v>
          </cell>
          <cell r="BD904">
            <v>0</v>
          </cell>
          <cell r="BE904">
            <v>0</v>
          </cell>
          <cell r="BF904">
            <v>0</v>
          </cell>
          <cell r="BG904">
            <v>0</v>
          </cell>
          <cell r="BH904">
            <v>0</v>
          </cell>
          <cell r="BI904">
            <v>0</v>
          </cell>
          <cell r="BK904">
            <v>0</v>
          </cell>
          <cell r="BL904">
            <v>0</v>
          </cell>
          <cell r="BM904">
            <v>0</v>
          </cell>
          <cell r="BN904">
            <v>0</v>
          </cell>
          <cell r="BO904">
            <v>0</v>
          </cell>
          <cell r="BP904">
            <v>0</v>
          </cell>
          <cell r="BQ904">
            <v>0</v>
          </cell>
          <cell r="BR904">
            <v>0</v>
          </cell>
          <cell r="BS904">
            <v>0</v>
          </cell>
          <cell r="BU904">
            <v>0</v>
          </cell>
          <cell r="BV904">
            <v>0</v>
          </cell>
          <cell r="BW904">
            <v>0</v>
          </cell>
          <cell r="BX904">
            <v>0</v>
          </cell>
          <cell r="BY904">
            <v>0</v>
          </cell>
          <cell r="BZ904">
            <v>0</v>
          </cell>
          <cell r="CA904">
            <v>0</v>
          </cell>
          <cell r="CB904">
            <v>0</v>
          </cell>
          <cell r="CC904">
            <v>0</v>
          </cell>
          <cell r="CE904">
            <v>0</v>
          </cell>
          <cell r="CF904">
            <v>0</v>
          </cell>
          <cell r="CG904">
            <v>0</v>
          </cell>
          <cell r="CH904">
            <v>0</v>
          </cell>
          <cell r="CI904">
            <v>0</v>
          </cell>
          <cell r="CJ904">
            <v>0</v>
          </cell>
          <cell r="CK904">
            <v>0</v>
          </cell>
          <cell r="CL904">
            <v>0</v>
          </cell>
          <cell r="CM904">
            <v>0</v>
          </cell>
          <cell r="CO904">
            <v>0</v>
          </cell>
          <cell r="CP904">
            <v>0</v>
          </cell>
          <cell r="CQ904">
            <v>0</v>
          </cell>
          <cell r="CR904">
            <v>0</v>
          </cell>
          <cell r="CS904">
            <v>0</v>
          </cell>
          <cell r="CT904">
            <v>0</v>
          </cell>
          <cell r="CU904">
            <v>0</v>
          </cell>
          <cell r="CV904">
            <v>0</v>
          </cell>
          <cell r="CW904">
            <v>0</v>
          </cell>
          <cell r="CY904">
            <v>0</v>
          </cell>
          <cell r="CZ904">
            <v>0</v>
          </cell>
          <cell r="DA904">
            <v>0</v>
          </cell>
          <cell r="DB904">
            <v>0</v>
          </cell>
          <cell r="DC904">
            <v>0</v>
          </cell>
          <cell r="DD904">
            <v>0</v>
          </cell>
          <cell r="DE904">
            <v>0</v>
          </cell>
          <cell r="DF904">
            <v>0</v>
          </cell>
          <cell r="DG904">
            <v>0</v>
          </cell>
          <cell r="DI904">
            <v>0</v>
          </cell>
          <cell r="DJ904">
            <v>0</v>
          </cell>
          <cell r="DK904">
            <v>0</v>
          </cell>
          <cell r="DL904">
            <v>0</v>
          </cell>
          <cell r="DM904">
            <v>0</v>
          </cell>
          <cell r="DN904">
            <v>0</v>
          </cell>
          <cell r="DO904">
            <v>0</v>
          </cell>
          <cell r="DP904">
            <v>0</v>
          </cell>
          <cell r="DQ904">
            <v>0</v>
          </cell>
          <cell r="DR904">
            <v>0</v>
          </cell>
          <cell r="DS904">
            <v>0</v>
          </cell>
          <cell r="DT904">
            <v>0</v>
          </cell>
          <cell r="DU904">
            <v>0</v>
          </cell>
          <cell r="DW904">
            <v>0</v>
          </cell>
          <cell r="DX904">
            <v>0</v>
          </cell>
          <cell r="DY904">
            <v>0</v>
          </cell>
          <cell r="DZ904">
            <v>0</v>
          </cell>
          <cell r="EA904">
            <v>0</v>
          </cell>
          <cell r="EB904">
            <v>0</v>
          </cell>
          <cell r="EC904">
            <v>0</v>
          </cell>
          <cell r="ED904">
            <v>0</v>
          </cell>
          <cell r="EE904">
            <v>0</v>
          </cell>
          <cell r="EF904">
            <v>0</v>
          </cell>
          <cell r="EG904">
            <v>0</v>
          </cell>
          <cell r="EH904">
            <v>0</v>
          </cell>
          <cell r="EI904">
            <v>0</v>
          </cell>
          <cell r="EK904">
            <v>0</v>
          </cell>
          <cell r="EL904">
            <v>0</v>
          </cell>
          <cell r="EM904">
            <v>0</v>
          </cell>
          <cell r="EN904">
            <v>0</v>
          </cell>
          <cell r="EO904">
            <v>0</v>
          </cell>
          <cell r="EP904">
            <v>0</v>
          </cell>
          <cell r="EQ904">
            <v>0</v>
          </cell>
          <cell r="ER904">
            <v>0</v>
          </cell>
          <cell r="ES904">
            <v>0</v>
          </cell>
          <cell r="ET904">
            <v>0</v>
          </cell>
          <cell r="EU904">
            <v>0</v>
          </cell>
          <cell r="EV904">
            <v>0</v>
          </cell>
          <cell r="EW904">
            <v>0</v>
          </cell>
          <cell r="EY904">
            <v>0</v>
          </cell>
          <cell r="EZ904">
            <v>8</v>
          </cell>
          <cell r="FA904">
            <v>0</v>
          </cell>
          <cell r="FB904">
            <v>0</v>
          </cell>
          <cell r="FC904">
            <v>8.6</v>
          </cell>
          <cell r="FD904">
            <v>0</v>
          </cell>
          <cell r="FE904">
            <v>0</v>
          </cell>
          <cell r="FF904">
            <v>0</v>
          </cell>
          <cell r="FH904">
            <v>0</v>
          </cell>
        </row>
        <row r="905">
          <cell r="B905">
            <v>10036</v>
          </cell>
          <cell r="C905" t="str">
            <v>07.05.2013</v>
          </cell>
          <cell r="D905" t="str">
            <v>Salvi Loukik Aakash</v>
          </cell>
          <cell r="F905">
            <v>0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  <cell r="T905">
            <v>0</v>
          </cell>
          <cell r="U905">
            <v>0</v>
          </cell>
          <cell r="W905">
            <v>0</v>
          </cell>
          <cell r="X905">
            <v>0</v>
          </cell>
          <cell r="Y905">
            <v>0</v>
          </cell>
          <cell r="Z905">
            <v>0</v>
          </cell>
          <cell r="AA905">
            <v>0</v>
          </cell>
          <cell r="AB905">
            <v>0</v>
          </cell>
          <cell r="AC905">
            <v>0</v>
          </cell>
          <cell r="AD905">
            <v>0</v>
          </cell>
          <cell r="AE905">
            <v>0</v>
          </cell>
          <cell r="AG905">
            <v>0</v>
          </cell>
          <cell r="AH905">
            <v>0</v>
          </cell>
          <cell r="AI905">
            <v>0</v>
          </cell>
          <cell r="AJ905">
            <v>0</v>
          </cell>
          <cell r="AK905">
            <v>0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  <cell r="AQ905">
            <v>0</v>
          </cell>
          <cell r="AR905">
            <v>0</v>
          </cell>
          <cell r="AS905">
            <v>0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BA905">
            <v>0</v>
          </cell>
          <cell r="BB905">
            <v>0</v>
          </cell>
          <cell r="BC905">
            <v>0</v>
          </cell>
          <cell r="BD905">
            <v>0</v>
          </cell>
          <cell r="BE905">
            <v>0</v>
          </cell>
          <cell r="BF905">
            <v>0</v>
          </cell>
          <cell r="BG905">
            <v>0</v>
          </cell>
          <cell r="BH905">
            <v>0</v>
          </cell>
          <cell r="BI905">
            <v>0</v>
          </cell>
          <cell r="BK905">
            <v>0</v>
          </cell>
          <cell r="BL905">
            <v>0</v>
          </cell>
          <cell r="BM905">
            <v>0</v>
          </cell>
          <cell r="BN905">
            <v>0</v>
          </cell>
          <cell r="BO905">
            <v>0</v>
          </cell>
          <cell r="BP905">
            <v>0</v>
          </cell>
          <cell r="BQ905">
            <v>0</v>
          </cell>
          <cell r="BR905">
            <v>0</v>
          </cell>
          <cell r="BS905">
            <v>0</v>
          </cell>
          <cell r="BU905">
            <v>0</v>
          </cell>
          <cell r="BV905">
            <v>0</v>
          </cell>
          <cell r="BW905">
            <v>0</v>
          </cell>
          <cell r="BX905">
            <v>0</v>
          </cell>
          <cell r="BY905">
            <v>0</v>
          </cell>
          <cell r="BZ905">
            <v>0</v>
          </cell>
          <cell r="CA905">
            <v>0</v>
          </cell>
          <cell r="CB905">
            <v>0</v>
          </cell>
          <cell r="CC905">
            <v>0</v>
          </cell>
          <cell r="CE905">
            <v>0</v>
          </cell>
          <cell r="CF905">
            <v>0</v>
          </cell>
          <cell r="CG905">
            <v>0</v>
          </cell>
          <cell r="CH905">
            <v>0</v>
          </cell>
          <cell r="CI905">
            <v>0</v>
          </cell>
          <cell r="CJ905">
            <v>0</v>
          </cell>
          <cell r="CK905">
            <v>0</v>
          </cell>
          <cell r="CL905">
            <v>0</v>
          </cell>
          <cell r="CM905">
            <v>0</v>
          </cell>
          <cell r="CO905">
            <v>0</v>
          </cell>
          <cell r="CP905">
            <v>0</v>
          </cell>
          <cell r="CQ905">
            <v>0</v>
          </cell>
          <cell r="CR905">
            <v>0</v>
          </cell>
          <cell r="CS905">
            <v>0</v>
          </cell>
          <cell r="CT905">
            <v>0</v>
          </cell>
          <cell r="CU905">
            <v>0</v>
          </cell>
          <cell r="CV905">
            <v>0</v>
          </cell>
          <cell r="CW905">
            <v>0</v>
          </cell>
          <cell r="CY905">
            <v>0</v>
          </cell>
          <cell r="CZ905">
            <v>0</v>
          </cell>
          <cell r="DA905">
            <v>0</v>
          </cell>
          <cell r="DB905">
            <v>0</v>
          </cell>
          <cell r="DC905">
            <v>0</v>
          </cell>
          <cell r="DD905">
            <v>0</v>
          </cell>
          <cell r="DE905">
            <v>0</v>
          </cell>
          <cell r="DF905">
            <v>0</v>
          </cell>
          <cell r="DG905">
            <v>0</v>
          </cell>
          <cell r="DI905">
            <v>0</v>
          </cell>
          <cell r="DJ905">
            <v>0</v>
          </cell>
          <cell r="DK905">
            <v>0</v>
          </cell>
          <cell r="DL905">
            <v>0</v>
          </cell>
          <cell r="DM905">
            <v>0</v>
          </cell>
          <cell r="DN905">
            <v>0</v>
          </cell>
          <cell r="DO905">
            <v>0</v>
          </cell>
          <cell r="DP905">
            <v>0</v>
          </cell>
          <cell r="DQ905">
            <v>0</v>
          </cell>
          <cell r="DR905">
            <v>0</v>
          </cell>
          <cell r="DS905">
            <v>0</v>
          </cell>
          <cell r="DT905">
            <v>0</v>
          </cell>
          <cell r="DU905">
            <v>0</v>
          </cell>
          <cell r="DW905">
            <v>0</v>
          </cell>
          <cell r="DX905">
            <v>0</v>
          </cell>
          <cell r="DY905">
            <v>0</v>
          </cell>
          <cell r="DZ905">
            <v>0</v>
          </cell>
          <cell r="EA905">
            <v>0</v>
          </cell>
          <cell r="EB905">
            <v>0</v>
          </cell>
          <cell r="EC905">
            <v>0</v>
          </cell>
          <cell r="ED905">
            <v>0</v>
          </cell>
          <cell r="EE905">
            <v>0</v>
          </cell>
          <cell r="EF905">
            <v>0</v>
          </cell>
          <cell r="EG905">
            <v>0</v>
          </cell>
          <cell r="EH905">
            <v>0</v>
          </cell>
          <cell r="EI905">
            <v>0</v>
          </cell>
          <cell r="EK905">
            <v>0</v>
          </cell>
          <cell r="EL905">
            <v>0</v>
          </cell>
          <cell r="EM905">
            <v>0</v>
          </cell>
          <cell r="EN905">
            <v>0</v>
          </cell>
          <cell r="EO905">
            <v>0</v>
          </cell>
          <cell r="EP905">
            <v>0</v>
          </cell>
          <cell r="EQ905">
            <v>0</v>
          </cell>
          <cell r="ER905">
            <v>0</v>
          </cell>
          <cell r="ES905">
            <v>0</v>
          </cell>
          <cell r="ET905">
            <v>0</v>
          </cell>
          <cell r="EU905">
            <v>0</v>
          </cell>
          <cell r="EV905">
            <v>0</v>
          </cell>
          <cell r="EW905">
            <v>0</v>
          </cell>
          <cell r="EY905">
            <v>0</v>
          </cell>
          <cell r="EZ905">
            <v>8</v>
          </cell>
          <cell r="FA905">
            <v>0</v>
          </cell>
          <cell r="FB905">
            <v>0</v>
          </cell>
          <cell r="FC905">
            <v>8.6</v>
          </cell>
          <cell r="FD905">
            <v>0</v>
          </cell>
          <cell r="FE905">
            <v>0</v>
          </cell>
          <cell r="FF905">
            <v>0</v>
          </cell>
          <cell r="FH905">
            <v>0</v>
          </cell>
        </row>
        <row r="906">
          <cell r="B906">
            <v>9725</v>
          </cell>
          <cell r="C906" t="str">
            <v>19.06.2013</v>
          </cell>
          <cell r="D906" t="str">
            <v>Lande Rajesh Gopalrao</v>
          </cell>
          <cell r="F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Q906">
            <v>0</v>
          </cell>
          <cell r="AR906">
            <v>0</v>
          </cell>
          <cell r="AS906">
            <v>0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BA906">
            <v>0</v>
          </cell>
          <cell r="BB906">
            <v>0</v>
          </cell>
          <cell r="BC906">
            <v>0</v>
          </cell>
          <cell r="BD906">
            <v>0</v>
          </cell>
          <cell r="BE906">
            <v>0</v>
          </cell>
          <cell r="BF906">
            <v>0</v>
          </cell>
          <cell r="BG906">
            <v>0</v>
          </cell>
          <cell r="BH906">
            <v>0</v>
          </cell>
          <cell r="BI906">
            <v>0</v>
          </cell>
          <cell r="BK906">
            <v>0</v>
          </cell>
          <cell r="BL906">
            <v>0</v>
          </cell>
          <cell r="BM906">
            <v>0</v>
          </cell>
          <cell r="BN906">
            <v>0</v>
          </cell>
          <cell r="BO906">
            <v>0</v>
          </cell>
          <cell r="BP906">
            <v>0</v>
          </cell>
          <cell r="BQ906">
            <v>0</v>
          </cell>
          <cell r="BR906">
            <v>0</v>
          </cell>
          <cell r="BS906">
            <v>0</v>
          </cell>
          <cell r="BU906">
            <v>0</v>
          </cell>
          <cell r="BV906">
            <v>0</v>
          </cell>
          <cell r="BW906">
            <v>0</v>
          </cell>
          <cell r="BX906">
            <v>0</v>
          </cell>
          <cell r="BY906">
            <v>0</v>
          </cell>
          <cell r="BZ906">
            <v>0</v>
          </cell>
          <cell r="CA906">
            <v>0</v>
          </cell>
          <cell r="CB906">
            <v>0</v>
          </cell>
          <cell r="CC906">
            <v>0</v>
          </cell>
          <cell r="CE906">
            <v>0</v>
          </cell>
          <cell r="CF906">
            <v>0</v>
          </cell>
          <cell r="CG906">
            <v>0</v>
          </cell>
          <cell r="CH906">
            <v>0</v>
          </cell>
          <cell r="CI906">
            <v>0</v>
          </cell>
          <cell r="CJ906">
            <v>0</v>
          </cell>
          <cell r="CK906">
            <v>0</v>
          </cell>
          <cell r="CL906">
            <v>0</v>
          </cell>
          <cell r="CM906">
            <v>0</v>
          </cell>
          <cell r="CO906">
            <v>0</v>
          </cell>
          <cell r="CP906">
            <v>0</v>
          </cell>
          <cell r="CQ906">
            <v>0</v>
          </cell>
          <cell r="CR906">
            <v>0</v>
          </cell>
          <cell r="CS906">
            <v>0</v>
          </cell>
          <cell r="CT906">
            <v>0</v>
          </cell>
          <cell r="CU906">
            <v>0</v>
          </cell>
          <cell r="CV906">
            <v>0</v>
          </cell>
          <cell r="CW906">
            <v>0</v>
          </cell>
          <cell r="CY906">
            <v>0</v>
          </cell>
          <cell r="CZ906">
            <v>0</v>
          </cell>
          <cell r="DA906">
            <v>0</v>
          </cell>
          <cell r="DB906">
            <v>0</v>
          </cell>
          <cell r="DC906">
            <v>0</v>
          </cell>
          <cell r="DD906">
            <v>0</v>
          </cell>
          <cell r="DE906">
            <v>0</v>
          </cell>
          <cell r="DF906">
            <v>0</v>
          </cell>
          <cell r="DG906">
            <v>0</v>
          </cell>
          <cell r="DI906">
            <v>0</v>
          </cell>
          <cell r="DJ906">
            <v>0</v>
          </cell>
          <cell r="DK906">
            <v>0</v>
          </cell>
          <cell r="DL906">
            <v>0</v>
          </cell>
          <cell r="DM906">
            <v>0</v>
          </cell>
          <cell r="DN906">
            <v>0</v>
          </cell>
          <cell r="DO906">
            <v>0</v>
          </cell>
          <cell r="DP906">
            <v>0</v>
          </cell>
          <cell r="DQ906">
            <v>0</v>
          </cell>
          <cell r="DR906">
            <v>0</v>
          </cell>
          <cell r="DS906">
            <v>0</v>
          </cell>
          <cell r="DT906">
            <v>0</v>
          </cell>
          <cell r="DU906">
            <v>0</v>
          </cell>
          <cell r="DW906">
            <v>0</v>
          </cell>
          <cell r="DX906">
            <v>0</v>
          </cell>
          <cell r="DY906">
            <v>0</v>
          </cell>
          <cell r="DZ906">
            <v>0</v>
          </cell>
          <cell r="EA906">
            <v>0</v>
          </cell>
          <cell r="EB906">
            <v>0</v>
          </cell>
          <cell r="EC906">
            <v>0</v>
          </cell>
          <cell r="ED906">
            <v>0</v>
          </cell>
          <cell r="EE906">
            <v>0</v>
          </cell>
          <cell r="EF906">
            <v>0</v>
          </cell>
          <cell r="EG906">
            <v>0</v>
          </cell>
          <cell r="EH906">
            <v>0</v>
          </cell>
          <cell r="EI906">
            <v>0</v>
          </cell>
          <cell r="EK906">
            <v>0</v>
          </cell>
          <cell r="EL906">
            <v>0</v>
          </cell>
          <cell r="EM906">
            <v>0</v>
          </cell>
          <cell r="EN906">
            <v>0</v>
          </cell>
          <cell r="EO906">
            <v>0</v>
          </cell>
          <cell r="EP906">
            <v>0</v>
          </cell>
          <cell r="EQ906">
            <v>0</v>
          </cell>
          <cell r="ER906">
            <v>0</v>
          </cell>
          <cell r="ES906">
            <v>0</v>
          </cell>
          <cell r="ET906">
            <v>0</v>
          </cell>
          <cell r="EU906">
            <v>0</v>
          </cell>
          <cell r="EV906">
            <v>0</v>
          </cell>
          <cell r="EW906">
            <v>0</v>
          </cell>
          <cell r="EY906">
            <v>0</v>
          </cell>
          <cell r="EZ906">
            <v>8</v>
          </cell>
          <cell r="FA906">
            <v>0</v>
          </cell>
          <cell r="FB906">
            <v>0</v>
          </cell>
          <cell r="FC906">
            <v>8.6</v>
          </cell>
          <cell r="FD906">
            <v>0</v>
          </cell>
          <cell r="FE906">
            <v>0</v>
          </cell>
          <cell r="FF906">
            <v>0</v>
          </cell>
          <cell r="FH906">
            <v>0</v>
          </cell>
        </row>
        <row r="907">
          <cell r="B907">
            <v>10037</v>
          </cell>
          <cell r="C907" t="str">
            <v>25.06.2013</v>
          </cell>
          <cell r="D907" t="str">
            <v>Chavan Manjusha Mavaji</v>
          </cell>
          <cell r="F907">
            <v>0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0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0</v>
          </cell>
          <cell r="AG907">
            <v>0</v>
          </cell>
          <cell r="AH907">
            <v>0</v>
          </cell>
          <cell r="AI907">
            <v>0</v>
          </cell>
          <cell r="AJ907">
            <v>0</v>
          </cell>
          <cell r="AK907">
            <v>0</v>
          </cell>
          <cell r="AL907">
            <v>0</v>
          </cell>
          <cell r="AM907">
            <v>0</v>
          </cell>
          <cell r="AN907">
            <v>0</v>
          </cell>
          <cell r="AO907">
            <v>0</v>
          </cell>
          <cell r="AQ907">
            <v>0</v>
          </cell>
          <cell r="AR907">
            <v>0</v>
          </cell>
          <cell r="AS907">
            <v>0</v>
          </cell>
          <cell r="AT907">
            <v>0</v>
          </cell>
          <cell r="AU907">
            <v>0</v>
          </cell>
          <cell r="AV907">
            <v>0</v>
          </cell>
          <cell r="AW907">
            <v>0</v>
          </cell>
          <cell r="AX907">
            <v>0</v>
          </cell>
          <cell r="AY907">
            <v>0</v>
          </cell>
          <cell r="BA907">
            <v>0</v>
          </cell>
          <cell r="BB907">
            <v>0</v>
          </cell>
          <cell r="BC907">
            <v>0</v>
          </cell>
          <cell r="BD907">
            <v>0</v>
          </cell>
          <cell r="BE907">
            <v>0</v>
          </cell>
          <cell r="BF907">
            <v>0</v>
          </cell>
          <cell r="BG907">
            <v>0</v>
          </cell>
          <cell r="BH907">
            <v>0</v>
          </cell>
          <cell r="BI907">
            <v>0</v>
          </cell>
          <cell r="BK907">
            <v>0</v>
          </cell>
          <cell r="BL907">
            <v>0</v>
          </cell>
          <cell r="BM907">
            <v>0</v>
          </cell>
          <cell r="BN907">
            <v>0</v>
          </cell>
          <cell r="BO907">
            <v>0</v>
          </cell>
          <cell r="BP907">
            <v>0</v>
          </cell>
          <cell r="BQ907">
            <v>0</v>
          </cell>
          <cell r="BR907">
            <v>0</v>
          </cell>
          <cell r="BS907">
            <v>0</v>
          </cell>
          <cell r="BU907">
            <v>0</v>
          </cell>
          <cell r="BV907">
            <v>0</v>
          </cell>
          <cell r="BW907">
            <v>0</v>
          </cell>
          <cell r="BX907">
            <v>0</v>
          </cell>
          <cell r="BY907">
            <v>0</v>
          </cell>
          <cell r="BZ907">
            <v>0</v>
          </cell>
          <cell r="CA907">
            <v>0</v>
          </cell>
          <cell r="CB907">
            <v>0</v>
          </cell>
          <cell r="CC907">
            <v>0</v>
          </cell>
          <cell r="CE907">
            <v>0</v>
          </cell>
          <cell r="CF907">
            <v>0</v>
          </cell>
          <cell r="CG907">
            <v>0</v>
          </cell>
          <cell r="CH907">
            <v>0</v>
          </cell>
          <cell r="CI907">
            <v>0</v>
          </cell>
          <cell r="CJ907">
            <v>0</v>
          </cell>
          <cell r="CK907">
            <v>0</v>
          </cell>
          <cell r="CL907">
            <v>0</v>
          </cell>
          <cell r="CM907">
            <v>0</v>
          </cell>
          <cell r="CO907">
            <v>0</v>
          </cell>
          <cell r="CP907">
            <v>0</v>
          </cell>
          <cell r="CQ907">
            <v>0</v>
          </cell>
          <cell r="CR907">
            <v>0</v>
          </cell>
          <cell r="CS907">
            <v>0</v>
          </cell>
          <cell r="CT907">
            <v>0</v>
          </cell>
          <cell r="CU907">
            <v>0</v>
          </cell>
          <cell r="CV907">
            <v>0</v>
          </cell>
          <cell r="CW907">
            <v>0</v>
          </cell>
          <cell r="CY907">
            <v>0</v>
          </cell>
          <cell r="CZ907">
            <v>0</v>
          </cell>
          <cell r="DA907">
            <v>0</v>
          </cell>
          <cell r="DB907">
            <v>0</v>
          </cell>
          <cell r="DC907">
            <v>0</v>
          </cell>
          <cell r="DD907">
            <v>0</v>
          </cell>
          <cell r="DE907">
            <v>0</v>
          </cell>
          <cell r="DF907">
            <v>0</v>
          </cell>
          <cell r="DG907">
            <v>0</v>
          </cell>
          <cell r="DI907">
            <v>0</v>
          </cell>
          <cell r="DJ907">
            <v>0</v>
          </cell>
          <cell r="DK907">
            <v>0</v>
          </cell>
          <cell r="DL907">
            <v>0</v>
          </cell>
          <cell r="DM907">
            <v>0</v>
          </cell>
          <cell r="DN907">
            <v>0</v>
          </cell>
          <cell r="DO907">
            <v>0</v>
          </cell>
          <cell r="DP907">
            <v>0</v>
          </cell>
          <cell r="DQ907">
            <v>0</v>
          </cell>
          <cell r="DR907">
            <v>0</v>
          </cell>
          <cell r="DS907">
            <v>0</v>
          </cell>
          <cell r="DT907">
            <v>0</v>
          </cell>
          <cell r="DU907">
            <v>0</v>
          </cell>
          <cell r="DW907">
            <v>0</v>
          </cell>
          <cell r="DX907">
            <v>0</v>
          </cell>
          <cell r="DY907">
            <v>0</v>
          </cell>
          <cell r="DZ907">
            <v>0</v>
          </cell>
          <cell r="EA907">
            <v>0</v>
          </cell>
          <cell r="EB907">
            <v>0</v>
          </cell>
          <cell r="EC907">
            <v>0</v>
          </cell>
          <cell r="ED907">
            <v>0</v>
          </cell>
          <cell r="EE907">
            <v>0</v>
          </cell>
          <cell r="EF907">
            <v>0</v>
          </cell>
          <cell r="EG907">
            <v>0</v>
          </cell>
          <cell r="EH907">
            <v>0</v>
          </cell>
          <cell r="EI907">
            <v>0</v>
          </cell>
          <cell r="EK907">
            <v>0</v>
          </cell>
          <cell r="EL907">
            <v>0</v>
          </cell>
          <cell r="EM907">
            <v>0</v>
          </cell>
          <cell r="EN907">
            <v>0</v>
          </cell>
          <cell r="EO907">
            <v>0</v>
          </cell>
          <cell r="EP907">
            <v>0</v>
          </cell>
          <cell r="EQ907">
            <v>0</v>
          </cell>
          <cell r="ER907">
            <v>0</v>
          </cell>
          <cell r="ES907">
            <v>0</v>
          </cell>
          <cell r="ET907">
            <v>0</v>
          </cell>
          <cell r="EU907">
            <v>0</v>
          </cell>
          <cell r="EV907">
            <v>0</v>
          </cell>
          <cell r="EW907">
            <v>0</v>
          </cell>
          <cell r="EY907">
            <v>0</v>
          </cell>
          <cell r="EZ907">
            <v>8</v>
          </cell>
          <cell r="FA907">
            <v>0</v>
          </cell>
          <cell r="FB907">
            <v>0</v>
          </cell>
          <cell r="FC907">
            <v>8.6</v>
          </cell>
          <cell r="FD907">
            <v>0</v>
          </cell>
          <cell r="FE907">
            <v>0</v>
          </cell>
          <cell r="FF907">
            <v>0</v>
          </cell>
          <cell r="FH907">
            <v>0</v>
          </cell>
        </row>
        <row r="908">
          <cell r="B908">
            <v>10038</v>
          </cell>
          <cell r="C908" t="str">
            <v>25.06.2013</v>
          </cell>
          <cell r="D908" t="str">
            <v>Shardul Kachabai Kishor</v>
          </cell>
          <cell r="F908">
            <v>0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W908">
            <v>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0</v>
          </cell>
          <cell r="AC908">
            <v>0</v>
          </cell>
          <cell r="AD908">
            <v>0</v>
          </cell>
          <cell r="AE908">
            <v>0</v>
          </cell>
          <cell r="AG908">
            <v>0</v>
          </cell>
          <cell r="AH908">
            <v>0</v>
          </cell>
          <cell r="AI908">
            <v>0</v>
          </cell>
          <cell r="AJ908">
            <v>0</v>
          </cell>
          <cell r="AK908">
            <v>0</v>
          </cell>
          <cell r="AL908">
            <v>0</v>
          </cell>
          <cell r="AM908">
            <v>0</v>
          </cell>
          <cell r="AN908">
            <v>0</v>
          </cell>
          <cell r="AO908">
            <v>0</v>
          </cell>
          <cell r="AQ908">
            <v>0</v>
          </cell>
          <cell r="AR908">
            <v>0</v>
          </cell>
          <cell r="AS908">
            <v>0</v>
          </cell>
          <cell r="AT908">
            <v>0</v>
          </cell>
          <cell r="AU908">
            <v>0</v>
          </cell>
          <cell r="AV908">
            <v>0</v>
          </cell>
          <cell r="AW908">
            <v>0</v>
          </cell>
          <cell r="AX908">
            <v>0</v>
          </cell>
          <cell r="AY908">
            <v>0</v>
          </cell>
          <cell r="BA908">
            <v>0</v>
          </cell>
          <cell r="BB908">
            <v>0</v>
          </cell>
          <cell r="BC908">
            <v>0</v>
          </cell>
          <cell r="BD908">
            <v>0</v>
          </cell>
          <cell r="BE908">
            <v>0</v>
          </cell>
          <cell r="BF908">
            <v>0</v>
          </cell>
          <cell r="BG908">
            <v>0</v>
          </cell>
          <cell r="BH908">
            <v>0</v>
          </cell>
          <cell r="BI908">
            <v>0</v>
          </cell>
          <cell r="BK908">
            <v>0</v>
          </cell>
          <cell r="BL908">
            <v>0</v>
          </cell>
          <cell r="BM908">
            <v>0</v>
          </cell>
          <cell r="BN908">
            <v>0</v>
          </cell>
          <cell r="BO908">
            <v>0</v>
          </cell>
          <cell r="BP908">
            <v>0</v>
          </cell>
          <cell r="BQ908">
            <v>0</v>
          </cell>
          <cell r="BR908">
            <v>0</v>
          </cell>
          <cell r="BS908">
            <v>0</v>
          </cell>
          <cell r="BU908">
            <v>0</v>
          </cell>
          <cell r="BV908">
            <v>0</v>
          </cell>
          <cell r="BW908">
            <v>0</v>
          </cell>
          <cell r="BX908">
            <v>0</v>
          </cell>
          <cell r="BY908">
            <v>0</v>
          </cell>
          <cell r="BZ908">
            <v>0</v>
          </cell>
          <cell r="CA908">
            <v>0</v>
          </cell>
          <cell r="CB908">
            <v>0</v>
          </cell>
          <cell r="CC908">
            <v>0</v>
          </cell>
          <cell r="CE908">
            <v>0</v>
          </cell>
          <cell r="CF908">
            <v>0</v>
          </cell>
          <cell r="CG908">
            <v>0</v>
          </cell>
          <cell r="CH908">
            <v>0</v>
          </cell>
          <cell r="CI908">
            <v>0</v>
          </cell>
          <cell r="CJ908">
            <v>0</v>
          </cell>
          <cell r="CK908">
            <v>0</v>
          </cell>
          <cell r="CL908">
            <v>0</v>
          </cell>
          <cell r="CM908">
            <v>0</v>
          </cell>
          <cell r="CO908">
            <v>0</v>
          </cell>
          <cell r="CP908">
            <v>0</v>
          </cell>
          <cell r="CQ908">
            <v>0</v>
          </cell>
          <cell r="CR908">
            <v>0</v>
          </cell>
          <cell r="CS908">
            <v>0</v>
          </cell>
          <cell r="CT908">
            <v>0</v>
          </cell>
          <cell r="CU908">
            <v>0</v>
          </cell>
          <cell r="CV908">
            <v>0</v>
          </cell>
          <cell r="CW908">
            <v>0</v>
          </cell>
          <cell r="CY908">
            <v>0</v>
          </cell>
          <cell r="CZ908">
            <v>0</v>
          </cell>
          <cell r="DA908">
            <v>0</v>
          </cell>
          <cell r="DB908">
            <v>0</v>
          </cell>
          <cell r="DC908">
            <v>0</v>
          </cell>
          <cell r="DD908">
            <v>0</v>
          </cell>
          <cell r="DE908">
            <v>0</v>
          </cell>
          <cell r="DF908">
            <v>0</v>
          </cell>
          <cell r="DG908">
            <v>0</v>
          </cell>
          <cell r="DI908">
            <v>0</v>
          </cell>
          <cell r="DJ908">
            <v>0</v>
          </cell>
          <cell r="DK908">
            <v>0</v>
          </cell>
          <cell r="DL908">
            <v>0</v>
          </cell>
          <cell r="DM908">
            <v>0</v>
          </cell>
          <cell r="DN908">
            <v>0</v>
          </cell>
          <cell r="DO908">
            <v>0</v>
          </cell>
          <cell r="DP908">
            <v>0</v>
          </cell>
          <cell r="DQ908">
            <v>0</v>
          </cell>
          <cell r="DR908">
            <v>0</v>
          </cell>
          <cell r="DS908">
            <v>0</v>
          </cell>
          <cell r="DT908">
            <v>0</v>
          </cell>
          <cell r="DU908">
            <v>0</v>
          </cell>
          <cell r="DW908">
            <v>0</v>
          </cell>
          <cell r="DX908">
            <v>0</v>
          </cell>
          <cell r="DY908">
            <v>0</v>
          </cell>
          <cell r="DZ908">
            <v>0</v>
          </cell>
          <cell r="EA908">
            <v>0</v>
          </cell>
          <cell r="EB908">
            <v>0</v>
          </cell>
          <cell r="EC908">
            <v>0</v>
          </cell>
          <cell r="ED908">
            <v>0</v>
          </cell>
          <cell r="EE908">
            <v>0</v>
          </cell>
          <cell r="EF908">
            <v>0</v>
          </cell>
          <cell r="EG908">
            <v>0</v>
          </cell>
          <cell r="EH908">
            <v>0</v>
          </cell>
          <cell r="EI908">
            <v>0</v>
          </cell>
          <cell r="EK908">
            <v>0</v>
          </cell>
          <cell r="EL908">
            <v>0</v>
          </cell>
          <cell r="EM908">
            <v>0</v>
          </cell>
          <cell r="EN908">
            <v>0</v>
          </cell>
          <cell r="EO908">
            <v>0</v>
          </cell>
          <cell r="EP908">
            <v>0</v>
          </cell>
          <cell r="EQ908">
            <v>0</v>
          </cell>
          <cell r="ER908">
            <v>0</v>
          </cell>
          <cell r="ES908">
            <v>0</v>
          </cell>
          <cell r="ET908">
            <v>0</v>
          </cell>
          <cell r="EU908">
            <v>0</v>
          </cell>
          <cell r="EV908">
            <v>0</v>
          </cell>
          <cell r="EW908">
            <v>0</v>
          </cell>
          <cell r="EY908">
            <v>0</v>
          </cell>
          <cell r="EZ908">
            <v>8</v>
          </cell>
          <cell r="FA908">
            <v>0</v>
          </cell>
          <cell r="FB908">
            <v>0</v>
          </cell>
          <cell r="FC908">
            <v>8.6</v>
          </cell>
          <cell r="FD908">
            <v>0</v>
          </cell>
          <cell r="FE908">
            <v>0</v>
          </cell>
          <cell r="FF908">
            <v>0</v>
          </cell>
          <cell r="FH908">
            <v>0</v>
          </cell>
        </row>
        <row r="909">
          <cell r="B909">
            <v>10039</v>
          </cell>
          <cell r="C909" t="str">
            <v>25.06.2013</v>
          </cell>
          <cell r="D909" t="str">
            <v>Goyal Jamuna Raju</v>
          </cell>
          <cell r="F909">
            <v>0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G909">
            <v>0</v>
          </cell>
          <cell r="AH909">
            <v>0</v>
          </cell>
          <cell r="AI909">
            <v>0</v>
          </cell>
          <cell r="AJ909">
            <v>0</v>
          </cell>
          <cell r="AK909">
            <v>0</v>
          </cell>
          <cell r="AL909">
            <v>0</v>
          </cell>
          <cell r="AM909">
            <v>0</v>
          </cell>
          <cell r="AN909">
            <v>0</v>
          </cell>
          <cell r="AO909">
            <v>0</v>
          </cell>
          <cell r="AQ909">
            <v>0</v>
          </cell>
          <cell r="AR909">
            <v>0</v>
          </cell>
          <cell r="AS909">
            <v>0</v>
          </cell>
          <cell r="AT909">
            <v>0</v>
          </cell>
          <cell r="AU909">
            <v>0</v>
          </cell>
          <cell r="AV909">
            <v>0</v>
          </cell>
          <cell r="AW909">
            <v>0</v>
          </cell>
          <cell r="AX909">
            <v>0</v>
          </cell>
          <cell r="AY909">
            <v>0</v>
          </cell>
          <cell r="BA909">
            <v>0</v>
          </cell>
          <cell r="BB909">
            <v>0</v>
          </cell>
          <cell r="BC909">
            <v>0</v>
          </cell>
          <cell r="BD909">
            <v>0</v>
          </cell>
          <cell r="BE909">
            <v>0</v>
          </cell>
          <cell r="BF909">
            <v>0</v>
          </cell>
          <cell r="BG909">
            <v>0</v>
          </cell>
          <cell r="BH909">
            <v>0</v>
          </cell>
          <cell r="BI909">
            <v>0</v>
          </cell>
          <cell r="BK909">
            <v>0</v>
          </cell>
          <cell r="BL909">
            <v>0</v>
          </cell>
          <cell r="BM909">
            <v>0</v>
          </cell>
          <cell r="BN909">
            <v>0</v>
          </cell>
          <cell r="BO909">
            <v>0</v>
          </cell>
          <cell r="BP909">
            <v>0</v>
          </cell>
          <cell r="BQ909">
            <v>0</v>
          </cell>
          <cell r="BR909">
            <v>0</v>
          </cell>
          <cell r="BS909">
            <v>0</v>
          </cell>
          <cell r="BU909">
            <v>0</v>
          </cell>
          <cell r="BV909">
            <v>0</v>
          </cell>
          <cell r="BW909">
            <v>0</v>
          </cell>
          <cell r="BX909">
            <v>0</v>
          </cell>
          <cell r="BY909">
            <v>0</v>
          </cell>
          <cell r="BZ909">
            <v>0</v>
          </cell>
          <cell r="CA909">
            <v>0</v>
          </cell>
          <cell r="CB909">
            <v>0</v>
          </cell>
          <cell r="CC909">
            <v>0</v>
          </cell>
          <cell r="CE909">
            <v>0</v>
          </cell>
          <cell r="CF909">
            <v>0</v>
          </cell>
          <cell r="CG909">
            <v>0</v>
          </cell>
          <cell r="CH909">
            <v>0</v>
          </cell>
          <cell r="CI909">
            <v>0</v>
          </cell>
          <cell r="CJ909">
            <v>0</v>
          </cell>
          <cell r="CK909">
            <v>0</v>
          </cell>
          <cell r="CL909">
            <v>0</v>
          </cell>
          <cell r="CM909">
            <v>0</v>
          </cell>
          <cell r="CO909">
            <v>0</v>
          </cell>
          <cell r="CP909">
            <v>0</v>
          </cell>
          <cell r="CQ909">
            <v>0</v>
          </cell>
          <cell r="CR909">
            <v>0</v>
          </cell>
          <cell r="CS909">
            <v>0</v>
          </cell>
          <cell r="CT909">
            <v>0</v>
          </cell>
          <cell r="CU909">
            <v>0</v>
          </cell>
          <cell r="CV909">
            <v>0</v>
          </cell>
          <cell r="CW909">
            <v>0</v>
          </cell>
          <cell r="CY909">
            <v>0</v>
          </cell>
          <cell r="CZ909">
            <v>0</v>
          </cell>
          <cell r="DA909">
            <v>0</v>
          </cell>
          <cell r="DB909">
            <v>0</v>
          </cell>
          <cell r="DC909">
            <v>0</v>
          </cell>
          <cell r="DD909">
            <v>0</v>
          </cell>
          <cell r="DE909">
            <v>0</v>
          </cell>
          <cell r="DF909">
            <v>0</v>
          </cell>
          <cell r="DG909">
            <v>0</v>
          </cell>
          <cell r="DI909">
            <v>0</v>
          </cell>
          <cell r="DJ909">
            <v>0</v>
          </cell>
          <cell r="DK909">
            <v>0</v>
          </cell>
          <cell r="DL909">
            <v>0</v>
          </cell>
          <cell r="DM909">
            <v>0</v>
          </cell>
          <cell r="DN909">
            <v>0</v>
          </cell>
          <cell r="DO909">
            <v>0</v>
          </cell>
          <cell r="DP909">
            <v>0</v>
          </cell>
          <cell r="DQ909">
            <v>0</v>
          </cell>
          <cell r="DR909">
            <v>0</v>
          </cell>
          <cell r="DS909">
            <v>0</v>
          </cell>
          <cell r="DT909">
            <v>0</v>
          </cell>
          <cell r="DU909">
            <v>0</v>
          </cell>
          <cell r="DW909">
            <v>0</v>
          </cell>
          <cell r="DX909">
            <v>0</v>
          </cell>
          <cell r="DY909">
            <v>0</v>
          </cell>
          <cell r="DZ909">
            <v>0</v>
          </cell>
          <cell r="EA909">
            <v>0</v>
          </cell>
          <cell r="EB909">
            <v>0</v>
          </cell>
          <cell r="EC909">
            <v>0</v>
          </cell>
          <cell r="ED909">
            <v>0</v>
          </cell>
          <cell r="EE909">
            <v>0</v>
          </cell>
          <cell r="EF909">
            <v>0</v>
          </cell>
          <cell r="EG909">
            <v>0</v>
          </cell>
          <cell r="EH909">
            <v>0</v>
          </cell>
          <cell r="EI909">
            <v>0</v>
          </cell>
          <cell r="EK909">
            <v>0</v>
          </cell>
          <cell r="EL909">
            <v>0</v>
          </cell>
          <cell r="EM909">
            <v>0</v>
          </cell>
          <cell r="EN909">
            <v>0</v>
          </cell>
          <cell r="EO909">
            <v>0</v>
          </cell>
          <cell r="EP909">
            <v>0</v>
          </cell>
          <cell r="EQ909">
            <v>0</v>
          </cell>
          <cell r="ER909">
            <v>0</v>
          </cell>
          <cell r="ES909">
            <v>0</v>
          </cell>
          <cell r="ET909">
            <v>0</v>
          </cell>
          <cell r="EU909">
            <v>0</v>
          </cell>
          <cell r="EV909">
            <v>0</v>
          </cell>
          <cell r="EW909">
            <v>0</v>
          </cell>
          <cell r="EY909">
            <v>0</v>
          </cell>
          <cell r="EZ909">
            <v>8</v>
          </cell>
          <cell r="FA909">
            <v>0</v>
          </cell>
          <cell r="FB909">
            <v>0</v>
          </cell>
          <cell r="FC909">
            <v>8.6</v>
          </cell>
          <cell r="FD909">
            <v>0</v>
          </cell>
          <cell r="FE909">
            <v>0</v>
          </cell>
          <cell r="FF909">
            <v>0</v>
          </cell>
          <cell r="FH909">
            <v>0</v>
          </cell>
        </row>
        <row r="910">
          <cell r="B910">
            <v>10040</v>
          </cell>
          <cell r="C910" t="str">
            <v>25.06.2013</v>
          </cell>
          <cell r="D910" t="str">
            <v>Rathod Pushpa Jaisingh</v>
          </cell>
          <cell r="F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BA910">
            <v>0</v>
          </cell>
          <cell r="BB910">
            <v>0</v>
          </cell>
          <cell r="BC910">
            <v>0</v>
          </cell>
          <cell r="BD910">
            <v>0</v>
          </cell>
          <cell r="BE910">
            <v>0</v>
          </cell>
          <cell r="BF910">
            <v>0</v>
          </cell>
          <cell r="BG910">
            <v>0</v>
          </cell>
          <cell r="BH910">
            <v>0</v>
          </cell>
          <cell r="BI910">
            <v>0</v>
          </cell>
          <cell r="BK910">
            <v>0</v>
          </cell>
          <cell r="BL910">
            <v>0</v>
          </cell>
          <cell r="BM910">
            <v>0</v>
          </cell>
          <cell r="BN910">
            <v>0</v>
          </cell>
          <cell r="BO910">
            <v>0</v>
          </cell>
          <cell r="BP910">
            <v>0</v>
          </cell>
          <cell r="BQ910">
            <v>0</v>
          </cell>
          <cell r="BR910">
            <v>0</v>
          </cell>
          <cell r="BS910">
            <v>0</v>
          </cell>
          <cell r="BU910">
            <v>0</v>
          </cell>
          <cell r="BV910">
            <v>0</v>
          </cell>
          <cell r="BW910">
            <v>0</v>
          </cell>
          <cell r="BX910">
            <v>0</v>
          </cell>
          <cell r="BY910">
            <v>0</v>
          </cell>
          <cell r="BZ910">
            <v>0</v>
          </cell>
          <cell r="CA910">
            <v>0</v>
          </cell>
          <cell r="CB910">
            <v>0</v>
          </cell>
          <cell r="CC910">
            <v>0</v>
          </cell>
          <cell r="CE910">
            <v>0</v>
          </cell>
          <cell r="CF910">
            <v>0</v>
          </cell>
          <cell r="CG910">
            <v>0</v>
          </cell>
          <cell r="CH910">
            <v>0</v>
          </cell>
          <cell r="CI910">
            <v>0</v>
          </cell>
          <cell r="CJ910">
            <v>0</v>
          </cell>
          <cell r="CK910">
            <v>0</v>
          </cell>
          <cell r="CL910">
            <v>0</v>
          </cell>
          <cell r="CM910">
            <v>0</v>
          </cell>
          <cell r="CO910">
            <v>0</v>
          </cell>
          <cell r="CP910">
            <v>0</v>
          </cell>
          <cell r="CQ910">
            <v>0</v>
          </cell>
          <cell r="CR910">
            <v>0</v>
          </cell>
          <cell r="CS910">
            <v>0</v>
          </cell>
          <cell r="CT910">
            <v>0</v>
          </cell>
          <cell r="CU910">
            <v>0</v>
          </cell>
          <cell r="CV910">
            <v>0</v>
          </cell>
          <cell r="CW910">
            <v>0</v>
          </cell>
          <cell r="CY910">
            <v>0</v>
          </cell>
          <cell r="CZ910">
            <v>0</v>
          </cell>
          <cell r="DA910">
            <v>0</v>
          </cell>
          <cell r="DB910">
            <v>0</v>
          </cell>
          <cell r="DC910">
            <v>0</v>
          </cell>
          <cell r="DD910">
            <v>0</v>
          </cell>
          <cell r="DE910">
            <v>0</v>
          </cell>
          <cell r="DF910">
            <v>0</v>
          </cell>
          <cell r="DG910">
            <v>0</v>
          </cell>
          <cell r="DI910">
            <v>0</v>
          </cell>
          <cell r="DJ910">
            <v>0</v>
          </cell>
          <cell r="DK910">
            <v>0</v>
          </cell>
          <cell r="DL910">
            <v>0</v>
          </cell>
          <cell r="DM910">
            <v>0</v>
          </cell>
          <cell r="DN910">
            <v>0</v>
          </cell>
          <cell r="DO910">
            <v>0</v>
          </cell>
          <cell r="DP910">
            <v>0</v>
          </cell>
          <cell r="DQ910">
            <v>0</v>
          </cell>
          <cell r="DR910">
            <v>0</v>
          </cell>
          <cell r="DS910">
            <v>0</v>
          </cell>
          <cell r="DT910">
            <v>0</v>
          </cell>
          <cell r="DU910">
            <v>0</v>
          </cell>
          <cell r="DW910">
            <v>0</v>
          </cell>
          <cell r="DX910">
            <v>0</v>
          </cell>
          <cell r="DY910">
            <v>0</v>
          </cell>
          <cell r="DZ910">
            <v>0</v>
          </cell>
          <cell r="EA910">
            <v>0</v>
          </cell>
          <cell r="EB910">
            <v>0</v>
          </cell>
          <cell r="EC910">
            <v>0</v>
          </cell>
          <cell r="ED910">
            <v>0</v>
          </cell>
          <cell r="EE910">
            <v>0</v>
          </cell>
          <cell r="EF910">
            <v>0</v>
          </cell>
          <cell r="EG910">
            <v>0</v>
          </cell>
          <cell r="EH910">
            <v>0</v>
          </cell>
          <cell r="EI910">
            <v>0</v>
          </cell>
          <cell r="EK910">
            <v>0</v>
          </cell>
          <cell r="EL910">
            <v>0</v>
          </cell>
          <cell r="EM910">
            <v>0</v>
          </cell>
          <cell r="EN910">
            <v>0</v>
          </cell>
          <cell r="EO910">
            <v>0</v>
          </cell>
          <cell r="EP910">
            <v>0</v>
          </cell>
          <cell r="EQ910">
            <v>0</v>
          </cell>
          <cell r="ER910">
            <v>0</v>
          </cell>
          <cell r="ES910">
            <v>0</v>
          </cell>
          <cell r="ET910">
            <v>0</v>
          </cell>
          <cell r="EU910">
            <v>0</v>
          </cell>
          <cell r="EV910">
            <v>0</v>
          </cell>
          <cell r="EW910">
            <v>0</v>
          </cell>
          <cell r="EY910">
            <v>0</v>
          </cell>
          <cell r="EZ910">
            <v>8</v>
          </cell>
          <cell r="FA910">
            <v>0</v>
          </cell>
          <cell r="FB910">
            <v>0</v>
          </cell>
          <cell r="FC910">
            <v>8.6</v>
          </cell>
          <cell r="FD910">
            <v>0</v>
          </cell>
          <cell r="FE910">
            <v>0</v>
          </cell>
          <cell r="FF910">
            <v>0</v>
          </cell>
          <cell r="FH910">
            <v>0</v>
          </cell>
        </row>
        <row r="911">
          <cell r="B911">
            <v>10041</v>
          </cell>
          <cell r="C911" t="str">
            <v>25.06.2013</v>
          </cell>
          <cell r="D911" t="str">
            <v>Tasambad Savita Ramnath</v>
          </cell>
          <cell r="F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0</v>
          </cell>
          <cell r="AA911">
            <v>0</v>
          </cell>
          <cell r="AB911">
            <v>0</v>
          </cell>
          <cell r="AC911">
            <v>0</v>
          </cell>
          <cell r="AD911">
            <v>0</v>
          </cell>
          <cell r="AE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0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Q911">
            <v>0</v>
          </cell>
          <cell r="AR911">
            <v>0</v>
          </cell>
          <cell r="AS911">
            <v>0</v>
          </cell>
          <cell r="AT911">
            <v>0</v>
          </cell>
          <cell r="AU911">
            <v>0</v>
          </cell>
          <cell r="AV911">
            <v>0</v>
          </cell>
          <cell r="AW911">
            <v>0</v>
          </cell>
          <cell r="AX911">
            <v>0</v>
          </cell>
          <cell r="AY911">
            <v>0</v>
          </cell>
          <cell r="BA911">
            <v>0</v>
          </cell>
          <cell r="BB911">
            <v>0</v>
          </cell>
          <cell r="BC911">
            <v>0</v>
          </cell>
          <cell r="BD911">
            <v>0</v>
          </cell>
          <cell r="BE911">
            <v>0</v>
          </cell>
          <cell r="BF911">
            <v>0</v>
          </cell>
          <cell r="BG911">
            <v>0</v>
          </cell>
          <cell r="BH911">
            <v>0</v>
          </cell>
          <cell r="BI911">
            <v>0</v>
          </cell>
          <cell r="BK911">
            <v>0</v>
          </cell>
          <cell r="BL911">
            <v>0</v>
          </cell>
          <cell r="BM911">
            <v>0</v>
          </cell>
          <cell r="BN911">
            <v>0</v>
          </cell>
          <cell r="BO911">
            <v>0</v>
          </cell>
          <cell r="BP911">
            <v>0</v>
          </cell>
          <cell r="BQ911">
            <v>0</v>
          </cell>
          <cell r="BR911">
            <v>0</v>
          </cell>
          <cell r="BS911">
            <v>0</v>
          </cell>
          <cell r="BU911">
            <v>0</v>
          </cell>
          <cell r="BV911">
            <v>0</v>
          </cell>
          <cell r="BW911">
            <v>0</v>
          </cell>
          <cell r="BX911">
            <v>0</v>
          </cell>
          <cell r="BY911">
            <v>0</v>
          </cell>
          <cell r="BZ911">
            <v>0</v>
          </cell>
          <cell r="CA911">
            <v>0</v>
          </cell>
          <cell r="CB911">
            <v>0</v>
          </cell>
          <cell r="CC911">
            <v>0</v>
          </cell>
          <cell r="CE911">
            <v>0</v>
          </cell>
          <cell r="CF911">
            <v>0</v>
          </cell>
          <cell r="CG911">
            <v>0</v>
          </cell>
          <cell r="CH911">
            <v>0</v>
          </cell>
          <cell r="CI911">
            <v>0</v>
          </cell>
          <cell r="CJ911">
            <v>0</v>
          </cell>
          <cell r="CK911">
            <v>0</v>
          </cell>
          <cell r="CL911">
            <v>0</v>
          </cell>
          <cell r="CM911">
            <v>0</v>
          </cell>
          <cell r="CO911">
            <v>0</v>
          </cell>
          <cell r="CP911">
            <v>0</v>
          </cell>
          <cell r="CQ911">
            <v>0</v>
          </cell>
          <cell r="CR911">
            <v>0</v>
          </cell>
          <cell r="CS911">
            <v>0</v>
          </cell>
          <cell r="CT911">
            <v>0</v>
          </cell>
          <cell r="CU911">
            <v>0</v>
          </cell>
          <cell r="CV911">
            <v>0</v>
          </cell>
          <cell r="CW911">
            <v>0</v>
          </cell>
          <cell r="CY911">
            <v>0</v>
          </cell>
          <cell r="CZ911">
            <v>0</v>
          </cell>
          <cell r="DA911">
            <v>0</v>
          </cell>
          <cell r="DB911">
            <v>0</v>
          </cell>
          <cell r="DC911">
            <v>0</v>
          </cell>
          <cell r="DD911">
            <v>0</v>
          </cell>
          <cell r="DE911">
            <v>0</v>
          </cell>
          <cell r="DF911">
            <v>0</v>
          </cell>
          <cell r="DG911">
            <v>0</v>
          </cell>
          <cell r="DI911">
            <v>0</v>
          </cell>
          <cell r="DJ911">
            <v>0</v>
          </cell>
          <cell r="DK911">
            <v>0</v>
          </cell>
          <cell r="DL911">
            <v>0</v>
          </cell>
          <cell r="DM911">
            <v>0</v>
          </cell>
          <cell r="DN911">
            <v>0</v>
          </cell>
          <cell r="DO911">
            <v>0</v>
          </cell>
          <cell r="DP911">
            <v>0</v>
          </cell>
          <cell r="DQ911">
            <v>0</v>
          </cell>
          <cell r="DR911">
            <v>0</v>
          </cell>
          <cell r="DS911">
            <v>0</v>
          </cell>
          <cell r="DT911">
            <v>0</v>
          </cell>
          <cell r="DU911">
            <v>0</v>
          </cell>
          <cell r="DW911">
            <v>0</v>
          </cell>
          <cell r="DX911">
            <v>0</v>
          </cell>
          <cell r="DY911">
            <v>0</v>
          </cell>
          <cell r="DZ911">
            <v>0</v>
          </cell>
          <cell r="EA911">
            <v>0</v>
          </cell>
          <cell r="EB911">
            <v>0</v>
          </cell>
          <cell r="EC911">
            <v>0</v>
          </cell>
          <cell r="ED911">
            <v>0</v>
          </cell>
          <cell r="EE911">
            <v>0</v>
          </cell>
          <cell r="EF911">
            <v>0</v>
          </cell>
          <cell r="EG911">
            <v>0</v>
          </cell>
          <cell r="EH911">
            <v>0</v>
          </cell>
          <cell r="EI911">
            <v>0</v>
          </cell>
          <cell r="EK911">
            <v>0</v>
          </cell>
          <cell r="EL911">
            <v>0</v>
          </cell>
          <cell r="EM911">
            <v>0</v>
          </cell>
          <cell r="EN911">
            <v>0</v>
          </cell>
          <cell r="EO911">
            <v>0</v>
          </cell>
          <cell r="EP911">
            <v>0</v>
          </cell>
          <cell r="EQ911">
            <v>0</v>
          </cell>
          <cell r="ER911">
            <v>0</v>
          </cell>
          <cell r="ES911">
            <v>0</v>
          </cell>
          <cell r="ET911">
            <v>0</v>
          </cell>
          <cell r="EU911">
            <v>0</v>
          </cell>
          <cell r="EV911">
            <v>0</v>
          </cell>
          <cell r="EW911">
            <v>0</v>
          </cell>
          <cell r="EY911">
            <v>0</v>
          </cell>
          <cell r="EZ911">
            <v>8</v>
          </cell>
          <cell r="FA911">
            <v>0</v>
          </cell>
          <cell r="FB911">
            <v>0</v>
          </cell>
          <cell r="FC911">
            <v>8.6</v>
          </cell>
          <cell r="FD911">
            <v>0</v>
          </cell>
          <cell r="FE911">
            <v>0</v>
          </cell>
          <cell r="FF911">
            <v>0</v>
          </cell>
          <cell r="FH911">
            <v>0</v>
          </cell>
        </row>
        <row r="912">
          <cell r="B912">
            <v>10042</v>
          </cell>
          <cell r="C912" t="str">
            <v>25.06.2013</v>
          </cell>
          <cell r="D912" t="str">
            <v>Chandaliya Santosh Ashok</v>
          </cell>
          <cell r="F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Q912">
            <v>0</v>
          </cell>
          <cell r="AR912">
            <v>0</v>
          </cell>
          <cell r="AS912">
            <v>0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BA912">
            <v>0</v>
          </cell>
          <cell r="BB912">
            <v>0</v>
          </cell>
          <cell r="BC912">
            <v>0</v>
          </cell>
          <cell r="BD912">
            <v>0</v>
          </cell>
          <cell r="BE912">
            <v>0</v>
          </cell>
          <cell r="BF912">
            <v>0</v>
          </cell>
          <cell r="BG912">
            <v>0</v>
          </cell>
          <cell r="BH912">
            <v>0</v>
          </cell>
          <cell r="BI912">
            <v>0</v>
          </cell>
          <cell r="BK912">
            <v>0</v>
          </cell>
          <cell r="BL912">
            <v>0</v>
          </cell>
          <cell r="BM912">
            <v>0</v>
          </cell>
          <cell r="BN912">
            <v>0</v>
          </cell>
          <cell r="BO912">
            <v>0</v>
          </cell>
          <cell r="BP912">
            <v>0</v>
          </cell>
          <cell r="BQ912">
            <v>0</v>
          </cell>
          <cell r="BR912">
            <v>0</v>
          </cell>
          <cell r="BS912">
            <v>0</v>
          </cell>
          <cell r="BU912">
            <v>0</v>
          </cell>
          <cell r="BV912">
            <v>0</v>
          </cell>
          <cell r="BW912">
            <v>0</v>
          </cell>
          <cell r="BX912">
            <v>0</v>
          </cell>
          <cell r="BY912">
            <v>0</v>
          </cell>
          <cell r="BZ912">
            <v>0</v>
          </cell>
          <cell r="CA912">
            <v>0</v>
          </cell>
          <cell r="CB912">
            <v>0</v>
          </cell>
          <cell r="CC912">
            <v>0</v>
          </cell>
          <cell r="CE912">
            <v>0</v>
          </cell>
          <cell r="CF912">
            <v>0</v>
          </cell>
          <cell r="CG912">
            <v>0</v>
          </cell>
          <cell r="CH912">
            <v>0</v>
          </cell>
          <cell r="CI912">
            <v>0</v>
          </cell>
          <cell r="CJ912">
            <v>0</v>
          </cell>
          <cell r="CK912">
            <v>0</v>
          </cell>
          <cell r="CL912">
            <v>0</v>
          </cell>
          <cell r="CM912">
            <v>0</v>
          </cell>
          <cell r="CO912">
            <v>0</v>
          </cell>
          <cell r="CP912">
            <v>0</v>
          </cell>
          <cell r="CQ912">
            <v>0</v>
          </cell>
          <cell r="CR912">
            <v>0</v>
          </cell>
          <cell r="CS912">
            <v>0</v>
          </cell>
          <cell r="CT912">
            <v>0</v>
          </cell>
          <cell r="CU912">
            <v>0</v>
          </cell>
          <cell r="CV912">
            <v>0</v>
          </cell>
          <cell r="CW912">
            <v>0</v>
          </cell>
          <cell r="CY912">
            <v>0</v>
          </cell>
          <cell r="CZ912">
            <v>0</v>
          </cell>
          <cell r="DA912">
            <v>0</v>
          </cell>
          <cell r="DB912">
            <v>0</v>
          </cell>
          <cell r="DC912">
            <v>0</v>
          </cell>
          <cell r="DD912">
            <v>0</v>
          </cell>
          <cell r="DE912">
            <v>0</v>
          </cell>
          <cell r="DF912">
            <v>0</v>
          </cell>
          <cell r="DG912">
            <v>0</v>
          </cell>
          <cell r="DI912">
            <v>0</v>
          </cell>
          <cell r="DJ912">
            <v>0</v>
          </cell>
          <cell r="DK912">
            <v>0</v>
          </cell>
          <cell r="DL912">
            <v>0</v>
          </cell>
          <cell r="DM912">
            <v>0</v>
          </cell>
          <cell r="DN912">
            <v>0</v>
          </cell>
          <cell r="DO912">
            <v>0</v>
          </cell>
          <cell r="DP912">
            <v>0</v>
          </cell>
          <cell r="DQ912">
            <v>0</v>
          </cell>
          <cell r="DR912">
            <v>0</v>
          </cell>
          <cell r="DS912">
            <v>0</v>
          </cell>
          <cell r="DT912">
            <v>0</v>
          </cell>
          <cell r="DU912">
            <v>0</v>
          </cell>
          <cell r="DW912">
            <v>0</v>
          </cell>
          <cell r="DX912">
            <v>0</v>
          </cell>
          <cell r="DY912">
            <v>0</v>
          </cell>
          <cell r="DZ912">
            <v>0</v>
          </cell>
          <cell r="EA912">
            <v>0</v>
          </cell>
          <cell r="EB912">
            <v>0</v>
          </cell>
          <cell r="EC912">
            <v>0</v>
          </cell>
          <cell r="ED912">
            <v>0</v>
          </cell>
          <cell r="EE912">
            <v>0</v>
          </cell>
          <cell r="EF912">
            <v>0</v>
          </cell>
          <cell r="EG912">
            <v>0</v>
          </cell>
          <cell r="EH912">
            <v>0</v>
          </cell>
          <cell r="EI912">
            <v>0</v>
          </cell>
          <cell r="EK912">
            <v>0</v>
          </cell>
          <cell r="EL912">
            <v>0</v>
          </cell>
          <cell r="EM912">
            <v>0</v>
          </cell>
          <cell r="EN912">
            <v>0</v>
          </cell>
          <cell r="EO912">
            <v>0</v>
          </cell>
          <cell r="EP912">
            <v>0</v>
          </cell>
          <cell r="EQ912">
            <v>0</v>
          </cell>
          <cell r="ER912">
            <v>0</v>
          </cell>
          <cell r="ES912">
            <v>0</v>
          </cell>
          <cell r="ET912">
            <v>0</v>
          </cell>
          <cell r="EU912">
            <v>0</v>
          </cell>
          <cell r="EV912">
            <v>0</v>
          </cell>
          <cell r="EW912">
            <v>0</v>
          </cell>
          <cell r="EY912">
            <v>0</v>
          </cell>
          <cell r="EZ912">
            <v>8</v>
          </cell>
          <cell r="FA912">
            <v>0</v>
          </cell>
          <cell r="FB912">
            <v>0</v>
          </cell>
          <cell r="FC912">
            <v>8.6</v>
          </cell>
          <cell r="FD912">
            <v>0</v>
          </cell>
          <cell r="FE912">
            <v>0</v>
          </cell>
          <cell r="FF912">
            <v>0</v>
          </cell>
          <cell r="FH912">
            <v>0</v>
          </cell>
        </row>
        <row r="913">
          <cell r="B913">
            <v>10043</v>
          </cell>
          <cell r="C913" t="str">
            <v>25.06.2013</v>
          </cell>
          <cell r="D913" t="str">
            <v>Jagtap Sachin Ashok</v>
          </cell>
          <cell r="F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G913">
            <v>0</v>
          </cell>
          <cell r="AH913">
            <v>0</v>
          </cell>
          <cell r="AI913">
            <v>0</v>
          </cell>
          <cell r="AJ913">
            <v>0</v>
          </cell>
          <cell r="AK913">
            <v>0</v>
          </cell>
          <cell r="AL913">
            <v>0</v>
          </cell>
          <cell r="AM913">
            <v>0</v>
          </cell>
          <cell r="AN913">
            <v>0</v>
          </cell>
          <cell r="AO913">
            <v>0</v>
          </cell>
          <cell r="AQ913">
            <v>0</v>
          </cell>
          <cell r="AR913">
            <v>0</v>
          </cell>
          <cell r="AS913">
            <v>0</v>
          </cell>
          <cell r="AT913">
            <v>0</v>
          </cell>
          <cell r="AU913">
            <v>0</v>
          </cell>
          <cell r="AV913">
            <v>0</v>
          </cell>
          <cell r="AW913">
            <v>0</v>
          </cell>
          <cell r="AX913">
            <v>0</v>
          </cell>
          <cell r="AY913">
            <v>0</v>
          </cell>
          <cell r="BA913">
            <v>0</v>
          </cell>
          <cell r="BB913">
            <v>0</v>
          </cell>
          <cell r="BC913">
            <v>0</v>
          </cell>
          <cell r="BD913">
            <v>0</v>
          </cell>
          <cell r="BE913">
            <v>0</v>
          </cell>
          <cell r="BF913">
            <v>0</v>
          </cell>
          <cell r="BG913">
            <v>0</v>
          </cell>
          <cell r="BH913">
            <v>0</v>
          </cell>
          <cell r="BI913">
            <v>0</v>
          </cell>
          <cell r="BK913">
            <v>0</v>
          </cell>
          <cell r="BL913">
            <v>0</v>
          </cell>
          <cell r="BM913">
            <v>0</v>
          </cell>
          <cell r="BN913">
            <v>0</v>
          </cell>
          <cell r="BO913">
            <v>0</v>
          </cell>
          <cell r="BP913">
            <v>0</v>
          </cell>
          <cell r="BQ913">
            <v>0</v>
          </cell>
          <cell r="BR913">
            <v>0</v>
          </cell>
          <cell r="BS913">
            <v>0</v>
          </cell>
          <cell r="BU913">
            <v>0</v>
          </cell>
          <cell r="BV913">
            <v>0</v>
          </cell>
          <cell r="BW913">
            <v>0</v>
          </cell>
          <cell r="BX913">
            <v>0</v>
          </cell>
          <cell r="BY913">
            <v>0</v>
          </cell>
          <cell r="BZ913">
            <v>0</v>
          </cell>
          <cell r="CA913">
            <v>0</v>
          </cell>
          <cell r="CB913">
            <v>0</v>
          </cell>
          <cell r="CC913">
            <v>0</v>
          </cell>
          <cell r="CE913">
            <v>0</v>
          </cell>
          <cell r="CF913">
            <v>0</v>
          </cell>
          <cell r="CG913">
            <v>0</v>
          </cell>
          <cell r="CH913">
            <v>0</v>
          </cell>
          <cell r="CI913">
            <v>0</v>
          </cell>
          <cell r="CJ913">
            <v>0</v>
          </cell>
          <cell r="CK913">
            <v>0</v>
          </cell>
          <cell r="CL913">
            <v>0</v>
          </cell>
          <cell r="CM913">
            <v>0</v>
          </cell>
          <cell r="CO913">
            <v>0</v>
          </cell>
          <cell r="CP913">
            <v>0</v>
          </cell>
          <cell r="CQ913">
            <v>0</v>
          </cell>
          <cell r="CR913">
            <v>0</v>
          </cell>
          <cell r="CS913">
            <v>0</v>
          </cell>
          <cell r="CT913">
            <v>0</v>
          </cell>
          <cell r="CU913">
            <v>0</v>
          </cell>
          <cell r="CV913">
            <v>0</v>
          </cell>
          <cell r="CW913">
            <v>0</v>
          </cell>
          <cell r="CY913">
            <v>0</v>
          </cell>
          <cell r="CZ913">
            <v>0</v>
          </cell>
          <cell r="DA913">
            <v>0</v>
          </cell>
          <cell r="DB913">
            <v>0</v>
          </cell>
          <cell r="DC913">
            <v>0</v>
          </cell>
          <cell r="DD913">
            <v>0</v>
          </cell>
          <cell r="DE913">
            <v>0</v>
          </cell>
          <cell r="DF913">
            <v>0</v>
          </cell>
          <cell r="DG913">
            <v>0</v>
          </cell>
          <cell r="DI913">
            <v>0</v>
          </cell>
          <cell r="DJ913">
            <v>0</v>
          </cell>
          <cell r="DK913">
            <v>0</v>
          </cell>
          <cell r="DL913">
            <v>0</v>
          </cell>
          <cell r="DM913">
            <v>0</v>
          </cell>
          <cell r="DN913">
            <v>0</v>
          </cell>
          <cell r="DO913">
            <v>0</v>
          </cell>
          <cell r="DP913">
            <v>0</v>
          </cell>
          <cell r="DQ913">
            <v>0</v>
          </cell>
          <cell r="DR913">
            <v>0</v>
          </cell>
          <cell r="DS913">
            <v>0</v>
          </cell>
          <cell r="DT913">
            <v>0</v>
          </cell>
          <cell r="DU913">
            <v>0</v>
          </cell>
          <cell r="DW913">
            <v>0</v>
          </cell>
          <cell r="DX913">
            <v>0</v>
          </cell>
          <cell r="DY913">
            <v>0</v>
          </cell>
          <cell r="DZ913">
            <v>0</v>
          </cell>
          <cell r="EA913">
            <v>0</v>
          </cell>
          <cell r="EB913">
            <v>0</v>
          </cell>
          <cell r="EC913">
            <v>0</v>
          </cell>
          <cell r="ED913">
            <v>0</v>
          </cell>
          <cell r="EE913">
            <v>0</v>
          </cell>
          <cell r="EF913">
            <v>0</v>
          </cell>
          <cell r="EG913">
            <v>0</v>
          </cell>
          <cell r="EH913">
            <v>0</v>
          </cell>
          <cell r="EI913">
            <v>0</v>
          </cell>
          <cell r="EK913">
            <v>0</v>
          </cell>
          <cell r="EL913">
            <v>0</v>
          </cell>
          <cell r="EM913">
            <v>0</v>
          </cell>
          <cell r="EN913">
            <v>0</v>
          </cell>
          <cell r="EO913">
            <v>0</v>
          </cell>
          <cell r="EP913">
            <v>0</v>
          </cell>
          <cell r="EQ913">
            <v>0</v>
          </cell>
          <cell r="ER913">
            <v>0</v>
          </cell>
          <cell r="ES913">
            <v>0</v>
          </cell>
          <cell r="ET913">
            <v>0</v>
          </cell>
          <cell r="EU913">
            <v>0</v>
          </cell>
          <cell r="EV913">
            <v>0</v>
          </cell>
          <cell r="EW913">
            <v>0</v>
          </cell>
          <cell r="EY913">
            <v>0</v>
          </cell>
          <cell r="EZ913">
            <v>8</v>
          </cell>
          <cell r="FA913">
            <v>0</v>
          </cell>
          <cell r="FB913">
            <v>0</v>
          </cell>
          <cell r="FC913">
            <v>8.6</v>
          </cell>
          <cell r="FD913">
            <v>0</v>
          </cell>
          <cell r="FE913">
            <v>0</v>
          </cell>
          <cell r="FF913">
            <v>0</v>
          </cell>
          <cell r="FH913">
            <v>0</v>
          </cell>
        </row>
        <row r="914">
          <cell r="B914">
            <v>10044</v>
          </cell>
          <cell r="C914" t="str">
            <v>25.06.2013</v>
          </cell>
          <cell r="D914" t="str">
            <v>Bhalerao Surekha Chandrashekhar</v>
          </cell>
          <cell r="F914">
            <v>0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0</v>
          </cell>
          <cell r="AA914">
            <v>0</v>
          </cell>
          <cell r="AB914">
            <v>0</v>
          </cell>
          <cell r="AC914">
            <v>0</v>
          </cell>
          <cell r="AD914">
            <v>0</v>
          </cell>
          <cell r="AE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Q914">
            <v>0</v>
          </cell>
          <cell r="AR914">
            <v>0</v>
          </cell>
          <cell r="AS914">
            <v>0</v>
          </cell>
          <cell r="AT914">
            <v>0</v>
          </cell>
          <cell r="AU914">
            <v>0</v>
          </cell>
          <cell r="AV914">
            <v>0</v>
          </cell>
          <cell r="AW914">
            <v>0</v>
          </cell>
          <cell r="AX914">
            <v>0</v>
          </cell>
          <cell r="AY914">
            <v>0</v>
          </cell>
          <cell r="BA914">
            <v>0</v>
          </cell>
          <cell r="BB914">
            <v>0</v>
          </cell>
          <cell r="BC914">
            <v>0</v>
          </cell>
          <cell r="BD914">
            <v>0</v>
          </cell>
          <cell r="BE914">
            <v>0</v>
          </cell>
          <cell r="BF914">
            <v>0</v>
          </cell>
          <cell r="BG914">
            <v>0</v>
          </cell>
          <cell r="BH914">
            <v>0</v>
          </cell>
          <cell r="BI914">
            <v>0</v>
          </cell>
          <cell r="BK914">
            <v>0</v>
          </cell>
          <cell r="BL914">
            <v>0</v>
          </cell>
          <cell r="BM914">
            <v>0</v>
          </cell>
          <cell r="BN914">
            <v>0</v>
          </cell>
          <cell r="BO914">
            <v>0</v>
          </cell>
          <cell r="BP914">
            <v>0</v>
          </cell>
          <cell r="BQ914">
            <v>0</v>
          </cell>
          <cell r="BR914">
            <v>0</v>
          </cell>
          <cell r="BS914">
            <v>0</v>
          </cell>
          <cell r="BU914">
            <v>0</v>
          </cell>
          <cell r="BV914">
            <v>0</v>
          </cell>
          <cell r="BW914">
            <v>0</v>
          </cell>
          <cell r="BX914">
            <v>0</v>
          </cell>
          <cell r="BY914">
            <v>0</v>
          </cell>
          <cell r="BZ914">
            <v>0</v>
          </cell>
          <cell r="CA914">
            <v>0</v>
          </cell>
          <cell r="CB914">
            <v>0</v>
          </cell>
          <cell r="CC914">
            <v>0</v>
          </cell>
          <cell r="CE914">
            <v>0</v>
          </cell>
          <cell r="CF914">
            <v>0</v>
          </cell>
          <cell r="CG914">
            <v>0</v>
          </cell>
          <cell r="CH914">
            <v>0</v>
          </cell>
          <cell r="CI914">
            <v>0</v>
          </cell>
          <cell r="CJ914">
            <v>0</v>
          </cell>
          <cell r="CK914">
            <v>0</v>
          </cell>
          <cell r="CL914">
            <v>0</v>
          </cell>
          <cell r="CM914">
            <v>0</v>
          </cell>
          <cell r="CO914">
            <v>0</v>
          </cell>
          <cell r="CP914">
            <v>0</v>
          </cell>
          <cell r="CQ914">
            <v>0</v>
          </cell>
          <cell r="CR914">
            <v>0</v>
          </cell>
          <cell r="CS914">
            <v>0</v>
          </cell>
          <cell r="CT914">
            <v>0</v>
          </cell>
          <cell r="CU914">
            <v>0</v>
          </cell>
          <cell r="CV914">
            <v>0</v>
          </cell>
          <cell r="CW914">
            <v>0</v>
          </cell>
          <cell r="CY914">
            <v>0</v>
          </cell>
          <cell r="CZ914">
            <v>0</v>
          </cell>
          <cell r="DA914">
            <v>0</v>
          </cell>
          <cell r="DB914">
            <v>0</v>
          </cell>
          <cell r="DC914">
            <v>0</v>
          </cell>
          <cell r="DD914">
            <v>0</v>
          </cell>
          <cell r="DE914">
            <v>0</v>
          </cell>
          <cell r="DF914">
            <v>0</v>
          </cell>
          <cell r="DG914">
            <v>0</v>
          </cell>
          <cell r="DI914">
            <v>0</v>
          </cell>
          <cell r="DJ914">
            <v>0</v>
          </cell>
          <cell r="DK914">
            <v>0</v>
          </cell>
          <cell r="DL914">
            <v>0</v>
          </cell>
          <cell r="DM914">
            <v>0</v>
          </cell>
          <cell r="DN914">
            <v>0</v>
          </cell>
          <cell r="DO914">
            <v>0</v>
          </cell>
          <cell r="DP914">
            <v>0</v>
          </cell>
          <cell r="DQ914">
            <v>0</v>
          </cell>
          <cell r="DR914">
            <v>0</v>
          </cell>
          <cell r="DS914">
            <v>0</v>
          </cell>
          <cell r="DT914">
            <v>0</v>
          </cell>
          <cell r="DU914">
            <v>0</v>
          </cell>
          <cell r="DW914">
            <v>0</v>
          </cell>
          <cell r="DX914">
            <v>0</v>
          </cell>
          <cell r="DY914">
            <v>0</v>
          </cell>
          <cell r="DZ914">
            <v>0</v>
          </cell>
          <cell r="EA914">
            <v>0</v>
          </cell>
          <cell r="EB914">
            <v>0</v>
          </cell>
          <cell r="EC914">
            <v>0</v>
          </cell>
          <cell r="ED914">
            <v>0</v>
          </cell>
          <cell r="EE914">
            <v>0</v>
          </cell>
          <cell r="EF914">
            <v>0</v>
          </cell>
          <cell r="EG914">
            <v>0</v>
          </cell>
          <cell r="EH914">
            <v>0</v>
          </cell>
          <cell r="EI914">
            <v>0</v>
          </cell>
          <cell r="EK914">
            <v>0</v>
          </cell>
          <cell r="EL914">
            <v>0</v>
          </cell>
          <cell r="EM914">
            <v>0</v>
          </cell>
          <cell r="EN914">
            <v>0</v>
          </cell>
          <cell r="EO914">
            <v>0</v>
          </cell>
          <cell r="EP914">
            <v>0</v>
          </cell>
          <cell r="EQ914">
            <v>0</v>
          </cell>
          <cell r="ER914">
            <v>0</v>
          </cell>
          <cell r="ES914">
            <v>0</v>
          </cell>
          <cell r="ET914">
            <v>0</v>
          </cell>
          <cell r="EU914">
            <v>0</v>
          </cell>
          <cell r="EV914">
            <v>0</v>
          </cell>
          <cell r="EW914">
            <v>0</v>
          </cell>
          <cell r="EY914">
            <v>0</v>
          </cell>
          <cell r="EZ914">
            <v>8</v>
          </cell>
          <cell r="FA914">
            <v>0</v>
          </cell>
          <cell r="FB914">
            <v>0</v>
          </cell>
          <cell r="FC914">
            <v>8.6</v>
          </cell>
          <cell r="FD914">
            <v>0</v>
          </cell>
          <cell r="FE914">
            <v>0</v>
          </cell>
          <cell r="FF914">
            <v>0</v>
          </cell>
          <cell r="FH914">
            <v>0</v>
          </cell>
        </row>
        <row r="915">
          <cell r="B915">
            <v>10045</v>
          </cell>
          <cell r="C915" t="str">
            <v>25.06.2013</v>
          </cell>
          <cell r="D915" t="str">
            <v>Jadhav Kiran Ramdas</v>
          </cell>
          <cell r="F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BA915">
            <v>0</v>
          </cell>
          <cell r="BB915">
            <v>0</v>
          </cell>
          <cell r="BC915">
            <v>0</v>
          </cell>
          <cell r="BD915">
            <v>0</v>
          </cell>
          <cell r="BE915">
            <v>0</v>
          </cell>
          <cell r="BF915">
            <v>0</v>
          </cell>
          <cell r="BG915">
            <v>0</v>
          </cell>
          <cell r="BH915">
            <v>0</v>
          </cell>
          <cell r="BI915">
            <v>0</v>
          </cell>
          <cell r="BK915">
            <v>0</v>
          </cell>
          <cell r="BL915">
            <v>0</v>
          </cell>
          <cell r="BM915">
            <v>0</v>
          </cell>
          <cell r="BN915">
            <v>0</v>
          </cell>
          <cell r="BO915">
            <v>0</v>
          </cell>
          <cell r="BP915">
            <v>0</v>
          </cell>
          <cell r="BQ915">
            <v>0</v>
          </cell>
          <cell r="BR915">
            <v>0</v>
          </cell>
          <cell r="BS915">
            <v>0</v>
          </cell>
          <cell r="BU915">
            <v>0</v>
          </cell>
          <cell r="BV915">
            <v>0</v>
          </cell>
          <cell r="BW915">
            <v>0</v>
          </cell>
          <cell r="BX915">
            <v>0</v>
          </cell>
          <cell r="BY915">
            <v>0</v>
          </cell>
          <cell r="BZ915">
            <v>0</v>
          </cell>
          <cell r="CA915">
            <v>0</v>
          </cell>
          <cell r="CB915">
            <v>0</v>
          </cell>
          <cell r="CC915">
            <v>0</v>
          </cell>
          <cell r="CE915">
            <v>0</v>
          </cell>
          <cell r="CF915">
            <v>0</v>
          </cell>
          <cell r="CG915">
            <v>0</v>
          </cell>
          <cell r="CH915">
            <v>0</v>
          </cell>
          <cell r="CI915">
            <v>0</v>
          </cell>
          <cell r="CJ915">
            <v>0</v>
          </cell>
          <cell r="CK915">
            <v>0</v>
          </cell>
          <cell r="CL915">
            <v>0</v>
          </cell>
          <cell r="CM915">
            <v>0</v>
          </cell>
          <cell r="CO915">
            <v>0</v>
          </cell>
          <cell r="CP915">
            <v>0</v>
          </cell>
          <cell r="CQ915">
            <v>0</v>
          </cell>
          <cell r="CR915">
            <v>0</v>
          </cell>
          <cell r="CS915">
            <v>0</v>
          </cell>
          <cell r="CT915">
            <v>0</v>
          </cell>
          <cell r="CU915">
            <v>0</v>
          </cell>
          <cell r="CV915">
            <v>0</v>
          </cell>
          <cell r="CW915">
            <v>0</v>
          </cell>
          <cell r="CY915">
            <v>0</v>
          </cell>
          <cell r="CZ915">
            <v>0</v>
          </cell>
          <cell r="DA915">
            <v>0</v>
          </cell>
          <cell r="DB915">
            <v>0</v>
          </cell>
          <cell r="DC915">
            <v>0</v>
          </cell>
          <cell r="DD915">
            <v>0</v>
          </cell>
          <cell r="DE915">
            <v>0</v>
          </cell>
          <cell r="DF915">
            <v>0</v>
          </cell>
          <cell r="DG915">
            <v>0</v>
          </cell>
          <cell r="DI915">
            <v>0</v>
          </cell>
          <cell r="DJ915">
            <v>0</v>
          </cell>
          <cell r="DK915">
            <v>0</v>
          </cell>
          <cell r="DL915">
            <v>0</v>
          </cell>
          <cell r="DM915">
            <v>0</v>
          </cell>
          <cell r="DN915">
            <v>0</v>
          </cell>
          <cell r="DO915">
            <v>0</v>
          </cell>
          <cell r="DP915">
            <v>0</v>
          </cell>
          <cell r="DQ915">
            <v>0</v>
          </cell>
          <cell r="DR915">
            <v>0</v>
          </cell>
          <cell r="DS915">
            <v>0</v>
          </cell>
          <cell r="DT915">
            <v>0</v>
          </cell>
          <cell r="DU915">
            <v>0</v>
          </cell>
          <cell r="DW915">
            <v>0</v>
          </cell>
          <cell r="DX915">
            <v>0</v>
          </cell>
          <cell r="DY915">
            <v>0</v>
          </cell>
          <cell r="DZ915">
            <v>0</v>
          </cell>
          <cell r="EA915">
            <v>0</v>
          </cell>
          <cell r="EB915">
            <v>0</v>
          </cell>
          <cell r="EC915">
            <v>0</v>
          </cell>
          <cell r="ED915">
            <v>0</v>
          </cell>
          <cell r="EE915">
            <v>0</v>
          </cell>
          <cell r="EF915">
            <v>0</v>
          </cell>
          <cell r="EG915">
            <v>0</v>
          </cell>
          <cell r="EH915">
            <v>0</v>
          </cell>
          <cell r="EI915">
            <v>0</v>
          </cell>
          <cell r="EK915">
            <v>0</v>
          </cell>
          <cell r="EL915">
            <v>0</v>
          </cell>
          <cell r="EM915">
            <v>0</v>
          </cell>
          <cell r="EN915">
            <v>0</v>
          </cell>
          <cell r="EO915">
            <v>0</v>
          </cell>
          <cell r="EP915">
            <v>0</v>
          </cell>
          <cell r="EQ915">
            <v>0</v>
          </cell>
          <cell r="ER915">
            <v>0</v>
          </cell>
          <cell r="ES915">
            <v>0</v>
          </cell>
          <cell r="ET915">
            <v>0</v>
          </cell>
          <cell r="EU915">
            <v>0</v>
          </cell>
          <cell r="EV915">
            <v>0</v>
          </cell>
          <cell r="EW915">
            <v>0</v>
          </cell>
          <cell r="EY915">
            <v>0</v>
          </cell>
          <cell r="EZ915">
            <v>8</v>
          </cell>
          <cell r="FA915">
            <v>0</v>
          </cell>
          <cell r="FB915">
            <v>0</v>
          </cell>
          <cell r="FC915">
            <v>8.6</v>
          </cell>
          <cell r="FD915">
            <v>0</v>
          </cell>
          <cell r="FE915">
            <v>0</v>
          </cell>
          <cell r="FF915">
            <v>0</v>
          </cell>
          <cell r="FH915">
            <v>0</v>
          </cell>
        </row>
        <row r="916">
          <cell r="B916">
            <v>10046</v>
          </cell>
          <cell r="C916" t="str">
            <v>25.06.2013</v>
          </cell>
          <cell r="D916" t="str">
            <v>Sable Rakesh Ashok</v>
          </cell>
          <cell r="F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BA916">
            <v>0</v>
          </cell>
          <cell r="BB916">
            <v>0</v>
          </cell>
          <cell r="BC916">
            <v>0</v>
          </cell>
          <cell r="BD916">
            <v>0</v>
          </cell>
          <cell r="BE916">
            <v>0</v>
          </cell>
          <cell r="BF916">
            <v>0</v>
          </cell>
          <cell r="BG916">
            <v>0</v>
          </cell>
          <cell r="BH916">
            <v>0</v>
          </cell>
          <cell r="BI916">
            <v>0</v>
          </cell>
          <cell r="BK916">
            <v>0</v>
          </cell>
          <cell r="BL916">
            <v>0</v>
          </cell>
          <cell r="BM916">
            <v>0</v>
          </cell>
          <cell r="BN916">
            <v>0</v>
          </cell>
          <cell r="BO916">
            <v>0</v>
          </cell>
          <cell r="BP916">
            <v>0</v>
          </cell>
          <cell r="BQ916">
            <v>0</v>
          </cell>
          <cell r="BR916">
            <v>0</v>
          </cell>
          <cell r="BS916">
            <v>0</v>
          </cell>
          <cell r="BU916">
            <v>0</v>
          </cell>
          <cell r="BV916">
            <v>0</v>
          </cell>
          <cell r="BW916">
            <v>0</v>
          </cell>
          <cell r="BX916">
            <v>0</v>
          </cell>
          <cell r="BY916">
            <v>0</v>
          </cell>
          <cell r="BZ916">
            <v>0</v>
          </cell>
          <cell r="CA916">
            <v>0</v>
          </cell>
          <cell r="CB916">
            <v>0</v>
          </cell>
          <cell r="CC916">
            <v>0</v>
          </cell>
          <cell r="CE916">
            <v>0</v>
          </cell>
          <cell r="CF916">
            <v>0</v>
          </cell>
          <cell r="CG916">
            <v>0</v>
          </cell>
          <cell r="CH916">
            <v>0</v>
          </cell>
          <cell r="CI916">
            <v>0</v>
          </cell>
          <cell r="CJ916">
            <v>0</v>
          </cell>
          <cell r="CK916">
            <v>0</v>
          </cell>
          <cell r="CL916">
            <v>0</v>
          </cell>
          <cell r="CM916">
            <v>0</v>
          </cell>
          <cell r="CO916">
            <v>0</v>
          </cell>
          <cell r="CP916">
            <v>0</v>
          </cell>
          <cell r="CQ916">
            <v>0</v>
          </cell>
          <cell r="CR916">
            <v>0</v>
          </cell>
          <cell r="CS916">
            <v>0</v>
          </cell>
          <cell r="CT916">
            <v>0</v>
          </cell>
          <cell r="CU916">
            <v>0</v>
          </cell>
          <cell r="CV916">
            <v>0</v>
          </cell>
          <cell r="CW916">
            <v>0</v>
          </cell>
          <cell r="CY916">
            <v>0</v>
          </cell>
          <cell r="CZ916">
            <v>0</v>
          </cell>
          <cell r="DA916">
            <v>0</v>
          </cell>
          <cell r="DB916">
            <v>0</v>
          </cell>
          <cell r="DC916">
            <v>0</v>
          </cell>
          <cell r="DD916">
            <v>0</v>
          </cell>
          <cell r="DE916">
            <v>0</v>
          </cell>
          <cell r="DF916">
            <v>0</v>
          </cell>
          <cell r="DG916">
            <v>0</v>
          </cell>
          <cell r="DI916">
            <v>0</v>
          </cell>
          <cell r="DJ916">
            <v>0</v>
          </cell>
          <cell r="DK916">
            <v>0</v>
          </cell>
          <cell r="DL916">
            <v>0</v>
          </cell>
          <cell r="DM916">
            <v>0</v>
          </cell>
          <cell r="DN916">
            <v>0</v>
          </cell>
          <cell r="DO916">
            <v>0</v>
          </cell>
          <cell r="DP916">
            <v>0</v>
          </cell>
          <cell r="DQ916">
            <v>0</v>
          </cell>
          <cell r="DR916">
            <v>0</v>
          </cell>
          <cell r="DS916">
            <v>0</v>
          </cell>
          <cell r="DT916">
            <v>0</v>
          </cell>
          <cell r="DU916">
            <v>0</v>
          </cell>
          <cell r="DW916">
            <v>0</v>
          </cell>
          <cell r="DX916">
            <v>0</v>
          </cell>
          <cell r="DY916">
            <v>0</v>
          </cell>
          <cell r="DZ916">
            <v>0</v>
          </cell>
          <cell r="EA916">
            <v>0</v>
          </cell>
          <cell r="EB916">
            <v>0</v>
          </cell>
          <cell r="EC916">
            <v>0</v>
          </cell>
          <cell r="ED916">
            <v>0</v>
          </cell>
          <cell r="EE916">
            <v>0</v>
          </cell>
          <cell r="EF916">
            <v>0</v>
          </cell>
          <cell r="EG916">
            <v>0</v>
          </cell>
          <cell r="EH916">
            <v>0</v>
          </cell>
          <cell r="EI916">
            <v>0</v>
          </cell>
          <cell r="EK916">
            <v>0</v>
          </cell>
          <cell r="EL916">
            <v>0</v>
          </cell>
          <cell r="EM916">
            <v>0</v>
          </cell>
          <cell r="EN916">
            <v>0</v>
          </cell>
          <cell r="EO916">
            <v>0</v>
          </cell>
          <cell r="EP916">
            <v>0</v>
          </cell>
          <cell r="EQ916">
            <v>0</v>
          </cell>
          <cell r="ER916">
            <v>0</v>
          </cell>
          <cell r="ES916">
            <v>0</v>
          </cell>
          <cell r="ET916">
            <v>0</v>
          </cell>
          <cell r="EU916">
            <v>0</v>
          </cell>
          <cell r="EV916">
            <v>0</v>
          </cell>
          <cell r="EW916">
            <v>0</v>
          </cell>
          <cell r="EY916">
            <v>0</v>
          </cell>
          <cell r="EZ916">
            <v>8</v>
          </cell>
          <cell r="FA916">
            <v>0</v>
          </cell>
          <cell r="FB916">
            <v>0</v>
          </cell>
          <cell r="FC916">
            <v>8.6</v>
          </cell>
          <cell r="FD916">
            <v>0</v>
          </cell>
          <cell r="FE916">
            <v>0</v>
          </cell>
          <cell r="FF916">
            <v>0</v>
          </cell>
          <cell r="FH916">
            <v>0</v>
          </cell>
        </row>
        <row r="917">
          <cell r="B917">
            <v>10047</v>
          </cell>
          <cell r="C917" t="str">
            <v>25.06.2013</v>
          </cell>
          <cell r="D917" t="str">
            <v>Tejale Pankaj Ashok</v>
          </cell>
          <cell r="F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0</v>
          </cell>
          <cell r="AC917">
            <v>0</v>
          </cell>
          <cell r="AD917">
            <v>0</v>
          </cell>
          <cell r="AE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0</v>
          </cell>
          <cell r="AK917">
            <v>0</v>
          </cell>
          <cell r="AL917">
            <v>0</v>
          </cell>
          <cell r="AM917">
            <v>0</v>
          </cell>
          <cell r="AN917">
            <v>0</v>
          </cell>
          <cell r="AO917">
            <v>0</v>
          </cell>
          <cell r="AQ917">
            <v>0</v>
          </cell>
          <cell r="AR917">
            <v>0</v>
          </cell>
          <cell r="AS917">
            <v>0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BA917">
            <v>0</v>
          </cell>
          <cell r="BB917">
            <v>0</v>
          </cell>
          <cell r="BC917">
            <v>0</v>
          </cell>
          <cell r="BD917">
            <v>0</v>
          </cell>
          <cell r="BE917">
            <v>0</v>
          </cell>
          <cell r="BF917">
            <v>0</v>
          </cell>
          <cell r="BG917">
            <v>0</v>
          </cell>
          <cell r="BH917">
            <v>0</v>
          </cell>
          <cell r="BI917">
            <v>0</v>
          </cell>
          <cell r="BK917">
            <v>0</v>
          </cell>
          <cell r="BL917">
            <v>0</v>
          </cell>
          <cell r="BM917">
            <v>0</v>
          </cell>
          <cell r="BN917">
            <v>0</v>
          </cell>
          <cell r="BO917">
            <v>0</v>
          </cell>
          <cell r="BP917">
            <v>0</v>
          </cell>
          <cell r="BQ917">
            <v>0</v>
          </cell>
          <cell r="BR917">
            <v>0</v>
          </cell>
          <cell r="BS917">
            <v>0</v>
          </cell>
          <cell r="BU917">
            <v>0</v>
          </cell>
          <cell r="BV917">
            <v>0</v>
          </cell>
          <cell r="BW917">
            <v>0</v>
          </cell>
          <cell r="BX917">
            <v>0</v>
          </cell>
          <cell r="BY917">
            <v>0</v>
          </cell>
          <cell r="BZ917">
            <v>0</v>
          </cell>
          <cell r="CA917">
            <v>0</v>
          </cell>
          <cell r="CB917">
            <v>0</v>
          </cell>
          <cell r="CC917">
            <v>0</v>
          </cell>
          <cell r="CE917">
            <v>0</v>
          </cell>
          <cell r="CF917">
            <v>0</v>
          </cell>
          <cell r="CG917">
            <v>0</v>
          </cell>
          <cell r="CH917">
            <v>0</v>
          </cell>
          <cell r="CI917">
            <v>0</v>
          </cell>
          <cell r="CJ917">
            <v>0</v>
          </cell>
          <cell r="CK917">
            <v>0</v>
          </cell>
          <cell r="CL917">
            <v>0</v>
          </cell>
          <cell r="CM917">
            <v>0</v>
          </cell>
          <cell r="CO917">
            <v>0</v>
          </cell>
          <cell r="CP917">
            <v>0</v>
          </cell>
          <cell r="CQ917">
            <v>0</v>
          </cell>
          <cell r="CR917">
            <v>0</v>
          </cell>
          <cell r="CS917">
            <v>0</v>
          </cell>
          <cell r="CT917">
            <v>0</v>
          </cell>
          <cell r="CU917">
            <v>0</v>
          </cell>
          <cell r="CV917">
            <v>0</v>
          </cell>
          <cell r="CW917">
            <v>0</v>
          </cell>
          <cell r="CY917">
            <v>0</v>
          </cell>
          <cell r="CZ917">
            <v>0</v>
          </cell>
          <cell r="DA917">
            <v>0</v>
          </cell>
          <cell r="DB917">
            <v>0</v>
          </cell>
          <cell r="DC917">
            <v>0</v>
          </cell>
          <cell r="DD917">
            <v>0</v>
          </cell>
          <cell r="DE917">
            <v>0</v>
          </cell>
          <cell r="DF917">
            <v>0</v>
          </cell>
          <cell r="DG917">
            <v>0</v>
          </cell>
          <cell r="DI917">
            <v>0</v>
          </cell>
          <cell r="DJ917">
            <v>0</v>
          </cell>
          <cell r="DK917">
            <v>0</v>
          </cell>
          <cell r="DL917">
            <v>0</v>
          </cell>
          <cell r="DM917">
            <v>0</v>
          </cell>
          <cell r="DN917">
            <v>0</v>
          </cell>
          <cell r="DO917">
            <v>0</v>
          </cell>
          <cell r="DP917">
            <v>0</v>
          </cell>
          <cell r="DQ917">
            <v>0</v>
          </cell>
          <cell r="DR917">
            <v>0</v>
          </cell>
          <cell r="DS917">
            <v>0</v>
          </cell>
          <cell r="DT917">
            <v>0</v>
          </cell>
          <cell r="DU917">
            <v>0</v>
          </cell>
          <cell r="DW917">
            <v>0</v>
          </cell>
          <cell r="DX917">
            <v>0</v>
          </cell>
          <cell r="DY917">
            <v>0</v>
          </cell>
          <cell r="DZ917">
            <v>0</v>
          </cell>
          <cell r="EA917">
            <v>0</v>
          </cell>
          <cell r="EB917">
            <v>0</v>
          </cell>
          <cell r="EC917">
            <v>0</v>
          </cell>
          <cell r="ED917">
            <v>0</v>
          </cell>
          <cell r="EE917">
            <v>0</v>
          </cell>
          <cell r="EF917">
            <v>0</v>
          </cell>
          <cell r="EG917">
            <v>0</v>
          </cell>
          <cell r="EH917">
            <v>0</v>
          </cell>
          <cell r="EI917">
            <v>0</v>
          </cell>
          <cell r="EK917">
            <v>0</v>
          </cell>
          <cell r="EL917">
            <v>0</v>
          </cell>
          <cell r="EM917">
            <v>0</v>
          </cell>
          <cell r="EN917">
            <v>0</v>
          </cell>
          <cell r="EO917">
            <v>0</v>
          </cell>
          <cell r="EP917">
            <v>0</v>
          </cell>
          <cell r="EQ917">
            <v>0</v>
          </cell>
          <cell r="ER917">
            <v>0</v>
          </cell>
          <cell r="ES917">
            <v>0</v>
          </cell>
          <cell r="ET917">
            <v>0</v>
          </cell>
          <cell r="EU917">
            <v>0</v>
          </cell>
          <cell r="EV917">
            <v>0</v>
          </cell>
          <cell r="EW917">
            <v>0</v>
          </cell>
          <cell r="EY917">
            <v>0</v>
          </cell>
          <cell r="EZ917">
            <v>8</v>
          </cell>
          <cell r="FA917">
            <v>0</v>
          </cell>
          <cell r="FB917">
            <v>0</v>
          </cell>
          <cell r="FC917">
            <v>8.6</v>
          </cell>
          <cell r="FD917">
            <v>0</v>
          </cell>
          <cell r="FE917">
            <v>0</v>
          </cell>
          <cell r="FF917">
            <v>0</v>
          </cell>
          <cell r="FH917">
            <v>0</v>
          </cell>
        </row>
        <row r="918">
          <cell r="B918">
            <v>10048</v>
          </cell>
          <cell r="C918" t="str">
            <v>25.06.2013</v>
          </cell>
          <cell r="D918" t="str">
            <v>Thorat Vijay Gorakhnath</v>
          </cell>
          <cell r="F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BA918">
            <v>0</v>
          </cell>
          <cell r="BB918">
            <v>0</v>
          </cell>
          <cell r="BC918">
            <v>0</v>
          </cell>
          <cell r="BD918">
            <v>0</v>
          </cell>
          <cell r="BE918">
            <v>0</v>
          </cell>
          <cell r="BF918">
            <v>0</v>
          </cell>
          <cell r="BG918">
            <v>0</v>
          </cell>
          <cell r="BH918">
            <v>0</v>
          </cell>
          <cell r="BI918">
            <v>0</v>
          </cell>
          <cell r="BK918">
            <v>0</v>
          </cell>
          <cell r="BL918">
            <v>0</v>
          </cell>
          <cell r="BM918">
            <v>0</v>
          </cell>
          <cell r="BN918">
            <v>0</v>
          </cell>
          <cell r="BO918">
            <v>0</v>
          </cell>
          <cell r="BP918">
            <v>0</v>
          </cell>
          <cell r="BQ918">
            <v>0</v>
          </cell>
          <cell r="BR918">
            <v>0</v>
          </cell>
          <cell r="BS918">
            <v>0</v>
          </cell>
          <cell r="BU918">
            <v>0</v>
          </cell>
          <cell r="BV918">
            <v>0</v>
          </cell>
          <cell r="BW918">
            <v>0</v>
          </cell>
          <cell r="BX918">
            <v>0</v>
          </cell>
          <cell r="BY918">
            <v>0</v>
          </cell>
          <cell r="BZ918">
            <v>0</v>
          </cell>
          <cell r="CA918">
            <v>0</v>
          </cell>
          <cell r="CB918">
            <v>0</v>
          </cell>
          <cell r="CC918">
            <v>0</v>
          </cell>
          <cell r="CE918">
            <v>0</v>
          </cell>
          <cell r="CF918">
            <v>0</v>
          </cell>
          <cell r="CG918">
            <v>0</v>
          </cell>
          <cell r="CH918">
            <v>0</v>
          </cell>
          <cell r="CI918">
            <v>0</v>
          </cell>
          <cell r="CJ918">
            <v>0</v>
          </cell>
          <cell r="CK918">
            <v>0</v>
          </cell>
          <cell r="CL918">
            <v>0</v>
          </cell>
          <cell r="CM918">
            <v>0</v>
          </cell>
          <cell r="CO918">
            <v>0</v>
          </cell>
          <cell r="CP918">
            <v>0</v>
          </cell>
          <cell r="CQ918">
            <v>0</v>
          </cell>
          <cell r="CR918">
            <v>0</v>
          </cell>
          <cell r="CS918">
            <v>0</v>
          </cell>
          <cell r="CT918">
            <v>0</v>
          </cell>
          <cell r="CU918">
            <v>0</v>
          </cell>
          <cell r="CV918">
            <v>0</v>
          </cell>
          <cell r="CW918">
            <v>0</v>
          </cell>
          <cell r="CY918">
            <v>0</v>
          </cell>
          <cell r="CZ918">
            <v>0</v>
          </cell>
          <cell r="DA918">
            <v>0</v>
          </cell>
          <cell r="DB918">
            <v>0</v>
          </cell>
          <cell r="DC918">
            <v>0</v>
          </cell>
          <cell r="DD918">
            <v>0</v>
          </cell>
          <cell r="DE918">
            <v>0</v>
          </cell>
          <cell r="DF918">
            <v>0</v>
          </cell>
          <cell r="DG918">
            <v>0</v>
          </cell>
          <cell r="DI918">
            <v>0</v>
          </cell>
          <cell r="DJ918">
            <v>0</v>
          </cell>
          <cell r="DK918">
            <v>0</v>
          </cell>
          <cell r="DL918">
            <v>0</v>
          </cell>
          <cell r="DM918">
            <v>0</v>
          </cell>
          <cell r="DN918">
            <v>0</v>
          </cell>
          <cell r="DO918">
            <v>0</v>
          </cell>
          <cell r="DP918">
            <v>0</v>
          </cell>
          <cell r="DQ918">
            <v>0</v>
          </cell>
          <cell r="DR918">
            <v>0</v>
          </cell>
          <cell r="DS918">
            <v>0</v>
          </cell>
          <cell r="DT918">
            <v>0</v>
          </cell>
          <cell r="DU918">
            <v>0</v>
          </cell>
          <cell r="DW918">
            <v>0</v>
          </cell>
          <cell r="DX918">
            <v>0</v>
          </cell>
          <cell r="DY918">
            <v>0</v>
          </cell>
          <cell r="DZ918">
            <v>0</v>
          </cell>
          <cell r="EA918">
            <v>0</v>
          </cell>
          <cell r="EB918">
            <v>0</v>
          </cell>
          <cell r="EC918">
            <v>0</v>
          </cell>
          <cell r="ED918">
            <v>0</v>
          </cell>
          <cell r="EE918">
            <v>0</v>
          </cell>
          <cell r="EF918">
            <v>0</v>
          </cell>
          <cell r="EG918">
            <v>0</v>
          </cell>
          <cell r="EH918">
            <v>0</v>
          </cell>
          <cell r="EI918">
            <v>0</v>
          </cell>
          <cell r="EK918">
            <v>0</v>
          </cell>
          <cell r="EL918">
            <v>0</v>
          </cell>
          <cell r="EM918">
            <v>0</v>
          </cell>
          <cell r="EN918">
            <v>0</v>
          </cell>
          <cell r="EO918">
            <v>0</v>
          </cell>
          <cell r="EP918">
            <v>0</v>
          </cell>
          <cell r="EQ918">
            <v>0</v>
          </cell>
          <cell r="ER918">
            <v>0</v>
          </cell>
          <cell r="ES918">
            <v>0</v>
          </cell>
          <cell r="ET918">
            <v>0</v>
          </cell>
          <cell r="EU918">
            <v>0</v>
          </cell>
          <cell r="EV918">
            <v>0</v>
          </cell>
          <cell r="EW918">
            <v>0</v>
          </cell>
          <cell r="EY918">
            <v>0</v>
          </cell>
          <cell r="EZ918">
            <v>8</v>
          </cell>
          <cell r="FA918">
            <v>0</v>
          </cell>
          <cell r="FB918">
            <v>0</v>
          </cell>
          <cell r="FC918">
            <v>8.6</v>
          </cell>
          <cell r="FD918">
            <v>0</v>
          </cell>
          <cell r="FE918">
            <v>0</v>
          </cell>
          <cell r="FF918">
            <v>0</v>
          </cell>
          <cell r="FH918">
            <v>0</v>
          </cell>
        </row>
        <row r="919">
          <cell r="B919">
            <v>10049</v>
          </cell>
          <cell r="C919" t="str">
            <v>25.06.2013</v>
          </cell>
          <cell r="D919" t="str">
            <v>Khairnar Jay Sanjay</v>
          </cell>
          <cell r="F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BA919">
            <v>0</v>
          </cell>
          <cell r="BB919">
            <v>0</v>
          </cell>
          <cell r="BC919">
            <v>0</v>
          </cell>
          <cell r="BD919">
            <v>0</v>
          </cell>
          <cell r="BE919">
            <v>0</v>
          </cell>
          <cell r="BF919">
            <v>0</v>
          </cell>
          <cell r="BG919">
            <v>0</v>
          </cell>
          <cell r="BH919">
            <v>0</v>
          </cell>
          <cell r="BI919">
            <v>0</v>
          </cell>
          <cell r="BK919">
            <v>0</v>
          </cell>
          <cell r="BL919">
            <v>0</v>
          </cell>
          <cell r="BM919">
            <v>0</v>
          </cell>
          <cell r="BN919">
            <v>0</v>
          </cell>
          <cell r="BO919">
            <v>0</v>
          </cell>
          <cell r="BP919">
            <v>0</v>
          </cell>
          <cell r="BQ919">
            <v>0</v>
          </cell>
          <cell r="BR919">
            <v>0</v>
          </cell>
          <cell r="BS919">
            <v>0</v>
          </cell>
          <cell r="BU919">
            <v>0</v>
          </cell>
          <cell r="BV919">
            <v>0</v>
          </cell>
          <cell r="BW919">
            <v>0</v>
          </cell>
          <cell r="BX919">
            <v>0</v>
          </cell>
          <cell r="BY919">
            <v>0</v>
          </cell>
          <cell r="BZ919">
            <v>0</v>
          </cell>
          <cell r="CA919">
            <v>0</v>
          </cell>
          <cell r="CB919">
            <v>0</v>
          </cell>
          <cell r="CC919">
            <v>0</v>
          </cell>
          <cell r="CE919">
            <v>0</v>
          </cell>
          <cell r="CF919">
            <v>0</v>
          </cell>
          <cell r="CG919">
            <v>0</v>
          </cell>
          <cell r="CH919">
            <v>0</v>
          </cell>
          <cell r="CI919">
            <v>0</v>
          </cell>
          <cell r="CJ919">
            <v>0</v>
          </cell>
          <cell r="CK919">
            <v>0</v>
          </cell>
          <cell r="CL919">
            <v>0</v>
          </cell>
          <cell r="CM919">
            <v>0</v>
          </cell>
          <cell r="CO919">
            <v>0</v>
          </cell>
          <cell r="CP919">
            <v>0</v>
          </cell>
          <cell r="CQ919">
            <v>0</v>
          </cell>
          <cell r="CR919">
            <v>0</v>
          </cell>
          <cell r="CS919">
            <v>0</v>
          </cell>
          <cell r="CT919">
            <v>0</v>
          </cell>
          <cell r="CU919">
            <v>0</v>
          </cell>
          <cell r="CV919">
            <v>0</v>
          </cell>
          <cell r="CW919">
            <v>0</v>
          </cell>
          <cell r="CY919">
            <v>0</v>
          </cell>
          <cell r="CZ919">
            <v>0</v>
          </cell>
          <cell r="DA919">
            <v>0</v>
          </cell>
          <cell r="DB919">
            <v>0</v>
          </cell>
          <cell r="DC919">
            <v>0</v>
          </cell>
          <cell r="DD919">
            <v>0</v>
          </cell>
          <cell r="DE919">
            <v>0</v>
          </cell>
          <cell r="DF919">
            <v>0</v>
          </cell>
          <cell r="DG919">
            <v>0</v>
          </cell>
          <cell r="DI919">
            <v>0</v>
          </cell>
          <cell r="DJ919">
            <v>0</v>
          </cell>
          <cell r="DK919">
            <v>0</v>
          </cell>
          <cell r="DL919">
            <v>0</v>
          </cell>
          <cell r="DM919">
            <v>0</v>
          </cell>
          <cell r="DN919">
            <v>0</v>
          </cell>
          <cell r="DO919">
            <v>0</v>
          </cell>
          <cell r="DP919">
            <v>0</v>
          </cell>
          <cell r="DQ919">
            <v>0</v>
          </cell>
          <cell r="DR919">
            <v>0</v>
          </cell>
          <cell r="DS919">
            <v>0</v>
          </cell>
          <cell r="DT919">
            <v>0</v>
          </cell>
          <cell r="DU919">
            <v>0</v>
          </cell>
          <cell r="DW919">
            <v>0</v>
          </cell>
          <cell r="DX919">
            <v>0</v>
          </cell>
          <cell r="DY919">
            <v>0</v>
          </cell>
          <cell r="DZ919">
            <v>0</v>
          </cell>
          <cell r="EA919">
            <v>0</v>
          </cell>
          <cell r="EB919">
            <v>0</v>
          </cell>
          <cell r="EC919">
            <v>0</v>
          </cell>
          <cell r="ED919">
            <v>0</v>
          </cell>
          <cell r="EE919">
            <v>0</v>
          </cell>
          <cell r="EF919">
            <v>0</v>
          </cell>
          <cell r="EG919">
            <v>0</v>
          </cell>
          <cell r="EH919">
            <v>0</v>
          </cell>
          <cell r="EI919">
            <v>0</v>
          </cell>
          <cell r="EK919">
            <v>0</v>
          </cell>
          <cell r="EL919">
            <v>0</v>
          </cell>
          <cell r="EM919">
            <v>0</v>
          </cell>
          <cell r="EN919">
            <v>0</v>
          </cell>
          <cell r="EO919">
            <v>0</v>
          </cell>
          <cell r="EP919">
            <v>0</v>
          </cell>
          <cell r="EQ919">
            <v>0</v>
          </cell>
          <cell r="ER919">
            <v>0</v>
          </cell>
          <cell r="ES919">
            <v>0</v>
          </cell>
          <cell r="ET919">
            <v>0</v>
          </cell>
          <cell r="EU919">
            <v>0</v>
          </cell>
          <cell r="EV919">
            <v>0</v>
          </cell>
          <cell r="EW919">
            <v>0</v>
          </cell>
          <cell r="EY919">
            <v>0</v>
          </cell>
          <cell r="EZ919">
            <v>8</v>
          </cell>
          <cell r="FA919">
            <v>0</v>
          </cell>
          <cell r="FB919">
            <v>0</v>
          </cell>
          <cell r="FC919">
            <v>8.6</v>
          </cell>
          <cell r="FD919">
            <v>0</v>
          </cell>
          <cell r="FE919">
            <v>0</v>
          </cell>
          <cell r="FF919">
            <v>0</v>
          </cell>
          <cell r="FH919">
            <v>0</v>
          </cell>
        </row>
        <row r="920">
          <cell r="B920">
            <v>10050</v>
          </cell>
          <cell r="C920" t="str">
            <v>25.06.2013</v>
          </cell>
          <cell r="D920" t="str">
            <v>Gaikwad Sunny Sitaram</v>
          </cell>
          <cell r="F920">
            <v>0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  <cell r="AG920">
            <v>0</v>
          </cell>
          <cell r="AH920">
            <v>0</v>
          </cell>
          <cell r="AI920">
            <v>0</v>
          </cell>
          <cell r="AJ920">
            <v>0</v>
          </cell>
          <cell r="AK920">
            <v>0</v>
          </cell>
          <cell r="AL920">
            <v>0</v>
          </cell>
          <cell r="AM920">
            <v>0</v>
          </cell>
          <cell r="AN920">
            <v>0</v>
          </cell>
          <cell r="AO920">
            <v>0</v>
          </cell>
          <cell r="AQ920">
            <v>0</v>
          </cell>
          <cell r="AR920">
            <v>0</v>
          </cell>
          <cell r="AS920">
            <v>0</v>
          </cell>
          <cell r="AT920">
            <v>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BA920">
            <v>0</v>
          </cell>
          <cell r="BB920">
            <v>0</v>
          </cell>
          <cell r="BC920">
            <v>0</v>
          </cell>
          <cell r="BD920">
            <v>0</v>
          </cell>
          <cell r="BE920">
            <v>0</v>
          </cell>
          <cell r="BF920">
            <v>0</v>
          </cell>
          <cell r="BG920">
            <v>0</v>
          </cell>
          <cell r="BH920">
            <v>0</v>
          </cell>
          <cell r="BI920">
            <v>0</v>
          </cell>
          <cell r="BK920">
            <v>0</v>
          </cell>
          <cell r="BL920">
            <v>0</v>
          </cell>
          <cell r="BM920">
            <v>0</v>
          </cell>
          <cell r="BN920">
            <v>0</v>
          </cell>
          <cell r="BO920">
            <v>0</v>
          </cell>
          <cell r="BP920">
            <v>0</v>
          </cell>
          <cell r="BQ920">
            <v>0</v>
          </cell>
          <cell r="BR920">
            <v>0</v>
          </cell>
          <cell r="BS920">
            <v>0</v>
          </cell>
          <cell r="BU920">
            <v>0</v>
          </cell>
          <cell r="BV920">
            <v>0</v>
          </cell>
          <cell r="BW920">
            <v>0</v>
          </cell>
          <cell r="BX920">
            <v>0</v>
          </cell>
          <cell r="BY920">
            <v>0</v>
          </cell>
          <cell r="BZ920">
            <v>0</v>
          </cell>
          <cell r="CA920">
            <v>0</v>
          </cell>
          <cell r="CB920">
            <v>0</v>
          </cell>
          <cell r="CC920">
            <v>0</v>
          </cell>
          <cell r="CE920">
            <v>0</v>
          </cell>
          <cell r="CF920">
            <v>0</v>
          </cell>
          <cell r="CG920">
            <v>0</v>
          </cell>
          <cell r="CH920">
            <v>0</v>
          </cell>
          <cell r="CI920">
            <v>0</v>
          </cell>
          <cell r="CJ920">
            <v>0</v>
          </cell>
          <cell r="CK920">
            <v>0</v>
          </cell>
          <cell r="CL920">
            <v>0</v>
          </cell>
          <cell r="CM920">
            <v>0</v>
          </cell>
          <cell r="CO920">
            <v>0</v>
          </cell>
          <cell r="CP920">
            <v>0</v>
          </cell>
          <cell r="CQ920">
            <v>0</v>
          </cell>
          <cell r="CR920">
            <v>0</v>
          </cell>
          <cell r="CS920">
            <v>0</v>
          </cell>
          <cell r="CT920">
            <v>0</v>
          </cell>
          <cell r="CU920">
            <v>0</v>
          </cell>
          <cell r="CV920">
            <v>0</v>
          </cell>
          <cell r="CW920">
            <v>0</v>
          </cell>
          <cell r="CY920">
            <v>0</v>
          </cell>
          <cell r="CZ920">
            <v>0</v>
          </cell>
          <cell r="DA920">
            <v>0</v>
          </cell>
          <cell r="DB920">
            <v>0</v>
          </cell>
          <cell r="DC920">
            <v>0</v>
          </cell>
          <cell r="DD920">
            <v>0</v>
          </cell>
          <cell r="DE920">
            <v>0</v>
          </cell>
          <cell r="DF920">
            <v>0</v>
          </cell>
          <cell r="DG920">
            <v>0</v>
          </cell>
          <cell r="DI920">
            <v>0</v>
          </cell>
          <cell r="DJ920">
            <v>0</v>
          </cell>
          <cell r="DK920">
            <v>0</v>
          </cell>
          <cell r="DL920">
            <v>0</v>
          </cell>
          <cell r="DM920">
            <v>0</v>
          </cell>
          <cell r="DN920">
            <v>0</v>
          </cell>
          <cell r="DO920">
            <v>0</v>
          </cell>
          <cell r="DP920">
            <v>0</v>
          </cell>
          <cell r="DQ920">
            <v>0</v>
          </cell>
          <cell r="DR920">
            <v>0</v>
          </cell>
          <cell r="DS920">
            <v>0</v>
          </cell>
          <cell r="DT920">
            <v>0</v>
          </cell>
          <cell r="DU920">
            <v>0</v>
          </cell>
          <cell r="DW920">
            <v>0</v>
          </cell>
          <cell r="DX920">
            <v>0</v>
          </cell>
          <cell r="DY920">
            <v>0</v>
          </cell>
          <cell r="DZ920">
            <v>0</v>
          </cell>
          <cell r="EA920">
            <v>0</v>
          </cell>
          <cell r="EB920">
            <v>0</v>
          </cell>
          <cell r="EC920">
            <v>0</v>
          </cell>
          <cell r="ED920">
            <v>0</v>
          </cell>
          <cell r="EE920">
            <v>0</v>
          </cell>
          <cell r="EF920">
            <v>0</v>
          </cell>
          <cell r="EG920">
            <v>0</v>
          </cell>
          <cell r="EH920">
            <v>0</v>
          </cell>
          <cell r="EI920">
            <v>0</v>
          </cell>
          <cell r="EK920">
            <v>0</v>
          </cell>
          <cell r="EL920">
            <v>0</v>
          </cell>
          <cell r="EM920">
            <v>0</v>
          </cell>
          <cell r="EN920">
            <v>0</v>
          </cell>
          <cell r="EO920">
            <v>0</v>
          </cell>
          <cell r="EP920">
            <v>0</v>
          </cell>
          <cell r="EQ920">
            <v>0</v>
          </cell>
          <cell r="ER920">
            <v>0</v>
          </cell>
          <cell r="ES920">
            <v>0</v>
          </cell>
          <cell r="ET920">
            <v>0</v>
          </cell>
          <cell r="EU920">
            <v>0</v>
          </cell>
          <cell r="EV920">
            <v>0</v>
          </cell>
          <cell r="EW920">
            <v>0</v>
          </cell>
          <cell r="EY920">
            <v>0</v>
          </cell>
          <cell r="EZ920">
            <v>8</v>
          </cell>
          <cell r="FA920">
            <v>0</v>
          </cell>
          <cell r="FB920">
            <v>0</v>
          </cell>
          <cell r="FC920">
            <v>8.6</v>
          </cell>
          <cell r="FD920">
            <v>0</v>
          </cell>
          <cell r="FE920">
            <v>0</v>
          </cell>
          <cell r="FF920">
            <v>0</v>
          </cell>
          <cell r="FH920">
            <v>0</v>
          </cell>
        </row>
        <row r="921">
          <cell r="B921">
            <v>10051</v>
          </cell>
          <cell r="C921" t="str">
            <v>25.06.2013</v>
          </cell>
          <cell r="D921" t="str">
            <v>Bargal Sagar Ramesh</v>
          </cell>
          <cell r="F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G921">
            <v>0</v>
          </cell>
          <cell r="AH921">
            <v>0</v>
          </cell>
          <cell r="AI921">
            <v>0</v>
          </cell>
          <cell r="AJ921">
            <v>0</v>
          </cell>
          <cell r="AK921">
            <v>0</v>
          </cell>
          <cell r="AL921">
            <v>0</v>
          </cell>
          <cell r="AM921">
            <v>0</v>
          </cell>
          <cell r="AN921">
            <v>0</v>
          </cell>
          <cell r="AO921">
            <v>0</v>
          </cell>
          <cell r="AQ921">
            <v>0</v>
          </cell>
          <cell r="AR921">
            <v>0</v>
          </cell>
          <cell r="AS921">
            <v>0</v>
          </cell>
          <cell r="AT921">
            <v>0</v>
          </cell>
          <cell r="AU921">
            <v>0</v>
          </cell>
          <cell r="AV921">
            <v>0</v>
          </cell>
          <cell r="AW921">
            <v>0</v>
          </cell>
          <cell r="AX921">
            <v>0</v>
          </cell>
          <cell r="AY921">
            <v>0</v>
          </cell>
          <cell r="BA921">
            <v>0</v>
          </cell>
          <cell r="BB921">
            <v>0</v>
          </cell>
          <cell r="BC921">
            <v>0</v>
          </cell>
          <cell r="BD921">
            <v>0</v>
          </cell>
          <cell r="BE921">
            <v>0</v>
          </cell>
          <cell r="BF921">
            <v>0</v>
          </cell>
          <cell r="BG921">
            <v>0</v>
          </cell>
          <cell r="BH921">
            <v>0</v>
          </cell>
          <cell r="BI921">
            <v>0</v>
          </cell>
          <cell r="BK921">
            <v>0</v>
          </cell>
          <cell r="BL921">
            <v>0</v>
          </cell>
          <cell r="BM921">
            <v>0</v>
          </cell>
          <cell r="BN921">
            <v>0</v>
          </cell>
          <cell r="BO921">
            <v>0</v>
          </cell>
          <cell r="BP921">
            <v>0</v>
          </cell>
          <cell r="BQ921">
            <v>0</v>
          </cell>
          <cell r="BR921">
            <v>0</v>
          </cell>
          <cell r="BS921">
            <v>0</v>
          </cell>
          <cell r="BU921">
            <v>0</v>
          </cell>
          <cell r="BV921">
            <v>0</v>
          </cell>
          <cell r="BW921">
            <v>0</v>
          </cell>
          <cell r="BX921">
            <v>0</v>
          </cell>
          <cell r="BY921">
            <v>0</v>
          </cell>
          <cell r="BZ921">
            <v>0</v>
          </cell>
          <cell r="CA921">
            <v>0</v>
          </cell>
          <cell r="CB921">
            <v>0</v>
          </cell>
          <cell r="CC921">
            <v>0</v>
          </cell>
          <cell r="CE921">
            <v>0</v>
          </cell>
          <cell r="CF921">
            <v>0</v>
          </cell>
          <cell r="CG921">
            <v>0</v>
          </cell>
          <cell r="CH921">
            <v>0</v>
          </cell>
          <cell r="CI921">
            <v>0</v>
          </cell>
          <cell r="CJ921">
            <v>0</v>
          </cell>
          <cell r="CK921">
            <v>0</v>
          </cell>
          <cell r="CL921">
            <v>0</v>
          </cell>
          <cell r="CM921">
            <v>0</v>
          </cell>
          <cell r="CO921">
            <v>0</v>
          </cell>
          <cell r="CP921">
            <v>0</v>
          </cell>
          <cell r="CQ921">
            <v>0</v>
          </cell>
          <cell r="CR921">
            <v>0</v>
          </cell>
          <cell r="CS921">
            <v>0</v>
          </cell>
          <cell r="CT921">
            <v>0</v>
          </cell>
          <cell r="CU921">
            <v>0</v>
          </cell>
          <cell r="CV921">
            <v>0</v>
          </cell>
          <cell r="CW921">
            <v>0</v>
          </cell>
          <cell r="CY921">
            <v>0</v>
          </cell>
          <cell r="CZ921">
            <v>0</v>
          </cell>
          <cell r="DA921">
            <v>0</v>
          </cell>
          <cell r="DB921">
            <v>0</v>
          </cell>
          <cell r="DC921">
            <v>0</v>
          </cell>
          <cell r="DD921">
            <v>0</v>
          </cell>
          <cell r="DE921">
            <v>0</v>
          </cell>
          <cell r="DF921">
            <v>0</v>
          </cell>
          <cell r="DG921">
            <v>0</v>
          </cell>
          <cell r="DI921">
            <v>0</v>
          </cell>
          <cell r="DJ921">
            <v>0</v>
          </cell>
          <cell r="DK921">
            <v>0</v>
          </cell>
          <cell r="DL921">
            <v>0</v>
          </cell>
          <cell r="DM921">
            <v>0</v>
          </cell>
          <cell r="DN921">
            <v>0</v>
          </cell>
          <cell r="DO921">
            <v>0</v>
          </cell>
          <cell r="DP921">
            <v>0</v>
          </cell>
          <cell r="DQ921">
            <v>0</v>
          </cell>
          <cell r="DR921">
            <v>0</v>
          </cell>
          <cell r="DS921">
            <v>0</v>
          </cell>
          <cell r="DT921">
            <v>0</v>
          </cell>
          <cell r="DU921">
            <v>0</v>
          </cell>
          <cell r="DW921">
            <v>0</v>
          </cell>
          <cell r="DX921">
            <v>0</v>
          </cell>
          <cell r="DY921">
            <v>0</v>
          </cell>
          <cell r="DZ921">
            <v>0</v>
          </cell>
          <cell r="EA921">
            <v>0</v>
          </cell>
          <cell r="EB921">
            <v>0</v>
          </cell>
          <cell r="EC921">
            <v>0</v>
          </cell>
          <cell r="ED921">
            <v>0</v>
          </cell>
          <cell r="EE921">
            <v>0</v>
          </cell>
          <cell r="EF921">
            <v>0</v>
          </cell>
          <cell r="EG921">
            <v>0</v>
          </cell>
          <cell r="EH921">
            <v>0</v>
          </cell>
          <cell r="EI921">
            <v>0</v>
          </cell>
          <cell r="EK921">
            <v>0</v>
          </cell>
          <cell r="EL921">
            <v>0</v>
          </cell>
          <cell r="EM921">
            <v>0</v>
          </cell>
          <cell r="EN921">
            <v>0</v>
          </cell>
          <cell r="EO921">
            <v>0</v>
          </cell>
          <cell r="EP921">
            <v>0</v>
          </cell>
          <cell r="EQ921">
            <v>0</v>
          </cell>
          <cell r="ER921">
            <v>0</v>
          </cell>
          <cell r="ES921">
            <v>0</v>
          </cell>
          <cell r="ET921">
            <v>0</v>
          </cell>
          <cell r="EU921">
            <v>0</v>
          </cell>
          <cell r="EV921">
            <v>0</v>
          </cell>
          <cell r="EW921">
            <v>0</v>
          </cell>
          <cell r="EY921">
            <v>0</v>
          </cell>
          <cell r="EZ921">
            <v>8</v>
          </cell>
          <cell r="FA921">
            <v>0</v>
          </cell>
          <cell r="FB921">
            <v>0</v>
          </cell>
          <cell r="FC921">
            <v>8.6</v>
          </cell>
          <cell r="FD921">
            <v>0</v>
          </cell>
          <cell r="FE921">
            <v>0</v>
          </cell>
          <cell r="FF921">
            <v>0</v>
          </cell>
          <cell r="FH921">
            <v>0</v>
          </cell>
        </row>
        <row r="922">
          <cell r="B922">
            <v>10052</v>
          </cell>
          <cell r="C922" t="str">
            <v>25.06.2013</v>
          </cell>
          <cell r="D922" t="str">
            <v>Gangurde Rohit Vishnu</v>
          </cell>
          <cell r="F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0</v>
          </cell>
          <cell r="AC922">
            <v>0</v>
          </cell>
          <cell r="AD922">
            <v>0</v>
          </cell>
          <cell r="AE922">
            <v>0</v>
          </cell>
          <cell r="AG922">
            <v>0</v>
          </cell>
          <cell r="AH922">
            <v>0</v>
          </cell>
          <cell r="AI922">
            <v>0</v>
          </cell>
          <cell r="AJ922">
            <v>0</v>
          </cell>
          <cell r="AK922">
            <v>0</v>
          </cell>
          <cell r="AL922">
            <v>0</v>
          </cell>
          <cell r="AM922">
            <v>0</v>
          </cell>
          <cell r="AN922">
            <v>0</v>
          </cell>
          <cell r="AO922">
            <v>0</v>
          </cell>
          <cell r="AQ922">
            <v>0</v>
          </cell>
          <cell r="AR922">
            <v>0</v>
          </cell>
          <cell r="AS922">
            <v>0</v>
          </cell>
          <cell r="AT922">
            <v>0</v>
          </cell>
          <cell r="AU922">
            <v>0</v>
          </cell>
          <cell r="AV922">
            <v>0</v>
          </cell>
          <cell r="AW922">
            <v>0</v>
          </cell>
          <cell r="AX922">
            <v>0</v>
          </cell>
          <cell r="AY922">
            <v>0</v>
          </cell>
          <cell r="BA922">
            <v>0</v>
          </cell>
          <cell r="BB922">
            <v>0</v>
          </cell>
          <cell r="BC922">
            <v>0</v>
          </cell>
          <cell r="BD922">
            <v>0</v>
          </cell>
          <cell r="BE922">
            <v>0</v>
          </cell>
          <cell r="BF922">
            <v>0</v>
          </cell>
          <cell r="BG922">
            <v>0</v>
          </cell>
          <cell r="BH922">
            <v>0</v>
          </cell>
          <cell r="BI922">
            <v>0</v>
          </cell>
          <cell r="BK922">
            <v>0</v>
          </cell>
          <cell r="BL922">
            <v>0</v>
          </cell>
          <cell r="BM922">
            <v>0</v>
          </cell>
          <cell r="BN922">
            <v>0</v>
          </cell>
          <cell r="BO922">
            <v>0</v>
          </cell>
          <cell r="BP922">
            <v>0</v>
          </cell>
          <cell r="BQ922">
            <v>0</v>
          </cell>
          <cell r="BR922">
            <v>0</v>
          </cell>
          <cell r="BS922">
            <v>0</v>
          </cell>
          <cell r="BU922">
            <v>0</v>
          </cell>
          <cell r="BV922">
            <v>0</v>
          </cell>
          <cell r="BW922">
            <v>0</v>
          </cell>
          <cell r="BX922">
            <v>0</v>
          </cell>
          <cell r="BY922">
            <v>0</v>
          </cell>
          <cell r="BZ922">
            <v>0</v>
          </cell>
          <cell r="CA922">
            <v>0</v>
          </cell>
          <cell r="CB922">
            <v>0</v>
          </cell>
          <cell r="CC922">
            <v>0</v>
          </cell>
          <cell r="CE922">
            <v>0</v>
          </cell>
          <cell r="CF922">
            <v>0</v>
          </cell>
          <cell r="CG922">
            <v>0</v>
          </cell>
          <cell r="CH922">
            <v>0</v>
          </cell>
          <cell r="CI922">
            <v>0</v>
          </cell>
          <cell r="CJ922">
            <v>0</v>
          </cell>
          <cell r="CK922">
            <v>0</v>
          </cell>
          <cell r="CL922">
            <v>0</v>
          </cell>
          <cell r="CM922">
            <v>0</v>
          </cell>
          <cell r="CO922">
            <v>0</v>
          </cell>
          <cell r="CP922">
            <v>0</v>
          </cell>
          <cell r="CQ922">
            <v>0</v>
          </cell>
          <cell r="CR922">
            <v>0</v>
          </cell>
          <cell r="CS922">
            <v>0</v>
          </cell>
          <cell r="CT922">
            <v>0</v>
          </cell>
          <cell r="CU922">
            <v>0</v>
          </cell>
          <cell r="CV922">
            <v>0</v>
          </cell>
          <cell r="CW922">
            <v>0</v>
          </cell>
          <cell r="CY922">
            <v>0</v>
          </cell>
          <cell r="CZ922">
            <v>0</v>
          </cell>
          <cell r="DA922">
            <v>0</v>
          </cell>
          <cell r="DB922">
            <v>0</v>
          </cell>
          <cell r="DC922">
            <v>0</v>
          </cell>
          <cell r="DD922">
            <v>0</v>
          </cell>
          <cell r="DE922">
            <v>0</v>
          </cell>
          <cell r="DF922">
            <v>0</v>
          </cell>
          <cell r="DG922">
            <v>0</v>
          </cell>
          <cell r="DI922">
            <v>0</v>
          </cell>
          <cell r="DJ922">
            <v>0</v>
          </cell>
          <cell r="DK922">
            <v>0</v>
          </cell>
          <cell r="DL922">
            <v>0</v>
          </cell>
          <cell r="DM922">
            <v>0</v>
          </cell>
          <cell r="DN922">
            <v>0</v>
          </cell>
          <cell r="DO922">
            <v>0</v>
          </cell>
          <cell r="DP922">
            <v>0</v>
          </cell>
          <cell r="DQ922">
            <v>0</v>
          </cell>
          <cell r="DR922">
            <v>0</v>
          </cell>
          <cell r="DS922">
            <v>0</v>
          </cell>
          <cell r="DT922">
            <v>0</v>
          </cell>
          <cell r="DU922">
            <v>0</v>
          </cell>
          <cell r="DW922">
            <v>0</v>
          </cell>
          <cell r="DX922">
            <v>0</v>
          </cell>
          <cell r="DY922">
            <v>0</v>
          </cell>
          <cell r="DZ922">
            <v>0</v>
          </cell>
          <cell r="EA922">
            <v>0</v>
          </cell>
          <cell r="EB922">
            <v>0</v>
          </cell>
          <cell r="EC922">
            <v>0</v>
          </cell>
          <cell r="ED922">
            <v>0</v>
          </cell>
          <cell r="EE922">
            <v>0</v>
          </cell>
          <cell r="EF922">
            <v>0</v>
          </cell>
          <cell r="EG922">
            <v>0</v>
          </cell>
          <cell r="EH922">
            <v>0</v>
          </cell>
          <cell r="EI922">
            <v>0</v>
          </cell>
          <cell r="EK922">
            <v>0</v>
          </cell>
          <cell r="EL922">
            <v>0</v>
          </cell>
          <cell r="EM922">
            <v>0</v>
          </cell>
          <cell r="EN922">
            <v>0</v>
          </cell>
          <cell r="EO922">
            <v>0</v>
          </cell>
          <cell r="EP922">
            <v>0</v>
          </cell>
          <cell r="EQ922">
            <v>0</v>
          </cell>
          <cell r="ER922">
            <v>0</v>
          </cell>
          <cell r="ES922">
            <v>0</v>
          </cell>
          <cell r="ET922">
            <v>0</v>
          </cell>
          <cell r="EU922">
            <v>0</v>
          </cell>
          <cell r="EV922">
            <v>0</v>
          </cell>
          <cell r="EW922">
            <v>0</v>
          </cell>
          <cell r="EY922">
            <v>0</v>
          </cell>
          <cell r="EZ922">
            <v>8</v>
          </cell>
          <cell r="FA922">
            <v>0</v>
          </cell>
          <cell r="FB922">
            <v>0</v>
          </cell>
          <cell r="FC922">
            <v>8.6</v>
          </cell>
          <cell r="FD922">
            <v>0</v>
          </cell>
          <cell r="FE922">
            <v>0</v>
          </cell>
          <cell r="FF922">
            <v>0</v>
          </cell>
          <cell r="FH922">
            <v>0</v>
          </cell>
        </row>
        <row r="923">
          <cell r="B923">
            <v>10053</v>
          </cell>
          <cell r="C923" t="str">
            <v>25.06.2013</v>
          </cell>
          <cell r="D923" t="str">
            <v>Pagare Rahul Anil</v>
          </cell>
          <cell r="F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0</v>
          </cell>
          <cell r="AK923">
            <v>0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  <cell r="AQ923">
            <v>0</v>
          </cell>
          <cell r="AR923">
            <v>0</v>
          </cell>
          <cell r="AS923">
            <v>0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BA923">
            <v>0</v>
          </cell>
          <cell r="BB923">
            <v>0</v>
          </cell>
          <cell r="BC923">
            <v>0</v>
          </cell>
          <cell r="BD923">
            <v>0</v>
          </cell>
          <cell r="BE923">
            <v>0</v>
          </cell>
          <cell r="BF923">
            <v>0</v>
          </cell>
          <cell r="BG923">
            <v>0</v>
          </cell>
          <cell r="BH923">
            <v>0</v>
          </cell>
          <cell r="BI923">
            <v>0</v>
          </cell>
          <cell r="BK923">
            <v>0</v>
          </cell>
          <cell r="BL923">
            <v>0</v>
          </cell>
          <cell r="BM923">
            <v>0</v>
          </cell>
          <cell r="BN923">
            <v>0</v>
          </cell>
          <cell r="BO923">
            <v>0</v>
          </cell>
          <cell r="BP923">
            <v>0</v>
          </cell>
          <cell r="BQ923">
            <v>0</v>
          </cell>
          <cell r="BR923">
            <v>0</v>
          </cell>
          <cell r="BS923">
            <v>0</v>
          </cell>
          <cell r="BU923">
            <v>0</v>
          </cell>
          <cell r="BV923">
            <v>0</v>
          </cell>
          <cell r="BW923">
            <v>0</v>
          </cell>
          <cell r="BX923">
            <v>0</v>
          </cell>
          <cell r="BY923">
            <v>0</v>
          </cell>
          <cell r="BZ923">
            <v>0</v>
          </cell>
          <cell r="CA923">
            <v>0</v>
          </cell>
          <cell r="CB923">
            <v>0</v>
          </cell>
          <cell r="CC923">
            <v>0</v>
          </cell>
          <cell r="CE923">
            <v>0</v>
          </cell>
          <cell r="CF923">
            <v>0</v>
          </cell>
          <cell r="CG923">
            <v>0</v>
          </cell>
          <cell r="CH923">
            <v>0</v>
          </cell>
          <cell r="CI923">
            <v>0</v>
          </cell>
          <cell r="CJ923">
            <v>0</v>
          </cell>
          <cell r="CK923">
            <v>0</v>
          </cell>
          <cell r="CL923">
            <v>0</v>
          </cell>
          <cell r="CM923">
            <v>0</v>
          </cell>
          <cell r="CO923">
            <v>0</v>
          </cell>
          <cell r="CP923">
            <v>0</v>
          </cell>
          <cell r="CQ923">
            <v>0</v>
          </cell>
          <cell r="CR923">
            <v>0</v>
          </cell>
          <cell r="CS923">
            <v>0</v>
          </cell>
          <cell r="CT923">
            <v>0</v>
          </cell>
          <cell r="CU923">
            <v>0</v>
          </cell>
          <cell r="CV923">
            <v>0</v>
          </cell>
          <cell r="CW923">
            <v>0</v>
          </cell>
          <cell r="CY923">
            <v>0</v>
          </cell>
          <cell r="CZ923">
            <v>0</v>
          </cell>
          <cell r="DA923">
            <v>0</v>
          </cell>
          <cell r="DB923">
            <v>0</v>
          </cell>
          <cell r="DC923">
            <v>0</v>
          </cell>
          <cell r="DD923">
            <v>0</v>
          </cell>
          <cell r="DE923">
            <v>0</v>
          </cell>
          <cell r="DF923">
            <v>0</v>
          </cell>
          <cell r="DG923">
            <v>0</v>
          </cell>
          <cell r="DI923">
            <v>0</v>
          </cell>
          <cell r="DJ923">
            <v>0</v>
          </cell>
          <cell r="DK923">
            <v>0</v>
          </cell>
          <cell r="DL923">
            <v>0</v>
          </cell>
          <cell r="DM923">
            <v>0</v>
          </cell>
          <cell r="DN923">
            <v>0</v>
          </cell>
          <cell r="DO923">
            <v>0</v>
          </cell>
          <cell r="DP923">
            <v>0</v>
          </cell>
          <cell r="DQ923">
            <v>0</v>
          </cell>
          <cell r="DR923">
            <v>0</v>
          </cell>
          <cell r="DS923">
            <v>0</v>
          </cell>
          <cell r="DT923">
            <v>0</v>
          </cell>
          <cell r="DU923">
            <v>0</v>
          </cell>
          <cell r="DW923">
            <v>0</v>
          </cell>
          <cell r="DX923">
            <v>0</v>
          </cell>
          <cell r="DY923">
            <v>0</v>
          </cell>
          <cell r="DZ923">
            <v>0</v>
          </cell>
          <cell r="EA923">
            <v>0</v>
          </cell>
          <cell r="EB923">
            <v>0</v>
          </cell>
          <cell r="EC923">
            <v>0</v>
          </cell>
          <cell r="ED923">
            <v>0</v>
          </cell>
          <cell r="EE923">
            <v>0</v>
          </cell>
          <cell r="EF923">
            <v>0</v>
          </cell>
          <cell r="EG923">
            <v>0</v>
          </cell>
          <cell r="EH923">
            <v>0</v>
          </cell>
          <cell r="EI923">
            <v>0</v>
          </cell>
          <cell r="EK923">
            <v>0</v>
          </cell>
          <cell r="EL923">
            <v>0</v>
          </cell>
          <cell r="EM923">
            <v>0</v>
          </cell>
          <cell r="EN923">
            <v>0</v>
          </cell>
          <cell r="EO923">
            <v>0</v>
          </cell>
          <cell r="EP923">
            <v>0</v>
          </cell>
          <cell r="EQ923">
            <v>0</v>
          </cell>
          <cell r="ER923">
            <v>0</v>
          </cell>
          <cell r="ES923">
            <v>0</v>
          </cell>
          <cell r="ET923">
            <v>0</v>
          </cell>
          <cell r="EU923">
            <v>0</v>
          </cell>
          <cell r="EV923">
            <v>0</v>
          </cell>
          <cell r="EW923">
            <v>0</v>
          </cell>
          <cell r="EY923">
            <v>0</v>
          </cell>
          <cell r="EZ923">
            <v>8</v>
          </cell>
          <cell r="FA923">
            <v>0</v>
          </cell>
          <cell r="FB923">
            <v>0</v>
          </cell>
          <cell r="FC923">
            <v>8.6</v>
          </cell>
          <cell r="FD923">
            <v>0</v>
          </cell>
          <cell r="FE923">
            <v>0</v>
          </cell>
          <cell r="FF923">
            <v>0</v>
          </cell>
          <cell r="FH923">
            <v>0</v>
          </cell>
        </row>
        <row r="924">
          <cell r="B924">
            <v>10054</v>
          </cell>
          <cell r="C924" t="str">
            <v>25.06.2013</v>
          </cell>
          <cell r="D924" t="str">
            <v>More Aakash Prakash</v>
          </cell>
          <cell r="F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G924">
            <v>0</v>
          </cell>
          <cell r="AH924">
            <v>0</v>
          </cell>
          <cell r="AI924">
            <v>0</v>
          </cell>
          <cell r="AJ924">
            <v>0</v>
          </cell>
          <cell r="AK924">
            <v>0</v>
          </cell>
          <cell r="AL924">
            <v>0</v>
          </cell>
          <cell r="AM924">
            <v>0</v>
          </cell>
          <cell r="AN924">
            <v>0</v>
          </cell>
          <cell r="AO924">
            <v>0</v>
          </cell>
          <cell r="AQ924">
            <v>0</v>
          </cell>
          <cell r="AR924">
            <v>0</v>
          </cell>
          <cell r="AS924">
            <v>0</v>
          </cell>
          <cell r="AT924">
            <v>0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BA924">
            <v>0</v>
          </cell>
          <cell r="BB924">
            <v>0</v>
          </cell>
          <cell r="BC924">
            <v>0</v>
          </cell>
          <cell r="BD924">
            <v>0</v>
          </cell>
          <cell r="BE924">
            <v>0</v>
          </cell>
          <cell r="BF924">
            <v>0</v>
          </cell>
          <cell r="BG924">
            <v>0</v>
          </cell>
          <cell r="BH924">
            <v>0</v>
          </cell>
          <cell r="BI924">
            <v>0</v>
          </cell>
          <cell r="BK924">
            <v>0</v>
          </cell>
          <cell r="BL924">
            <v>0</v>
          </cell>
          <cell r="BM924">
            <v>0</v>
          </cell>
          <cell r="BN924">
            <v>0</v>
          </cell>
          <cell r="BO924">
            <v>0</v>
          </cell>
          <cell r="BP924">
            <v>0</v>
          </cell>
          <cell r="BQ924">
            <v>0</v>
          </cell>
          <cell r="BR924">
            <v>0</v>
          </cell>
          <cell r="BS924">
            <v>0</v>
          </cell>
          <cell r="BU924">
            <v>0</v>
          </cell>
          <cell r="BV924">
            <v>0</v>
          </cell>
          <cell r="BW924">
            <v>0</v>
          </cell>
          <cell r="BX924">
            <v>0</v>
          </cell>
          <cell r="BY924">
            <v>0</v>
          </cell>
          <cell r="BZ924">
            <v>0</v>
          </cell>
          <cell r="CA924">
            <v>0</v>
          </cell>
          <cell r="CB924">
            <v>0</v>
          </cell>
          <cell r="CC924">
            <v>0</v>
          </cell>
          <cell r="CE924">
            <v>0</v>
          </cell>
          <cell r="CF924">
            <v>0</v>
          </cell>
          <cell r="CG924">
            <v>0</v>
          </cell>
          <cell r="CH924">
            <v>0</v>
          </cell>
          <cell r="CI924">
            <v>0</v>
          </cell>
          <cell r="CJ924">
            <v>0</v>
          </cell>
          <cell r="CK924">
            <v>0</v>
          </cell>
          <cell r="CL924">
            <v>0</v>
          </cell>
          <cell r="CM924">
            <v>0</v>
          </cell>
          <cell r="CO924">
            <v>0</v>
          </cell>
          <cell r="CP924">
            <v>0</v>
          </cell>
          <cell r="CQ924">
            <v>0</v>
          </cell>
          <cell r="CR924">
            <v>0</v>
          </cell>
          <cell r="CS924">
            <v>0</v>
          </cell>
          <cell r="CT924">
            <v>0</v>
          </cell>
          <cell r="CU924">
            <v>0</v>
          </cell>
          <cell r="CV924">
            <v>0</v>
          </cell>
          <cell r="CW924">
            <v>0</v>
          </cell>
          <cell r="CY924">
            <v>0</v>
          </cell>
          <cell r="CZ924">
            <v>0</v>
          </cell>
          <cell r="DA924">
            <v>0</v>
          </cell>
          <cell r="DB924">
            <v>0</v>
          </cell>
          <cell r="DC924">
            <v>0</v>
          </cell>
          <cell r="DD924">
            <v>0</v>
          </cell>
          <cell r="DE924">
            <v>0</v>
          </cell>
          <cell r="DF924">
            <v>0</v>
          </cell>
          <cell r="DG924">
            <v>0</v>
          </cell>
          <cell r="DI924">
            <v>0</v>
          </cell>
          <cell r="DJ924">
            <v>0</v>
          </cell>
          <cell r="DK924">
            <v>0</v>
          </cell>
          <cell r="DL924">
            <v>0</v>
          </cell>
          <cell r="DM924">
            <v>0</v>
          </cell>
          <cell r="DN924">
            <v>0</v>
          </cell>
          <cell r="DO924">
            <v>0</v>
          </cell>
          <cell r="DP924">
            <v>0</v>
          </cell>
          <cell r="DQ924">
            <v>0</v>
          </cell>
          <cell r="DR924">
            <v>0</v>
          </cell>
          <cell r="DS924">
            <v>0</v>
          </cell>
          <cell r="DT924">
            <v>0</v>
          </cell>
          <cell r="DU924">
            <v>0</v>
          </cell>
          <cell r="DW924">
            <v>0</v>
          </cell>
          <cell r="DX924">
            <v>0</v>
          </cell>
          <cell r="DY924">
            <v>0</v>
          </cell>
          <cell r="DZ924">
            <v>0</v>
          </cell>
          <cell r="EA924">
            <v>0</v>
          </cell>
          <cell r="EB924">
            <v>0</v>
          </cell>
          <cell r="EC924">
            <v>0</v>
          </cell>
          <cell r="ED924">
            <v>0</v>
          </cell>
          <cell r="EE924">
            <v>0</v>
          </cell>
          <cell r="EF924">
            <v>0</v>
          </cell>
          <cell r="EG924">
            <v>0</v>
          </cell>
          <cell r="EH924">
            <v>0</v>
          </cell>
          <cell r="EI924">
            <v>0</v>
          </cell>
          <cell r="EK924">
            <v>0</v>
          </cell>
          <cell r="EL924">
            <v>0</v>
          </cell>
          <cell r="EM924">
            <v>0</v>
          </cell>
          <cell r="EN924">
            <v>0</v>
          </cell>
          <cell r="EO924">
            <v>0</v>
          </cell>
          <cell r="EP924">
            <v>0</v>
          </cell>
          <cell r="EQ924">
            <v>0</v>
          </cell>
          <cell r="ER924">
            <v>0</v>
          </cell>
          <cell r="ES924">
            <v>0</v>
          </cell>
          <cell r="ET924">
            <v>0</v>
          </cell>
          <cell r="EU924">
            <v>0</v>
          </cell>
          <cell r="EV924">
            <v>0</v>
          </cell>
          <cell r="EW924">
            <v>0</v>
          </cell>
          <cell r="EY924">
            <v>0</v>
          </cell>
          <cell r="EZ924">
            <v>8</v>
          </cell>
          <cell r="FA924">
            <v>0</v>
          </cell>
          <cell r="FB924">
            <v>0</v>
          </cell>
          <cell r="FC924">
            <v>8.6</v>
          </cell>
          <cell r="FD924">
            <v>0</v>
          </cell>
          <cell r="FE924">
            <v>0</v>
          </cell>
          <cell r="FF924">
            <v>0</v>
          </cell>
          <cell r="FH924">
            <v>0</v>
          </cell>
        </row>
        <row r="925">
          <cell r="B925">
            <v>10055</v>
          </cell>
          <cell r="C925" t="str">
            <v>25.06.2013</v>
          </cell>
          <cell r="D925" t="str">
            <v>Divekar Rohit Santosh</v>
          </cell>
          <cell r="F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G925">
            <v>0</v>
          </cell>
          <cell r="AH925">
            <v>0</v>
          </cell>
          <cell r="AI925">
            <v>0</v>
          </cell>
          <cell r="AJ925">
            <v>0</v>
          </cell>
          <cell r="AK925">
            <v>0</v>
          </cell>
          <cell r="AL925">
            <v>0</v>
          </cell>
          <cell r="AM925">
            <v>0</v>
          </cell>
          <cell r="AN925">
            <v>0</v>
          </cell>
          <cell r="AO925">
            <v>0</v>
          </cell>
          <cell r="AQ925">
            <v>0</v>
          </cell>
          <cell r="AR925">
            <v>0</v>
          </cell>
          <cell r="AS925">
            <v>0</v>
          </cell>
          <cell r="AT925">
            <v>0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BA925">
            <v>0</v>
          </cell>
          <cell r="BB925">
            <v>0</v>
          </cell>
          <cell r="BC925">
            <v>0</v>
          </cell>
          <cell r="BD925">
            <v>0</v>
          </cell>
          <cell r="BE925">
            <v>0</v>
          </cell>
          <cell r="BF925">
            <v>0</v>
          </cell>
          <cell r="BG925">
            <v>0</v>
          </cell>
          <cell r="BH925">
            <v>0</v>
          </cell>
          <cell r="BI925">
            <v>0</v>
          </cell>
          <cell r="BK925">
            <v>0</v>
          </cell>
          <cell r="BL925">
            <v>0</v>
          </cell>
          <cell r="BM925">
            <v>0</v>
          </cell>
          <cell r="BN925">
            <v>0</v>
          </cell>
          <cell r="BO925">
            <v>0</v>
          </cell>
          <cell r="BP925">
            <v>0</v>
          </cell>
          <cell r="BQ925">
            <v>0</v>
          </cell>
          <cell r="BR925">
            <v>0</v>
          </cell>
          <cell r="BS925">
            <v>0</v>
          </cell>
          <cell r="BU925">
            <v>0</v>
          </cell>
          <cell r="BV925">
            <v>0</v>
          </cell>
          <cell r="BW925">
            <v>0</v>
          </cell>
          <cell r="BX925">
            <v>0</v>
          </cell>
          <cell r="BY925">
            <v>0</v>
          </cell>
          <cell r="BZ925">
            <v>0</v>
          </cell>
          <cell r="CA925">
            <v>0</v>
          </cell>
          <cell r="CB925">
            <v>0</v>
          </cell>
          <cell r="CC925">
            <v>0</v>
          </cell>
          <cell r="CE925">
            <v>0</v>
          </cell>
          <cell r="CF925">
            <v>0</v>
          </cell>
          <cell r="CG925">
            <v>0</v>
          </cell>
          <cell r="CH925">
            <v>0</v>
          </cell>
          <cell r="CI925">
            <v>0</v>
          </cell>
          <cell r="CJ925">
            <v>0</v>
          </cell>
          <cell r="CK925">
            <v>0</v>
          </cell>
          <cell r="CL925">
            <v>0</v>
          </cell>
          <cell r="CM925">
            <v>0</v>
          </cell>
          <cell r="CO925">
            <v>0</v>
          </cell>
          <cell r="CP925">
            <v>0</v>
          </cell>
          <cell r="CQ925">
            <v>0</v>
          </cell>
          <cell r="CR925">
            <v>0</v>
          </cell>
          <cell r="CS925">
            <v>0</v>
          </cell>
          <cell r="CT925">
            <v>0</v>
          </cell>
          <cell r="CU925">
            <v>0</v>
          </cell>
          <cell r="CV925">
            <v>0</v>
          </cell>
          <cell r="CW925">
            <v>0</v>
          </cell>
          <cell r="CY925">
            <v>0</v>
          </cell>
          <cell r="CZ925">
            <v>0</v>
          </cell>
          <cell r="DA925">
            <v>0</v>
          </cell>
          <cell r="DB925">
            <v>0</v>
          </cell>
          <cell r="DC925">
            <v>0</v>
          </cell>
          <cell r="DD925">
            <v>0</v>
          </cell>
          <cell r="DE925">
            <v>0</v>
          </cell>
          <cell r="DF925">
            <v>0</v>
          </cell>
          <cell r="DG925">
            <v>0</v>
          </cell>
          <cell r="DI925">
            <v>0</v>
          </cell>
          <cell r="DJ925">
            <v>0</v>
          </cell>
          <cell r="DK925">
            <v>0</v>
          </cell>
          <cell r="DL925">
            <v>0</v>
          </cell>
          <cell r="DM925">
            <v>0</v>
          </cell>
          <cell r="DN925">
            <v>0</v>
          </cell>
          <cell r="DO925">
            <v>0</v>
          </cell>
          <cell r="DP925">
            <v>0</v>
          </cell>
          <cell r="DQ925">
            <v>0</v>
          </cell>
          <cell r="DR925">
            <v>0</v>
          </cell>
          <cell r="DS925">
            <v>0</v>
          </cell>
          <cell r="DT925">
            <v>0</v>
          </cell>
          <cell r="DU925">
            <v>0</v>
          </cell>
          <cell r="DW925">
            <v>0</v>
          </cell>
          <cell r="DX925">
            <v>0</v>
          </cell>
          <cell r="DY925">
            <v>0</v>
          </cell>
          <cell r="DZ925">
            <v>0</v>
          </cell>
          <cell r="EA925">
            <v>0</v>
          </cell>
          <cell r="EB925">
            <v>0</v>
          </cell>
          <cell r="EC925">
            <v>0</v>
          </cell>
          <cell r="ED925">
            <v>0</v>
          </cell>
          <cell r="EE925">
            <v>0</v>
          </cell>
          <cell r="EF925">
            <v>0</v>
          </cell>
          <cell r="EG925">
            <v>0</v>
          </cell>
          <cell r="EH925">
            <v>0</v>
          </cell>
          <cell r="EI925">
            <v>0</v>
          </cell>
          <cell r="EK925">
            <v>0</v>
          </cell>
          <cell r="EL925">
            <v>0</v>
          </cell>
          <cell r="EM925">
            <v>0</v>
          </cell>
          <cell r="EN925">
            <v>0</v>
          </cell>
          <cell r="EO925">
            <v>0</v>
          </cell>
          <cell r="EP925">
            <v>0</v>
          </cell>
          <cell r="EQ925">
            <v>0</v>
          </cell>
          <cell r="ER925">
            <v>0</v>
          </cell>
          <cell r="ES925">
            <v>0</v>
          </cell>
          <cell r="ET925">
            <v>0</v>
          </cell>
          <cell r="EU925">
            <v>0</v>
          </cell>
          <cell r="EV925">
            <v>0</v>
          </cell>
          <cell r="EW925">
            <v>0</v>
          </cell>
          <cell r="EY925">
            <v>0</v>
          </cell>
          <cell r="EZ925">
            <v>8</v>
          </cell>
          <cell r="FA925">
            <v>0</v>
          </cell>
          <cell r="FB925">
            <v>0</v>
          </cell>
          <cell r="FC925">
            <v>8.6</v>
          </cell>
          <cell r="FD925">
            <v>0</v>
          </cell>
          <cell r="FE925">
            <v>0</v>
          </cell>
          <cell r="FF925">
            <v>0</v>
          </cell>
          <cell r="FH925">
            <v>0</v>
          </cell>
        </row>
        <row r="926">
          <cell r="B926">
            <v>10056</v>
          </cell>
          <cell r="C926" t="str">
            <v>25.06.2013</v>
          </cell>
          <cell r="D926" t="str">
            <v>Pagare Nikita Suresh</v>
          </cell>
          <cell r="F926">
            <v>0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0</v>
          </cell>
          <cell r="AA926">
            <v>0</v>
          </cell>
          <cell r="AB926">
            <v>0</v>
          </cell>
          <cell r="AC926">
            <v>0</v>
          </cell>
          <cell r="AD926">
            <v>0</v>
          </cell>
          <cell r="AE926">
            <v>0</v>
          </cell>
          <cell r="AG926">
            <v>0</v>
          </cell>
          <cell r="AH926">
            <v>0</v>
          </cell>
          <cell r="AI926">
            <v>0</v>
          </cell>
          <cell r="AJ926">
            <v>0</v>
          </cell>
          <cell r="AK926">
            <v>0</v>
          </cell>
          <cell r="AL926">
            <v>0</v>
          </cell>
          <cell r="AM926">
            <v>0</v>
          </cell>
          <cell r="AN926">
            <v>0</v>
          </cell>
          <cell r="AO926">
            <v>0</v>
          </cell>
          <cell r="AQ926">
            <v>0</v>
          </cell>
          <cell r="AR926">
            <v>0</v>
          </cell>
          <cell r="AS926">
            <v>0</v>
          </cell>
          <cell r="AT926">
            <v>0</v>
          </cell>
          <cell r="AU926">
            <v>0</v>
          </cell>
          <cell r="AV926">
            <v>0</v>
          </cell>
          <cell r="AW926">
            <v>0</v>
          </cell>
          <cell r="AX926">
            <v>0</v>
          </cell>
          <cell r="AY926">
            <v>0</v>
          </cell>
          <cell r="BA926">
            <v>0</v>
          </cell>
          <cell r="BB926">
            <v>0</v>
          </cell>
          <cell r="BC926">
            <v>0</v>
          </cell>
          <cell r="BD926">
            <v>0</v>
          </cell>
          <cell r="BE926">
            <v>0</v>
          </cell>
          <cell r="BF926">
            <v>0</v>
          </cell>
          <cell r="BG926">
            <v>0</v>
          </cell>
          <cell r="BH926">
            <v>0</v>
          </cell>
          <cell r="BI926">
            <v>0</v>
          </cell>
          <cell r="BK926">
            <v>0</v>
          </cell>
          <cell r="BL926">
            <v>0</v>
          </cell>
          <cell r="BM926">
            <v>0</v>
          </cell>
          <cell r="BN926">
            <v>0</v>
          </cell>
          <cell r="BO926">
            <v>0</v>
          </cell>
          <cell r="BP926">
            <v>0</v>
          </cell>
          <cell r="BQ926">
            <v>0</v>
          </cell>
          <cell r="BR926">
            <v>0</v>
          </cell>
          <cell r="BS926">
            <v>0</v>
          </cell>
          <cell r="BU926">
            <v>0</v>
          </cell>
          <cell r="BV926">
            <v>0</v>
          </cell>
          <cell r="BW926">
            <v>0</v>
          </cell>
          <cell r="BX926">
            <v>0</v>
          </cell>
          <cell r="BY926">
            <v>0</v>
          </cell>
          <cell r="BZ926">
            <v>0</v>
          </cell>
          <cell r="CA926">
            <v>0</v>
          </cell>
          <cell r="CB926">
            <v>0</v>
          </cell>
          <cell r="CC926">
            <v>0</v>
          </cell>
          <cell r="CE926">
            <v>0</v>
          </cell>
          <cell r="CF926">
            <v>0</v>
          </cell>
          <cell r="CG926">
            <v>0</v>
          </cell>
          <cell r="CH926">
            <v>0</v>
          </cell>
          <cell r="CI926">
            <v>0</v>
          </cell>
          <cell r="CJ926">
            <v>0</v>
          </cell>
          <cell r="CK926">
            <v>0</v>
          </cell>
          <cell r="CL926">
            <v>0</v>
          </cell>
          <cell r="CM926">
            <v>0</v>
          </cell>
          <cell r="CO926">
            <v>0</v>
          </cell>
          <cell r="CP926">
            <v>0</v>
          </cell>
          <cell r="CQ926">
            <v>0</v>
          </cell>
          <cell r="CR926">
            <v>0</v>
          </cell>
          <cell r="CS926">
            <v>0</v>
          </cell>
          <cell r="CT926">
            <v>0</v>
          </cell>
          <cell r="CU926">
            <v>0</v>
          </cell>
          <cell r="CV926">
            <v>0</v>
          </cell>
          <cell r="CW926">
            <v>0</v>
          </cell>
          <cell r="CY926">
            <v>0</v>
          </cell>
          <cell r="CZ926">
            <v>0</v>
          </cell>
          <cell r="DA926">
            <v>0</v>
          </cell>
          <cell r="DB926">
            <v>0</v>
          </cell>
          <cell r="DC926">
            <v>0</v>
          </cell>
          <cell r="DD926">
            <v>0</v>
          </cell>
          <cell r="DE926">
            <v>0</v>
          </cell>
          <cell r="DF926">
            <v>0</v>
          </cell>
          <cell r="DG926">
            <v>0</v>
          </cell>
          <cell r="DI926">
            <v>0</v>
          </cell>
          <cell r="DJ926">
            <v>0</v>
          </cell>
          <cell r="DK926">
            <v>0</v>
          </cell>
          <cell r="DL926">
            <v>0</v>
          </cell>
          <cell r="DM926">
            <v>0</v>
          </cell>
          <cell r="DN926">
            <v>0</v>
          </cell>
          <cell r="DO926">
            <v>0</v>
          </cell>
          <cell r="DP926">
            <v>0</v>
          </cell>
          <cell r="DQ926">
            <v>0</v>
          </cell>
          <cell r="DR926">
            <v>0</v>
          </cell>
          <cell r="DS926">
            <v>0</v>
          </cell>
          <cell r="DT926">
            <v>0</v>
          </cell>
          <cell r="DU926">
            <v>0</v>
          </cell>
          <cell r="DW926">
            <v>0</v>
          </cell>
          <cell r="DX926">
            <v>0</v>
          </cell>
          <cell r="DY926">
            <v>0</v>
          </cell>
          <cell r="DZ926">
            <v>0</v>
          </cell>
          <cell r="EA926">
            <v>0</v>
          </cell>
          <cell r="EB926">
            <v>0</v>
          </cell>
          <cell r="EC926">
            <v>0</v>
          </cell>
          <cell r="ED926">
            <v>0</v>
          </cell>
          <cell r="EE926">
            <v>0</v>
          </cell>
          <cell r="EF926">
            <v>0</v>
          </cell>
          <cell r="EG926">
            <v>0</v>
          </cell>
          <cell r="EH926">
            <v>0</v>
          </cell>
          <cell r="EI926">
            <v>0</v>
          </cell>
          <cell r="EK926">
            <v>0</v>
          </cell>
          <cell r="EL926">
            <v>0</v>
          </cell>
          <cell r="EM926">
            <v>0</v>
          </cell>
          <cell r="EN926">
            <v>0</v>
          </cell>
          <cell r="EO926">
            <v>0</v>
          </cell>
          <cell r="EP926">
            <v>0</v>
          </cell>
          <cell r="EQ926">
            <v>0</v>
          </cell>
          <cell r="ER926">
            <v>0</v>
          </cell>
          <cell r="ES926">
            <v>0</v>
          </cell>
          <cell r="ET926">
            <v>0</v>
          </cell>
          <cell r="EU926">
            <v>0</v>
          </cell>
          <cell r="EV926">
            <v>0</v>
          </cell>
          <cell r="EW926">
            <v>0</v>
          </cell>
          <cell r="EY926">
            <v>0</v>
          </cell>
          <cell r="EZ926">
            <v>8</v>
          </cell>
          <cell r="FA926">
            <v>0</v>
          </cell>
          <cell r="FB926">
            <v>0</v>
          </cell>
          <cell r="FC926">
            <v>8.6</v>
          </cell>
          <cell r="FD926">
            <v>0</v>
          </cell>
          <cell r="FE926">
            <v>0</v>
          </cell>
          <cell r="FF926">
            <v>0</v>
          </cell>
          <cell r="FH926">
            <v>0</v>
          </cell>
        </row>
        <row r="927">
          <cell r="B927">
            <v>10057</v>
          </cell>
          <cell r="C927" t="str">
            <v>16.07.2013</v>
          </cell>
          <cell r="D927" t="str">
            <v>Wagh Yogita Bharat</v>
          </cell>
          <cell r="F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G927">
            <v>0</v>
          </cell>
          <cell r="AH927">
            <v>0</v>
          </cell>
          <cell r="AI927">
            <v>0</v>
          </cell>
          <cell r="AJ927">
            <v>0</v>
          </cell>
          <cell r="AK927">
            <v>0</v>
          </cell>
          <cell r="AL927">
            <v>0</v>
          </cell>
          <cell r="AM927">
            <v>0</v>
          </cell>
          <cell r="AN927">
            <v>0</v>
          </cell>
          <cell r="AO927">
            <v>0</v>
          </cell>
          <cell r="AQ927">
            <v>0</v>
          </cell>
          <cell r="AR927">
            <v>0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BA927">
            <v>0</v>
          </cell>
          <cell r="BB927">
            <v>0</v>
          </cell>
          <cell r="BC927">
            <v>0</v>
          </cell>
          <cell r="BD927">
            <v>0</v>
          </cell>
          <cell r="BE927">
            <v>0</v>
          </cell>
          <cell r="BF927">
            <v>0</v>
          </cell>
          <cell r="BG927">
            <v>0</v>
          </cell>
          <cell r="BH927">
            <v>0</v>
          </cell>
          <cell r="BI927">
            <v>0</v>
          </cell>
          <cell r="BK927">
            <v>0</v>
          </cell>
          <cell r="BL927">
            <v>0</v>
          </cell>
          <cell r="BM927">
            <v>0</v>
          </cell>
          <cell r="BN927">
            <v>0</v>
          </cell>
          <cell r="BO927">
            <v>0</v>
          </cell>
          <cell r="BP927">
            <v>0</v>
          </cell>
          <cell r="BQ927">
            <v>0</v>
          </cell>
          <cell r="BR927">
            <v>0</v>
          </cell>
          <cell r="BS927">
            <v>0</v>
          </cell>
          <cell r="BU927">
            <v>0</v>
          </cell>
          <cell r="BV927">
            <v>0</v>
          </cell>
          <cell r="BW927">
            <v>0</v>
          </cell>
          <cell r="BX927">
            <v>0</v>
          </cell>
          <cell r="BY927">
            <v>0</v>
          </cell>
          <cell r="BZ927">
            <v>0</v>
          </cell>
          <cell r="CA927">
            <v>0</v>
          </cell>
          <cell r="CB927">
            <v>0</v>
          </cell>
          <cell r="CC927">
            <v>0</v>
          </cell>
          <cell r="CE927">
            <v>0</v>
          </cell>
          <cell r="CF927">
            <v>0</v>
          </cell>
          <cell r="CG927">
            <v>0</v>
          </cell>
          <cell r="CH927">
            <v>0</v>
          </cell>
          <cell r="CI927">
            <v>0</v>
          </cell>
          <cell r="CJ927">
            <v>0</v>
          </cell>
          <cell r="CK927">
            <v>0</v>
          </cell>
          <cell r="CL927">
            <v>0</v>
          </cell>
          <cell r="CM927">
            <v>0</v>
          </cell>
          <cell r="CO927">
            <v>0</v>
          </cell>
          <cell r="CP927">
            <v>0</v>
          </cell>
          <cell r="CQ927">
            <v>0</v>
          </cell>
          <cell r="CR927">
            <v>0</v>
          </cell>
          <cell r="CS927">
            <v>0</v>
          </cell>
          <cell r="CT927">
            <v>0</v>
          </cell>
          <cell r="CU927">
            <v>0</v>
          </cell>
          <cell r="CV927">
            <v>0</v>
          </cell>
          <cell r="CW927">
            <v>0</v>
          </cell>
          <cell r="CY927">
            <v>0</v>
          </cell>
          <cell r="CZ927">
            <v>0</v>
          </cell>
          <cell r="DA927">
            <v>0</v>
          </cell>
          <cell r="DB927">
            <v>0</v>
          </cell>
          <cell r="DC927">
            <v>0</v>
          </cell>
          <cell r="DD927">
            <v>0</v>
          </cell>
          <cell r="DE927">
            <v>0</v>
          </cell>
          <cell r="DF927">
            <v>0</v>
          </cell>
          <cell r="DG927">
            <v>0</v>
          </cell>
          <cell r="DI927">
            <v>0</v>
          </cell>
          <cell r="DJ927">
            <v>0</v>
          </cell>
          <cell r="DK927">
            <v>0</v>
          </cell>
          <cell r="DL927">
            <v>0</v>
          </cell>
          <cell r="DM927">
            <v>0</v>
          </cell>
          <cell r="DN927">
            <v>0</v>
          </cell>
          <cell r="DO927">
            <v>0</v>
          </cell>
          <cell r="DP927">
            <v>0</v>
          </cell>
          <cell r="DQ927">
            <v>0</v>
          </cell>
          <cell r="DR927">
            <v>0</v>
          </cell>
          <cell r="DS927">
            <v>0</v>
          </cell>
          <cell r="DT927">
            <v>0</v>
          </cell>
          <cell r="DU927">
            <v>0</v>
          </cell>
          <cell r="DW927">
            <v>0</v>
          </cell>
          <cell r="DX927">
            <v>0</v>
          </cell>
          <cell r="DY927">
            <v>0</v>
          </cell>
          <cell r="DZ927">
            <v>0</v>
          </cell>
          <cell r="EA927">
            <v>0</v>
          </cell>
          <cell r="EB927">
            <v>0</v>
          </cell>
          <cell r="EC927">
            <v>0</v>
          </cell>
          <cell r="ED927">
            <v>0</v>
          </cell>
          <cell r="EE927">
            <v>0</v>
          </cell>
          <cell r="EF927">
            <v>0</v>
          </cell>
          <cell r="EG927">
            <v>0</v>
          </cell>
          <cell r="EH927">
            <v>0</v>
          </cell>
          <cell r="EI927">
            <v>0</v>
          </cell>
          <cell r="EK927">
            <v>0</v>
          </cell>
          <cell r="EL927">
            <v>0</v>
          </cell>
          <cell r="EM927">
            <v>0</v>
          </cell>
          <cell r="EN927">
            <v>0</v>
          </cell>
          <cell r="EO927">
            <v>0</v>
          </cell>
          <cell r="EP927">
            <v>0</v>
          </cell>
          <cell r="EQ927">
            <v>0</v>
          </cell>
          <cell r="ER927">
            <v>0</v>
          </cell>
          <cell r="ES927">
            <v>0</v>
          </cell>
          <cell r="ET927">
            <v>0</v>
          </cell>
          <cell r="EU927">
            <v>0</v>
          </cell>
          <cell r="EV927">
            <v>0</v>
          </cell>
          <cell r="EW927">
            <v>0</v>
          </cell>
          <cell r="EY927">
            <v>0</v>
          </cell>
          <cell r="EZ927">
            <v>8</v>
          </cell>
          <cell r="FA927">
            <v>0</v>
          </cell>
          <cell r="FB927">
            <v>0</v>
          </cell>
          <cell r="FC927">
            <v>8.6</v>
          </cell>
          <cell r="FD927">
            <v>0</v>
          </cell>
          <cell r="FE927">
            <v>0</v>
          </cell>
          <cell r="FF927">
            <v>0</v>
          </cell>
          <cell r="FH927">
            <v>0</v>
          </cell>
        </row>
        <row r="928">
          <cell r="B928">
            <v>10058</v>
          </cell>
          <cell r="C928" t="str">
            <v>13.08.2013</v>
          </cell>
          <cell r="D928" t="str">
            <v>Kavare Chetan Dattatreya</v>
          </cell>
          <cell r="F928">
            <v>0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W928">
            <v>0</v>
          </cell>
          <cell r="X928">
            <v>0</v>
          </cell>
          <cell r="Y928">
            <v>0</v>
          </cell>
          <cell r="Z928">
            <v>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0</v>
          </cell>
          <cell r="AK928">
            <v>0</v>
          </cell>
          <cell r="AL928">
            <v>0</v>
          </cell>
          <cell r="AM928">
            <v>0</v>
          </cell>
          <cell r="AN928">
            <v>0</v>
          </cell>
          <cell r="AO928">
            <v>0</v>
          </cell>
          <cell r="AQ928">
            <v>0</v>
          </cell>
          <cell r="AR928">
            <v>0</v>
          </cell>
          <cell r="AS928">
            <v>0</v>
          </cell>
          <cell r="AT928">
            <v>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BA928">
            <v>0</v>
          </cell>
          <cell r="BB928">
            <v>0</v>
          </cell>
          <cell r="BC928">
            <v>0</v>
          </cell>
          <cell r="BD928">
            <v>0</v>
          </cell>
          <cell r="BE928">
            <v>0</v>
          </cell>
          <cell r="BF928">
            <v>0</v>
          </cell>
          <cell r="BG928">
            <v>0</v>
          </cell>
          <cell r="BH928">
            <v>0</v>
          </cell>
          <cell r="BI928">
            <v>0</v>
          </cell>
          <cell r="BK928">
            <v>0</v>
          </cell>
          <cell r="BL928">
            <v>0</v>
          </cell>
          <cell r="BM928">
            <v>0</v>
          </cell>
          <cell r="BN928">
            <v>0</v>
          </cell>
          <cell r="BO928">
            <v>0</v>
          </cell>
          <cell r="BP928">
            <v>0</v>
          </cell>
          <cell r="BQ928">
            <v>0</v>
          </cell>
          <cell r="BR928">
            <v>0</v>
          </cell>
          <cell r="BS928">
            <v>0</v>
          </cell>
          <cell r="BU928">
            <v>0</v>
          </cell>
          <cell r="BV928">
            <v>0</v>
          </cell>
          <cell r="BW928">
            <v>0</v>
          </cell>
          <cell r="BX928">
            <v>0</v>
          </cell>
          <cell r="BY928">
            <v>0</v>
          </cell>
          <cell r="BZ928">
            <v>0</v>
          </cell>
          <cell r="CA928">
            <v>0</v>
          </cell>
          <cell r="CB928">
            <v>0</v>
          </cell>
          <cell r="CC928">
            <v>0</v>
          </cell>
          <cell r="CE928">
            <v>0</v>
          </cell>
          <cell r="CF928">
            <v>0</v>
          </cell>
          <cell r="CG928">
            <v>0</v>
          </cell>
          <cell r="CH928">
            <v>0</v>
          </cell>
          <cell r="CI928">
            <v>0</v>
          </cell>
          <cell r="CJ928">
            <v>0</v>
          </cell>
          <cell r="CK928">
            <v>0</v>
          </cell>
          <cell r="CL928">
            <v>0</v>
          </cell>
          <cell r="CM928">
            <v>0</v>
          </cell>
          <cell r="CO928">
            <v>0</v>
          </cell>
          <cell r="CP928">
            <v>0</v>
          </cell>
          <cell r="CQ928">
            <v>0</v>
          </cell>
          <cell r="CR928">
            <v>0</v>
          </cell>
          <cell r="CS928">
            <v>0</v>
          </cell>
          <cell r="CT928">
            <v>0</v>
          </cell>
          <cell r="CU928">
            <v>0</v>
          </cell>
          <cell r="CV928">
            <v>0</v>
          </cell>
          <cell r="CW928">
            <v>0</v>
          </cell>
          <cell r="CY928">
            <v>0</v>
          </cell>
          <cell r="CZ928">
            <v>0</v>
          </cell>
          <cell r="DA928">
            <v>0</v>
          </cell>
          <cell r="DB928">
            <v>0</v>
          </cell>
          <cell r="DC928">
            <v>0</v>
          </cell>
          <cell r="DD928">
            <v>0</v>
          </cell>
          <cell r="DE928">
            <v>0</v>
          </cell>
          <cell r="DF928">
            <v>0</v>
          </cell>
          <cell r="DG928">
            <v>0</v>
          </cell>
          <cell r="DI928">
            <v>0</v>
          </cell>
          <cell r="DJ928">
            <v>0</v>
          </cell>
          <cell r="DK928">
            <v>0</v>
          </cell>
          <cell r="DL928">
            <v>0</v>
          </cell>
          <cell r="DM928">
            <v>0</v>
          </cell>
          <cell r="DN928">
            <v>0</v>
          </cell>
          <cell r="DO928">
            <v>0</v>
          </cell>
          <cell r="DP928">
            <v>0</v>
          </cell>
          <cell r="DQ928">
            <v>0</v>
          </cell>
          <cell r="DR928">
            <v>0</v>
          </cell>
          <cell r="DS928">
            <v>0</v>
          </cell>
          <cell r="DT928">
            <v>0</v>
          </cell>
          <cell r="DU928">
            <v>0</v>
          </cell>
          <cell r="DW928">
            <v>0</v>
          </cell>
          <cell r="DX928">
            <v>0</v>
          </cell>
          <cell r="DY928">
            <v>0</v>
          </cell>
          <cell r="DZ928">
            <v>0</v>
          </cell>
          <cell r="EA928">
            <v>0</v>
          </cell>
          <cell r="EB928">
            <v>0</v>
          </cell>
          <cell r="EC928">
            <v>0</v>
          </cell>
          <cell r="ED928">
            <v>0</v>
          </cell>
          <cell r="EE928">
            <v>0</v>
          </cell>
          <cell r="EF928">
            <v>0</v>
          </cell>
          <cell r="EG928">
            <v>0</v>
          </cell>
          <cell r="EH928">
            <v>0</v>
          </cell>
          <cell r="EI928">
            <v>0</v>
          </cell>
          <cell r="EK928">
            <v>0</v>
          </cell>
          <cell r="EL928">
            <v>0</v>
          </cell>
          <cell r="EM928">
            <v>0</v>
          </cell>
          <cell r="EN928">
            <v>0</v>
          </cell>
          <cell r="EO928">
            <v>0</v>
          </cell>
          <cell r="EP928">
            <v>0</v>
          </cell>
          <cell r="EQ928">
            <v>0</v>
          </cell>
          <cell r="ER928">
            <v>0</v>
          </cell>
          <cell r="ES928">
            <v>0</v>
          </cell>
          <cell r="ET928">
            <v>0</v>
          </cell>
          <cell r="EU928">
            <v>0</v>
          </cell>
          <cell r="EV928">
            <v>0</v>
          </cell>
          <cell r="EW928">
            <v>0</v>
          </cell>
          <cell r="EY928">
            <v>0</v>
          </cell>
          <cell r="EZ928">
            <v>8</v>
          </cell>
          <cell r="FA928">
            <v>0</v>
          </cell>
          <cell r="FB928">
            <v>0</v>
          </cell>
          <cell r="FC928">
            <v>8.6</v>
          </cell>
          <cell r="FD928">
            <v>0</v>
          </cell>
          <cell r="FE928">
            <v>0</v>
          </cell>
          <cell r="FF928">
            <v>0</v>
          </cell>
          <cell r="FH928">
            <v>0</v>
          </cell>
        </row>
        <row r="929">
          <cell r="B929">
            <v>10059</v>
          </cell>
          <cell r="C929" t="str">
            <v>16.08.2013</v>
          </cell>
          <cell r="D929" t="str">
            <v>Shiral Devanand Ashok</v>
          </cell>
          <cell r="F929">
            <v>0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0</v>
          </cell>
          <cell r="AA929">
            <v>0</v>
          </cell>
          <cell r="AB929">
            <v>0</v>
          </cell>
          <cell r="AC929">
            <v>0</v>
          </cell>
          <cell r="AD929">
            <v>0</v>
          </cell>
          <cell r="AE929">
            <v>0</v>
          </cell>
          <cell r="AG929">
            <v>0</v>
          </cell>
          <cell r="AH929">
            <v>0</v>
          </cell>
          <cell r="AI929">
            <v>0</v>
          </cell>
          <cell r="AJ929">
            <v>0</v>
          </cell>
          <cell r="AK929">
            <v>0</v>
          </cell>
          <cell r="AL929">
            <v>0</v>
          </cell>
          <cell r="AM929">
            <v>0</v>
          </cell>
          <cell r="AN929">
            <v>0</v>
          </cell>
          <cell r="AO929">
            <v>0</v>
          </cell>
          <cell r="AQ929">
            <v>0</v>
          </cell>
          <cell r="AR929">
            <v>0</v>
          </cell>
          <cell r="AS929">
            <v>0</v>
          </cell>
          <cell r="AT929">
            <v>0</v>
          </cell>
          <cell r="AU929">
            <v>0</v>
          </cell>
          <cell r="AV929">
            <v>0</v>
          </cell>
          <cell r="AW929">
            <v>0</v>
          </cell>
          <cell r="AX929">
            <v>0</v>
          </cell>
          <cell r="AY929">
            <v>0</v>
          </cell>
          <cell r="BA929">
            <v>0</v>
          </cell>
          <cell r="BB929">
            <v>0</v>
          </cell>
          <cell r="BC929">
            <v>0</v>
          </cell>
          <cell r="BD929">
            <v>0</v>
          </cell>
          <cell r="BE929">
            <v>0</v>
          </cell>
          <cell r="BF929">
            <v>0</v>
          </cell>
          <cell r="BG929">
            <v>0</v>
          </cell>
          <cell r="BH929">
            <v>0</v>
          </cell>
          <cell r="BI929">
            <v>0</v>
          </cell>
          <cell r="BK929">
            <v>0</v>
          </cell>
          <cell r="BL929">
            <v>0</v>
          </cell>
          <cell r="BM929">
            <v>0</v>
          </cell>
          <cell r="BN929">
            <v>0</v>
          </cell>
          <cell r="BO929">
            <v>0</v>
          </cell>
          <cell r="BP929">
            <v>0</v>
          </cell>
          <cell r="BQ929">
            <v>0</v>
          </cell>
          <cell r="BR929">
            <v>0</v>
          </cell>
          <cell r="BS929">
            <v>0</v>
          </cell>
          <cell r="BU929">
            <v>0</v>
          </cell>
          <cell r="BV929">
            <v>0</v>
          </cell>
          <cell r="BW929">
            <v>0</v>
          </cell>
          <cell r="BX929">
            <v>0</v>
          </cell>
          <cell r="BY929">
            <v>0</v>
          </cell>
          <cell r="BZ929">
            <v>0</v>
          </cell>
          <cell r="CA929">
            <v>0</v>
          </cell>
          <cell r="CB929">
            <v>0</v>
          </cell>
          <cell r="CC929">
            <v>0</v>
          </cell>
          <cell r="CE929">
            <v>0</v>
          </cell>
          <cell r="CF929">
            <v>0</v>
          </cell>
          <cell r="CG929">
            <v>0</v>
          </cell>
          <cell r="CH929">
            <v>0</v>
          </cell>
          <cell r="CI929">
            <v>0</v>
          </cell>
          <cell r="CJ929">
            <v>0</v>
          </cell>
          <cell r="CK929">
            <v>0</v>
          </cell>
          <cell r="CL929">
            <v>0</v>
          </cell>
          <cell r="CM929">
            <v>0</v>
          </cell>
          <cell r="CO929">
            <v>0</v>
          </cell>
          <cell r="CP929">
            <v>0</v>
          </cell>
          <cell r="CQ929">
            <v>0</v>
          </cell>
          <cell r="CR929">
            <v>0</v>
          </cell>
          <cell r="CS929">
            <v>0</v>
          </cell>
          <cell r="CT929">
            <v>0</v>
          </cell>
          <cell r="CU929">
            <v>0</v>
          </cell>
          <cell r="CV929">
            <v>0</v>
          </cell>
          <cell r="CW929">
            <v>0</v>
          </cell>
          <cell r="CY929">
            <v>0</v>
          </cell>
          <cell r="CZ929">
            <v>0</v>
          </cell>
          <cell r="DA929">
            <v>0</v>
          </cell>
          <cell r="DB929">
            <v>0</v>
          </cell>
          <cell r="DC929">
            <v>0</v>
          </cell>
          <cell r="DD929">
            <v>0</v>
          </cell>
          <cell r="DE929">
            <v>0</v>
          </cell>
          <cell r="DF929">
            <v>0</v>
          </cell>
          <cell r="DG929">
            <v>0</v>
          </cell>
          <cell r="DI929">
            <v>0</v>
          </cell>
          <cell r="DJ929">
            <v>0</v>
          </cell>
          <cell r="DK929">
            <v>0</v>
          </cell>
          <cell r="DL929">
            <v>0</v>
          </cell>
          <cell r="DM929">
            <v>0</v>
          </cell>
          <cell r="DN929">
            <v>0</v>
          </cell>
          <cell r="DO929">
            <v>0</v>
          </cell>
          <cell r="DP929">
            <v>0</v>
          </cell>
          <cell r="DQ929">
            <v>0</v>
          </cell>
          <cell r="DR929">
            <v>0</v>
          </cell>
          <cell r="DS929">
            <v>0</v>
          </cell>
          <cell r="DT929">
            <v>0</v>
          </cell>
          <cell r="DU929">
            <v>0</v>
          </cell>
          <cell r="DW929">
            <v>0</v>
          </cell>
          <cell r="DX929">
            <v>0</v>
          </cell>
          <cell r="DY929">
            <v>0</v>
          </cell>
          <cell r="DZ929">
            <v>0</v>
          </cell>
          <cell r="EA929">
            <v>0</v>
          </cell>
          <cell r="EB929">
            <v>0</v>
          </cell>
          <cell r="EC929">
            <v>0</v>
          </cell>
          <cell r="ED929">
            <v>0</v>
          </cell>
          <cell r="EE929">
            <v>0</v>
          </cell>
          <cell r="EF929">
            <v>0</v>
          </cell>
          <cell r="EG929">
            <v>0</v>
          </cell>
          <cell r="EH929">
            <v>0</v>
          </cell>
          <cell r="EI929">
            <v>0</v>
          </cell>
          <cell r="EK929">
            <v>0</v>
          </cell>
          <cell r="EL929">
            <v>0</v>
          </cell>
          <cell r="EM929">
            <v>0</v>
          </cell>
          <cell r="EN929">
            <v>0</v>
          </cell>
          <cell r="EO929">
            <v>0</v>
          </cell>
          <cell r="EP929">
            <v>0</v>
          </cell>
          <cell r="EQ929">
            <v>0</v>
          </cell>
          <cell r="ER929">
            <v>0</v>
          </cell>
          <cell r="ES929">
            <v>0</v>
          </cell>
          <cell r="ET929">
            <v>0</v>
          </cell>
          <cell r="EU929">
            <v>0</v>
          </cell>
          <cell r="EV929">
            <v>0</v>
          </cell>
          <cell r="EW929">
            <v>0</v>
          </cell>
          <cell r="EY929">
            <v>0</v>
          </cell>
          <cell r="EZ929">
            <v>8</v>
          </cell>
          <cell r="FA929">
            <v>0</v>
          </cell>
          <cell r="FB929">
            <v>0</v>
          </cell>
          <cell r="FC929">
            <v>8.6</v>
          </cell>
          <cell r="FD929">
            <v>0</v>
          </cell>
          <cell r="FE929">
            <v>0</v>
          </cell>
          <cell r="FF929">
            <v>0</v>
          </cell>
          <cell r="FH929">
            <v>0</v>
          </cell>
        </row>
        <row r="930">
          <cell r="B930">
            <v>10060</v>
          </cell>
          <cell r="C930" t="str">
            <v>16.08.2013</v>
          </cell>
          <cell r="D930" t="str">
            <v>Kokane Rekha Jayendra</v>
          </cell>
          <cell r="F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G930">
            <v>0</v>
          </cell>
          <cell r="AH930">
            <v>0</v>
          </cell>
          <cell r="AI930">
            <v>0</v>
          </cell>
          <cell r="AJ930">
            <v>0</v>
          </cell>
          <cell r="AK930">
            <v>0</v>
          </cell>
          <cell r="AL930">
            <v>0</v>
          </cell>
          <cell r="AM930">
            <v>0</v>
          </cell>
          <cell r="AN930">
            <v>0</v>
          </cell>
          <cell r="AO930">
            <v>0</v>
          </cell>
          <cell r="AQ930">
            <v>0</v>
          </cell>
          <cell r="AR930">
            <v>0</v>
          </cell>
          <cell r="AS930">
            <v>0</v>
          </cell>
          <cell r="AT930">
            <v>0</v>
          </cell>
          <cell r="AU930">
            <v>0</v>
          </cell>
          <cell r="AV930">
            <v>0</v>
          </cell>
          <cell r="AW930">
            <v>0</v>
          </cell>
          <cell r="AX930">
            <v>0</v>
          </cell>
          <cell r="AY930">
            <v>0</v>
          </cell>
          <cell r="BA930">
            <v>0</v>
          </cell>
          <cell r="BB930">
            <v>0</v>
          </cell>
          <cell r="BC930">
            <v>0</v>
          </cell>
          <cell r="BD930">
            <v>0</v>
          </cell>
          <cell r="BE930">
            <v>0</v>
          </cell>
          <cell r="BF930">
            <v>0</v>
          </cell>
          <cell r="BG930">
            <v>0</v>
          </cell>
          <cell r="BH930">
            <v>0</v>
          </cell>
          <cell r="BI930">
            <v>0</v>
          </cell>
          <cell r="BK930">
            <v>0</v>
          </cell>
          <cell r="BL930">
            <v>0</v>
          </cell>
          <cell r="BM930">
            <v>0</v>
          </cell>
          <cell r="BN930">
            <v>0</v>
          </cell>
          <cell r="BO930">
            <v>0</v>
          </cell>
          <cell r="BP930">
            <v>0</v>
          </cell>
          <cell r="BQ930">
            <v>0</v>
          </cell>
          <cell r="BR930">
            <v>0</v>
          </cell>
          <cell r="BS930">
            <v>0</v>
          </cell>
          <cell r="BU930">
            <v>0</v>
          </cell>
          <cell r="BV930">
            <v>0</v>
          </cell>
          <cell r="BW930">
            <v>0</v>
          </cell>
          <cell r="BX930">
            <v>0</v>
          </cell>
          <cell r="BY930">
            <v>0</v>
          </cell>
          <cell r="BZ930">
            <v>0</v>
          </cell>
          <cell r="CA930">
            <v>0</v>
          </cell>
          <cell r="CB930">
            <v>0</v>
          </cell>
          <cell r="CC930">
            <v>0</v>
          </cell>
          <cell r="CE930">
            <v>0</v>
          </cell>
          <cell r="CF930">
            <v>0</v>
          </cell>
          <cell r="CG930">
            <v>0</v>
          </cell>
          <cell r="CH930">
            <v>0</v>
          </cell>
          <cell r="CI930">
            <v>0</v>
          </cell>
          <cell r="CJ930">
            <v>0</v>
          </cell>
          <cell r="CK930">
            <v>0</v>
          </cell>
          <cell r="CL930">
            <v>0</v>
          </cell>
          <cell r="CM930">
            <v>0</v>
          </cell>
          <cell r="CO930">
            <v>0</v>
          </cell>
          <cell r="CP930">
            <v>0</v>
          </cell>
          <cell r="CQ930">
            <v>0</v>
          </cell>
          <cell r="CR930">
            <v>0</v>
          </cell>
          <cell r="CS930">
            <v>0</v>
          </cell>
          <cell r="CT930">
            <v>0</v>
          </cell>
          <cell r="CU930">
            <v>0</v>
          </cell>
          <cell r="CV930">
            <v>0</v>
          </cell>
          <cell r="CW930">
            <v>0</v>
          </cell>
          <cell r="CY930">
            <v>0</v>
          </cell>
          <cell r="CZ930">
            <v>0</v>
          </cell>
          <cell r="DA930">
            <v>0</v>
          </cell>
          <cell r="DB930">
            <v>0</v>
          </cell>
          <cell r="DC930">
            <v>0</v>
          </cell>
          <cell r="DD930">
            <v>0</v>
          </cell>
          <cell r="DE930">
            <v>0</v>
          </cell>
          <cell r="DF930">
            <v>0</v>
          </cell>
          <cell r="DG930">
            <v>0</v>
          </cell>
          <cell r="DI930">
            <v>0</v>
          </cell>
          <cell r="DJ930">
            <v>0</v>
          </cell>
          <cell r="DK930">
            <v>0</v>
          </cell>
          <cell r="DL930">
            <v>0</v>
          </cell>
          <cell r="DM930">
            <v>0</v>
          </cell>
          <cell r="DN930">
            <v>0</v>
          </cell>
          <cell r="DO930">
            <v>0</v>
          </cell>
          <cell r="DP930">
            <v>0</v>
          </cell>
          <cell r="DQ930">
            <v>0</v>
          </cell>
          <cell r="DR930">
            <v>0</v>
          </cell>
          <cell r="DS930">
            <v>0</v>
          </cell>
          <cell r="DT930">
            <v>0</v>
          </cell>
          <cell r="DU930">
            <v>0</v>
          </cell>
          <cell r="DW930">
            <v>0</v>
          </cell>
          <cell r="DX930">
            <v>0</v>
          </cell>
          <cell r="DY930">
            <v>0</v>
          </cell>
          <cell r="DZ930">
            <v>0</v>
          </cell>
          <cell r="EA930">
            <v>0</v>
          </cell>
          <cell r="EB930">
            <v>0</v>
          </cell>
          <cell r="EC930">
            <v>0</v>
          </cell>
          <cell r="ED930">
            <v>0</v>
          </cell>
          <cell r="EE930">
            <v>0</v>
          </cell>
          <cell r="EF930">
            <v>0</v>
          </cell>
          <cell r="EG930">
            <v>0</v>
          </cell>
          <cell r="EH930">
            <v>0</v>
          </cell>
          <cell r="EI930">
            <v>0</v>
          </cell>
          <cell r="EK930">
            <v>0</v>
          </cell>
          <cell r="EL930">
            <v>0</v>
          </cell>
          <cell r="EM930">
            <v>0</v>
          </cell>
          <cell r="EN930">
            <v>0</v>
          </cell>
          <cell r="EO930">
            <v>0</v>
          </cell>
          <cell r="EP930">
            <v>0</v>
          </cell>
          <cell r="EQ930">
            <v>0</v>
          </cell>
          <cell r="ER930">
            <v>0</v>
          </cell>
          <cell r="ES930">
            <v>0</v>
          </cell>
          <cell r="ET930">
            <v>0</v>
          </cell>
          <cell r="EU930">
            <v>0</v>
          </cell>
          <cell r="EV930">
            <v>0</v>
          </cell>
          <cell r="EW930">
            <v>0</v>
          </cell>
          <cell r="EY930">
            <v>0</v>
          </cell>
          <cell r="EZ930">
            <v>8</v>
          </cell>
          <cell r="FA930">
            <v>0</v>
          </cell>
          <cell r="FB930">
            <v>0</v>
          </cell>
          <cell r="FC930">
            <v>8.6</v>
          </cell>
          <cell r="FD930">
            <v>0</v>
          </cell>
          <cell r="FE930">
            <v>0</v>
          </cell>
          <cell r="FF930">
            <v>0</v>
          </cell>
          <cell r="FH930">
            <v>0</v>
          </cell>
        </row>
        <row r="931">
          <cell r="B931">
            <v>10061</v>
          </cell>
          <cell r="C931" t="str">
            <v>16.08.2013</v>
          </cell>
          <cell r="D931" t="str">
            <v>Pawar Amit Nandakishor</v>
          </cell>
          <cell r="F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0</v>
          </cell>
          <cell r="AK931">
            <v>0</v>
          </cell>
          <cell r="AL931">
            <v>0</v>
          </cell>
          <cell r="AM931">
            <v>0</v>
          </cell>
          <cell r="AN931">
            <v>0</v>
          </cell>
          <cell r="AO931">
            <v>0</v>
          </cell>
          <cell r="AQ931">
            <v>0</v>
          </cell>
          <cell r="AR931">
            <v>0</v>
          </cell>
          <cell r="AS931">
            <v>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0</v>
          </cell>
          <cell r="BA931">
            <v>0</v>
          </cell>
          <cell r="BB931">
            <v>0</v>
          </cell>
          <cell r="BC931">
            <v>0</v>
          </cell>
          <cell r="BD931">
            <v>0</v>
          </cell>
          <cell r="BE931">
            <v>0</v>
          </cell>
          <cell r="BF931">
            <v>0</v>
          </cell>
          <cell r="BG931">
            <v>0</v>
          </cell>
          <cell r="BH931">
            <v>0</v>
          </cell>
          <cell r="BI931">
            <v>0</v>
          </cell>
          <cell r="BK931">
            <v>0</v>
          </cell>
          <cell r="BL931">
            <v>0</v>
          </cell>
          <cell r="BM931">
            <v>0</v>
          </cell>
          <cell r="BN931">
            <v>0</v>
          </cell>
          <cell r="BO931">
            <v>0</v>
          </cell>
          <cell r="BP931">
            <v>0</v>
          </cell>
          <cell r="BQ931">
            <v>0</v>
          </cell>
          <cell r="BR931">
            <v>0</v>
          </cell>
          <cell r="BS931">
            <v>0</v>
          </cell>
          <cell r="BU931">
            <v>0</v>
          </cell>
          <cell r="BV931">
            <v>0</v>
          </cell>
          <cell r="BW931">
            <v>0</v>
          </cell>
          <cell r="BX931">
            <v>0</v>
          </cell>
          <cell r="BY931">
            <v>0</v>
          </cell>
          <cell r="BZ931">
            <v>0</v>
          </cell>
          <cell r="CA931">
            <v>0</v>
          </cell>
          <cell r="CB931">
            <v>0</v>
          </cell>
          <cell r="CC931">
            <v>0</v>
          </cell>
          <cell r="CE931">
            <v>0</v>
          </cell>
          <cell r="CF931">
            <v>0</v>
          </cell>
          <cell r="CG931">
            <v>0</v>
          </cell>
          <cell r="CH931">
            <v>0</v>
          </cell>
          <cell r="CI931">
            <v>0</v>
          </cell>
          <cell r="CJ931">
            <v>0</v>
          </cell>
          <cell r="CK931">
            <v>0</v>
          </cell>
          <cell r="CL931">
            <v>0</v>
          </cell>
          <cell r="CM931">
            <v>0</v>
          </cell>
          <cell r="CO931">
            <v>0</v>
          </cell>
          <cell r="CP931">
            <v>0</v>
          </cell>
          <cell r="CQ931">
            <v>0</v>
          </cell>
          <cell r="CR931">
            <v>0</v>
          </cell>
          <cell r="CS931">
            <v>0</v>
          </cell>
          <cell r="CT931">
            <v>0</v>
          </cell>
          <cell r="CU931">
            <v>0</v>
          </cell>
          <cell r="CV931">
            <v>0</v>
          </cell>
          <cell r="CW931">
            <v>0</v>
          </cell>
          <cell r="CY931">
            <v>0</v>
          </cell>
          <cell r="CZ931">
            <v>0</v>
          </cell>
          <cell r="DA931">
            <v>0</v>
          </cell>
          <cell r="DB931">
            <v>0</v>
          </cell>
          <cell r="DC931">
            <v>0</v>
          </cell>
          <cell r="DD931">
            <v>0</v>
          </cell>
          <cell r="DE931">
            <v>0</v>
          </cell>
          <cell r="DF931">
            <v>0</v>
          </cell>
          <cell r="DG931">
            <v>0</v>
          </cell>
          <cell r="DI931">
            <v>0</v>
          </cell>
          <cell r="DJ931">
            <v>0</v>
          </cell>
          <cell r="DK931">
            <v>0</v>
          </cell>
          <cell r="DL931">
            <v>0</v>
          </cell>
          <cell r="DM931">
            <v>0</v>
          </cell>
          <cell r="DN931">
            <v>0</v>
          </cell>
          <cell r="DO931">
            <v>0</v>
          </cell>
          <cell r="DP931">
            <v>0</v>
          </cell>
          <cell r="DQ931">
            <v>0</v>
          </cell>
          <cell r="DR931">
            <v>0</v>
          </cell>
          <cell r="DS931">
            <v>0</v>
          </cell>
          <cell r="DT931">
            <v>0</v>
          </cell>
          <cell r="DU931">
            <v>0</v>
          </cell>
          <cell r="DW931">
            <v>0</v>
          </cell>
          <cell r="DX931">
            <v>0</v>
          </cell>
          <cell r="DY931">
            <v>0</v>
          </cell>
          <cell r="DZ931">
            <v>0</v>
          </cell>
          <cell r="EA931">
            <v>0</v>
          </cell>
          <cell r="EB931">
            <v>0</v>
          </cell>
          <cell r="EC931">
            <v>0</v>
          </cell>
          <cell r="ED931">
            <v>0</v>
          </cell>
          <cell r="EE931">
            <v>0</v>
          </cell>
          <cell r="EF931">
            <v>0</v>
          </cell>
          <cell r="EG931">
            <v>0</v>
          </cell>
          <cell r="EH931">
            <v>0</v>
          </cell>
          <cell r="EI931">
            <v>0</v>
          </cell>
          <cell r="EK931">
            <v>0</v>
          </cell>
          <cell r="EL931">
            <v>0</v>
          </cell>
          <cell r="EM931">
            <v>0</v>
          </cell>
          <cell r="EN931">
            <v>0</v>
          </cell>
          <cell r="EO931">
            <v>0</v>
          </cell>
          <cell r="EP931">
            <v>0</v>
          </cell>
          <cell r="EQ931">
            <v>0</v>
          </cell>
          <cell r="ER931">
            <v>0</v>
          </cell>
          <cell r="ES931">
            <v>0</v>
          </cell>
          <cell r="ET931">
            <v>0</v>
          </cell>
          <cell r="EU931">
            <v>0</v>
          </cell>
          <cell r="EV931">
            <v>0</v>
          </cell>
          <cell r="EW931">
            <v>0</v>
          </cell>
          <cell r="EY931">
            <v>0</v>
          </cell>
          <cell r="EZ931">
            <v>8</v>
          </cell>
          <cell r="FA931">
            <v>0</v>
          </cell>
          <cell r="FB931">
            <v>0</v>
          </cell>
          <cell r="FC931">
            <v>8.6</v>
          </cell>
          <cell r="FD931">
            <v>0</v>
          </cell>
          <cell r="FE931">
            <v>0</v>
          </cell>
          <cell r="FF931">
            <v>0</v>
          </cell>
          <cell r="FH931">
            <v>0</v>
          </cell>
        </row>
        <row r="932">
          <cell r="B932">
            <v>10062</v>
          </cell>
          <cell r="C932" t="str">
            <v>16.08.2013</v>
          </cell>
          <cell r="D932" t="str">
            <v>Porje Rahul Nivrutti</v>
          </cell>
          <cell r="F932">
            <v>0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0</v>
          </cell>
          <cell r="AB932">
            <v>0</v>
          </cell>
          <cell r="AC932">
            <v>0</v>
          </cell>
          <cell r="AD932">
            <v>0</v>
          </cell>
          <cell r="AE932">
            <v>0</v>
          </cell>
          <cell r="AG932">
            <v>0</v>
          </cell>
          <cell r="AH932">
            <v>0</v>
          </cell>
          <cell r="AI932">
            <v>0</v>
          </cell>
          <cell r="AJ932">
            <v>0</v>
          </cell>
          <cell r="AK932">
            <v>0</v>
          </cell>
          <cell r="AL932">
            <v>0</v>
          </cell>
          <cell r="AM932">
            <v>0</v>
          </cell>
          <cell r="AN932">
            <v>0</v>
          </cell>
          <cell r="AO932">
            <v>0</v>
          </cell>
          <cell r="AQ932">
            <v>0</v>
          </cell>
          <cell r="AR932">
            <v>0</v>
          </cell>
          <cell r="AS932">
            <v>0</v>
          </cell>
          <cell r="AT932">
            <v>0</v>
          </cell>
          <cell r="AU932">
            <v>0</v>
          </cell>
          <cell r="AV932">
            <v>0</v>
          </cell>
          <cell r="AW932">
            <v>0</v>
          </cell>
          <cell r="AX932">
            <v>0</v>
          </cell>
          <cell r="AY932">
            <v>0</v>
          </cell>
          <cell r="BA932">
            <v>0</v>
          </cell>
          <cell r="BB932">
            <v>0</v>
          </cell>
          <cell r="BC932">
            <v>0</v>
          </cell>
          <cell r="BD932">
            <v>0</v>
          </cell>
          <cell r="BE932">
            <v>0</v>
          </cell>
          <cell r="BF932">
            <v>0</v>
          </cell>
          <cell r="BG932">
            <v>0</v>
          </cell>
          <cell r="BH932">
            <v>0</v>
          </cell>
          <cell r="BI932">
            <v>0</v>
          </cell>
          <cell r="BK932">
            <v>0</v>
          </cell>
          <cell r="BL932">
            <v>0</v>
          </cell>
          <cell r="BM932">
            <v>0</v>
          </cell>
          <cell r="BN932">
            <v>0</v>
          </cell>
          <cell r="BO932">
            <v>0</v>
          </cell>
          <cell r="BP932">
            <v>0</v>
          </cell>
          <cell r="BQ932">
            <v>0</v>
          </cell>
          <cell r="BR932">
            <v>0</v>
          </cell>
          <cell r="BS932">
            <v>0</v>
          </cell>
          <cell r="BU932">
            <v>0</v>
          </cell>
          <cell r="BV932">
            <v>0</v>
          </cell>
          <cell r="BW932">
            <v>0</v>
          </cell>
          <cell r="BX932">
            <v>0</v>
          </cell>
          <cell r="BY932">
            <v>0</v>
          </cell>
          <cell r="BZ932">
            <v>0</v>
          </cell>
          <cell r="CA932">
            <v>0</v>
          </cell>
          <cell r="CB932">
            <v>0</v>
          </cell>
          <cell r="CC932">
            <v>0</v>
          </cell>
          <cell r="CE932">
            <v>0</v>
          </cell>
          <cell r="CF932">
            <v>0</v>
          </cell>
          <cell r="CG932">
            <v>0</v>
          </cell>
          <cell r="CH932">
            <v>0</v>
          </cell>
          <cell r="CI932">
            <v>0</v>
          </cell>
          <cell r="CJ932">
            <v>0</v>
          </cell>
          <cell r="CK932">
            <v>0</v>
          </cell>
          <cell r="CL932">
            <v>0</v>
          </cell>
          <cell r="CM932">
            <v>0</v>
          </cell>
          <cell r="CO932">
            <v>0</v>
          </cell>
          <cell r="CP932">
            <v>0</v>
          </cell>
          <cell r="CQ932">
            <v>0</v>
          </cell>
          <cell r="CR932">
            <v>0</v>
          </cell>
          <cell r="CS932">
            <v>0</v>
          </cell>
          <cell r="CT932">
            <v>0</v>
          </cell>
          <cell r="CU932">
            <v>0</v>
          </cell>
          <cell r="CV932">
            <v>0</v>
          </cell>
          <cell r="CW932">
            <v>0</v>
          </cell>
          <cell r="CY932">
            <v>0</v>
          </cell>
          <cell r="CZ932">
            <v>0</v>
          </cell>
          <cell r="DA932">
            <v>0</v>
          </cell>
          <cell r="DB932">
            <v>0</v>
          </cell>
          <cell r="DC932">
            <v>0</v>
          </cell>
          <cell r="DD932">
            <v>0</v>
          </cell>
          <cell r="DE932">
            <v>0</v>
          </cell>
          <cell r="DF932">
            <v>0</v>
          </cell>
          <cell r="DG932">
            <v>0</v>
          </cell>
          <cell r="DI932">
            <v>0</v>
          </cell>
          <cell r="DJ932">
            <v>0</v>
          </cell>
          <cell r="DK932">
            <v>0</v>
          </cell>
          <cell r="DL932">
            <v>0</v>
          </cell>
          <cell r="DM932">
            <v>0</v>
          </cell>
          <cell r="DN932">
            <v>0</v>
          </cell>
          <cell r="DO932">
            <v>0</v>
          </cell>
          <cell r="DP932">
            <v>0</v>
          </cell>
          <cell r="DQ932">
            <v>0</v>
          </cell>
          <cell r="DR932">
            <v>0</v>
          </cell>
          <cell r="DS932">
            <v>0</v>
          </cell>
          <cell r="DT932">
            <v>0</v>
          </cell>
          <cell r="DU932">
            <v>0</v>
          </cell>
          <cell r="DW932">
            <v>0</v>
          </cell>
          <cell r="DX932">
            <v>0</v>
          </cell>
          <cell r="DY932">
            <v>0</v>
          </cell>
          <cell r="DZ932">
            <v>0</v>
          </cell>
          <cell r="EA932">
            <v>0</v>
          </cell>
          <cell r="EB932">
            <v>0</v>
          </cell>
          <cell r="EC932">
            <v>0</v>
          </cell>
          <cell r="ED932">
            <v>0</v>
          </cell>
          <cell r="EE932">
            <v>0</v>
          </cell>
          <cell r="EF932">
            <v>0</v>
          </cell>
          <cell r="EG932">
            <v>0</v>
          </cell>
          <cell r="EH932">
            <v>0</v>
          </cell>
          <cell r="EI932">
            <v>0</v>
          </cell>
          <cell r="EK932">
            <v>0</v>
          </cell>
          <cell r="EL932">
            <v>0</v>
          </cell>
          <cell r="EM932">
            <v>0</v>
          </cell>
          <cell r="EN932">
            <v>0</v>
          </cell>
          <cell r="EO932">
            <v>0</v>
          </cell>
          <cell r="EP932">
            <v>0</v>
          </cell>
          <cell r="EQ932">
            <v>0</v>
          </cell>
          <cell r="ER932">
            <v>0</v>
          </cell>
          <cell r="ES932">
            <v>0</v>
          </cell>
          <cell r="ET932">
            <v>0</v>
          </cell>
          <cell r="EU932">
            <v>0</v>
          </cell>
          <cell r="EV932">
            <v>0</v>
          </cell>
          <cell r="EW932">
            <v>0</v>
          </cell>
          <cell r="EY932">
            <v>0</v>
          </cell>
          <cell r="EZ932">
            <v>8</v>
          </cell>
          <cell r="FA932">
            <v>0</v>
          </cell>
          <cell r="FB932">
            <v>0</v>
          </cell>
          <cell r="FC932">
            <v>8.6</v>
          </cell>
          <cell r="FD932">
            <v>0</v>
          </cell>
          <cell r="FE932">
            <v>0</v>
          </cell>
          <cell r="FF932">
            <v>0</v>
          </cell>
          <cell r="FH932">
            <v>0</v>
          </cell>
        </row>
        <row r="933">
          <cell r="B933">
            <v>10063</v>
          </cell>
          <cell r="C933" t="str">
            <v>17.08.2013</v>
          </cell>
          <cell r="D933" t="str">
            <v>Minde Aniket Ramdas</v>
          </cell>
          <cell r="F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G933">
            <v>0</v>
          </cell>
          <cell r="AH933">
            <v>0</v>
          </cell>
          <cell r="AI933">
            <v>0</v>
          </cell>
          <cell r="AJ933">
            <v>0</v>
          </cell>
          <cell r="AK933">
            <v>0</v>
          </cell>
          <cell r="AL933">
            <v>0</v>
          </cell>
          <cell r="AM933">
            <v>0</v>
          </cell>
          <cell r="AN933">
            <v>0</v>
          </cell>
          <cell r="AO933">
            <v>0</v>
          </cell>
          <cell r="AQ933">
            <v>0</v>
          </cell>
          <cell r="AR933">
            <v>0</v>
          </cell>
          <cell r="AS933">
            <v>0</v>
          </cell>
          <cell r="AT933">
            <v>0</v>
          </cell>
          <cell r="AU933">
            <v>0</v>
          </cell>
          <cell r="AV933">
            <v>0</v>
          </cell>
          <cell r="AW933">
            <v>0</v>
          </cell>
          <cell r="AX933">
            <v>0</v>
          </cell>
          <cell r="AY933">
            <v>0</v>
          </cell>
          <cell r="BA933">
            <v>0</v>
          </cell>
          <cell r="BB933">
            <v>0</v>
          </cell>
          <cell r="BC933">
            <v>0</v>
          </cell>
          <cell r="BD933">
            <v>0</v>
          </cell>
          <cell r="BE933">
            <v>0</v>
          </cell>
          <cell r="BF933">
            <v>0</v>
          </cell>
          <cell r="BG933">
            <v>0</v>
          </cell>
          <cell r="BH933">
            <v>0</v>
          </cell>
          <cell r="BI933">
            <v>0</v>
          </cell>
          <cell r="BK933">
            <v>0</v>
          </cell>
          <cell r="BL933">
            <v>0</v>
          </cell>
          <cell r="BM933">
            <v>0</v>
          </cell>
          <cell r="BN933">
            <v>0</v>
          </cell>
          <cell r="BO933">
            <v>0</v>
          </cell>
          <cell r="BP933">
            <v>0</v>
          </cell>
          <cell r="BQ933">
            <v>0</v>
          </cell>
          <cell r="BR933">
            <v>0</v>
          </cell>
          <cell r="BS933">
            <v>0</v>
          </cell>
          <cell r="BU933">
            <v>0</v>
          </cell>
          <cell r="BV933">
            <v>0</v>
          </cell>
          <cell r="BW933">
            <v>0</v>
          </cell>
          <cell r="BX933">
            <v>0</v>
          </cell>
          <cell r="BY933">
            <v>0</v>
          </cell>
          <cell r="BZ933">
            <v>0</v>
          </cell>
          <cell r="CA933">
            <v>0</v>
          </cell>
          <cell r="CB933">
            <v>0</v>
          </cell>
          <cell r="CC933">
            <v>0</v>
          </cell>
          <cell r="CE933">
            <v>0</v>
          </cell>
          <cell r="CF933">
            <v>0</v>
          </cell>
          <cell r="CG933">
            <v>0</v>
          </cell>
          <cell r="CH933">
            <v>0</v>
          </cell>
          <cell r="CI933">
            <v>0</v>
          </cell>
          <cell r="CJ933">
            <v>0</v>
          </cell>
          <cell r="CK933">
            <v>0</v>
          </cell>
          <cell r="CL933">
            <v>0</v>
          </cell>
          <cell r="CM933">
            <v>0</v>
          </cell>
          <cell r="CO933">
            <v>0</v>
          </cell>
          <cell r="CP933">
            <v>0</v>
          </cell>
          <cell r="CQ933">
            <v>0</v>
          </cell>
          <cell r="CR933">
            <v>0</v>
          </cell>
          <cell r="CS933">
            <v>0</v>
          </cell>
          <cell r="CT933">
            <v>0</v>
          </cell>
          <cell r="CU933">
            <v>0</v>
          </cell>
          <cell r="CV933">
            <v>0</v>
          </cell>
          <cell r="CW933">
            <v>0</v>
          </cell>
          <cell r="CY933">
            <v>0</v>
          </cell>
          <cell r="CZ933">
            <v>0</v>
          </cell>
          <cell r="DA933">
            <v>0</v>
          </cell>
          <cell r="DB933">
            <v>0</v>
          </cell>
          <cell r="DC933">
            <v>0</v>
          </cell>
          <cell r="DD933">
            <v>0</v>
          </cell>
          <cell r="DE933">
            <v>0</v>
          </cell>
          <cell r="DF933">
            <v>0</v>
          </cell>
          <cell r="DG933">
            <v>0</v>
          </cell>
          <cell r="DI933">
            <v>0</v>
          </cell>
          <cell r="DJ933">
            <v>0</v>
          </cell>
          <cell r="DK933">
            <v>0</v>
          </cell>
          <cell r="DL933">
            <v>0</v>
          </cell>
          <cell r="DM933">
            <v>0</v>
          </cell>
          <cell r="DN933">
            <v>0</v>
          </cell>
          <cell r="DO933">
            <v>0</v>
          </cell>
          <cell r="DP933">
            <v>0</v>
          </cell>
          <cell r="DQ933">
            <v>0</v>
          </cell>
          <cell r="DR933">
            <v>0</v>
          </cell>
          <cell r="DS933">
            <v>0</v>
          </cell>
          <cell r="DT933">
            <v>0</v>
          </cell>
          <cell r="DU933">
            <v>0</v>
          </cell>
          <cell r="DW933">
            <v>0</v>
          </cell>
          <cell r="DX933">
            <v>0</v>
          </cell>
          <cell r="DY933">
            <v>0</v>
          </cell>
          <cell r="DZ933">
            <v>0</v>
          </cell>
          <cell r="EA933">
            <v>0</v>
          </cell>
          <cell r="EB933">
            <v>0</v>
          </cell>
          <cell r="EC933">
            <v>0</v>
          </cell>
          <cell r="ED933">
            <v>0</v>
          </cell>
          <cell r="EE933">
            <v>0</v>
          </cell>
          <cell r="EF933">
            <v>0</v>
          </cell>
          <cell r="EG933">
            <v>0</v>
          </cell>
          <cell r="EH933">
            <v>0</v>
          </cell>
          <cell r="EI933">
            <v>0</v>
          </cell>
          <cell r="EK933">
            <v>0</v>
          </cell>
          <cell r="EL933">
            <v>0</v>
          </cell>
          <cell r="EM933">
            <v>0</v>
          </cell>
          <cell r="EN933">
            <v>0</v>
          </cell>
          <cell r="EO933">
            <v>0</v>
          </cell>
          <cell r="EP933">
            <v>0</v>
          </cell>
          <cell r="EQ933">
            <v>0</v>
          </cell>
          <cell r="ER933">
            <v>0</v>
          </cell>
          <cell r="ES933">
            <v>0</v>
          </cell>
          <cell r="ET933">
            <v>0</v>
          </cell>
          <cell r="EU933">
            <v>0</v>
          </cell>
          <cell r="EV933">
            <v>0</v>
          </cell>
          <cell r="EW933">
            <v>0</v>
          </cell>
          <cell r="EY933">
            <v>0</v>
          </cell>
          <cell r="EZ933">
            <v>8</v>
          </cell>
          <cell r="FA933">
            <v>0</v>
          </cell>
          <cell r="FB933">
            <v>0</v>
          </cell>
          <cell r="FC933">
            <v>8.6</v>
          </cell>
          <cell r="FD933">
            <v>0</v>
          </cell>
          <cell r="FE933">
            <v>0</v>
          </cell>
          <cell r="FF933">
            <v>0</v>
          </cell>
          <cell r="FH933">
            <v>0</v>
          </cell>
        </row>
        <row r="934">
          <cell r="B934">
            <v>10064</v>
          </cell>
          <cell r="C934" t="str">
            <v>17.08.2013</v>
          </cell>
          <cell r="D934" t="str">
            <v>Gaikwad Seema Sharad</v>
          </cell>
          <cell r="F934">
            <v>0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G934">
            <v>0</v>
          </cell>
          <cell r="AH934">
            <v>0</v>
          </cell>
          <cell r="AI934">
            <v>0</v>
          </cell>
          <cell r="AJ934">
            <v>0</v>
          </cell>
          <cell r="AK934">
            <v>0</v>
          </cell>
          <cell r="AL934">
            <v>0</v>
          </cell>
          <cell r="AM934">
            <v>0</v>
          </cell>
          <cell r="AN934">
            <v>0</v>
          </cell>
          <cell r="AO934">
            <v>0</v>
          </cell>
          <cell r="AQ934">
            <v>0</v>
          </cell>
          <cell r="AR934">
            <v>0</v>
          </cell>
          <cell r="AS934">
            <v>0</v>
          </cell>
          <cell r="AT934">
            <v>0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BA934">
            <v>0</v>
          </cell>
          <cell r="BB934">
            <v>0</v>
          </cell>
          <cell r="BC934">
            <v>0</v>
          </cell>
          <cell r="BD934">
            <v>0</v>
          </cell>
          <cell r="BE934">
            <v>0</v>
          </cell>
          <cell r="BF934">
            <v>0</v>
          </cell>
          <cell r="BG934">
            <v>0</v>
          </cell>
          <cell r="BH934">
            <v>0</v>
          </cell>
          <cell r="BI934">
            <v>0</v>
          </cell>
          <cell r="BK934">
            <v>0</v>
          </cell>
          <cell r="BL934">
            <v>0</v>
          </cell>
          <cell r="BM934">
            <v>0</v>
          </cell>
          <cell r="BN934">
            <v>0</v>
          </cell>
          <cell r="BO934">
            <v>0</v>
          </cell>
          <cell r="BP934">
            <v>0</v>
          </cell>
          <cell r="BQ934">
            <v>0</v>
          </cell>
          <cell r="BR934">
            <v>0</v>
          </cell>
          <cell r="BS934">
            <v>0</v>
          </cell>
          <cell r="BU934">
            <v>0</v>
          </cell>
          <cell r="BV934">
            <v>0</v>
          </cell>
          <cell r="BW934">
            <v>0</v>
          </cell>
          <cell r="BX934">
            <v>0</v>
          </cell>
          <cell r="BY934">
            <v>0</v>
          </cell>
          <cell r="BZ934">
            <v>0</v>
          </cell>
          <cell r="CA934">
            <v>0</v>
          </cell>
          <cell r="CB934">
            <v>0</v>
          </cell>
          <cell r="CC934">
            <v>0</v>
          </cell>
          <cell r="CE934">
            <v>0</v>
          </cell>
          <cell r="CF934">
            <v>0</v>
          </cell>
          <cell r="CG934">
            <v>0</v>
          </cell>
          <cell r="CH934">
            <v>0</v>
          </cell>
          <cell r="CI934">
            <v>0</v>
          </cell>
          <cell r="CJ934">
            <v>0</v>
          </cell>
          <cell r="CK934">
            <v>0</v>
          </cell>
          <cell r="CL934">
            <v>0</v>
          </cell>
          <cell r="CM934">
            <v>0</v>
          </cell>
          <cell r="CO934">
            <v>0</v>
          </cell>
          <cell r="CP934">
            <v>0</v>
          </cell>
          <cell r="CQ934">
            <v>0</v>
          </cell>
          <cell r="CR934">
            <v>0</v>
          </cell>
          <cell r="CS934">
            <v>0</v>
          </cell>
          <cell r="CT934">
            <v>0</v>
          </cell>
          <cell r="CU934">
            <v>0</v>
          </cell>
          <cell r="CV934">
            <v>0</v>
          </cell>
          <cell r="CW934">
            <v>0</v>
          </cell>
          <cell r="CY934">
            <v>0</v>
          </cell>
          <cell r="CZ934">
            <v>0</v>
          </cell>
          <cell r="DA934">
            <v>0</v>
          </cell>
          <cell r="DB934">
            <v>0</v>
          </cell>
          <cell r="DC934">
            <v>0</v>
          </cell>
          <cell r="DD934">
            <v>0</v>
          </cell>
          <cell r="DE934">
            <v>0</v>
          </cell>
          <cell r="DF934">
            <v>0</v>
          </cell>
          <cell r="DG934">
            <v>0</v>
          </cell>
          <cell r="DI934">
            <v>0</v>
          </cell>
          <cell r="DJ934">
            <v>0</v>
          </cell>
          <cell r="DK934">
            <v>0</v>
          </cell>
          <cell r="DL934">
            <v>0</v>
          </cell>
          <cell r="DM934">
            <v>0</v>
          </cell>
          <cell r="DN934">
            <v>0</v>
          </cell>
          <cell r="DO934">
            <v>0</v>
          </cell>
          <cell r="DP934">
            <v>0</v>
          </cell>
          <cell r="DQ934">
            <v>0</v>
          </cell>
          <cell r="DR934">
            <v>0</v>
          </cell>
          <cell r="DS934">
            <v>0</v>
          </cell>
          <cell r="DT934">
            <v>0</v>
          </cell>
          <cell r="DU934">
            <v>0</v>
          </cell>
          <cell r="DW934">
            <v>0</v>
          </cell>
          <cell r="DX934">
            <v>0</v>
          </cell>
          <cell r="DY934">
            <v>0</v>
          </cell>
          <cell r="DZ934">
            <v>0</v>
          </cell>
          <cell r="EA934">
            <v>0</v>
          </cell>
          <cell r="EB934">
            <v>0</v>
          </cell>
          <cell r="EC934">
            <v>0</v>
          </cell>
          <cell r="ED934">
            <v>0</v>
          </cell>
          <cell r="EE934">
            <v>0</v>
          </cell>
          <cell r="EF934">
            <v>0</v>
          </cell>
          <cell r="EG934">
            <v>0</v>
          </cell>
          <cell r="EH934">
            <v>0</v>
          </cell>
          <cell r="EI934">
            <v>0</v>
          </cell>
          <cell r="EK934">
            <v>0</v>
          </cell>
          <cell r="EL934">
            <v>0</v>
          </cell>
          <cell r="EM934">
            <v>0</v>
          </cell>
          <cell r="EN934">
            <v>0</v>
          </cell>
          <cell r="EO934">
            <v>0</v>
          </cell>
          <cell r="EP934">
            <v>0</v>
          </cell>
          <cell r="EQ934">
            <v>0</v>
          </cell>
          <cell r="ER934">
            <v>0</v>
          </cell>
          <cell r="ES934">
            <v>0</v>
          </cell>
          <cell r="ET934">
            <v>0</v>
          </cell>
          <cell r="EU934">
            <v>0</v>
          </cell>
          <cell r="EV934">
            <v>0</v>
          </cell>
          <cell r="EW934">
            <v>0</v>
          </cell>
          <cell r="EY934">
            <v>0</v>
          </cell>
          <cell r="EZ934">
            <v>8</v>
          </cell>
          <cell r="FA934">
            <v>0</v>
          </cell>
          <cell r="FB934">
            <v>0</v>
          </cell>
          <cell r="FC934">
            <v>8.6</v>
          </cell>
          <cell r="FD934">
            <v>0</v>
          </cell>
          <cell r="FE934">
            <v>0</v>
          </cell>
          <cell r="FF934">
            <v>0</v>
          </cell>
          <cell r="FH934">
            <v>0</v>
          </cell>
        </row>
        <row r="935">
          <cell r="B935">
            <v>10065</v>
          </cell>
          <cell r="C935" t="str">
            <v>17.08.2013</v>
          </cell>
          <cell r="D935" t="str">
            <v>Bairagi Hemant Bhausaheb</v>
          </cell>
          <cell r="F935">
            <v>0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W935">
            <v>0</v>
          </cell>
          <cell r="X935">
            <v>0</v>
          </cell>
          <cell r="Y935">
            <v>0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0</v>
          </cell>
          <cell r="AG935">
            <v>0</v>
          </cell>
          <cell r="AH935">
            <v>0</v>
          </cell>
          <cell r="AI935">
            <v>0</v>
          </cell>
          <cell r="AJ935">
            <v>0</v>
          </cell>
          <cell r="AK935">
            <v>0</v>
          </cell>
          <cell r="AL935">
            <v>0</v>
          </cell>
          <cell r="AM935">
            <v>0</v>
          </cell>
          <cell r="AN935">
            <v>0</v>
          </cell>
          <cell r="AO935">
            <v>0</v>
          </cell>
          <cell r="AQ935">
            <v>0</v>
          </cell>
          <cell r="AR935">
            <v>0</v>
          </cell>
          <cell r="AS935">
            <v>0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BA935">
            <v>0</v>
          </cell>
          <cell r="BB935">
            <v>0</v>
          </cell>
          <cell r="BC935">
            <v>0</v>
          </cell>
          <cell r="BD935">
            <v>0</v>
          </cell>
          <cell r="BE935">
            <v>0</v>
          </cell>
          <cell r="BF935">
            <v>0</v>
          </cell>
          <cell r="BG935">
            <v>0</v>
          </cell>
          <cell r="BH935">
            <v>0</v>
          </cell>
          <cell r="BI935">
            <v>0</v>
          </cell>
          <cell r="BK935">
            <v>0</v>
          </cell>
          <cell r="BL935">
            <v>0</v>
          </cell>
          <cell r="BM935">
            <v>0</v>
          </cell>
          <cell r="BN935">
            <v>0</v>
          </cell>
          <cell r="BO935">
            <v>0</v>
          </cell>
          <cell r="BP935">
            <v>0</v>
          </cell>
          <cell r="BQ935">
            <v>0</v>
          </cell>
          <cell r="BR935">
            <v>0</v>
          </cell>
          <cell r="BS935">
            <v>0</v>
          </cell>
          <cell r="BU935">
            <v>0</v>
          </cell>
          <cell r="BV935">
            <v>0</v>
          </cell>
          <cell r="BW935">
            <v>0</v>
          </cell>
          <cell r="BX935">
            <v>0</v>
          </cell>
          <cell r="BY935">
            <v>0</v>
          </cell>
          <cell r="BZ935">
            <v>0</v>
          </cell>
          <cell r="CA935">
            <v>0</v>
          </cell>
          <cell r="CB935">
            <v>0</v>
          </cell>
          <cell r="CC935">
            <v>0</v>
          </cell>
          <cell r="CE935">
            <v>0</v>
          </cell>
          <cell r="CF935">
            <v>0</v>
          </cell>
          <cell r="CG935">
            <v>0</v>
          </cell>
          <cell r="CH935">
            <v>0</v>
          </cell>
          <cell r="CI935">
            <v>0</v>
          </cell>
          <cell r="CJ935">
            <v>0</v>
          </cell>
          <cell r="CK935">
            <v>0</v>
          </cell>
          <cell r="CL935">
            <v>0</v>
          </cell>
          <cell r="CM935">
            <v>0</v>
          </cell>
          <cell r="CO935">
            <v>0</v>
          </cell>
          <cell r="CP935">
            <v>0</v>
          </cell>
          <cell r="CQ935">
            <v>0</v>
          </cell>
          <cell r="CR935">
            <v>0</v>
          </cell>
          <cell r="CS935">
            <v>0</v>
          </cell>
          <cell r="CT935">
            <v>0</v>
          </cell>
          <cell r="CU935">
            <v>0</v>
          </cell>
          <cell r="CV935">
            <v>0</v>
          </cell>
          <cell r="CW935">
            <v>0</v>
          </cell>
          <cell r="CY935">
            <v>0</v>
          </cell>
          <cell r="CZ935">
            <v>0</v>
          </cell>
          <cell r="DA935">
            <v>0</v>
          </cell>
          <cell r="DB935">
            <v>0</v>
          </cell>
          <cell r="DC935">
            <v>0</v>
          </cell>
          <cell r="DD935">
            <v>0</v>
          </cell>
          <cell r="DE935">
            <v>0</v>
          </cell>
          <cell r="DF935">
            <v>0</v>
          </cell>
          <cell r="DG935">
            <v>0</v>
          </cell>
          <cell r="DI935">
            <v>0</v>
          </cell>
          <cell r="DJ935">
            <v>0</v>
          </cell>
          <cell r="DK935">
            <v>0</v>
          </cell>
          <cell r="DL935">
            <v>0</v>
          </cell>
          <cell r="DM935">
            <v>0</v>
          </cell>
          <cell r="DN935">
            <v>0</v>
          </cell>
          <cell r="DO935">
            <v>0</v>
          </cell>
          <cell r="DP935">
            <v>0</v>
          </cell>
          <cell r="DQ935">
            <v>0</v>
          </cell>
          <cell r="DR935">
            <v>0</v>
          </cell>
          <cell r="DS935">
            <v>0</v>
          </cell>
          <cell r="DT935">
            <v>0</v>
          </cell>
          <cell r="DU935">
            <v>0</v>
          </cell>
          <cell r="DW935">
            <v>0</v>
          </cell>
          <cell r="DX935">
            <v>0</v>
          </cell>
          <cell r="DY935">
            <v>0</v>
          </cell>
          <cell r="DZ935">
            <v>0</v>
          </cell>
          <cell r="EA935">
            <v>0</v>
          </cell>
          <cell r="EB935">
            <v>0</v>
          </cell>
          <cell r="EC935">
            <v>0</v>
          </cell>
          <cell r="ED935">
            <v>0</v>
          </cell>
          <cell r="EE935">
            <v>0</v>
          </cell>
          <cell r="EF935">
            <v>0</v>
          </cell>
          <cell r="EG935">
            <v>0</v>
          </cell>
          <cell r="EH935">
            <v>0</v>
          </cell>
          <cell r="EI935">
            <v>0</v>
          </cell>
          <cell r="EK935">
            <v>0</v>
          </cell>
          <cell r="EL935">
            <v>0</v>
          </cell>
          <cell r="EM935">
            <v>0</v>
          </cell>
          <cell r="EN935">
            <v>0</v>
          </cell>
          <cell r="EO935">
            <v>0</v>
          </cell>
          <cell r="EP935">
            <v>0</v>
          </cell>
          <cell r="EQ935">
            <v>0</v>
          </cell>
          <cell r="ER935">
            <v>0</v>
          </cell>
          <cell r="ES935">
            <v>0</v>
          </cell>
          <cell r="ET935">
            <v>0</v>
          </cell>
          <cell r="EU935">
            <v>0</v>
          </cell>
          <cell r="EV935">
            <v>0</v>
          </cell>
          <cell r="EW935">
            <v>0</v>
          </cell>
          <cell r="EY935">
            <v>0</v>
          </cell>
          <cell r="EZ935">
            <v>8</v>
          </cell>
          <cell r="FA935">
            <v>0</v>
          </cell>
          <cell r="FB935">
            <v>0</v>
          </cell>
          <cell r="FC935">
            <v>8.6</v>
          </cell>
          <cell r="FD935">
            <v>0</v>
          </cell>
          <cell r="FE935">
            <v>0</v>
          </cell>
          <cell r="FF935">
            <v>0</v>
          </cell>
          <cell r="FH935">
            <v>0</v>
          </cell>
        </row>
        <row r="936">
          <cell r="B936">
            <v>10066</v>
          </cell>
          <cell r="C936" t="str">
            <v>17.08.2013</v>
          </cell>
          <cell r="D936" t="str">
            <v>Tamboli Vishal Dilip</v>
          </cell>
          <cell r="F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G936">
            <v>0</v>
          </cell>
          <cell r="AH936">
            <v>0</v>
          </cell>
          <cell r="AI936">
            <v>0</v>
          </cell>
          <cell r="AJ936">
            <v>0</v>
          </cell>
          <cell r="AK936">
            <v>0</v>
          </cell>
          <cell r="AL936">
            <v>0</v>
          </cell>
          <cell r="AM936">
            <v>0</v>
          </cell>
          <cell r="AN936">
            <v>0</v>
          </cell>
          <cell r="AO936">
            <v>0</v>
          </cell>
          <cell r="AQ936">
            <v>0</v>
          </cell>
          <cell r="AR936">
            <v>0</v>
          </cell>
          <cell r="AS936">
            <v>0</v>
          </cell>
          <cell r="AT936">
            <v>0</v>
          </cell>
          <cell r="AU936">
            <v>0</v>
          </cell>
          <cell r="AV936">
            <v>0</v>
          </cell>
          <cell r="AW936">
            <v>0</v>
          </cell>
          <cell r="AX936">
            <v>0</v>
          </cell>
          <cell r="AY936">
            <v>0</v>
          </cell>
          <cell r="BA936">
            <v>0</v>
          </cell>
          <cell r="BB936">
            <v>0</v>
          </cell>
          <cell r="BC936">
            <v>0</v>
          </cell>
          <cell r="BD936">
            <v>0</v>
          </cell>
          <cell r="BE936">
            <v>0</v>
          </cell>
          <cell r="BF936">
            <v>0</v>
          </cell>
          <cell r="BG936">
            <v>0</v>
          </cell>
          <cell r="BH936">
            <v>0</v>
          </cell>
          <cell r="BI936">
            <v>0</v>
          </cell>
          <cell r="BK936">
            <v>0</v>
          </cell>
          <cell r="BL936">
            <v>0</v>
          </cell>
          <cell r="BM936">
            <v>0</v>
          </cell>
          <cell r="BN936">
            <v>0</v>
          </cell>
          <cell r="BO936">
            <v>0</v>
          </cell>
          <cell r="BP936">
            <v>0</v>
          </cell>
          <cell r="BQ936">
            <v>0</v>
          </cell>
          <cell r="BR936">
            <v>0</v>
          </cell>
          <cell r="BS936">
            <v>0</v>
          </cell>
          <cell r="BU936">
            <v>0</v>
          </cell>
          <cell r="BV936">
            <v>0</v>
          </cell>
          <cell r="BW936">
            <v>0</v>
          </cell>
          <cell r="BX936">
            <v>0</v>
          </cell>
          <cell r="BY936">
            <v>0</v>
          </cell>
          <cell r="BZ936">
            <v>0</v>
          </cell>
          <cell r="CA936">
            <v>0</v>
          </cell>
          <cell r="CB936">
            <v>0</v>
          </cell>
          <cell r="CC936">
            <v>0</v>
          </cell>
          <cell r="CE936">
            <v>0</v>
          </cell>
          <cell r="CF936">
            <v>0</v>
          </cell>
          <cell r="CG936">
            <v>0</v>
          </cell>
          <cell r="CH936">
            <v>0</v>
          </cell>
          <cell r="CI936">
            <v>0</v>
          </cell>
          <cell r="CJ936">
            <v>0</v>
          </cell>
          <cell r="CK936">
            <v>0</v>
          </cell>
          <cell r="CL936">
            <v>0</v>
          </cell>
          <cell r="CM936">
            <v>0</v>
          </cell>
          <cell r="CO936">
            <v>0</v>
          </cell>
          <cell r="CP936">
            <v>0</v>
          </cell>
          <cell r="CQ936">
            <v>0</v>
          </cell>
          <cell r="CR936">
            <v>0</v>
          </cell>
          <cell r="CS936">
            <v>0</v>
          </cell>
          <cell r="CT936">
            <v>0</v>
          </cell>
          <cell r="CU936">
            <v>0</v>
          </cell>
          <cell r="CV936">
            <v>0</v>
          </cell>
          <cell r="CW936">
            <v>0</v>
          </cell>
          <cell r="CY936">
            <v>0</v>
          </cell>
          <cell r="CZ936">
            <v>0</v>
          </cell>
          <cell r="DA936">
            <v>0</v>
          </cell>
          <cell r="DB936">
            <v>0</v>
          </cell>
          <cell r="DC936">
            <v>0</v>
          </cell>
          <cell r="DD936">
            <v>0</v>
          </cell>
          <cell r="DE936">
            <v>0</v>
          </cell>
          <cell r="DF936">
            <v>0</v>
          </cell>
          <cell r="DG936">
            <v>0</v>
          </cell>
          <cell r="DI936">
            <v>0</v>
          </cell>
          <cell r="DJ936">
            <v>0</v>
          </cell>
          <cell r="DK936">
            <v>0</v>
          </cell>
          <cell r="DL936">
            <v>0</v>
          </cell>
          <cell r="DM936">
            <v>0</v>
          </cell>
          <cell r="DN936">
            <v>0</v>
          </cell>
          <cell r="DO936">
            <v>0</v>
          </cell>
          <cell r="DP936">
            <v>0</v>
          </cell>
          <cell r="DQ936">
            <v>0</v>
          </cell>
          <cell r="DR936">
            <v>0</v>
          </cell>
          <cell r="DS936">
            <v>0</v>
          </cell>
          <cell r="DT936">
            <v>0</v>
          </cell>
          <cell r="DU936">
            <v>0</v>
          </cell>
          <cell r="DW936">
            <v>0</v>
          </cell>
          <cell r="DX936">
            <v>0</v>
          </cell>
          <cell r="DY936">
            <v>0</v>
          </cell>
          <cell r="DZ936">
            <v>0</v>
          </cell>
          <cell r="EA936">
            <v>0</v>
          </cell>
          <cell r="EB936">
            <v>0</v>
          </cell>
          <cell r="EC936">
            <v>0</v>
          </cell>
          <cell r="ED936">
            <v>0</v>
          </cell>
          <cell r="EE936">
            <v>0</v>
          </cell>
          <cell r="EF936">
            <v>0</v>
          </cell>
          <cell r="EG936">
            <v>0</v>
          </cell>
          <cell r="EH936">
            <v>0</v>
          </cell>
          <cell r="EI936">
            <v>0</v>
          </cell>
          <cell r="EK936">
            <v>0</v>
          </cell>
          <cell r="EL936">
            <v>0</v>
          </cell>
          <cell r="EM936">
            <v>0</v>
          </cell>
          <cell r="EN936">
            <v>0</v>
          </cell>
          <cell r="EO936">
            <v>0</v>
          </cell>
          <cell r="EP936">
            <v>0</v>
          </cell>
          <cell r="EQ936">
            <v>0</v>
          </cell>
          <cell r="ER936">
            <v>0</v>
          </cell>
          <cell r="ES936">
            <v>0</v>
          </cell>
          <cell r="ET936">
            <v>0</v>
          </cell>
          <cell r="EU936">
            <v>0</v>
          </cell>
          <cell r="EV936">
            <v>0</v>
          </cell>
          <cell r="EW936">
            <v>0</v>
          </cell>
          <cell r="EY936">
            <v>0</v>
          </cell>
          <cell r="EZ936">
            <v>8</v>
          </cell>
          <cell r="FA936">
            <v>0</v>
          </cell>
          <cell r="FB936">
            <v>0</v>
          </cell>
          <cell r="FC936">
            <v>8.6</v>
          </cell>
          <cell r="FD936">
            <v>0</v>
          </cell>
          <cell r="FE936">
            <v>0</v>
          </cell>
          <cell r="FF936">
            <v>0</v>
          </cell>
          <cell r="FH936">
            <v>0</v>
          </cell>
        </row>
        <row r="937">
          <cell r="B937">
            <v>10067</v>
          </cell>
          <cell r="C937" t="str">
            <v>19.08.2013</v>
          </cell>
          <cell r="D937" t="str">
            <v>Bendkoli Chagan Soma</v>
          </cell>
          <cell r="F937">
            <v>0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>
            <v>0</v>
          </cell>
          <cell r="AE937">
            <v>0</v>
          </cell>
          <cell r="AG937">
            <v>0</v>
          </cell>
          <cell r="AH937">
            <v>0</v>
          </cell>
          <cell r="AI937">
            <v>0</v>
          </cell>
          <cell r="AJ937">
            <v>0</v>
          </cell>
          <cell r="AK937">
            <v>0</v>
          </cell>
          <cell r="AL937">
            <v>0</v>
          </cell>
          <cell r="AM937">
            <v>0</v>
          </cell>
          <cell r="AN937">
            <v>0</v>
          </cell>
          <cell r="AO937">
            <v>0</v>
          </cell>
          <cell r="AQ937">
            <v>0</v>
          </cell>
          <cell r="AR937">
            <v>0</v>
          </cell>
          <cell r="AS937">
            <v>0</v>
          </cell>
          <cell r="AT937">
            <v>0</v>
          </cell>
          <cell r="AU937">
            <v>0</v>
          </cell>
          <cell r="AV937">
            <v>0</v>
          </cell>
          <cell r="AW937">
            <v>0</v>
          </cell>
          <cell r="AX937">
            <v>0</v>
          </cell>
          <cell r="AY937">
            <v>0</v>
          </cell>
          <cell r="BA937">
            <v>0</v>
          </cell>
          <cell r="BB937">
            <v>0</v>
          </cell>
          <cell r="BC937">
            <v>0</v>
          </cell>
          <cell r="BD937">
            <v>0</v>
          </cell>
          <cell r="BE937">
            <v>0</v>
          </cell>
          <cell r="BF937">
            <v>0</v>
          </cell>
          <cell r="BG937">
            <v>0</v>
          </cell>
          <cell r="BH937">
            <v>0</v>
          </cell>
          <cell r="BI937">
            <v>0</v>
          </cell>
          <cell r="BK937">
            <v>0</v>
          </cell>
          <cell r="BL937">
            <v>0</v>
          </cell>
          <cell r="BM937">
            <v>0</v>
          </cell>
          <cell r="BN937">
            <v>0</v>
          </cell>
          <cell r="BO937">
            <v>0</v>
          </cell>
          <cell r="BP937">
            <v>0</v>
          </cell>
          <cell r="BQ937">
            <v>0</v>
          </cell>
          <cell r="BR937">
            <v>0</v>
          </cell>
          <cell r="BS937">
            <v>0</v>
          </cell>
          <cell r="BU937">
            <v>0</v>
          </cell>
          <cell r="BV937">
            <v>0</v>
          </cell>
          <cell r="BW937">
            <v>0</v>
          </cell>
          <cell r="BX937">
            <v>0</v>
          </cell>
          <cell r="BY937">
            <v>0</v>
          </cell>
          <cell r="BZ937">
            <v>0</v>
          </cell>
          <cell r="CA937">
            <v>0</v>
          </cell>
          <cell r="CB937">
            <v>0</v>
          </cell>
          <cell r="CC937">
            <v>0</v>
          </cell>
          <cell r="CE937">
            <v>0</v>
          </cell>
          <cell r="CF937">
            <v>0</v>
          </cell>
          <cell r="CG937">
            <v>0</v>
          </cell>
          <cell r="CH937">
            <v>0</v>
          </cell>
          <cell r="CI937">
            <v>0</v>
          </cell>
          <cell r="CJ937">
            <v>0</v>
          </cell>
          <cell r="CK937">
            <v>0</v>
          </cell>
          <cell r="CL937">
            <v>0</v>
          </cell>
          <cell r="CM937">
            <v>0</v>
          </cell>
          <cell r="CO937">
            <v>0</v>
          </cell>
          <cell r="CP937">
            <v>0</v>
          </cell>
          <cell r="CQ937">
            <v>0</v>
          </cell>
          <cell r="CR937">
            <v>0</v>
          </cell>
          <cell r="CS937">
            <v>0</v>
          </cell>
          <cell r="CT937">
            <v>0</v>
          </cell>
          <cell r="CU937">
            <v>0</v>
          </cell>
          <cell r="CV937">
            <v>0</v>
          </cell>
          <cell r="CW937">
            <v>0</v>
          </cell>
          <cell r="CY937">
            <v>0</v>
          </cell>
          <cell r="CZ937">
            <v>0</v>
          </cell>
          <cell r="DA937">
            <v>0</v>
          </cell>
          <cell r="DB937">
            <v>0</v>
          </cell>
          <cell r="DC937">
            <v>0</v>
          </cell>
          <cell r="DD937">
            <v>0</v>
          </cell>
          <cell r="DE937">
            <v>0</v>
          </cell>
          <cell r="DF937">
            <v>0</v>
          </cell>
          <cell r="DG937">
            <v>0</v>
          </cell>
          <cell r="DI937">
            <v>0</v>
          </cell>
          <cell r="DJ937">
            <v>0</v>
          </cell>
          <cell r="DK937">
            <v>0</v>
          </cell>
          <cell r="DL937">
            <v>0</v>
          </cell>
          <cell r="DM937">
            <v>0</v>
          </cell>
          <cell r="DN937">
            <v>0</v>
          </cell>
          <cell r="DO937">
            <v>0</v>
          </cell>
          <cell r="DP937">
            <v>0</v>
          </cell>
          <cell r="DQ937">
            <v>0</v>
          </cell>
          <cell r="DR937">
            <v>0</v>
          </cell>
          <cell r="DS937">
            <v>0</v>
          </cell>
          <cell r="DT937">
            <v>0</v>
          </cell>
          <cell r="DU937">
            <v>0</v>
          </cell>
          <cell r="DW937">
            <v>0</v>
          </cell>
          <cell r="DX937">
            <v>0</v>
          </cell>
          <cell r="DY937">
            <v>0</v>
          </cell>
          <cell r="DZ937">
            <v>0</v>
          </cell>
          <cell r="EA937">
            <v>0</v>
          </cell>
          <cell r="EB937">
            <v>0</v>
          </cell>
          <cell r="EC937">
            <v>0</v>
          </cell>
          <cell r="ED937">
            <v>0</v>
          </cell>
          <cell r="EE937">
            <v>0</v>
          </cell>
          <cell r="EF937">
            <v>0</v>
          </cell>
          <cell r="EG937">
            <v>0</v>
          </cell>
          <cell r="EH937">
            <v>0</v>
          </cell>
          <cell r="EI937">
            <v>0</v>
          </cell>
          <cell r="EK937">
            <v>0</v>
          </cell>
          <cell r="EL937">
            <v>0</v>
          </cell>
          <cell r="EM937">
            <v>0</v>
          </cell>
          <cell r="EN937">
            <v>0</v>
          </cell>
          <cell r="EO937">
            <v>0</v>
          </cell>
          <cell r="EP937">
            <v>0</v>
          </cell>
          <cell r="EQ937">
            <v>0</v>
          </cell>
          <cell r="ER937">
            <v>0</v>
          </cell>
          <cell r="ES937">
            <v>0</v>
          </cell>
          <cell r="ET937">
            <v>0</v>
          </cell>
          <cell r="EU937">
            <v>0</v>
          </cell>
          <cell r="EV937">
            <v>0</v>
          </cell>
          <cell r="EW937">
            <v>0</v>
          </cell>
          <cell r="EY937">
            <v>0</v>
          </cell>
          <cell r="EZ937">
            <v>8</v>
          </cell>
          <cell r="FA937">
            <v>0</v>
          </cell>
          <cell r="FB937">
            <v>0</v>
          </cell>
          <cell r="FC937">
            <v>8.6</v>
          </cell>
          <cell r="FD937">
            <v>0</v>
          </cell>
          <cell r="FE937">
            <v>0</v>
          </cell>
          <cell r="FF937">
            <v>0</v>
          </cell>
          <cell r="FH937">
            <v>0</v>
          </cell>
        </row>
        <row r="938">
          <cell r="B938">
            <v>10068</v>
          </cell>
          <cell r="C938" t="str">
            <v>19.08.2013</v>
          </cell>
          <cell r="D938" t="str">
            <v>Dhondge Amol Sudhakar</v>
          </cell>
          <cell r="F938">
            <v>0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0</v>
          </cell>
          <cell r="R938">
            <v>0</v>
          </cell>
          <cell r="S938">
            <v>0</v>
          </cell>
          <cell r="T938">
            <v>0</v>
          </cell>
          <cell r="U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0</v>
          </cell>
          <cell r="AG938">
            <v>0</v>
          </cell>
          <cell r="AH938">
            <v>0</v>
          </cell>
          <cell r="AI938">
            <v>0</v>
          </cell>
          <cell r="AJ938">
            <v>0</v>
          </cell>
          <cell r="AK938">
            <v>0</v>
          </cell>
          <cell r="AL938">
            <v>0</v>
          </cell>
          <cell r="AM938">
            <v>0</v>
          </cell>
          <cell r="AN938">
            <v>0</v>
          </cell>
          <cell r="AO938">
            <v>0</v>
          </cell>
          <cell r="AQ938">
            <v>0</v>
          </cell>
          <cell r="AR938">
            <v>0</v>
          </cell>
          <cell r="AS938">
            <v>0</v>
          </cell>
          <cell r="AT938">
            <v>0</v>
          </cell>
          <cell r="AU938">
            <v>0</v>
          </cell>
          <cell r="AV938">
            <v>0</v>
          </cell>
          <cell r="AW938">
            <v>0</v>
          </cell>
          <cell r="AX938">
            <v>0</v>
          </cell>
          <cell r="AY938">
            <v>0</v>
          </cell>
          <cell r="BA938">
            <v>0</v>
          </cell>
          <cell r="BB938">
            <v>0</v>
          </cell>
          <cell r="BC938">
            <v>0</v>
          </cell>
          <cell r="BD938">
            <v>0</v>
          </cell>
          <cell r="BE938">
            <v>0</v>
          </cell>
          <cell r="BF938">
            <v>0</v>
          </cell>
          <cell r="BG938">
            <v>0</v>
          </cell>
          <cell r="BH938">
            <v>0</v>
          </cell>
          <cell r="BI938">
            <v>0</v>
          </cell>
          <cell r="BK938">
            <v>0</v>
          </cell>
          <cell r="BL938">
            <v>0</v>
          </cell>
          <cell r="BM938">
            <v>0</v>
          </cell>
          <cell r="BN938">
            <v>0</v>
          </cell>
          <cell r="BO938">
            <v>0</v>
          </cell>
          <cell r="BP938">
            <v>0</v>
          </cell>
          <cell r="BQ938">
            <v>0</v>
          </cell>
          <cell r="BR938">
            <v>0</v>
          </cell>
          <cell r="BS938">
            <v>0</v>
          </cell>
          <cell r="BU938">
            <v>0</v>
          </cell>
          <cell r="BV938">
            <v>0</v>
          </cell>
          <cell r="BW938">
            <v>0</v>
          </cell>
          <cell r="BX938">
            <v>0</v>
          </cell>
          <cell r="BY938">
            <v>0</v>
          </cell>
          <cell r="BZ938">
            <v>0</v>
          </cell>
          <cell r="CA938">
            <v>0</v>
          </cell>
          <cell r="CB938">
            <v>0</v>
          </cell>
          <cell r="CC938">
            <v>0</v>
          </cell>
          <cell r="CE938">
            <v>0</v>
          </cell>
          <cell r="CF938">
            <v>0</v>
          </cell>
          <cell r="CG938">
            <v>0</v>
          </cell>
          <cell r="CH938">
            <v>0</v>
          </cell>
          <cell r="CI938">
            <v>0</v>
          </cell>
          <cell r="CJ938">
            <v>0</v>
          </cell>
          <cell r="CK938">
            <v>0</v>
          </cell>
          <cell r="CL938">
            <v>0</v>
          </cell>
          <cell r="CM938">
            <v>0</v>
          </cell>
          <cell r="CO938">
            <v>0</v>
          </cell>
          <cell r="CP938">
            <v>0</v>
          </cell>
          <cell r="CQ938">
            <v>0</v>
          </cell>
          <cell r="CR938">
            <v>0</v>
          </cell>
          <cell r="CS938">
            <v>0</v>
          </cell>
          <cell r="CT938">
            <v>0</v>
          </cell>
          <cell r="CU938">
            <v>0</v>
          </cell>
          <cell r="CV938">
            <v>0</v>
          </cell>
          <cell r="CW938">
            <v>0</v>
          </cell>
          <cell r="CY938">
            <v>0</v>
          </cell>
          <cell r="CZ938">
            <v>0</v>
          </cell>
          <cell r="DA938">
            <v>0</v>
          </cell>
          <cell r="DB938">
            <v>0</v>
          </cell>
          <cell r="DC938">
            <v>0</v>
          </cell>
          <cell r="DD938">
            <v>0</v>
          </cell>
          <cell r="DE938">
            <v>0</v>
          </cell>
          <cell r="DF938">
            <v>0</v>
          </cell>
          <cell r="DG938">
            <v>0</v>
          </cell>
          <cell r="DI938">
            <v>0</v>
          </cell>
          <cell r="DJ938">
            <v>0</v>
          </cell>
          <cell r="DK938">
            <v>0</v>
          </cell>
          <cell r="DL938">
            <v>0</v>
          </cell>
          <cell r="DM938">
            <v>0</v>
          </cell>
          <cell r="DN938">
            <v>0</v>
          </cell>
          <cell r="DO938">
            <v>0</v>
          </cell>
          <cell r="DP938">
            <v>0</v>
          </cell>
          <cell r="DQ938">
            <v>0</v>
          </cell>
          <cell r="DR938">
            <v>0</v>
          </cell>
          <cell r="DS938">
            <v>0</v>
          </cell>
          <cell r="DT938">
            <v>0</v>
          </cell>
          <cell r="DU938">
            <v>0</v>
          </cell>
          <cell r="DW938">
            <v>0</v>
          </cell>
          <cell r="DX938">
            <v>0</v>
          </cell>
          <cell r="DY938">
            <v>0</v>
          </cell>
          <cell r="DZ938">
            <v>0</v>
          </cell>
          <cell r="EA938">
            <v>0</v>
          </cell>
          <cell r="EB938">
            <v>0</v>
          </cell>
          <cell r="EC938">
            <v>0</v>
          </cell>
          <cell r="ED938">
            <v>0</v>
          </cell>
          <cell r="EE938">
            <v>0</v>
          </cell>
          <cell r="EF938">
            <v>0</v>
          </cell>
          <cell r="EG938">
            <v>0</v>
          </cell>
          <cell r="EH938">
            <v>0</v>
          </cell>
          <cell r="EI938">
            <v>0</v>
          </cell>
          <cell r="EK938">
            <v>0</v>
          </cell>
          <cell r="EL938">
            <v>0</v>
          </cell>
          <cell r="EM938">
            <v>0</v>
          </cell>
          <cell r="EN938">
            <v>0</v>
          </cell>
          <cell r="EO938">
            <v>0</v>
          </cell>
          <cell r="EP938">
            <v>0</v>
          </cell>
          <cell r="EQ938">
            <v>0</v>
          </cell>
          <cell r="ER938">
            <v>0</v>
          </cell>
          <cell r="ES938">
            <v>0</v>
          </cell>
          <cell r="ET938">
            <v>0</v>
          </cell>
          <cell r="EU938">
            <v>0</v>
          </cell>
          <cell r="EV938">
            <v>0</v>
          </cell>
          <cell r="EW938">
            <v>0</v>
          </cell>
          <cell r="EY938">
            <v>0</v>
          </cell>
          <cell r="EZ938">
            <v>8</v>
          </cell>
          <cell r="FA938">
            <v>0</v>
          </cell>
          <cell r="FB938">
            <v>0</v>
          </cell>
          <cell r="FC938">
            <v>8.6</v>
          </cell>
          <cell r="FD938">
            <v>0</v>
          </cell>
          <cell r="FE938">
            <v>0</v>
          </cell>
          <cell r="FF938">
            <v>0</v>
          </cell>
          <cell r="FH938">
            <v>0</v>
          </cell>
        </row>
        <row r="939">
          <cell r="B939">
            <v>10069</v>
          </cell>
          <cell r="C939" t="str">
            <v>19.08.2013</v>
          </cell>
          <cell r="D939" t="str">
            <v>Kale Jyoti Shankar</v>
          </cell>
          <cell r="F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G939">
            <v>0</v>
          </cell>
          <cell r="AH939">
            <v>0</v>
          </cell>
          <cell r="AI939">
            <v>0</v>
          </cell>
          <cell r="AJ939">
            <v>0</v>
          </cell>
          <cell r="AK939">
            <v>0</v>
          </cell>
          <cell r="AL939">
            <v>0</v>
          </cell>
          <cell r="AM939">
            <v>0</v>
          </cell>
          <cell r="AN939">
            <v>0</v>
          </cell>
          <cell r="AO939">
            <v>0</v>
          </cell>
          <cell r="AQ939">
            <v>0</v>
          </cell>
          <cell r="AR939">
            <v>0</v>
          </cell>
          <cell r="AS939">
            <v>0</v>
          </cell>
          <cell r="AT939">
            <v>0</v>
          </cell>
          <cell r="AU939">
            <v>0</v>
          </cell>
          <cell r="AV939">
            <v>0</v>
          </cell>
          <cell r="AW939">
            <v>0</v>
          </cell>
          <cell r="AX939">
            <v>0</v>
          </cell>
          <cell r="AY939">
            <v>0</v>
          </cell>
          <cell r="BA939">
            <v>0</v>
          </cell>
          <cell r="BB939">
            <v>0</v>
          </cell>
          <cell r="BC939">
            <v>0</v>
          </cell>
          <cell r="BD939">
            <v>0</v>
          </cell>
          <cell r="BE939">
            <v>0</v>
          </cell>
          <cell r="BF939">
            <v>0</v>
          </cell>
          <cell r="BG939">
            <v>0</v>
          </cell>
          <cell r="BH939">
            <v>0</v>
          </cell>
          <cell r="BI939">
            <v>0</v>
          </cell>
          <cell r="BK939">
            <v>0</v>
          </cell>
          <cell r="BL939">
            <v>0</v>
          </cell>
          <cell r="BM939">
            <v>0</v>
          </cell>
          <cell r="BN939">
            <v>0</v>
          </cell>
          <cell r="BO939">
            <v>0</v>
          </cell>
          <cell r="BP939">
            <v>0</v>
          </cell>
          <cell r="BQ939">
            <v>0</v>
          </cell>
          <cell r="BR939">
            <v>0</v>
          </cell>
          <cell r="BS939">
            <v>0</v>
          </cell>
          <cell r="BU939">
            <v>0</v>
          </cell>
          <cell r="BV939">
            <v>0</v>
          </cell>
          <cell r="BW939">
            <v>0</v>
          </cell>
          <cell r="BX939">
            <v>0</v>
          </cell>
          <cell r="BY939">
            <v>0</v>
          </cell>
          <cell r="BZ939">
            <v>0</v>
          </cell>
          <cell r="CA939">
            <v>0</v>
          </cell>
          <cell r="CB939">
            <v>0</v>
          </cell>
          <cell r="CC939">
            <v>0</v>
          </cell>
          <cell r="CE939">
            <v>0</v>
          </cell>
          <cell r="CF939">
            <v>0</v>
          </cell>
          <cell r="CG939">
            <v>0</v>
          </cell>
          <cell r="CH939">
            <v>0</v>
          </cell>
          <cell r="CI939">
            <v>0</v>
          </cell>
          <cell r="CJ939">
            <v>0</v>
          </cell>
          <cell r="CK939">
            <v>0</v>
          </cell>
          <cell r="CL939">
            <v>0</v>
          </cell>
          <cell r="CM939">
            <v>0</v>
          </cell>
          <cell r="CO939">
            <v>0</v>
          </cell>
          <cell r="CP939">
            <v>0</v>
          </cell>
          <cell r="CQ939">
            <v>0</v>
          </cell>
          <cell r="CR939">
            <v>0</v>
          </cell>
          <cell r="CS939">
            <v>0</v>
          </cell>
          <cell r="CT939">
            <v>0</v>
          </cell>
          <cell r="CU939">
            <v>0</v>
          </cell>
          <cell r="CV939">
            <v>0</v>
          </cell>
          <cell r="CW939">
            <v>0</v>
          </cell>
          <cell r="CY939">
            <v>0</v>
          </cell>
          <cell r="CZ939">
            <v>0</v>
          </cell>
          <cell r="DA939">
            <v>0</v>
          </cell>
          <cell r="DB939">
            <v>0</v>
          </cell>
          <cell r="DC939">
            <v>0</v>
          </cell>
          <cell r="DD939">
            <v>0</v>
          </cell>
          <cell r="DE939">
            <v>0</v>
          </cell>
          <cell r="DF939">
            <v>0</v>
          </cell>
          <cell r="DG939">
            <v>0</v>
          </cell>
          <cell r="DI939">
            <v>0</v>
          </cell>
          <cell r="DJ939">
            <v>0</v>
          </cell>
          <cell r="DK939">
            <v>0</v>
          </cell>
          <cell r="DL939">
            <v>0</v>
          </cell>
          <cell r="DM939">
            <v>0</v>
          </cell>
          <cell r="DN939">
            <v>0</v>
          </cell>
          <cell r="DO939">
            <v>0</v>
          </cell>
          <cell r="DP939">
            <v>0</v>
          </cell>
          <cell r="DQ939">
            <v>0</v>
          </cell>
          <cell r="DR939">
            <v>0</v>
          </cell>
          <cell r="DS939">
            <v>0</v>
          </cell>
          <cell r="DT939">
            <v>0</v>
          </cell>
          <cell r="DU939">
            <v>0</v>
          </cell>
          <cell r="DW939">
            <v>0</v>
          </cell>
          <cell r="DX939">
            <v>0</v>
          </cell>
          <cell r="DY939">
            <v>0</v>
          </cell>
          <cell r="DZ939">
            <v>0</v>
          </cell>
          <cell r="EA939">
            <v>0</v>
          </cell>
          <cell r="EB939">
            <v>0</v>
          </cell>
          <cell r="EC939">
            <v>0</v>
          </cell>
          <cell r="ED939">
            <v>0</v>
          </cell>
          <cell r="EE939">
            <v>0</v>
          </cell>
          <cell r="EF939">
            <v>0</v>
          </cell>
          <cell r="EG939">
            <v>0</v>
          </cell>
          <cell r="EH939">
            <v>0</v>
          </cell>
          <cell r="EI939">
            <v>0</v>
          </cell>
          <cell r="EK939">
            <v>0</v>
          </cell>
          <cell r="EL939">
            <v>0</v>
          </cell>
          <cell r="EM939">
            <v>0</v>
          </cell>
          <cell r="EN939">
            <v>0</v>
          </cell>
          <cell r="EO939">
            <v>0</v>
          </cell>
          <cell r="EP939">
            <v>0</v>
          </cell>
          <cell r="EQ939">
            <v>0</v>
          </cell>
          <cell r="ER939">
            <v>0</v>
          </cell>
          <cell r="ES939">
            <v>0</v>
          </cell>
          <cell r="ET939">
            <v>0</v>
          </cell>
          <cell r="EU939">
            <v>0</v>
          </cell>
          <cell r="EV939">
            <v>0</v>
          </cell>
          <cell r="EW939">
            <v>0</v>
          </cell>
          <cell r="EY939">
            <v>0</v>
          </cell>
          <cell r="EZ939">
            <v>8</v>
          </cell>
          <cell r="FA939">
            <v>0</v>
          </cell>
          <cell r="FB939">
            <v>0</v>
          </cell>
          <cell r="FC939">
            <v>8.6</v>
          </cell>
          <cell r="FD939">
            <v>0</v>
          </cell>
          <cell r="FE939">
            <v>0</v>
          </cell>
          <cell r="FF939">
            <v>0</v>
          </cell>
          <cell r="FH939">
            <v>0</v>
          </cell>
        </row>
        <row r="940">
          <cell r="B940">
            <v>10070</v>
          </cell>
          <cell r="C940" t="str">
            <v>19.08.2013</v>
          </cell>
          <cell r="D940" t="str">
            <v>Dambale Kundan Fakira</v>
          </cell>
          <cell r="F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G940">
            <v>0</v>
          </cell>
          <cell r="AH940">
            <v>0</v>
          </cell>
          <cell r="AI940">
            <v>0</v>
          </cell>
          <cell r="AJ940">
            <v>0</v>
          </cell>
          <cell r="AK940">
            <v>0</v>
          </cell>
          <cell r="AL940">
            <v>0</v>
          </cell>
          <cell r="AM940">
            <v>0</v>
          </cell>
          <cell r="AN940">
            <v>0</v>
          </cell>
          <cell r="AO940">
            <v>0</v>
          </cell>
          <cell r="AQ940">
            <v>0</v>
          </cell>
          <cell r="AR940">
            <v>0</v>
          </cell>
          <cell r="AS940">
            <v>0</v>
          </cell>
          <cell r="AT940">
            <v>0</v>
          </cell>
          <cell r="AU940">
            <v>0</v>
          </cell>
          <cell r="AV940">
            <v>0</v>
          </cell>
          <cell r="AW940">
            <v>0</v>
          </cell>
          <cell r="AX940">
            <v>0</v>
          </cell>
          <cell r="AY940">
            <v>0</v>
          </cell>
          <cell r="BA940">
            <v>0</v>
          </cell>
          <cell r="BB940">
            <v>0</v>
          </cell>
          <cell r="BC940">
            <v>0</v>
          </cell>
          <cell r="BD940">
            <v>0</v>
          </cell>
          <cell r="BE940">
            <v>0</v>
          </cell>
          <cell r="BF940">
            <v>0</v>
          </cell>
          <cell r="BG940">
            <v>0</v>
          </cell>
          <cell r="BH940">
            <v>0</v>
          </cell>
          <cell r="BI940">
            <v>0</v>
          </cell>
          <cell r="BK940">
            <v>0</v>
          </cell>
          <cell r="BL940">
            <v>0</v>
          </cell>
          <cell r="BM940">
            <v>0</v>
          </cell>
          <cell r="BN940">
            <v>0</v>
          </cell>
          <cell r="BO940">
            <v>0</v>
          </cell>
          <cell r="BP940">
            <v>0</v>
          </cell>
          <cell r="BQ940">
            <v>0</v>
          </cell>
          <cell r="BR940">
            <v>0</v>
          </cell>
          <cell r="BS940">
            <v>0</v>
          </cell>
          <cell r="BU940">
            <v>0</v>
          </cell>
          <cell r="BV940">
            <v>0</v>
          </cell>
          <cell r="BW940">
            <v>0</v>
          </cell>
          <cell r="BX940">
            <v>0</v>
          </cell>
          <cell r="BY940">
            <v>0</v>
          </cell>
          <cell r="BZ940">
            <v>0</v>
          </cell>
          <cell r="CA940">
            <v>0</v>
          </cell>
          <cell r="CB940">
            <v>0</v>
          </cell>
          <cell r="CC940">
            <v>0</v>
          </cell>
          <cell r="CE940">
            <v>0</v>
          </cell>
          <cell r="CF940">
            <v>0</v>
          </cell>
          <cell r="CG940">
            <v>0</v>
          </cell>
          <cell r="CH940">
            <v>0</v>
          </cell>
          <cell r="CI940">
            <v>0</v>
          </cell>
          <cell r="CJ940">
            <v>0</v>
          </cell>
          <cell r="CK940">
            <v>0</v>
          </cell>
          <cell r="CL940">
            <v>0</v>
          </cell>
          <cell r="CM940">
            <v>0</v>
          </cell>
          <cell r="CO940">
            <v>0</v>
          </cell>
          <cell r="CP940">
            <v>0</v>
          </cell>
          <cell r="CQ940">
            <v>0</v>
          </cell>
          <cell r="CR940">
            <v>0</v>
          </cell>
          <cell r="CS940">
            <v>0</v>
          </cell>
          <cell r="CT940">
            <v>0</v>
          </cell>
          <cell r="CU940">
            <v>0</v>
          </cell>
          <cell r="CV940">
            <v>0</v>
          </cell>
          <cell r="CW940">
            <v>0</v>
          </cell>
          <cell r="CY940">
            <v>0</v>
          </cell>
          <cell r="CZ940">
            <v>0</v>
          </cell>
          <cell r="DA940">
            <v>0</v>
          </cell>
          <cell r="DB940">
            <v>0</v>
          </cell>
          <cell r="DC940">
            <v>0</v>
          </cell>
          <cell r="DD940">
            <v>0</v>
          </cell>
          <cell r="DE940">
            <v>0</v>
          </cell>
          <cell r="DF940">
            <v>0</v>
          </cell>
          <cell r="DG940">
            <v>0</v>
          </cell>
          <cell r="DI940">
            <v>0</v>
          </cell>
          <cell r="DJ940">
            <v>0</v>
          </cell>
          <cell r="DK940">
            <v>0</v>
          </cell>
          <cell r="DL940">
            <v>0</v>
          </cell>
          <cell r="DM940">
            <v>0</v>
          </cell>
          <cell r="DN940">
            <v>0</v>
          </cell>
          <cell r="DO940">
            <v>0</v>
          </cell>
          <cell r="DP940">
            <v>0</v>
          </cell>
          <cell r="DQ940">
            <v>0</v>
          </cell>
          <cell r="DR940">
            <v>0</v>
          </cell>
          <cell r="DS940">
            <v>0</v>
          </cell>
          <cell r="DT940">
            <v>0</v>
          </cell>
          <cell r="DU940">
            <v>0</v>
          </cell>
          <cell r="DW940">
            <v>0</v>
          </cell>
          <cell r="DX940">
            <v>0</v>
          </cell>
          <cell r="DY940">
            <v>0</v>
          </cell>
          <cell r="DZ940">
            <v>0</v>
          </cell>
          <cell r="EA940">
            <v>0</v>
          </cell>
          <cell r="EB940">
            <v>0</v>
          </cell>
          <cell r="EC940">
            <v>0</v>
          </cell>
          <cell r="ED940">
            <v>0</v>
          </cell>
          <cell r="EE940">
            <v>0</v>
          </cell>
          <cell r="EF940">
            <v>0</v>
          </cell>
          <cell r="EG940">
            <v>0</v>
          </cell>
          <cell r="EH940">
            <v>0</v>
          </cell>
          <cell r="EI940">
            <v>0</v>
          </cell>
          <cell r="EK940">
            <v>0</v>
          </cell>
          <cell r="EL940">
            <v>0</v>
          </cell>
          <cell r="EM940">
            <v>0</v>
          </cell>
          <cell r="EN940">
            <v>0</v>
          </cell>
          <cell r="EO940">
            <v>0</v>
          </cell>
          <cell r="EP940">
            <v>0</v>
          </cell>
          <cell r="EQ940">
            <v>0</v>
          </cell>
          <cell r="ER940">
            <v>0</v>
          </cell>
          <cell r="ES940">
            <v>0</v>
          </cell>
          <cell r="ET940">
            <v>0</v>
          </cell>
          <cell r="EU940">
            <v>0</v>
          </cell>
          <cell r="EV940">
            <v>0</v>
          </cell>
          <cell r="EW940">
            <v>0</v>
          </cell>
          <cell r="EY940">
            <v>0</v>
          </cell>
          <cell r="EZ940">
            <v>8</v>
          </cell>
          <cell r="FA940">
            <v>0</v>
          </cell>
          <cell r="FB940">
            <v>0</v>
          </cell>
          <cell r="FC940">
            <v>8.6</v>
          </cell>
          <cell r="FD940">
            <v>0</v>
          </cell>
          <cell r="FE940">
            <v>0</v>
          </cell>
          <cell r="FF940">
            <v>0</v>
          </cell>
          <cell r="FH940">
            <v>0</v>
          </cell>
        </row>
        <row r="941">
          <cell r="B941">
            <v>10071</v>
          </cell>
          <cell r="C941" t="str">
            <v>21.08.2013</v>
          </cell>
          <cell r="D941" t="str">
            <v>Gaikwad Ankit Raju</v>
          </cell>
          <cell r="F941">
            <v>0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  <cell r="T941">
            <v>0</v>
          </cell>
          <cell r="U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0</v>
          </cell>
          <cell r="AG941">
            <v>0</v>
          </cell>
          <cell r="AH941">
            <v>0</v>
          </cell>
          <cell r="AI941">
            <v>0</v>
          </cell>
          <cell r="AJ941">
            <v>0</v>
          </cell>
          <cell r="AK941">
            <v>0</v>
          </cell>
          <cell r="AL941">
            <v>0</v>
          </cell>
          <cell r="AM941">
            <v>0</v>
          </cell>
          <cell r="AN941">
            <v>0</v>
          </cell>
          <cell r="AO941">
            <v>0</v>
          </cell>
          <cell r="AQ941">
            <v>0</v>
          </cell>
          <cell r="AR941">
            <v>0</v>
          </cell>
          <cell r="AS941">
            <v>0</v>
          </cell>
          <cell r="AT941">
            <v>0</v>
          </cell>
          <cell r="AU941">
            <v>0</v>
          </cell>
          <cell r="AV941">
            <v>0</v>
          </cell>
          <cell r="AW941">
            <v>0</v>
          </cell>
          <cell r="AX941">
            <v>0</v>
          </cell>
          <cell r="AY941">
            <v>0</v>
          </cell>
          <cell r="BA941">
            <v>0</v>
          </cell>
          <cell r="BB941">
            <v>0</v>
          </cell>
          <cell r="BC941">
            <v>0</v>
          </cell>
          <cell r="BD941">
            <v>0</v>
          </cell>
          <cell r="BE941">
            <v>0</v>
          </cell>
          <cell r="BF941">
            <v>0</v>
          </cell>
          <cell r="BG941">
            <v>0</v>
          </cell>
          <cell r="BH941">
            <v>0</v>
          </cell>
          <cell r="BI941">
            <v>0</v>
          </cell>
          <cell r="BK941">
            <v>0</v>
          </cell>
          <cell r="BL941">
            <v>0</v>
          </cell>
          <cell r="BM941">
            <v>0</v>
          </cell>
          <cell r="BN941">
            <v>0</v>
          </cell>
          <cell r="BO941">
            <v>0</v>
          </cell>
          <cell r="BP941">
            <v>0</v>
          </cell>
          <cell r="BQ941">
            <v>0</v>
          </cell>
          <cell r="BR941">
            <v>0</v>
          </cell>
          <cell r="BS941">
            <v>0</v>
          </cell>
          <cell r="BU941">
            <v>0</v>
          </cell>
          <cell r="BV941">
            <v>0</v>
          </cell>
          <cell r="BW941">
            <v>0</v>
          </cell>
          <cell r="BX941">
            <v>0</v>
          </cell>
          <cell r="BY941">
            <v>0</v>
          </cell>
          <cell r="BZ941">
            <v>0</v>
          </cell>
          <cell r="CA941">
            <v>0</v>
          </cell>
          <cell r="CB941">
            <v>0</v>
          </cell>
          <cell r="CC941">
            <v>0</v>
          </cell>
          <cell r="CE941">
            <v>0</v>
          </cell>
          <cell r="CF941">
            <v>0</v>
          </cell>
          <cell r="CG941">
            <v>0</v>
          </cell>
          <cell r="CH941">
            <v>0</v>
          </cell>
          <cell r="CI941">
            <v>0</v>
          </cell>
          <cell r="CJ941">
            <v>0</v>
          </cell>
          <cell r="CK941">
            <v>0</v>
          </cell>
          <cell r="CL941">
            <v>0</v>
          </cell>
          <cell r="CM941">
            <v>0</v>
          </cell>
          <cell r="CO941">
            <v>0</v>
          </cell>
          <cell r="CP941">
            <v>0</v>
          </cell>
          <cell r="CQ941">
            <v>0</v>
          </cell>
          <cell r="CR941">
            <v>0</v>
          </cell>
          <cell r="CS941">
            <v>0</v>
          </cell>
          <cell r="CT941">
            <v>0</v>
          </cell>
          <cell r="CU941">
            <v>0</v>
          </cell>
          <cell r="CV941">
            <v>0</v>
          </cell>
          <cell r="CW941">
            <v>0</v>
          </cell>
          <cell r="CY941">
            <v>0</v>
          </cell>
          <cell r="CZ941">
            <v>0</v>
          </cell>
          <cell r="DA941">
            <v>0</v>
          </cell>
          <cell r="DB941">
            <v>0</v>
          </cell>
          <cell r="DC941">
            <v>0</v>
          </cell>
          <cell r="DD941">
            <v>0</v>
          </cell>
          <cell r="DE941">
            <v>0</v>
          </cell>
          <cell r="DF941">
            <v>0</v>
          </cell>
          <cell r="DG941">
            <v>0</v>
          </cell>
          <cell r="DI941">
            <v>0</v>
          </cell>
          <cell r="DJ941">
            <v>0</v>
          </cell>
          <cell r="DK941">
            <v>0</v>
          </cell>
          <cell r="DL941">
            <v>0</v>
          </cell>
          <cell r="DM941">
            <v>0</v>
          </cell>
          <cell r="DN941">
            <v>0</v>
          </cell>
          <cell r="DO941">
            <v>0</v>
          </cell>
          <cell r="DP941">
            <v>0</v>
          </cell>
          <cell r="DQ941">
            <v>0</v>
          </cell>
          <cell r="DR941">
            <v>0</v>
          </cell>
          <cell r="DS941">
            <v>0</v>
          </cell>
          <cell r="DT941">
            <v>0</v>
          </cell>
          <cell r="DU941">
            <v>0</v>
          </cell>
          <cell r="DW941">
            <v>0</v>
          </cell>
          <cell r="DX941">
            <v>0</v>
          </cell>
          <cell r="DY941">
            <v>0</v>
          </cell>
          <cell r="DZ941">
            <v>0</v>
          </cell>
          <cell r="EA941">
            <v>0</v>
          </cell>
          <cell r="EB941">
            <v>0</v>
          </cell>
          <cell r="EC941">
            <v>0</v>
          </cell>
          <cell r="ED941">
            <v>0</v>
          </cell>
          <cell r="EE941">
            <v>0</v>
          </cell>
          <cell r="EF941">
            <v>0</v>
          </cell>
          <cell r="EG941">
            <v>0</v>
          </cell>
          <cell r="EH941">
            <v>0</v>
          </cell>
          <cell r="EI941">
            <v>0</v>
          </cell>
          <cell r="EK941">
            <v>0</v>
          </cell>
          <cell r="EL941">
            <v>0</v>
          </cell>
          <cell r="EM941">
            <v>0</v>
          </cell>
          <cell r="EN941">
            <v>0</v>
          </cell>
          <cell r="EO941">
            <v>0</v>
          </cell>
          <cell r="EP941">
            <v>0</v>
          </cell>
          <cell r="EQ941">
            <v>0</v>
          </cell>
          <cell r="ER941">
            <v>0</v>
          </cell>
          <cell r="ES941">
            <v>0</v>
          </cell>
          <cell r="ET941">
            <v>0</v>
          </cell>
          <cell r="EU941">
            <v>0</v>
          </cell>
          <cell r="EV941">
            <v>0</v>
          </cell>
          <cell r="EW941">
            <v>0</v>
          </cell>
          <cell r="EY941">
            <v>0</v>
          </cell>
          <cell r="EZ941">
            <v>8</v>
          </cell>
          <cell r="FA941">
            <v>0</v>
          </cell>
          <cell r="FB941">
            <v>0</v>
          </cell>
          <cell r="FC941">
            <v>8.6</v>
          </cell>
          <cell r="FD941">
            <v>0</v>
          </cell>
          <cell r="FE941">
            <v>0</v>
          </cell>
          <cell r="FF941">
            <v>0</v>
          </cell>
          <cell r="FH941">
            <v>0</v>
          </cell>
        </row>
        <row r="942">
          <cell r="B942">
            <v>10072</v>
          </cell>
          <cell r="C942" t="str">
            <v>21.08.2013</v>
          </cell>
          <cell r="D942" t="str">
            <v>Shivalkar Sanket Nandkumar</v>
          </cell>
          <cell r="F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G942">
            <v>0</v>
          </cell>
          <cell r="AH942">
            <v>0</v>
          </cell>
          <cell r="AI942">
            <v>0</v>
          </cell>
          <cell r="AJ942">
            <v>0</v>
          </cell>
          <cell r="AK942">
            <v>0</v>
          </cell>
          <cell r="AL942">
            <v>0</v>
          </cell>
          <cell r="AM942">
            <v>0</v>
          </cell>
          <cell r="AN942">
            <v>0</v>
          </cell>
          <cell r="AO942">
            <v>0</v>
          </cell>
          <cell r="AQ942">
            <v>0</v>
          </cell>
          <cell r="AR942">
            <v>0</v>
          </cell>
          <cell r="AS942">
            <v>0</v>
          </cell>
          <cell r="AT942">
            <v>0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  <cell r="BA942">
            <v>0</v>
          </cell>
          <cell r="BB942">
            <v>0</v>
          </cell>
          <cell r="BC942">
            <v>0</v>
          </cell>
          <cell r="BD942">
            <v>0</v>
          </cell>
          <cell r="BE942">
            <v>0</v>
          </cell>
          <cell r="BF942">
            <v>0</v>
          </cell>
          <cell r="BG942">
            <v>0</v>
          </cell>
          <cell r="BH942">
            <v>0</v>
          </cell>
          <cell r="BI942">
            <v>0</v>
          </cell>
          <cell r="BK942">
            <v>0</v>
          </cell>
          <cell r="BL942">
            <v>0</v>
          </cell>
          <cell r="BM942">
            <v>0</v>
          </cell>
          <cell r="BN942">
            <v>0</v>
          </cell>
          <cell r="BO942">
            <v>0</v>
          </cell>
          <cell r="BP942">
            <v>0</v>
          </cell>
          <cell r="BQ942">
            <v>0</v>
          </cell>
          <cell r="BR942">
            <v>0</v>
          </cell>
          <cell r="BS942">
            <v>0</v>
          </cell>
          <cell r="BU942">
            <v>0</v>
          </cell>
          <cell r="BV942">
            <v>0</v>
          </cell>
          <cell r="BW942">
            <v>0</v>
          </cell>
          <cell r="BX942">
            <v>0</v>
          </cell>
          <cell r="BY942">
            <v>0</v>
          </cell>
          <cell r="BZ942">
            <v>0</v>
          </cell>
          <cell r="CA942">
            <v>0</v>
          </cell>
          <cell r="CB942">
            <v>0</v>
          </cell>
          <cell r="CC942">
            <v>0</v>
          </cell>
          <cell r="CE942">
            <v>0</v>
          </cell>
          <cell r="CF942">
            <v>0</v>
          </cell>
          <cell r="CG942">
            <v>0</v>
          </cell>
          <cell r="CH942">
            <v>0</v>
          </cell>
          <cell r="CI942">
            <v>0</v>
          </cell>
          <cell r="CJ942">
            <v>0</v>
          </cell>
          <cell r="CK942">
            <v>0</v>
          </cell>
          <cell r="CL942">
            <v>0</v>
          </cell>
          <cell r="CM942">
            <v>0</v>
          </cell>
          <cell r="CO942">
            <v>0</v>
          </cell>
          <cell r="CP942">
            <v>0</v>
          </cell>
          <cell r="CQ942">
            <v>0</v>
          </cell>
          <cell r="CR942">
            <v>0</v>
          </cell>
          <cell r="CS942">
            <v>0</v>
          </cell>
          <cell r="CT942">
            <v>0</v>
          </cell>
          <cell r="CU942">
            <v>0</v>
          </cell>
          <cell r="CV942">
            <v>0</v>
          </cell>
          <cell r="CW942">
            <v>0</v>
          </cell>
          <cell r="CY942">
            <v>0</v>
          </cell>
          <cell r="CZ942">
            <v>0</v>
          </cell>
          <cell r="DA942">
            <v>0</v>
          </cell>
          <cell r="DB942">
            <v>0</v>
          </cell>
          <cell r="DC942">
            <v>0</v>
          </cell>
          <cell r="DD942">
            <v>0</v>
          </cell>
          <cell r="DE942">
            <v>0</v>
          </cell>
          <cell r="DF942">
            <v>0</v>
          </cell>
          <cell r="DG942">
            <v>0</v>
          </cell>
          <cell r="DI942">
            <v>0</v>
          </cell>
          <cell r="DJ942">
            <v>0</v>
          </cell>
          <cell r="DK942">
            <v>0</v>
          </cell>
          <cell r="DL942">
            <v>0</v>
          </cell>
          <cell r="DM942">
            <v>0</v>
          </cell>
          <cell r="DN942">
            <v>0</v>
          </cell>
          <cell r="DO942">
            <v>0</v>
          </cell>
          <cell r="DP942">
            <v>0</v>
          </cell>
          <cell r="DQ942">
            <v>0</v>
          </cell>
          <cell r="DR942">
            <v>0</v>
          </cell>
          <cell r="DS942">
            <v>0</v>
          </cell>
          <cell r="DT942">
            <v>0</v>
          </cell>
          <cell r="DU942">
            <v>0</v>
          </cell>
          <cell r="DW942">
            <v>0</v>
          </cell>
          <cell r="DX942">
            <v>0</v>
          </cell>
          <cell r="DY942">
            <v>0</v>
          </cell>
          <cell r="DZ942">
            <v>0</v>
          </cell>
          <cell r="EA942">
            <v>0</v>
          </cell>
          <cell r="EB942">
            <v>0</v>
          </cell>
          <cell r="EC942">
            <v>0</v>
          </cell>
          <cell r="ED942">
            <v>0</v>
          </cell>
          <cell r="EE942">
            <v>0</v>
          </cell>
          <cell r="EF942">
            <v>0</v>
          </cell>
          <cell r="EG942">
            <v>0</v>
          </cell>
          <cell r="EH942">
            <v>0</v>
          </cell>
          <cell r="EI942">
            <v>0</v>
          </cell>
          <cell r="EK942">
            <v>0</v>
          </cell>
          <cell r="EL942">
            <v>0</v>
          </cell>
          <cell r="EM942">
            <v>0</v>
          </cell>
          <cell r="EN942">
            <v>0</v>
          </cell>
          <cell r="EO942">
            <v>0</v>
          </cell>
          <cell r="EP942">
            <v>0</v>
          </cell>
          <cell r="EQ942">
            <v>0</v>
          </cell>
          <cell r="ER942">
            <v>0</v>
          </cell>
          <cell r="ES942">
            <v>0</v>
          </cell>
          <cell r="ET942">
            <v>0</v>
          </cell>
          <cell r="EU942">
            <v>0</v>
          </cell>
          <cell r="EV942">
            <v>0</v>
          </cell>
          <cell r="EW942">
            <v>0</v>
          </cell>
          <cell r="EY942">
            <v>0</v>
          </cell>
          <cell r="EZ942">
            <v>8</v>
          </cell>
          <cell r="FA942">
            <v>0</v>
          </cell>
          <cell r="FB942">
            <v>0</v>
          </cell>
          <cell r="FC942">
            <v>8.6</v>
          </cell>
          <cell r="FD942">
            <v>0</v>
          </cell>
          <cell r="FE942">
            <v>0</v>
          </cell>
          <cell r="FF942">
            <v>0</v>
          </cell>
          <cell r="FH942">
            <v>0</v>
          </cell>
        </row>
        <row r="943">
          <cell r="B943">
            <v>10073</v>
          </cell>
          <cell r="C943" t="str">
            <v>21.08.2013</v>
          </cell>
          <cell r="D943" t="str">
            <v>Gajbhar Kunal Prakash</v>
          </cell>
          <cell r="F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G943">
            <v>0</v>
          </cell>
          <cell r="AH943">
            <v>0</v>
          </cell>
          <cell r="AI943">
            <v>0</v>
          </cell>
          <cell r="AJ943">
            <v>0</v>
          </cell>
          <cell r="AK943">
            <v>0</v>
          </cell>
          <cell r="AL943">
            <v>0</v>
          </cell>
          <cell r="AM943">
            <v>0</v>
          </cell>
          <cell r="AN943">
            <v>0</v>
          </cell>
          <cell r="AO943">
            <v>0</v>
          </cell>
          <cell r="AQ943">
            <v>0</v>
          </cell>
          <cell r="AR943">
            <v>0</v>
          </cell>
          <cell r="AS943">
            <v>0</v>
          </cell>
          <cell r="AT943">
            <v>0</v>
          </cell>
          <cell r="AU943">
            <v>0</v>
          </cell>
          <cell r="AV943">
            <v>0</v>
          </cell>
          <cell r="AW943">
            <v>0</v>
          </cell>
          <cell r="AX943">
            <v>0</v>
          </cell>
          <cell r="AY943">
            <v>0</v>
          </cell>
          <cell r="BA943">
            <v>0</v>
          </cell>
          <cell r="BB943">
            <v>0</v>
          </cell>
          <cell r="BC943">
            <v>0</v>
          </cell>
          <cell r="BD943">
            <v>0</v>
          </cell>
          <cell r="BE943">
            <v>0</v>
          </cell>
          <cell r="BF943">
            <v>0</v>
          </cell>
          <cell r="BG943">
            <v>0</v>
          </cell>
          <cell r="BH943">
            <v>0</v>
          </cell>
          <cell r="BI943">
            <v>0</v>
          </cell>
          <cell r="BK943">
            <v>0</v>
          </cell>
          <cell r="BL943">
            <v>0</v>
          </cell>
          <cell r="BM943">
            <v>0</v>
          </cell>
          <cell r="BN943">
            <v>0</v>
          </cell>
          <cell r="BO943">
            <v>0</v>
          </cell>
          <cell r="BP943">
            <v>0</v>
          </cell>
          <cell r="BQ943">
            <v>0</v>
          </cell>
          <cell r="BR943">
            <v>0</v>
          </cell>
          <cell r="BS943">
            <v>0</v>
          </cell>
          <cell r="BU943">
            <v>0</v>
          </cell>
          <cell r="BV943">
            <v>0</v>
          </cell>
          <cell r="BW943">
            <v>0</v>
          </cell>
          <cell r="BX943">
            <v>0</v>
          </cell>
          <cell r="BY943">
            <v>0</v>
          </cell>
          <cell r="BZ943">
            <v>0</v>
          </cell>
          <cell r="CA943">
            <v>0</v>
          </cell>
          <cell r="CB943">
            <v>0</v>
          </cell>
          <cell r="CC943">
            <v>0</v>
          </cell>
          <cell r="CE943">
            <v>0</v>
          </cell>
          <cell r="CF943">
            <v>0</v>
          </cell>
          <cell r="CG943">
            <v>0</v>
          </cell>
          <cell r="CH943">
            <v>0</v>
          </cell>
          <cell r="CI943">
            <v>0</v>
          </cell>
          <cell r="CJ943">
            <v>0</v>
          </cell>
          <cell r="CK943">
            <v>0</v>
          </cell>
          <cell r="CL943">
            <v>0</v>
          </cell>
          <cell r="CM943">
            <v>0</v>
          </cell>
          <cell r="CO943">
            <v>0</v>
          </cell>
          <cell r="CP943">
            <v>0</v>
          </cell>
          <cell r="CQ943">
            <v>0</v>
          </cell>
          <cell r="CR943">
            <v>0</v>
          </cell>
          <cell r="CS943">
            <v>0</v>
          </cell>
          <cell r="CT943">
            <v>0</v>
          </cell>
          <cell r="CU943">
            <v>0</v>
          </cell>
          <cell r="CV943">
            <v>0</v>
          </cell>
          <cell r="CW943">
            <v>0</v>
          </cell>
          <cell r="CY943">
            <v>0</v>
          </cell>
          <cell r="CZ943">
            <v>0</v>
          </cell>
          <cell r="DA943">
            <v>0</v>
          </cell>
          <cell r="DB943">
            <v>0</v>
          </cell>
          <cell r="DC943">
            <v>0</v>
          </cell>
          <cell r="DD943">
            <v>0</v>
          </cell>
          <cell r="DE943">
            <v>0</v>
          </cell>
          <cell r="DF943">
            <v>0</v>
          </cell>
          <cell r="DG943">
            <v>0</v>
          </cell>
          <cell r="DI943">
            <v>0</v>
          </cell>
          <cell r="DJ943">
            <v>0</v>
          </cell>
          <cell r="DK943">
            <v>0</v>
          </cell>
          <cell r="DL943">
            <v>0</v>
          </cell>
          <cell r="DM943">
            <v>0</v>
          </cell>
          <cell r="DN943">
            <v>0</v>
          </cell>
          <cell r="DO943">
            <v>0</v>
          </cell>
          <cell r="DP943">
            <v>0</v>
          </cell>
          <cell r="DQ943">
            <v>0</v>
          </cell>
          <cell r="DR943">
            <v>0</v>
          </cell>
          <cell r="DS943">
            <v>0</v>
          </cell>
          <cell r="DT943">
            <v>0</v>
          </cell>
          <cell r="DU943">
            <v>0</v>
          </cell>
          <cell r="DW943">
            <v>0</v>
          </cell>
          <cell r="DX943">
            <v>0</v>
          </cell>
          <cell r="DY943">
            <v>0</v>
          </cell>
          <cell r="DZ943">
            <v>0</v>
          </cell>
          <cell r="EA943">
            <v>0</v>
          </cell>
          <cell r="EB943">
            <v>0</v>
          </cell>
          <cell r="EC943">
            <v>0</v>
          </cell>
          <cell r="ED943">
            <v>0</v>
          </cell>
          <cell r="EE943">
            <v>0</v>
          </cell>
          <cell r="EF943">
            <v>0</v>
          </cell>
          <cell r="EG943">
            <v>0</v>
          </cell>
          <cell r="EH943">
            <v>0</v>
          </cell>
          <cell r="EI943">
            <v>0</v>
          </cell>
          <cell r="EK943">
            <v>0</v>
          </cell>
          <cell r="EL943">
            <v>0</v>
          </cell>
          <cell r="EM943">
            <v>0</v>
          </cell>
          <cell r="EN943">
            <v>0</v>
          </cell>
          <cell r="EO943">
            <v>0</v>
          </cell>
          <cell r="EP943">
            <v>0</v>
          </cell>
          <cell r="EQ943">
            <v>0</v>
          </cell>
          <cell r="ER943">
            <v>0</v>
          </cell>
          <cell r="ES943">
            <v>0</v>
          </cell>
          <cell r="ET943">
            <v>0</v>
          </cell>
          <cell r="EU943">
            <v>0</v>
          </cell>
          <cell r="EV943">
            <v>0</v>
          </cell>
          <cell r="EW943">
            <v>0</v>
          </cell>
          <cell r="EY943">
            <v>0</v>
          </cell>
          <cell r="EZ943">
            <v>8</v>
          </cell>
          <cell r="FA943">
            <v>0</v>
          </cell>
          <cell r="FB943">
            <v>0</v>
          </cell>
          <cell r="FC943">
            <v>8.6</v>
          </cell>
          <cell r="FD943">
            <v>0</v>
          </cell>
          <cell r="FE943">
            <v>0</v>
          </cell>
          <cell r="FF943">
            <v>0</v>
          </cell>
          <cell r="FH943">
            <v>0</v>
          </cell>
        </row>
        <row r="944">
          <cell r="B944">
            <v>10074</v>
          </cell>
          <cell r="C944" t="str">
            <v>22.08.2013</v>
          </cell>
          <cell r="D944" t="str">
            <v>Shaikh Kutuboddin Nawaz</v>
          </cell>
          <cell r="F944">
            <v>0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T944">
            <v>0</v>
          </cell>
          <cell r="U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0</v>
          </cell>
          <cell r="AA944">
            <v>0</v>
          </cell>
          <cell r="AB944">
            <v>0</v>
          </cell>
          <cell r="AC944">
            <v>0</v>
          </cell>
          <cell r="AD944">
            <v>0</v>
          </cell>
          <cell r="AE944">
            <v>0</v>
          </cell>
          <cell r="AG944">
            <v>0</v>
          </cell>
          <cell r="AH944">
            <v>0</v>
          </cell>
          <cell r="AI944">
            <v>0</v>
          </cell>
          <cell r="AJ944">
            <v>0</v>
          </cell>
          <cell r="AK944">
            <v>0</v>
          </cell>
          <cell r="AL944">
            <v>0</v>
          </cell>
          <cell r="AM944">
            <v>0</v>
          </cell>
          <cell r="AN944">
            <v>0</v>
          </cell>
          <cell r="AO944">
            <v>0</v>
          </cell>
          <cell r="AQ944">
            <v>0</v>
          </cell>
          <cell r="AR944">
            <v>0</v>
          </cell>
          <cell r="AS944">
            <v>0</v>
          </cell>
          <cell r="AT944">
            <v>0</v>
          </cell>
          <cell r="AU944">
            <v>0</v>
          </cell>
          <cell r="AV944">
            <v>0</v>
          </cell>
          <cell r="AW944">
            <v>0</v>
          </cell>
          <cell r="AX944">
            <v>0</v>
          </cell>
          <cell r="AY944">
            <v>0</v>
          </cell>
          <cell r="BA944">
            <v>0</v>
          </cell>
          <cell r="BB944">
            <v>0</v>
          </cell>
          <cell r="BC944">
            <v>0</v>
          </cell>
          <cell r="BD944">
            <v>0</v>
          </cell>
          <cell r="BE944">
            <v>0</v>
          </cell>
          <cell r="BF944">
            <v>0</v>
          </cell>
          <cell r="BG944">
            <v>0</v>
          </cell>
          <cell r="BH944">
            <v>0</v>
          </cell>
          <cell r="BI944">
            <v>0</v>
          </cell>
          <cell r="BK944">
            <v>0</v>
          </cell>
          <cell r="BL944">
            <v>0</v>
          </cell>
          <cell r="BM944">
            <v>0</v>
          </cell>
          <cell r="BN944">
            <v>0</v>
          </cell>
          <cell r="BO944">
            <v>0</v>
          </cell>
          <cell r="BP944">
            <v>0</v>
          </cell>
          <cell r="BQ944">
            <v>0</v>
          </cell>
          <cell r="BR944">
            <v>0</v>
          </cell>
          <cell r="BS944">
            <v>0</v>
          </cell>
          <cell r="BU944">
            <v>0</v>
          </cell>
          <cell r="BV944">
            <v>0</v>
          </cell>
          <cell r="BW944">
            <v>0</v>
          </cell>
          <cell r="BX944">
            <v>0</v>
          </cell>
          <cell r="BY944">
            <v>0</v>
          </cell>
          <cell r="BZ944">
            <v>0</v>
          </cell>
          <cell r="CA944">
            <v>0</v>
          </cell>
          <cell r="CB944">
            <v>0</v>
          </cell>
          <cell r="CC944">
            <v>0</v>
          </cell>
          <cell r="CE944">
            <v>0</v>
          </cell>
          <cell r="CF944">
            <v>0</v>
          </cell>
          <cell r="CG944">
            <v>0</v>
          </cell>
          <cell r="CH944">
            <v>0</v>
          </cell>
          <cell r="CI944">
            <v>0</v>
          </cell>
          <cell r="CJ944">
            <v>0</v>
          </cell>
          <cell r="CK944">
            <v>0</v>
          </cell>
          <cell r="CL944">
            <v>0</v>
          </cell>
          <cell r="CM944">
            <v>0</v>
          </cell>
          <cell r="CO944">
            <v>0</v>
          </cell>
          <cell r="CP944">
            <v>0</v>
          </cell>
          <cell r="CQ944">
            <v>0</v>
          </cell>
          <cell r="CR944">
            <v>0</v>
          </cell>
          <cell r="CS944">
            <v>0</v>
          </cell>
          <cell r="CT944">
            <v>0</v>
          </cell>
          <cell r="CU944">
            <v>0</v>
          </cell>
          <cell r="CV944">
            <v>0</v>
          </cell>
          <cell r="CW944">
            <v>0</v>
          </cell>
          <cell r="CY944">
            <v>0</v>
          </cell>
          <cell r="CZ944">
            <v>0</v>
          </cell>
          <cell r="DA944">
            <v>0</v>
          </cell>
          <cell r="DB944">
            <v>0</v>
          </cell>
          <cell r="DC944">
            <v>0</v>
          </cell>
          <cell r="DD944">
            <v>0</v>
          </cell>
          <cell r="DE944">
            <v>0</v>
          </cell>
          <cell r="DF944">
            <v>0</v>
          </cell>
          <cell r="DG944">
            <v>0</v>
          </cell>
          <cell r="DI944">
            <v>0</v>
          </cell>
          <cell r="DJ944">
            <v>0</v>
          </cell>
          <cell r="DK944">
            <v>0</v>
          </cell>
          <cell r="DL944">
            <v>0</v>
          </cell>
          <cell r="DM944">
            <v>0</v>
          </cell>
          <cell r="DN944">
            <v>0</v>
          </cell>
          <cell r="DO944">
            <v>0</v>
          </cell>
          <cell r="DP944">
            <v>0</v>
          </cell>
          <cell r="DQ944">
            <v>0</v>
          </cell>
          <cell r="DR944">
            <v>0</v>
          </cell>
          <cell r="DS944">
            <v>0</v>
          </cell>
          <cell r="DT944">
            <v>0</v>
          </cell>
          <cell r="DU944">
            <v>0</v>
          </cell>
          <cell r="DW944">
            <v>0</v>
          </cell>
          <cell r="DX944">
            <v>0</v>
          </cell>
          <cell r="DY944">
            <v>0</v>
          </cell>
          <cell r="DZ944">
            <v>0</v>
          </cell>
          <cell r="EA944">
            <v>0</v>
          </cell>
          <cell r="EB944">
            <v>0</v>
          </cell>
          <cell r="EC944">
            <v>0</v>
          </cell>
          <cell r="ED944">
            <v>0</v>
          </cell>
          <cell r="EE944">
            <v>0</v>
          </cell>
          <cell r="EF944">
            <v>0</v>
          </cell>
          <cell r="EG944">
            <v>0</v>
          </cell>
          <cell r="EH944">
            <v>0</v>
          </cell>
          <cell r="EI944">
            <v>0</v>
          </cell>
          <cell r="EK944">
            <v>0</v>
          </cell>
          <cell r="EL944">
            <v>0</v>
          </cell>
          <cell r="EM944">
            <v>0</v>
          </cell>
          <cell r="EN944">
            <v>0</v>
          </cell>
          <cell r="EO944">
            <v>0</v>
          </cell>
          <cell r="EP944">
            <v>0</v>
          </cell>
          <cell r="EQ944">
            <v>0</v>
          </cell>
          <cell r="ER944">
            <v>0</v>
          </cell>
          <cell r="ES944">
            <v>0</v>
          </cell>
          <cell r="ET944">
            <v>0</v>
          </cell>
          <cell r="EU944">
            <v>0</v>
          </cell>
          <cell r="EV944">
            <v>0</v>
          </cell>
          <cell r="EW944">
            <v>0</v>
          </cell>
          <cell r="EY944">
            <v>0</v>
          </cell>
          <cell r="EZ944">
            <v>8</v>
          </cell>
          <cell r="FA944">
            <v>0</v>
          </cell>
          <cell r="FB944">
            <v>0</v>
          </cell>
          <cell r="FC944">
            <v>8.6</v>
          </cell>
          <cell r="FD944">
            <v>0</v>
          </cell>
          <cell r="FE944">
            <v>0</v>
          </cell>
          <cell r="FF944">
            <v>0</v>
          </cell>
          <cell r="FH944">
            <v>0</v>
          </cell>
        </row>
        <row r="945">
          <cell r="B945">
            <v>10075</v>
          </cell>
          <cell r="C945" t="str">
            <v>22.08.2013</v>
          </cell>
          <cell r="D945" t="str">
            <v>Shelar Satish Gangadhar</v>
          </cell>
          <cell r="F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Q945">
            <v>0</v>
          </cell>
          <cell r="AR945">
            <v>0</v>
          </cell>
          <cell r="AS945">
            <v>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BA945">
            <v>0</v>
          </cell>
          <cell r="BB945">
            <v>0</v>
          </cell>
          <cell r="BC945">
            <v>0</v>
          </cell>
          <cell r="BD945">
            <v>0</v>
          </cell>
          <cell r="BE945">
            <v>0</v>
          </cell>
          <cell r="BF945">
            <v>0</v>
          </cell>
          <cell r="BG945">
            <v>0</v>
          </cell>
          <cell r="BH945">
            <v>0</v>
          </cell>
          <cell r="BI945">
            <v>0</v>
          </cell>
          <cell r="BK945">
            <v>0</v>
          </cell>
          <cell r="BL945">
            <v>0</v>
          </cell>
          <cell r="BM945">
            <v>0</v>
          </cell>
          <cell r="BN945">
            <v>0</v>
          </cell>
          <cell r="BO945">
            <v>0</v>
          </cell>
          <cell r="BP945">
            <v>0</v>
          </cell>
          <cell r="BQ945">
            <v>0</v>
          </cell>
          <cell r="BR945">
            <v>0</v>
          </cell>
          <cell r="BS945">
            <v>0</v>
          </cell>
          <cell r="BU945">
            <v>0</v>
          </cell>
          <cell r="BV945">
            <v>0</v>
          </cell>
          <cell r="BW945">
            <v>0</v>
          </cell>
          <cell r="BX945">
            <v>0</v>
          </cell>
          <cell r="BY945">
            <v>0</v>
          </cell>
          <cell r="BZ945">
            <v>0</v>
          </cell>
          <cell r="CA945">
            <v>0</v>
          </cell>
          <cell r="CB945">
            <v>0</v>
          </cell>
          <cell r="CC945">
            <v>0</v>
          </cell>
          <cell r="CE945">
            <v>0</v>
          </cell>
          <cell r="CF945">
            <v>0</v>
          </cell>
          <cell r="CG945">
            <v>0</v>
          </cell>
          <cell r="CH945">
            <v>0</v>
          </cell>
          <cell r="CI945">
            <v>0</v>
          </cell>
          <cell r="CJ945">
            <v>0</v>
          </cell>
          <cell r="CK945">
            <v>0</v>
          </cell>
          <cell r="CL945">
            <v>0</v>
          </cell>
          <cell r="CM945">
            <v>0</v>
          </cell>
          <cell r="CO945">
            <v>0</v>
          </cell>
          <cell r="CP945">
            <v>0</v>
          </cell>
          <cell r="CQ945">
            <v>0</v>
          </cell>
          <cell r="CR945">
            <v>0</v>
          </cell>
          <cell r="CS945">
            <v>0</v>
          </cell>
          <cell r="CT945">
            <v>0</v>
          </cell>
          <cell r="CU945">
            <v>0</v>
          </cell>
          <cell r="CV945">
            <v>0</v>
          </cell>
          <cell r="CW945">
            <v>0</v>
          </cell>
          <cell r="CY945">
            <v>0</v>
          </cell>
          <cell r="CZ945">
            <v>0</v>
          </cell>
          <cell r="DA945">
            <v>0</v>
          </cell>
          <cell r="DB945">
            <v>0</v>
          </cell>
          <cell r="DC945">
            <v>0</v>
          </cell>
          <cell r="DD945">
            <v>0</v>
          </cell>
          <cell r="DE945">
            <v>0</v>
          </cell>
          <cell r="DF945">
            <v>0</v>
          </cell>
          <cell r="DG945">
            <v>0</v>
          </cell>
          <cell r="DI945">
            <v>0</v>
          </cell>
          <cell r="DJ945">
            <v>0</v>
          </cell>
          <cell r="DK945">
            <v>0</v>
          </cell>
          <cell r="DL945">
            <v>0</v>
          </cell>
          <cell r="DM945">
            <v>0</v>
          </cell>
          <cell r="DN945">
            <v>0</v>
          </cell>
          <cell r="DO945">
            <v>0</v>
          </cell>
          <cell r="DP945">
            <v>0</v>
          </cell>
          <cell r="DQ945">
            <v>0</v>
          </cell>
          <cell r="DR945">
            <v>0</v>
          </cell>
          <cell r="DS945">
            <v>0</v>
          </cell>
          <cell r="DT945">
            <v>0</v>
          </cell>
          <cell r="DU945">
            <v>0</v>
          </cell>
          <cell r="DW945">
            <v>0</v>
          </cell>
          <cell r="DX945">
            <v>0</v>
          </cell>
          <cell r="DY945">
            <v>0</v>
          </cell>
          <cell r="DZ945">
            <v>0</v>
          </cell>
          <cell r="EA945">
            <v>0</v>
          </cell>
          <cell r="EB945">
            <v>0</v>
          </cell>
          <cell r="EC945">
            <v>0</v>
          </cell>
          <cell r="ED945">
            <v>0</v>
          </cell>
          <cell r="EE945">
            <v>0</v>
          </cell>
          <cell r="EF945">
            <v>0</v>
          </cell>
          <cell r="EG945">
            <v>0</v>
          </cell>
          <cell r="EH945">
            <v>0</v>
          </cell>
          <cell r="EI945">
            <v>0</v>
          </cell>
          <cell r="EK945">
            <v>0</v>
          </cell>
          <cell r="EL945">
            <v>0</v>
          </cell>
          <cell r="EM945">
            <v>0</v>
          </cell>
          <cell r="EN945">
            <v>0</v>
          </cell>
          <cell r="EO945">
            <v>0</v>
          </cell>
          <cell r="EP945">
            <v>0</v>
          </cell>
          <cell r="EQ945">
            <v>0</v>
          </cell>
          <cell r="ER945">
            <v>0</v>
          </cell>
          <cell r="ES945">
            <v>0</v>
          </cell>
          <cell r="ET945">
            <v>0</v>
          </cell>
          <cell r="EU945">
            <v>0</v>
          </cell>
          <cell r="EV945">
            <v>0</v>
          </cell>
          <cell r="EW945">
            <v>0</v>
          </cell>
          <cell r="EY945">
            <v>0</v>
          </cell>
          <cell r="EZ945">
            <v>8</v>
          </cell>
          <cell r="FA945">
            <v>0</v>
          </cell>
          <cell r="FB945">
            <v>0</v>
          </cell>
          <cell r="FC945">
            <v>8.6</v>
          </cell>
          <cell r="FD945">
            <v>0</v>
          </cell>
          <cell r="FE945">
            <v>0</v>
          </cell>
          <cell r="FF945">
            <v>0</v>
          </cell>
          <cell r="FH945">
            <v>0</v>
          </cell>
        </row>
        <row r="946">
          <cell r="B946">
            <v>10076</v>
          </cell>
          <cell r="C946" t="str">
            <v>22.08.2013</v>
          </cell>
          <cell r="D946" t="str">
            <v>Chavan Mangal Sunil</v>
          </cell>
          <cell r="F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Q946">
            <v>0</v>
          </cell>
          <cell r="AR946">
            <v>0</v>
          </cell>
          <cell r="AS946">
            <v>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BA946">
            <v>0</v>
          </cell>
          <cell r="BB946">
            <v>0</v>
          </cell>
          <cell r="BC946">
            <v>0</v>
          </cell>
          <cell r="BD946">
            <v>0</v>
          </cell>
          <cell r="BE946">
            <v>0</v>
          </cell>
          <cell r="BF946">
            <v>0</v>
          </cell>
          <cell r="BG946">
            <v>0</v>
          </cell>
          <cell r="BH946">
            <v>0</v>
          </cell>
          <cell r="BI946">
            <v>0</v>
          </cell>
          <cell r="BK946">
            <v>0</v>
          </cell>
          <cell r="BL946">
            <v>0</v>
          </cell>
          <cell r="BM946">
            <v>0</v>
          </cell>
          <cell r="BN946">
            <v>0</v>
          </cell>
          <cell r="BO946">
            <v>0</v>
          </cell>
          <cell r="BP946">
            <v>0</v>
          </cell>
          <cell r="BQ946">
            <v>0</v>
          </cell>
          <cell r="BR946">
            <v>0</v>
          </cell>
          <cell r="BS946">
            <v>0</v>
          </cell>
          <cell r="BU946">
            <v>0</v>
          </cell>
          <cell r="BV946">
            <v>0</v>
          </cell>
          <cell r="BW946">
            <v>0</v>
          </cell>
          <cell r="BX946">
            <v>0</v>
          </cell>
          <cell r="BY946">
            <v>0</v>
          </cell>
          <cell r="BZ946">
            <v>0</v>
          </cell>
          <cell r="CA946">
            <v>0</v>
          </cell>
          <cell r="CB946">
            <v>0</v>
          </cell>
          <cell r="CC946">
            <v>0</v>
          </cell>
          <cell r="CE946">
            <v>0</v>
          </cell>
          <cell r="CF946">
            <v>0</v>
          </cell>
          <cell r="CG946">
            <v>0</v>
          </cell>
          <cell r="CH946">
            <v>0</v>
          </cell>
          <cell r="CI946">
            <v>0</v>
          </cell>
          <cell r="CJ946">
            <v>0</v>
          </cell>
          <cell r="CK946">
            <v>0</v>
          </cell>
          <cell r="CL946">
            <v>0</v>
          </cell>
          <cell r="CM946">
            <v>0</v>
          </cell>
          <cell r="CO946">
            <v>0</v>
          </cell>
          <cell r="CP946">
            <v>0</v>
          </cell>
          <cell r="CQ946">
            <v>0</v>
          </cell>
          <cell r="CR946">
            <v>0</v>
          </cell>
          <cell r="CS946">
            <v>0</v>
          </cell>
          <cell r="CT946">
            <v>0</v>
          </cell>
          <cell r="CU946">
            <v>0</v>
          </cell>
          <cell r="CV946">
            <v>0</v>
          </cell>
          <cell r="CW946">
            <v>0</v>
          </cell>
          <cell r="CY946">
            <v>0</v>
          </cell>
          <cell r="CZ946">
            <v>0</v>
          </cell>
          <cell r="DA946">
            <v>0</v>
          </cell>
          <cell r="DB946">
            <v>0</v>
          </cell>
          <cell r="DC946">
            <v>0</v>
          </cell>
          <cell r="DD946">
            <v>0</v>
          </cell>
          <cell r="DE946">
            <v>0</v>
          </cell>
          <cell r="DF946">
            <v>0</v>
          </cell>
          <cell r="DG946">
            <v>0</v>
          </cell>
          <cell r="DI946">
            <v>0</v>
          </cell>
          <cell r="DJ946">
            <v>0</v>
          </cell>
          <cell r="DK946">
            <v>0</v>
          </cell>
          <cell r="DL946">
            <v>0</v>
          </cell>
          <cell r="DM946">
            <v>0</v>
          </cell>
          <cell r="DN946">
            <v>0</v>
          </cell>
          <cell r="DO946">
            <v>0</v>
          </cell>
          <cell r="DP946">
            <v>0</v>
          </cell>
          <cell r="DQ946">
            <v>0</v>
          </cell>
          <cell r="DR946">
            <v>0</v>
          </cell>
          <cell r="DS946">
            <v>0</v>
          </cell>
          <cell r="DT946">
            <v>0</v>
          </cell>
          <cell r="DU946">
            <v>0</v>
          </cell>
          <cell r="DW946">
            <v>0</v>
          </cell>
          <cell r="DX946">
            <v>0</v>
          </cell>
          <cell r="DY946">
            <v>0</v>
          </cell>
          <cell r="DZ946">
            <v>0</v>
          </cell>
          <cell r="EA946">
            <v>0</v>
          </cell>
          <cell r="EB946">
            <v>0</v>
          </cell>
          <cell r="EC946">
            <v>0</v>
          </cell>
          <cell r="ED946">
            <v>0</v>
          </cell>
          <cell r="EE946">
            <v>0</v>
          </cell>
          <cell r="EF946">
            <v>0</v>
          </cell>
          <cell r="EG946">
            <v>0</v>
          </cell>
          <cell r="EH946">
            <v>0</v>
          </cell>
          <cell r="EI946">
            <v>0</v>
          </cell>
          <cell r="EK946">
            <v>0</v>
          </cell>
          <cell r="EL946">
            <v>0</v>
          </cell>
          <cell r="EM946">
            <v>0</v>
          </cell>
          <cell r="EN946">
            <v>0</v>
          </cell>
          <cell r="EO946">
            <v>0</v>
          </cell>
          <cell r="EP946">
            <v>0</v>
          </cell>
          <cell r="EQ946">
            <v>0</v>
          </cell>
          <cell r="ER946">
            <v>0</v>
          </cell>
          <cell r="ES946">
            <v>0</v>
          </cell>
          <cell r="ET946">
            <v>0</v>
          </cell>
          <cell r="EU946">
            <v>0</v>
          </cell>
          <cell r="EV946">
            <v>0</v>
          </cell>
          <cell r="EW946">
            <v>0</v>
          </cell>
          <cell r="EY946">
            <v>0</v>
          </cell>
          <cell r="EZ946">
            <v>8</v>
          </cell>
          <cell r="FA946">
            <v>0</v>
          </cell>
          <cell r="FB946">
            <v>0</v>
          </cell>
          <cell r="FC946">
            <v>8.6</v>
          </cell>
          <cell r="FD946">
            <v>0</v>
          </cell>
          <cell r="FE946">
            <v>0</v>
          </cell>
          <cell r="FF946">
            <v>0</v>
          </cell>
          <cell r="FH946">
            <v>0</v>
          </cell>
        </row>
        <row r="947">
          <cell r="B947">
            <v>10077</v>
          </cell>
          <cell r="C947" t="str">
            <v>23.08.2013</v>
          </cell>
          <cell r="D947" t="str">
            <v>Ugale Vaishali Sachin</v>
          </cell>
          <cell r="F947">
            <v>0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  <cell r="R947">
            <v>0</v>
          </cell>
          <cell r="S947">
            <v>0</v>
          </cell>
          <cell r="T947">
            <v>0</v>
          </cell>
          <cell r="U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0</v>
          </cell>
          <cell r="AA947">
            <v>0</v>
          </cell>
          <cell r="AB947">
            <v>0</v>
          </cell>
          <cell r="AC947">
            <v>0</v>
          </cell>
          <cell r="AD947">
            <v>0</v>
          </cell>
          <cell r="AE947">
            <v>0</v>
          </cell>
          <cell r="AG947">
            <v>0</v>
          </cell>
          <cell r="AH947">
            <v>0</v>
          </cell>
          <cell r="AI947">
            <v>0</v>
          </cell>
          <cell r="AJ947">
            <v>0</v>
          </cell>
          <cell r="AK947">
            <v>0</v>
          </cell>
          <cell r="AL947">
            <v>0</v>
          </cell>
          <cell r="AM947">
            <v>0</v>
          </cell>
          <cell r="AN947">
            <v>0</v>
          </cell>
          <cell r="AO947">
            <v>0</v>
          </cell>
          <cell r="AQ947">
            <v>0</v>
          </cell>
          <cell r="AR947">
            <v>0</v>
          </cell>
          <cell r="AS947">
            <v>0</v>
          </cell>
          <cell r="AT947">
            <v>0</v>
          </cell>
          <cell r="AU947">
            <v>0</v>
          </cell>
          <cell r="AV947">
            <v>0</v>
          </cell>
          <cell r="AW947">
            <v>0</v>
          </cell>
          <cell r="AX947">
            <v>0</v>
          </cell>
          <cell r="AY947">
            <v>0</v>
          </cell>
          <cell r="BA947">
            <v>0</v>
          </cell>
          <cell r="BB947">
            <v>0</v>
          </cell>
          <cell r="BC947">
            <v>0</v>
          </cell>
          <cell r="BD947">
            <v>0</v>
          </cell>
          <cell r="BE947">
            <v>0</v>
          </cell>
          <cell r="BF947">
            <v>0</v>
          </cell>
          <cell r="BG947">
            <v>0</v>
          </cell>
          <cell r="BH947">
            <v>0</v>
          </cell>
          <cell r="BI947">
            <v>0</v>
          </cell>
          <cell r="BK947">
            <v>0</v>
          </cell>
          <cell r="BL947">
            <v>0</v>
          </cell>
          <cell r="BM947">
            <v>0</v>
          </cell>
          <cell r="BN947">
            <v>0</v>
          </cell>
          <cell r="BO947">
            <v>0</v>
          </cell>
          <cell r="BP947">
            <v>0</v>
          </cell>
          <cell r="BQ947">
            <v>0</v>
          </cell>
          <cell r="BR947">
            <v>0</v>
          </cell>
          <cell r="BS947">
            <v>0</v>
          </cell>
          <cell r="BU947">
            <v>0</v>
          </cell>
          <cell r="BV947">
            <v>0</v>
          </cell>
          <cell r="BW947">
            <v>0</v>
          </cell>
          <cell r="BX947">
            <v>0</v>
          </cell>
          <cell r="BY947">
            <v>0</v>
          </cell>
          <cell r="BZ947">
            <v>0</v>
          </cell>
          <cell r="CA947">
            <v>0</v>
          </cell>
          <cell r="CB947">
            <v>0</v>
          </cell>
          <cell r="CC947">
            <v>0</v>
          </cell>
          <cell r="CE947">
            <v>0</v>
          </cell>
          <cell r="CF947">
            <v>0</v>
          </cell>
          <cell r="CG947">
            <v>0</v>
          </cell>
          <cell r="CH947">
            <v>0</v>
          </cell>
          <cell r="CI947">
            <v>0</v>
          </cell>
          <cell r="CJ947">
            <v>0</v>
          </cell>
          <cell r="CK947">
            <v>0</v>
          </cell>
          <cell r="CL947">
            <v>0</v>
          </cell>
          <cell r="CM947">
            <v>0</v>
          </cell>
          <cell r="CO947">
            <v>0</v>
          </cell>
          <cell r="CP947">
            <v>0</v>
          </cell>
          <cell r="CQ947">
            <v>0</v>
          </cell>
          <cell r="CR947">
            <v>0</v>
          </cell>
          <cell r="CS947">
            <v>0</v>
          </cell>
          <cell r="CT947">
            <v>0</v>
          </cell>
          <cell r="CU947">
            <v>0</v>
          </cell>
          <cell r="CV947">
            <v>0</v>
          </cell>
          <cell r="CW947">
            <v>0</v>
          </cell>
          <cell r="CY947">
            <v>0</v>
          </cell>
          <cell r="CZ947">
            <v>0</v>
          </cell>
          <cell r="DA947">
            <v>0</v>
          </cell>
          <cell r="DB947">
            <v>0</v>
          </cell>
          <cell r="DC947">
            <v>0</v>
          </cell>
          <cell r="DD947">
            <v>0</v>
          </cell>
          <cell r="DE947">
            <v>0</v>
          </cell>
          <cell r="DF947">
            <v>0</v>
          </cell>
          <cell r="DG947">
            <v>0</v>
          </cell>
          <cell r="DI947">
            <v>0</v>
          </cell>
          <cell r="DJ947">
            <v>0</v>
          </cell>
          <cell r="DK947">
            <v>0</v>
          </cell>
          <cell r="DL947">
            <v>0</v>
          </cell>
          <cell r="DM947">
            <v>0</v>
          </cell>
          <cell r="DN947">
            <v>0</v>
          </cell>
          <cell r="DO947">
            <v>0</v>
          </cell>
          <cell r="DP947">
            <v>0</v>
          </cell>
          <cell r="DQ947">
            <v>0</v>
          </cell>
          <cell r="DR947">
            <v>0</v>
          </cell>
          <cell r="DS947">
            <v>0</v>
          </cell>
          <cell r="DT947">
            <v>0</v>
          </cell>
          <cell r="DU947">
            <v>0</v>
          </cell>
          <cell r="DW947">
            <v>0</v>
          </cell>
          <cell r="DX947">
            <v>0</v>
          </cell>
          <cell r="DY947">
            <v>0</v>
          </cell>
          <cell r="DZ947">
            <v>0</v>
          </cell>
          <cell r="EA947">
            <v>0</v>
          </cell>
          <cell r="EB947">
            <v>0</v>
          </cell>
          <cell r="EC947">
            <v>0</v>
          </cell>
          <cell r="ED947">
            <v>0</v>
          </cell>
          <cell r="EE947">
            <v>0</v>
          </cell>
          <cell r="EF947">
            <v>0</v>
          </cell>
          <cell r="EG947">
            <v>0</v>
          </cell>
          <cell r="EH947">
            <v>0</v>
          </cell>
          <cell r="EI947">
            <v>0</v>
          </cell>
          <cell r="EK947">
            <v>0</v>
          </cell>
          <cell r="EL947">
            <v>0</v>
          </cell>
          <cell r="EM947">
            <v>0</v>
          </cell>
          <cell r="EN947">
            <v>0</v>
          </cell>
          <cell r="EO947">
            <v>0</v>
          </cell>
          <cell r="EP947">
            <v>0</v>
          </cell>
          <cell r="EQ947">
            <v>0</v>
          </cell>
          <cell r="ER947">
            <v>0</v>
          </cell>
          <cell r="ES947">
            <v>0</v>
          </cell>
          <cell r="ET947">
            <v>0</v>
          </cell>
          <cell r="EU947">
            <v>0</v>
          </cell>
          <cell r="EV947">
            <v>0</v>
          </cell>
          <cell r="EW947">
            <v>0</v>
          </cell>
          <cell r="EY947">
            <v>0</v>
          </cell>
          <cell r="EZ947">
            <v>8</v>
          </cell>
          <cell r="FA947">
            <v>0</v>
          </cell>
          <cell r="FB947">
            <v>0</v>
          </cell>
          <cell r="FC947">
            <v>8.6</v>
          </cell>
          <cell r="FD947">
            <v>0</v>
          </cell>
          <cell r="FE947">
            <v>0</v>
          </cell>
          <cell r="FF947">
            <v>0</v>
          </cell>
          <cell r="FH947">
            <v>0</v>
          </cell>
        </row>
        <row r="948">
          <cell r="B948">
            <v>10078</v>
          </cell>
          <cell r="C948" t="str">
            <v>26.08.2013</v>
          </cell>
          <cell r="D948" t="str">
            <v>More Girish Raghunath</v>
          </cell>
          <cell r="F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G948">
            <v>0</v>
          </cell>
          <cell r="AH948">
            <v>0</v>
          </cell>
          <cell r="AI948">
            <v>0</v>
          </cell>
          <cell r="AJ948">
            <v>0</v>
          </cell>
          <cell r="AK948">
            <v>0</v>
          </cell>
          <cell r="AL948">
            <v>0</v>
          </cell>
          <cell r="AM948">
            <v>0</v>
          </cell>
          <cell r="AN948">
            <v>0</v>
          </cell>
          <cell r="AO948">
            <v>0</v>
          </cell>
          <cell r="AQ948">
            <v>0</v>
          </cell>
          <cell r="AR948">
            <v>0</v>
          </cell>
          <cell r="AS948">
            <v>0</v>
          </cell>
          <cell r="AT948">
            <v>0</v>
          </cell>
          <cell r="AU948">
            <v>0</v>
          </cell>
          <cell r="AV948">
            <v>0</v>
          </cell>
          <cell r="AW948">
            <v>0</v>
          </cell>
          <cell r="AX948">
            <v>0</v>
          </cell>
          <cell r="AY948">
            <v>0</v>
          </cell>
          <cell r="BA948">
            <v>0</v>
          </cell>
          <cell r="BB948">
            <v>0</v>
          </cell>
          <cell r="BC948">
            <v>0</v>
          </cell>
          <cell r="BD948">
            <v>0</v>
          </cell>
          <cell r="BE948">
            <v>0</v>
          </cell>
          <cell r="BF948">
            <v>0</v>
          </cell>
          <cell r="BG948">
            <v>0</v>
          </cell>
          <cell r="BH948">
            <v>0</v>
          </cell>
          <cell r="BI948">
            <v>0</v>
          </cell>
          <cell r="BK948">
            <v>0</v>
          </cell>
          <cell r="BL948">
            <v>0</v>
          </cell>
          <cell r="BM948">
            <v>0</v>
          </cell>
          <cell r="BN948">
            <v>0</v>
          </cell>
          <cell r="BO948">
            <v>0</v>
          </cell>
          <cell r="BP948">
            <v>0</v>
          </cell>
          <cell r="BQ948">
            <v>0</v>
          </cell>
          <cell r="BR948">
            <v>0</v>
          </cell>
          <cell r="BS948">
            <v>0</v>
          </cell>
          <cell r="BU948">
            <v>0</v>
          </cell>
          <cell r="BV948">
            <v>0</v>
          </cell>
          <cell r="BW948">
            <v>0</v>
          </cell>
          <cell r="BX948">
            <v>0</v>
          </cell>
          <cell r="BY948">
            <v>0</v>
          </cell>
          <cell r="BZ948">
            <v>0</v>
          </cell>
          <cell r="CA948">
            <v>0</v>
          </cell>
          <cell r="CB948">
            <v>0</v>
          </cell>
          <cell r="CC948">
            <v>0</v>
          </cell>
          <cell r="CE948">
            <v>0</v>
          </cell>
          <cell r="CF948">
            <v>0</v>
          </cell>
          <cell r="CG948">
            <v>0</v>
          </cell>
          <cell r="CH948">
            <v>0</v>
          </cell>
          <cell r="CI948">
            <v>0</v>
          </cell>
          <cell r="CJ948">
            <v>0</v>
          </cell>
          <cell r="CK948">
            <v>0</v>
          </cell>
          <cell r="CL948">
            <v>0</v>
          </cell>
          <cell r="CM948">
            <v>0</v>
          </cell>
          <cell r="CO948">
            <v>0</v>
          </cell>
          <cell r="CP948">
            <v>0</v>
          </cell>
          <cell r="CQ948">
            <v>0</v>
          </cell>
          <cell r="CR948">
            <v>0</v>
          </cell>
          <cell r="CS948">
            <v>0</v>
          </cell>
          <cell r="CT948">
            <v>0</v>
          </cell>
          <cell r="CU948">
            <v>0</v>
          </cell>
          <cell r="CV948">
            <v>0</v>
          </cell>
          <cell r="CW948">
            <v>0</v>
          </cell>
          <cell r="CY948">
            <v>0</v>
          </cell>
          <cell r="CZ948">
            <v>0</v>
          </cell>
          <cell r="DA948">
            <v>0</v>
          </cell>
          <cell r="DB948">
            <v>0</v>
          </cell>
          <cell r="DC948">
            <v>0</v>
          </cell>
          <cell r="DD948">
            <v>0</v>
          </cell>
          <cell r="DE948">
            <v>0</v>
          </cell>
          <cell r="DF948">
            <v>0</v>
          </cell>
          <cell r="DG948">
            <v>0</v>
          </cell>
          <cell r="DI948">
            <v>0</v>
          </cell>
          <cell r="DJ948">
            <v>0</v>
          </cell>
          <cell r="DK948">
            <v>0</v>
          </cell>
          <cell r="DL948">
            <v>0</v>
          </cell>
          <cell r="DM948">
            <v>0</v>
          </cell>
          <cell r="DN948">
            <v>0</v>
          </cell>
          <cell r="DO948">
            <v>0</v>
          </cell>
          <cell r="DP948">
            <v>0</v>
          </cell>
          <cell r="DQ948">
            <v>0</v>
          </cell>
          <cell r="DR948">
            <v>0</v>
          </cell>
          <cell r="DS948">
            <v>0</v>
          </cell>
          <cell r="DT948">
            <v>0</v>
          </cell>
          <cell r="DU948">
            <v>0</v>
          </cell>
          <cell r="DW948">
            <v>0</v>
          </cell>
          <cell r="DX948">
            <v>0</v>
          </cell>
          <cell r="DY948">
            <v>0</v>
          </cell>
          <cell r="DZ948">
            <v>0</v>
          </cell>
          <cell r="EA948">
            <v>0</v>
          </cell>
          <cell r="EB948">
            <v>0</v>
          </cell>
          <cell r="EC948">
            <v>0</v>
          </cell>
          <cell r="ED948">
            <v>0</v>
          </cell>
          <cell r="EE948">
            <v>0</v>
          </cell>
          <cell r="EF948">
            <v>0</v>
          </cell>
          <cell r="EG948">
            <v>0</v>
          </cell>
          <cell r="EH948">
            <v>0</v>
          </cell>
          <cell r="EI948">
            <v>0</v>
          </cell>
          <cell r="EK948">
            <v>0</v>
          </cell>
          <cell r="EL948">
            <v>0</v>
          </cell>
          <cell r="EM948">
            <v>0</v>
          </cell>
          <cell r="EN948">
            <v>0</v>
          </cell>
          <cell r="EO948">
            <v>0</v>
          </cell>
          <cell r="EP948">
            <v>0</v>
          </cell>
          <cell r="EQ948">
            <v>0</v>
          </cell>
          <cell r="ER948">
            <v>0</v>
          </cell>
          <cell r="ES948">
            <v>0</v>
          </cell>
          <cell r="ET948">
            <v>0</v>
          </cell>
          <cell r="EU948">
            <v>0</v>
          </cell>
          <cell r="EV948">
            <v>0</v>
          </cell>
          <cell r="EW948">
            <v>0</v>
          </cell>
          <cell r="EY948">
            <v>0</v>
          </cell>
          <cell r="EZ948">
            <v>8</v>
          </cell>
          <cell r="FA948">
            <v>0</v>
          </cell>
          <cell r="FB948">
            <v>0</v>
          </cell>
          <cell r="FC948">
            <v>8.6</v>
          </cell>
          <cell r="FD948">
            <v>0</v>
          </cell>
          <cell r="FE948">
            <v>0</v>
          </cell>
          <cell r="FF948">
            <v>0</v>
          </cell>
          <cell r="FH948">
            <v>0</v>
          </cell>
        </row>
        <row r="949">
          <cell r="B949">
            <v>10079</v>
          </cell>
          <cell r="C949" t="str">
            <v>27.08.2013</v>
          </cell>
          <cell r="D949" t="str">
            <v>Mahajan Manisha Rajendra</v>
          </cell>
          <cell r="F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G949">
            <v>0</v>
          </cell>
          <cell r="AH949">
            <v>0</v>
          </cell>
          <cell r="AI949">
            <v>0</v>
          </cell>
          <cell r="AJ949">
            <v>0</v>
          </cell>
          <cell r="AK949">
            <v>0</v>
          </cell>
          <cell r="AL949">
            <v>0</v>
          </cell>
          <cell r="AM949">
            <v>0</v>
          </cell>
          <cell r="AN949">
            <v>0</v>
          </cell>
          <cell r="AO949">
            <v>0</v>
          </cell>
          <cell r="AQ949">
            <v>0</v>
          </cell>
          <cell r="AR949">
            <v>0</v>
          </cell>
          <cell r="AS949">
            <v>0</v>
          </cell>
          <cell r="AT949">
            <v>0</v>
          </cell>
          <cell r="AU949">
            <v>0</v>
          </cell>
          <cell r="AV949">
            <v>0</v>
          </cell>
          <cell r="AW949">
            <v>0</v>
          </cell>
          <cell r="AX949">
            <v>0</v>
          </cell>
          <cell r="AY949">
            <v>0</v>
          </cell>
          <cell r="BA949">
            <v>0</v>
          </cell>
          <cell r="BB949">
            <v>0</v>
          </cell>
          <cell r="BC949">
            <v>0</v>
          </cell>
          <cell r="BD949">
            <v>0</v>
          </cell>
          <cell r="BE949">
            <v>0</v>
          </cell>
          <cell r="BF949">
            <v>0</v>
          </cell>
          <cell r="BG949">
            <v>0</v>
          </cell>
          <cell r="BH949">
            <v>0</v>
          </cell>
          <cell r="BI949">
            <v>0</v>
          </cell>
          <cell r="BK949">
            <v>0</v>
          </cell>
          <cell r="BL949">
            <v>0</v>
          </cell>
          <cell r="BM949">
            <v>0</v>
          </cell>
          <cell r="BN949">
            <v>0</v>
          </cell>
          <cell r="BO949">
            <v>0</v>
          </cell>
          <cell r="BP949">
            <v>0</v>
          </cell>
          <cell r="BQ949">
            <v>0</v>
          </cell>
          <cell r="BR949">
            <v>0</v>
          </cell>
          <cell r="BS949">
            <v>0</v>
          </cell>
          <cell r="BU949">
            <v>0</v>
          </cell>
          <cell r="BV949">
            <v>0</v>
          </cell>
          <cell r="BW949">
            <v>0</v>
          </cell>
          <cell r="BX949">
            <v>0</v>
          </cell>
          <cell r="BY949">
            <v>0</v>
          </cell>
          <cell r="BZ949">
            <v>0</v>
          </cell>
          <cell r="CA949">
            <v>0</v>
          </cell>
          <cell r="CB949">
            <v>0</v>
          </cell>
          <cell r="CC949">
            <v>0</v>
          </cell>
          <cell r="CE949">
            <v>0</v>
          </cell>
          <cell r="CF949">
            <v>0</v>
          </cell>
          <cell r="CG949">
            <v>0</v>
          </cell>
          <cell r="CH949">
            <v>0</v>
          </cell>
          <cell r="CI949">
            <v>0</v>
          </cell>
          <cell r="CJ949">
            <v>0</v>
          </cell>
          <cell r="CK949">
            <v>0</v>
          </cell>
          <cell r="CL949">
            <v>0</v>
          </cell>
          <cell r="CM949">
            <v>0</v>
          </cell>
          <cell r="CO949">
            <v>0</v>
          </cell>
          <cell r="CP949">
            <v>0</v>
          </cell>
          <cell r="CQ949">
            <v>0</v>
          </cell>
          <cell r="CR949">
            <v>0</v>
          </cell>
          <cell r="CS949">
            <v>0</v>
          </cell>
          <cell r="CT949">
            <v>0</v>
          </cell>
          <cell r="CU949">
            <v>0</v>
          </cell>
          <cell r="CV949">
            <v>0</v>
          </cell>
          <cell r="CW949">
            <v>0</v>
          </cell>
          <cell r="CY949">
            <v>0</v>
          </cell>
          <cell r="CZ949">
            <v>0</v>
          </cell>
          <cell r="DA949">
            <v>0</v>
          </cell>
          <cell r="DB949">
            <v>0</v>
          </cell>
          <cell r="DC949">
            <v>0</v>
          </cell>
          <cell r="DD949">
            <v>0</v>
          </cell>
          <cell r="DE949">
            <v>0</v>
          </cell>
          <cell r="DF949">
            <v>0</v>
          </cell>
          <cell r="DG949">
            <v>0</v>
          </cell>
          <cell r="DI949">
            <v>0</v>
          </cell>
          <cell r="DJ949">
            <v>0</v>
          </cell>
          <cell r="DK949">
            <v>0</v>
          </cell>
          <cell r="DL949">
            <v>0</v>
          </cell>
          <cell r="DM949">
            <v>0</v>
          </cell>
          <cell r="DN949">
            <v>0</v>
          </cell>
          <cell r="DO949">
            <v>0</v>
          </cell>
          <cell r="DP949">
            <v>0</v>
          </cell>
          <cell r="DQ949">
            <v>0</v>
          </cell>
          <cell r="DR949">
            <v>0</v>
          </cell>
          <cell r="DS949">
            <v>0</v>
          </cell>
          <cell r="DT949">
            <v>0</v>
          </cell>
          <cell r="DU949">
            <v>0</v>
          </cell>
          <cell r="DW949">
            <v>0</v>
          </cell>
          <cell r="DX949">
            <v>0</v>
          </cell>
          <cell r="DY949">
            <v>0</v>
          </cell>
          <cell r="DZ949">
            <v>0</v>
          </cell>
          <cell r="EA949">
            <v>0</v>
          </cell>
          <cell r="EB949">
            <v>0</v>
          </cell>
          <cell r="EC949">
            <v>0</v>
          </cell>
          <cell r="ED949">
            <v>0</v>
          </cell>
          <cell r="EE949">
            <v>0</v>
          </cell>
          <cell r="EF949">
            <v>0</v>
          </cell>
          <cell r="EG949">
            <v>0</v>
          </cell>
          <cell r="EH949">
            <v>0</v>
          </cell>
          <cell r="EI949">
            <v>0</v>
          </cell>
          <cell r="EK949">
            <v>0</v>
          </cell>
          <cell r="EL949">
            <v>0</v>
          </cell>
          <cell r="EM949">
            <v>0</v>
          </cell>
          <cell r="EN949">
            <v>0</v>
          </cell>
          <cell r="EO949">
            <v>0</v>
          </cell>
          <cell r="EP949">
            <v>0</v>
          </cell>
          <cell r="EQ949">
            <v>0</v>
          </cell>
          <cell r="ER949">
            <v>0</v>
          </cell>
          <cell r="ES949">
            <v>0</v>
          </cell>
          <cell r="ET949">
            <v>0</v>
          </cell>
          <cell r="EU949">
            <v>0</v>
          </cell>
          <cell r="EV949">
            <v>0</v>
          </cell>
          <cell r="EW949">
            <v>0</v>
          </cell>
          <cell r="EY949">
            <v>0</v>
          </cell>
          <cell r="EZ949">
            <v>8</v>
          </cell>
          <cell r="FA949">
            <v>0</v>
          </cell>
          <cell r="FB949">
            <v>0</v>
          </cell>
          <cell r="FC949">
            <v>8.6</v>
          </cell>
          <cell r="FD949">
            <v>0</v>
          </cell>
          <cell r="FE949">
            <v>0</v>
          </cell>
          <cell r="FF949">
            <v>0</v>
          </cell>
          <cell r="FH949">
            <v>0</v>
          </cell>
        </row>
        <row r="950">
          <cell r="B950">
            <v>10080</v>
          </cell>
          <cell r="C950" t="str">
            <v>29.08.2013</v>
          </cell>
          <cell r="D950" t="str">
            <v>Mahajan Ajay Ganesh</v>
          </cell>
          <cell r="F950">
            <v>0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G950">
            <v>0</v>
          </cell>
          <cell r="AH950">
            <v>0</v>
          </cell>
          <cell r="AI950">
            <v>0</v>
          </cell>
          <cell r="AJ950">
            <v>0</v>
          </cell>
          <cell r="AK950">
            <v>0</v>
          </cell>
          <cell r="AL950">
            <v>0</v>
          </cell>
          <cell r="AM950">
            <v>0</v>
          </cell>
          <cell r="AN950">
            <v>0</v>
          </cell>
          <cell r="AO950">
            <v>0</v>
          </cell>
          <cell r="AQ950">
            <v>0</v>
          </cell>
          <cell r="AR950">
            <v>0</v>
          </cell>
          <cell r="AS950">
            <v>0</v>
          </cell>
          <cell r="AT950">
            <v>0</v>
          </cell>
          <cell r="AU950">
            <v>0</v>
          </cell>
          <cell r="AV950">
            <v>0</v>
          </cell>
          <cell r="AW950">
            <v>0</v>
          </cell>
          <cell r="AX950">
            <v>0</v>
          </cell>
          <cell r="AY950">
            <v>0</v>
          </cell>
          <cell r="BA950">
            <v>0</v>
          </cell>
          <cell r="BB950">
            <v>0</v>
          </cell>
          <cell r="BC950">
            <v>0</v>
          </cell>
          <cell r="BD950">
            <v>0</v>
          </cell>
          <cell r="BE950">
            <v>0</v>
          </cell>
          <cell r="BF950">
            <v>0</v>
          </cell>
          <cell r="BG950">
            <v>0</v>
          </cell>
          <cell r="BH950">
            <v>0</v>
          </cell>
          <cell r="BI950">
            <v>0</v>
          </cell>
          <cell r="BK950">
            <v>0</v>
          </cell>
          <cell r="BL950">
            <v>0</v>
          </cell>
          <cell r="BM950">
            <v>0</v>
          </cell>
          <cell r="BN950">
            <v>0</v>
          </cell>
          <cell r="BO950">
            <v>0</v>
          </cell>
          <cell r="BP950">
            <v>0</v>
          </cell>
          <cell r="BQ950">
            <v>0</v>
          </cell>
          <cell r="BR950">
            <v>0</v>
          </cell>
          <cell r="BS950">
            <v>0</v>
          </cell>
          <cell r="BU950">
            <v>0</v>
          </cell>
          <cell r="BV950">
            <v>0</v>
          </cell>
          <cell r="BW950">
            <v>0</v>
          </cell>
          <cell r="BX950">
            <v>0</v>
          </cell>
          <cell r="BY950">
            <v>0</v>
          </cell>
          <cell r="BZ950">
            <v>0</v>
          </cell>
          <cell r="CA950">
            <v>0</v>
          </cell>
          <cell r="CB950">
            <v>0</v>
          </cell>
          <cell r="CC950">
            <v>0</v>
          </cell>
          <cell r="CE950">
            <v>0</v>
          </cell>
          <cell r="CF950">
            <v>0</v>
          </cell>
          <cell r="CG950">
            <v>0</v>
          </cell>
          <cell r="CH950">
            <v>0</v>
          </cell>
          <cell r="CI950">
            <v>0</v>
          </cell>
          <cell r="CJ950">
            <v>0</v>
          </cell>
          <cell r="CK950">
            <v>0</v>
          </cell>
          <cell r="CL950">
            <v>0</v>
          </cell>
          <cell r="CM950">
            <v>0</v>
          </cell>
          <cell r="CO950">
            <v>0</v>
          </cell>
          <cell r="CP950">
            <v>0</v>
          </cell>
          <cell r="CQ950">
            <v>0</v>
          </cell>
          <cell r="CR950">
            <v>0</v>
          </cell>
          <cell r="CS950">
            <v>0</v>
          </cell>
          <cell r="CT950">
            <v>0</v>
          </cell>
          <cell r="CU950">
            <v>0</v>
          </cell>
          <cell r="CV950">
            <v>0</v>
          </cell>
          <cell r="CW950">
            <v>0</v>
          </cell>
          <cell r="CY950">
            <v>0</v>
          </cell>
          <cell r="CZ950">
            <v>0</v>
          </cell>
          <cell r="DA950">
            <v>0</v>
          </cell>
          <cell r="DB950">
            <v>0</v>
          </cell>
          <cell r="DC950">
            <v>0</v>
          </cell>
          <cell r="DD950">
            <v>0</v>
          </cell>
          <cell r="DE950">
            <v>0</v>
          </cell>
          <cell r="DF950">
            <v>0</v>
          </cell>
          <cell r="DG950">
            <v>0</v>
          </cell>
          <cell r="DI950">
            <v>0</v>
          </cell>
          <cell r="DJ950">
            <v>0</v>
          </cell>
          <cell r="DK950">
            <v>0</v>
          </cell>
          <cell r="DL950">
            <v>0</v>
          </cell>
          <cell r="DM950">
            <v>0</v>
          </cell>
          <cell r="DN950">
            <v>0</v>
          </cell>
          <cell r="DO950">
            <v>0</v>
          </cell>
          <cell r="DP950">
            <v>0</v>
          </cell>
          <cell r="DQ950">
            <v>0</v>
          </cell>
          <cell r="DR950">
            <v>0</v>
          </cell>
          <cell r="DS950">
            <v>0</v>
          </cell>
          <cell r="DT950">
            <v>0</v>
          </cell>
          <cell r="DU950">
            <v>0</v>
          </cell>
          <cell r="DW950">
            <v>0</v>
          </cell>
          <cell r="DX950">
            <v>0</v>
          </cell>
          <cell r="DY950">
            <v>0</v>
          </cell>
          <cell r="DZ950">
            <v>0</v>
          </cell>
          <cell r="EA950">
            <v>0</v>
          </cell>
          <cell r="EB950">
            <v>0</v>
          </cell>
          <cell r="EC950">
            <v>0</v>
          </cell>
          <cell r="ED950">
            <v>0</v>
          </cell>
          <cell r="EE950">
            <v>0</v>
          </cell>
          <cell r="EF950">
            <v>0</v>
          </cell>
          <cell r="EG950">
            <v>0</v>
          </cell>
          <cell r="EH950">
            <v>0</v>
          </cell>
          <cell r="EI950">
            <v>0</v>
          </cell>
          <cell r="EK950">
            <v>0</v>
          </cell>
          <cell r="EL950">
            <v>0</v>
          </cell>
          <cell r="EM950">
            <v>0</v>
          </cell>
          <cell r="EN950">
            <v>0</v>
          </cell>
          <cell r="EO950">
            <v>0</v>
          </cell>
          <cell r="EP950">
            <v>0</v>
          </cell>
          <cell r="EQ950">
            <v>0</v>
          </cell>
          <cell r="ER950">
            <v>0</v>
          </cell>
          <cell r="ES950">
            <v>0</v>
          </cell>
          <cell r="ET950">
            <v>0</v>
          </cell>
          <cell r="EU950">
            <v>0</v>
          </cell>
          <cell r="EV950">
            <v>0</v>
          </cell>
          <cell r="EW950">
            <v>0</v>
          </cell>
          <cell r="EY950">
            <v>0</v>
          </cell>
          <cell r="EZ950">
            <v>8</v>
          </cell>
          <cell r="FA950">
            <v>0</v>
          </cell>
          <cell r="FB950">
            <v>0</v>
          </cell>
          <cell r="FC950">
            <v>8.6</v>
          </cell>
          <cell r="FD950">
            <v>0</v>
          </cell>
          <cell r="FE950">
            <v>0</v>
          </cell>
          <cell r="FF950">
            <v>0</v>
          </cell>
          <cell r="FH950">
            <v>0</v>
          </cell>
        </row>
        <row r="951">
          <cell r="B951">
            <v>10081</v>
          </cell>
          <cell r="C951" t="str">
            <v>10.09.2013</v>
          </cell>
          <cell r="D951" t="str">
            <v>Valmiki Amar Shamshersingh</v>
          </cell>
          <cell r="F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G951">
            <v>0</v>
          </cell>
          <cell r="AH951">
            <v>0</v>
          </cell>
          <cell r="AI951">
            <v>0</v>
          </cell>
          <cell r="AJ951">
            <v>0</v>
          </cell>
          <cell r="AK951">
            <v>0</v>
          </cell>
          <cell r="AL951">
            <v>0</v>
          </cell>
          <cell r="AM951">
            <v>0</v>
          </cell>
          <cell r="AN951">
            <v>0</v>
          </cell>
          <cell r="AO951">
            <v>0</v>
          </cell>
          <cell r="AQ951">
            <v>0</v>
          </cell>
          <cell r="AR951">
            <v>0</v>
          </cell>
          <cell r="AS951">
            <v>0</v>
          </cell>
          <cell r="AT951">
            <v>0</v>
          </cell>
          <cell r="AU951">
            <v>0</v>
          </cell>
          <cell r="AV951">
            <v>0</v>
          </cell>
          <cell r="AW951">
            <v>0</v>
          </cell>
          <cell r="AX951">
            <v>0</v>
          </cell>
          <cell r="AY951">
            <v>0</v>
          </cell>
          <cell r="BA951">
            <v>0</v>
          </cell>
          <cell r="BB951">
            <v>0</v>
          </cell>
          <cell r="BC951">
            <v>0</v>
          </cell>
          <cell r="BD951">
            <v>0</v>
          </cell>
          <cell r="BE951">
            <v>0</v>
          </cell>
          <cell r="BF951">
            <v>0</v>
          </cell>
          <cell r="BG951">
            <v>0</v>
          </cell>
          <cell r="BH951">
            <v>0</v>
          </cell>
          <cell r="BI951">
            <v>0</v>
          </cell>
          <cell r="BK951">
            <v>0</v>
          </cell>
          <cell r="BL951">
            <v>0</v>
          </cell>
          <cell r="BM951">
            <v>0</v>
          </cell>
          <cell r="BN951">
            <v>0</v>
          </cell>
          <cell r="BO951">
            <v>0</v>
          </cell>
          <cell r="BP951">
            <v>0</v>
          </cell>
          <cell r="BQ951">
            <v>0</v>
          </cell>
          <cell r="BR951">
            <v>0</v>
          </cell>
          <cell r="BS951">
            <v>0</v>
          </cell>
          <cell r="BU951">
            <v>0</v>
          </cell>
          <cell r="BV951">
            <v>0</v>
          </cell>
          <cell r="BW951">
            <v>0</v>
          </cell>
          <cell r="BX951">
            <v>0</v>
          </cell>
          <cell r="BY951">
            <v>0</v>
          </cell>
          <cell r="BZ951">
            <v>0</v>
          </cell>
          <cell r="CA951">
            <v>0</v>
          </cell>
          <cell r="CB951">
            <v>0</v>
          </cell>
          <cell r="CC951">
            <v>0</v>
          </cell>
          <cell r="CE951">
            <v>0</v>
          </cell>
          <cell r="CF951">
            <v>0</v>
          </cell>
          <cell r="CG951">
            <v>0</v>
          </cell>
          <cell r="CH951">
            <v>0</v>
          </cell>
          <cell r="CI951">
            <v>0</v>
          </cell>
          <cell r="CJ951">
            <v>0</v>
          </cell>
          <cell r="CK951">
            <v>0</v>
          </cell>
          <cell r="CL951">
            <v>0</v>
          </cell>
          <cell r="CM951">
            <v>0</v>
          </cell>
          <cell r="CO951">
            <v>0</v>
          </cell>
          <cell r="CP951">
            <v>0</v>
          </cell>
          <cell r="CQ951">
            <v>0</v>
          </cell>
          <cell r="CR951">
            <v>0</v>
          </cell>
          <cell r="CS951">
            <v>0</v>
          </cell>
          <cell r="CT951">
            <v>0</v>
          </cell>
          <cell r="CU951">
            <v>0</v>
          </cell>
          <cell r="CV951">
            <v>0</v>
          </cell>
          <cell r="CW951">
            <v>0</v>
          </cell>
          <cell r="CY951">
            <v>0</v>
          </cell>
          <cell r="CZ951">
            <v>0</v>
          </cell>
          <cell r="DA951">
            <v>0</v>
          </cell>
          <cell r="DB951">
            <v>0</v>
          </cell>
          <cell r="DC951">
            <v>0</v>
          </cell>
          <cell r="DD951">
            <v>0</v>
          </cell>
          <cell r="DE951">
            <v>0</v>
          </cell>
          <cell r="DF951">
            <v>0</v>
          </cell>
          <cell r="DG951">
            <v>0</v>
          </cell>
          <cell r="DI951">
            <v>0</v>
          </cell>
          <cell r="DJ951">
            <v>0</v>
          </cell>
          <cell r="DK951">
            <v>0</v>
          </cell>
          <cell r="DL951">
            <v>0</v>
          </cell>
          <cell r="DM951">
            <v>0</v>
          </cell>
          <cell r="DN951">
            <v>0</v>
          </cell>
          <cell r="DO951">
            <v>0</v>
          </cell>
          <cell r="DP951">
            <v>0</v>
          </cell>
          <cell r="DQ951">
            <v>0</v>
          </cell>
          <cell r="DR951">
            <v>0</v>
          </cell>
          <cell r="DS951">
            <v>0</v>
          </cell>
          <cell r="DT951">
            <v>0</v>
          </cell>
          <cell r="DU951">
            <v>0</v>
          </cell>
          <cell r="DW951">
            <v>0</v>
          </cell>
          <cell r="DX951">
            <v>0</v>
          </cell>
          <cell r="DY951">
            <v>0</v>
          </cell>
          <cell r="DZ951">
            <v>0</v>
          </cell>
          <cell r="EA951">
            <v>0</v>
          </cell>
          <cell r="EB951">
            <v>0</v>
          </cell>
          <cell r="EC951">
            <v>0</v>
          </cell>
          <cell r="ED951">
            <v>0</v>
          </cell>
          <cell r="EE951">
            <v>0</v>
          </cell>
          <cell r="EF951">
            <v>0</v>
          </cell>
          <cell r="EG951">
            <v>0</v>
          </cell>
          <cell r="EH951">
            <v>0</v>
          </cell>
          <cell r="EI951">
            <v>0</v>
          </cell>
          <cell r="EK951">
            <v>0</v>
          </cell>
          <cell r="EL951">
            <v>0</v>
          </cell>
          <cell r="EM951">
            <v>0</v>
          </cell>
          <cell r="EN951">
            <v>0</v>
          </cell>
          <cell r="EO951">
            <v>0</v>
          </cell>
          <cell r="EP951">
            <v>0</v>
          </cell>
          <cell r="EQ951">
            <v>0</v>
          </cell>
          <cell r="ER951">
            <v>0</v>
          </cell>
          <cell r="ES951">
            <v>0</v>
          </cell>
          <cell r="ET951">
            <v>0</v>
          </cell>
          <cell r="EU951">
            <v>0</v>
          </cell>
          <cell r="EV951">
            <v>0</v>
          </cell>
          <cell r="EW951">
            <v>0</v>
          </cell>
          <cell r="EY951">
            <v>0</v>
          </cell>
          <cell r="EZ951">
            <v>8</v>
          </cell>
          <cell r="FA951">
            <v>0</v>
          </cell>
          <cell r="FB951">
            <v>0</v>
          </cell>
          <cell r="FC951">
            <v>8.6</v>
          </cell>
          <cell r="FD951">
            <v>0</v>
          </cell>
          <cell r="FE951">
            <v>0</v>
          </cell>
          <cell r="FF951">
            <v>0</v>
          </cell>
          <cell r="FH951">
            <v>0</v>
          </cell>
        </row>
        <row r="952">
          <cell r="B952">
            <v>10082</v>
          </cell>
          <cell r="C952" t="str">
            <v>10.09.2013</v>
          </cell>
          <cell r="D952" t="str">
            <v>Makwana Mayur Premji</v>
          </cell>
          <cell r="F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0</v>
          </cell>
          <cell r="AD952">
            <v>0</v>
          </cell>
          <cell r="AE952">
            <v>0</v>
          </cell>
          <cell r="AG952">
            <v>0</v>
          </cell>
          <cell r="AH952">
            <v>0</v>
          </cell>
          <cell r="AI952">
            <v>0</v>
          </cell>
          <cell r="AJ952">
            <v>0</v>
          </cell>
          <cell r="AK952">
            <v>0</v>
          </cell>
          <cell r="AL952">
            <v>0</v>
          </cell>
          <cell r="AM952">
            <v>0</v>
          </cell>
          <cell r="AN952">
            <v>0</v>
          </cell>
          <cell r="AO952">
            <v>0</v>
          </cell>
          <cell r="AQ952">
            <v>0</v>
          </cell>
          <cell r="AR952">
            <v>0</v>
          </cell>
          <cell r="AS952">
            <v>0</v>
          </cell>
          <cell r="AT952">
            <v>0</v>
          </cell>
          <cell r="AU952">
            <v>0</v>
          </cell>
          <cell r="AV952">
            <v>0</v>
          </cell>
          <cell r="AW952">
            <v>0</v>
          </cell>
          <cell r="AX952">
            <v>0</v>
          </cell>
          <cell r="AY952">
            <v>0</v>
          </cell>
          <cell r="BA952">
            <v>0</v>
          </cell>
          <cell r="BB952">
            <v>0</v>
          </cell>
          <cell r="BC952">
            <v>0</v>
          </cell>
          <cell r="BD952">
            <v>0</v>
          </cell>
          <cell r="BE952">
            <v>0</v>
          </cell>
          <cell r="BF952">
            <v>0</v>
          </cell>
          <cell r="BG952">
            <v>0</v>
          </cell>
          <cell r="BH952">
            <v>0</v>
          </cell>
          <cell r="BI952">
            <v>0</v>
          </cell>
          <cell r="BK952">
            <v>0</v>
          </cell>
          <cell r="BL952">
            <v>0</v>
          </cell>
          <cell r="BM952">
            <v>0</v>
          </cell>
          <cell r="BN952">
            <v>0</v>
          </cell>
          <cell r="BO952">
            <v>0</v>
          </cell>
          <cell r="BP952">
            <v>0</v>
          </cell>
          <cell r="BQ952">
            <v>0</v>
          </cell>
          <cell r="BR952">
            <v>0</v>
          </cell>
          <cell r="BS952">
            <v>0</v>
          </cell>
          <cell r="BU952">
            <v>0</v>
          </cell>
          <cell r="BV952">
            <v>0</v>
          </cell>
          <cell r="BW952">
            <v>0</v>
          </cell>
          <cell r="BX952">
            <v>0</v>
          </cell>
          <cell r="BY952">
            <v>0</v>
          </cell>
          <cell r="BZ952">
            <v>0</v>
          </cell>
          <cell r="CA952">
            <v>0</v>
          </cell>
          <cell r="CB952">
            <v>0</v>
          </cell>
          <cell r="CC952">
            <v>0</v>
          </cell>
          <cell r="CE952">
            <v>0</v>
          </cell>
          <cell r="CF952">
            <v>0</v>
          </cell>
          <cell r="CG952">
            <v>0</v>
          </cell>
          <cell r="CH952">
            <v>0</v>
          </cell>
          <cell r="CI952">
            <v>0</v>
          </cell>
          <cell r="CJ952">
            <v>0</v>
          </cell>
          <cell r="CK952">
            <v>0</v>
          </cell>
          <cell r="CL952">
            <v>0</v>
          </cell>
          <cell r="CM952">
            <v>0</v>
          </cell>
          <cell r="CO952">
            <v>0</v>
          </cell>
          <cell r="CP952">
            <v>0</v>
          </cell>
          <cell r="CQ952">
            <v>0</v>
          </cell>
          <cell r="CR952">
            <v>0</v>
          </cell>
          <cell r="CS952">
            <v>0</v>
          </cell>
          <cell r="CT952">
            <v>0</v>
          </cell>
          <cell r="CU952">
            <v>0</v>
          </cell>
          <cell r="CV952">
            <v>0</v>
          </cell>
          <cell r="CW952">
            <v>0</v>
          </cell>
          <cell r="CY952">
            <v>0</v>
          </cell>
          <cell r="CZ952">
            <v>0</v>
          </cell>
          <cell r="DA952">
            <v>0</v>
          </cell>
          <cell r="DB952">
            <v>0</v>
          </cell>
          <cell r="DC952">
            <v>0</v>
          </cell>
          <cell r="DD952">
            <v>0</v>
          </cell>
          <cell r="DE952">
            <v>0</v>
          </cell>
          <cell r="DF952">
            <v>0</v>
          </cell>
          <cell r="DG952">
            <v>0</v>
          </cell>
          <cell r="DI952">
            <v>0</v>
          </cell>
          <cell r="DJ952">
            <v>0</v>
          </cell>
          <cell r="DK952">
            <v>0</v>
          </cell>
          <cell r="DL952">
            <v>0</v>
          </cell>
          <cell r="DM952">
            <v>0</v>
          </cell>
          <cell r="DN952">
            <v>0</v>
          </cell>
          <cell r="DO952">
            <v>0</v>
          </cell>
          <cell r="DP952">
            <v>0</v>
          </cell>
          <cell r="DQ952">
            <v>0</v>
          </cell>
          <cell r="DR952">
            <v>0</v>
          </cell>
          <cell r="DS952">
            <v>0</v>
          </cell>
          <cell r="DT952">
            <v>0</v>
          </cell>
          <cell r="DU952">
            <v>0</v>
          </cell>
          <cell r="DW952">
            <v>0</v>
          </cell>
          <cell r="DX952">
            <v>0</v>
          </cell>
          <cell r="DY952">
            <v>0</v>
          </cell>
          <cell r="DZ952">
            <v>0</v>
          </cell>
          <cell r="EA952">
            <v>0</v>
          </cell>
          <cell r="EB952">
            <v>0</v>
          </cell>
          <cell r="EC952">
            <v>0</v>
          </cell>
          <cell r="ED952">
            <v>0</v>
          </cell>
          <cell r="EE952">
            <v>0</v>
          </cell>
          <cell r="EF952">
            <v>0</v>
          </cell>
          <cell r="EG952">
            <v>0</v>
          </cell>
          <cell r="EH952">
            <v>0</v>
          </cell>
          <cell r="EI952">
            <v>0</v>
          </cell>
          <cell r="EK952">
            <v>0</v>
          </cell>
          <cell r="EL952">
            <v>0</v>
          </cell>
          <cell r="EM952">
            <v>0</v>
          </cell>
          <cell r="EN952">
            <v>0</v>
          </cell>
          <cell r="EO952">
            <v>0</v>
          </cell>
          <cell r="EP952">
            <v>0</v>
          </cell>
          <cell r="EQ952">
            <v>0</v>
          </cell>
          <cell r="ER952">
            <v>0</v>
          </cell>
          <cell r="ES952">
            <v>0</v>
          </cell>
          <cell r="ET952">
            <v>0</v>
          </cell>
          <cell r="EU952">
            <v>0</v>
          </cell>
          <cell r="EV952">
            <v>0</v>
          </cell>
          <cell r="EW952">
            <v>0</v>
          </cell>
          <cell r="EY952">
            <v>0</v>
          </cell>
          <cell r="EZ952">
            <v>8</v>
          </cell>
          <cell r="FA952">
            <v>0</v>
          </cell>
          <cell r="FB952">
            <v>0</v>
          </cell>
          <cell r="FC952">
            <v>8.6</v>
          </cell>
          <cell r="FD952">
            <v>0</v>
          </cell>
          <cell r="FE952">
            <v>0</v>
          </cell>
          <cell r="FF952">
            <v>0</v>
          </cell>
          <cell r="FH952">
            <v>0</v>
          </cell>
        </row>
        <row r="953">
          <cell r="B953">
            <v>10083</v>
          </cell>
          <cell r="C953" t="str">
            <v>10.09.2013</v>
          </cell>
          <cell r="D953" t="str">
            <v>Ughade Satish Raghunath</v>
          </cell>
          <cell r="F953">
            <v>0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0</v>
          </cell>
          <cell r="R953">
            <v>0</v>
          </cell>
          <cell r="S953">
            <v>0</v>
          </cell>
          <cell r="T953">
            <v>0</v>
          </cell>
          <cell r="U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0</v>
          </cell>
          <cell r="AA953">
            <v>0</v>
          </cell>
          <cell r="AB953">
            <v>0</v>
          </cell>
          <cell r="AC953">
            <v>0</v>
          </cell>
          <cell r="AD953">
            <v>0</v>
          </cell>
          <cell r="AE953">
            <v>0</v>
          </cell>
          <cell r="AG953">
            <v>0</v>
          </cell>
          <cell r="AH953">
            <v>0</v>
          </cell>
          <cell r="AI953">
            <v>0</v>
          </cell>
          <cell r="AJ953">
            <v>0</v>
          </cell>
          <cell r="AK953">
            <v>0</v>
          </cell>
          <cell r="AL953">
            <v>0</v>
          </cell>
          <cell r="AM953">
            <v>0</v>
          </cell>
          <cell r="AN953">
            <v>0</v>
          </cell>
          <cell r="AO953">
            <v>0</v>
          </cell>
          <cell r="AQ953">
            <v>0</v>
          </cell>
          <cell r="AR953">
            <v>0</v>
          </cell>
          <cell r="AS953">
            <v>0</v>
          </cell>
          <cell r="AT953">
            <v>0</v>
          </cell>
          <cell r="AU953">
            <v>0</v>
          </cell>
          <cell r="AV953">
            <v>0</v>
          </cell>
          <cell r="AW953">
            <v>0</v>
          </cell>
          <cell r="AX953">
            <v>0</v>
          </cell>
          <cell r="AY953">
            <v>0</v>
          </cell>
          <cell r="BA953">
            <v>0</v>
          </cell>
          <cell r="BB953">
            <v>0</v>
          </cell>
          <cell r="BC953">
            <v>0</v>
          </cell>
          <cell r="BD953">
            <v>0</v>
          </cell>
          <cell r="BE953">
            <v>0</v>
          </cell>
          <cell r="BF953">
            <v>0</v>
          </cell>
          <cell r="BG953">
            <v>0</v>
          </cell>
          <cell r="BH953">
            <v>0</v>
          </cell>
          <cell r="BI953">
            <v>0</v>
          </cell>
          <cell r="BK953">
            <v>0</v>
          </cell>
          <cell r="BL953">
            <v>0</v>
          </cell>
          <cell r="BM953">
            <v>0</v>
          </cell>
          <cell r="BN953">
            <v>0</v>
          </cell>
          <cell r="BO953">
            <v>0</v>
          </cell>
          <cell r="BP953">
            <v>0</v>
          </cell>
          <cell r="BQ953">
            <v>0</v>
          </cell>
          <cell r="BR953">
            <v>0</v>
          </cell>
          <cell r="BS953">
            <v>0</v>
          </cell>
          <cell r="BU953">
            <v>0</v>
          </cell>
          <cell r="BV953">
            <v>0</v>
          </cell>
          <cell r="BW953">
            <v>0</v>
          </cell>
          <cell r="BX953">
            <v>0</v>
          </cell>
          <cell r="BY953">
            <v>0</v>
          </cell>
          <cell r="BZ953">
            <v>0</v>
          </cell>
          <cell r="CA953">
            <v>0</v>
          </cell>
          <cell r="CB953">
            <v>0</v>
          </cell>
          <cell r="CC953">
            <v>0</v>
          </cell>
          <cell r="CE953">
            <v>0</v>
          </cell>
          <cell r="CF953">
            <v>0</v>
          </cell>
          <cell r="CG953">
            <v>0</v>
          </cell>
          <cell r="CH953">
            <v>0</v>
          </cell>
          <cell r="CI953">
            <v>0</v>
          </cell>
          <cell r="CJ953">
            <v>0</v>
          </cell>
          <cell r="CK953">
            <v>0</v>
          </cell>
          <cell r="CL953">
            <v>0</v>
          </cell>
          <cell r="CM953">
            <v>0</v>
          </cell>
          <cell r="CO953">
            <v>0</v>
          </cell>
          <cell r="CP953">
            <v>0</v>
          </cell>
          <cell r="CQ953">
            <v>0</v>
          </cell>
          <cell r="CR953">
            <v>0</v>
          </cell>
          <cell r="CS953">
            <v>0</v>
          </cell>
          <cell r="CT953">
            <v>0</v>
          </cell>
          <cell r="CU953">
            <v>0</v>
          </cell>
          <cell r="CV953">
            <v>0</v>
          </cell>
          <cell r="CW953">
            <v>0</v>
          </cell>
          <cell r="CY953">
            <v>0</v>
          </cell>
          <cell r="CZ953">
            <v>0</v>
          </cell>
          <cell r="DA953">
            <v>0</v>
          </cell>
          <cell r="DB953">
            <v>0</v>
          </cell>
          <cell r="DC953">
            <v>0</v>
          </cell>
          <cell r="DD953">
            <v>0</v>
          </cell>
          <cell r="DE953">
            <v>0</v>
          </cell>
          <cell r="DF953">
            <v>0</v>
          </cell>
          <cell r="DG953">
            <v>0</v>
          </cell>
          <cell r="DI953">
            <v>0</v>
          </cell>
          <cell r="DJ953">
            <v>0</v>
          </cell>
          <cell r="DK953">
            <v>0</v>
          </cell>
          <cell r="DL953">
            <v>0</v>
          </cell>
          <cell r="DM953">
            <v>0</v>
          </cell>
          <cell r="DN953">
            <v>0</v>
          </cell>
          <cell r="DO953">
            <v>0</v>
          </cell>
          <cell r="DP953">
            <v>0</v>
          </cell>
          <cell r="DQ953">
            <v>0</v>
          </cell>
          <cell r="DR953">
            <v>0</v>
          </cell>
          <cell r="DS953">
            <v>0</v>
          </cell>
          <cell r="DT953">
            <v>0</v>
          </cell>
          <cell r="DU953">
            <v>0</v>
          </cell>
          <cell r="DW953">
            <v>0</v>
          </cell>
          <cell r="DX953">
            <v>0</v>
          </cell>
          <cell r="DY953">
            <v>0</v>
          </cell>
          <cell r="DZ953">
            <v>0</v>
          </cell>
          <cell r="EA953">
            <v>0</v>
          </cell>
          <cell r="EB953">
            <v>0</v>
          </cell>
          <cell r="EC953">
            <v>0</v>
          </cell>
          <cell r="ED953">
            <v>0</v>
          </cell>
          <cell r="EE953">
            <v>0</v>
          </cell>
          <cell r="EF953">
            <v>0</v>
          </cell>
          <cell r="EG953">
            <v>0</v>
          </cell>
          <cell r="EH953">
            <v>0</v>
          </cell>
          <cell r="EI953">
            <v>0</v>
          </cell>
          <cell r="EK953">
            <v>0</v>
          </cell>
          <cell r="EL953">
            <v>0</v>
          </cell>
          <cell r="EM953">
            <v>0</v>
          </cell>
          <cell r="EN953">
            <v>0</v>
          </cell>
          <cell r="EO953">
            <v>0</v>
          </cell>
          <cell r="EP953">
            <v>0</v>
          </cell>
          <cell r="EQ953">
            <v>0</v>
          </cell>
          <cell r="ER953">
            <v>0</v>
          </cell>
          <cell r="ES953">
            <v>0</v>
          </cell>
          <cell r="ET953">
            <v>0</v>
          </cell>
          <cell r="EU953">
            <v>0</v>
          </cell>
          <cell r="EV953">
            <v>0</v>
          </cell>
          <cell r="EW953">
            <v>0</v>
          </cell>
          <cell r="EY953">
            <v>0</v>
          </cell>
          <cell r="EZ953">
            <v>8</v>
          </cell>
          <cell r="FA953">
            <v>0</v>
          </cell>
          <cell r="FB953">
            <v>0</v>
          </cell>
          <cell r="FC953">
            <v>8.6</v>
          </cell>
          <cell r="FD953">
            <v>0</v>
          </cell>
          <cell r="FE953">
            <v>0</v>
          </cell>
          <cell r="FF953">
            <v>0</v>
          </cell>
          <cell r="FH953">
            <v>0</v>
          </cell>
        </row>
        <row r="954">
          <cell r="B954">
            <v>10084</v>
          </cell>
          <cell r="C954" t="str">
            <v>10.09.2013</v>
          </cell>
          <cell r="D954" t="str">
            <v>Tiwade Sushant Kailas</v>
          </cell>
          <cell r="F954">
            <v>0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0</v>
          </cell>
          <cell r="AD954">
            <v>0</v>
          </cell>
          <cell r="AE954">
            <v>0</v>
          </cell>
          <cell r="AG954">
            <v>0</v>
          </cell>
          <cell r="AH954">
            <v>0</v>
          </cell>
          <cell r="AI954">
            <v>0</v>
          </cell>
          <cell r="AJ954">
            <v>0</v>
          </cell>
          <cell r="AK954">
            <v>0</v>
          </cell>
          <cell r="AL954">
            <v>0</v>
          </cell>
          <cell r="AM954">
            <v>0</v>
          </cell>
          <cell r="AN954">
            <v>0</v>
          </cell>
          <cell r="AO954">
            <v>0</v>
          </cell>
          <cell r="AQ954">
            <v>0</v>
          </cell>
          <cell r="AR954">
            <v>0</v>
          </cell>
          <cell r="AS954">
            <v>0</v>
          </cell>
          <cell r="AT954">
            <v>0</v>
          </cell>
          <cell r="AU954">
            <v>0</v>
          </cell>
          <cell r="AV954">
            <v>0</v>
          </cell>
          <cell r="AW954">
            <v>0</v>
          </cell>
          <cell r="AX954">
            <v>0</v>
          </cell>
          <cell r="AY954">
            <v>0</v>
          </cell>
          <cell r="BA954">
            <v>0</v>
          </cell>
          <cell r="BB954">
            <v>0</v>
          </cell>
          <cell r="BC954">
            <v>0</v>
          </cell>
          <cell r="BD954">
            <v>0</v>
          </cell>
          <cell r="BE954">
            <v>0</v>
          </cell>
          <cell r="BF954">
            <v>0</v>
          </cell>
          <cell r="BG954">
            <v>0</v>
          </cell>
          <cell r="BH954">
            <v>0</v>
          </cell>
          <cell r="BI954">
            <v>0</v>
          </cell>
          <cell r="BK954">
            <v>0</v>
          </cell>
          <cell r="BL954">
            <v>0</v>
          </cell>
          <cell r="BM954">
            <v>0</v>
          </cell>
          <cell r="BN954">
            <v>0</v>
          </cell>
          <cell r="BO954">
            <v>0</v>
          </cell>
          <cell r="BP954">
            <v>0</v>
          </cell>
          <cell r="BQ954">
            <v>0</v>
          </cell>
          <cell r="BR954">
            <v>0</v>
          </cell>
          <cell r="BS954">
            <v>0</v>
          </cell>
          <cell r="BU954">
            <v>0</v>
          </cell>
          <cell r="BV954">
            <v>0</v>
          </cell>
          <cell r="BW954">
            <v>0</v>
          </cell>
          <cell r="BX954">
            <v>0</v>
          </cell>
          <cell r="BY954">
            <v>0</v>
          </cell>
          <cell r="BZ954">
            <v>0</v>
          </cell>
          <cell r="CA954">
            <v>0</v>
          </cell>
          <cell r="CB954">
            <v>0</v>
          </cell>
          <cell r="CC954">
            <v>0</v>
          </cell>
          <cell r="CE954">
            <v>0</v>
          </cell>
          <cell r="CF954">
            <v>0</v>
          </cell>
          <cell r="CG954">
            <v>0</v>
          </cell>
          <cell r="CH954">
            <v>0</v>
          </cell>
          <cell r="CI954">
            <v>0</v>
          </cell>
          <cell r="CJ954">
            <v>0</v>
          </cell>
          <cell r="CK954">
            <v>0</v>
          </cell>
          <cell r="CL954">
            <v>0</v>
          </cell>
          <cell r="CM954">
            <v>0</v>
          </cell>
          <cell r="CO954">
            <v>0</v>
          </cell>
          <cell r="CP954">
            <v>0</v>
          </cell>
          <cell r="CQ954">
            <v>0</v>
          </cell>
          <cell r="CR954">
            <v>0</v>
          </cell>
          <cell r="CS954">
            <v>0</v>
          </cell>
          <cell r="CT954">
            <v>0</v>
          </cell>
          <cell r="CU954">
            <v>0</v>
          </cell>
          <cell r="CV954">
            <v>0</v>
          </cell>
          <cell r="CW954">
            <v>0</v>
          </cell>
          <cell r="CY954">
            <v>0</v>
          </cell>
          <cell r="CZ954">
            <v>0</v>
          </cell>
          <cell r="DA954">
            <v>0</v>
          </cell>
          <cell r="DB954">
            <v>0</v>
          </cell>
          <cell r="DC954">
            <v>0</v>
          </cell>
          <cell r="DD954">
            <v>0</v>
          </cell>
          <cell r="DE954">
            <v>0</v>
          </cell>
          <cell r="DF954">
            <v>0</v>
          </cell>
          <cell r="DG954">
            <v>0</v>
          </cell>
          <cell r="DI954">
            <v>0</v>
          </cell>
          <cell r="DJ954">
            <v>0</v>
          </cell>
          <cell r="DK954">
            <v>0</v>
          </cell>
          <cell r="DL954">
            <v>0</v>
          </cell>
          <cell r="DM954">
            <v>0</v>
          </cell>
          <cell r="DN954">
            <v>0</v>
          </cell>
          <cell r="DO954">
            <v>0</v>
          </cell>
          <cell r="DP954">
            <v>0</v>
          </cell>
          <cell r="DQ954">
            <v>0</v>
          </cell>
          <cell r="DR954">
            <v>0</v>
          </cell>
          <cell r="DS954">
            <v>0</v>
          </cell>
          <cell r="DT954">
            <v>0</v>
          </cell>
          <cell r="DU954">
            <v>0</v>
          </cell>
          <cell r="DW954">
            <v>0</v>
          </cell>
          <cell r="DX954">
            <v>0</v>
          </cell>
          <cell r="DY954">
            <v>0</v>
          </cell>
          <cell r="DZ954">
            <v>0</v>
          </cell>
          <cell r="EA954">
            <v>0</v>
          </cell>
          <cell r="EB954">
            <v>0</v>
          </cell>
          <cell r="EC954">
            <v>0</v>
          </cell>
          <cell r="ED954">
            <v>0</v>
          </cell>
          <cell r="EE954">
            <v>0</v>
          </cell>
          <cell r="EF954">
            <v>0</v>
          </cell>
          <cell r="EG954">
            <v>0</v>
          </cell>
          <cell r="EH954">
            <v>0</v>
          </cell>
          <cell r="EI954">
            <v>0</v>
          </cell>
          <cell r="EK954">
            <v>0</v>
          </cell>
          <cell r="EL954">
            <v>0</v>
          </cell>
          <cell r="EM954">
            <v>0</v>
          </cell>
          <cell r="EN954">
            <v>0</v>
          </cell>
          <cell r="EO954">
            <v>0</v>
          </cell>
          <cell r="EP954">
            <v>0</v>
          </cell>
          <cell r="EQ954">
            <v>0</v>
          </cell>
          <cell r="ER954">
            <v>0</v>
          </cell>
          <cell r="ES954">
            <v>0</v>
          </cell>
          <cell r="ET954">
            <v>0</v>
          </cell>
          <cell r="EU954">
            <v>0</v>
          </cell>
          <cell r="EV954">
            <v>0</v>
          </cell>
          <cell r="EW954">
            <v>0</v>
          </cell>
          <cell r="EY954">
            <v>0</v>
          </cell>
          <cell r="EZ954">
            <v>8</v>
          </cell>
          <cell r="FA954">
            <v>0</v>
          </cell>
          <cell r="FB954">
            <v>0</v>
          </cell>
          <cell r="FC954">
            <v>8.6</v>
          </cell>
          <cell r="FD954">
            <v>0</v>
          </cell>
          <cell r="FE954">
            <v>0</v>
          </cell>
          <cell r="FF954">
            <v>0</v>
          </cell>
          <cell r="FH954">
            <v>0</v>
          </cell>
        </row>
        <row r="955">
          <cell r="B955">
            <v>10086</v>
          </cell>
          <cell r="C955" t="str">
            <v>10.09.2013</v>
          </cell>
          <cell r="D955" t="str">
            <v>Londhe Lata J</v>
          </cell>
          <cell r="F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0</v>
          </cell>
          <cell r="AE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0</v>
          </cell>
          <cell r="AK955">
            <v>0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0</v>
          </cell>
          <cell r="AX955">
            <v>0</v>
          </cell>
          <cell r="AY955">
            <v>0</v>
          </cell>
          <cell r="BA955">
            <v>0</v>
          </cell>
          <cell r="BB955">
            <v>0</v>
          </cell>
          <cell r="BC955">
            <v>0</v>
          </cell>
          <cell r="BD955">
            <v>0</v>
          </cell>
          <cell r="BE955">
            <v>0</v>
          </cell>
          <cell r="BF955">
            <v>0</v>
          </cell>
          <cell r="BG955">
            <v>0</v>
          </cell>
          <cell r="BH955">
            <v>0</v>
          </cell>
          <cell r="BI955">
            <v>0</v>
          </cell>
          <cell r="BK955">
            <v>0</v>
          </cell>
          <cell r="BL955">
            <v>0</v>
          </cell>
          <cell r="BM955">
            <v>0</v>
          </cell>
          <cell r="BN955">
            <v>0</v>
          </cell>
          <cell r="BO955">
            <v>0</v>
          </cell>
          <cell r="BP955">
            <v>0</v>
          </cell>
          <cell r="BQ955">
            <v>0</v>
          </cell>
          <cell r="BR955">
            <v>0</v>
          </cell>
          <cell r="BS955">
            <v>0</v>
          </cell>
          <cell r="BU955">
            <v>0</v>
          </cell>
          <cell r="BV955">
            <v>0</v>
          </cell>
          <cell r="BW955">
            <v>0</v>
          </cell>
          <cell r="BX955">
            <v>0</v>
          </cell>
          <cell r="BY955">
            <v>0</v>
          </cell>
          <cell r="BZ955">
            <v>0</v>
          </cell>
          <cell r="CA955">
            <v>0</v>
          </cell>
          <cell r="CB955">
            <v>0</v>
          </cell>
          <cell r="CC955">
            <v>0</v>
          </cell>
          <cell r="CE955">
            <v>0</v>
          </cell>
          <cell r="CF955">
            <v>0</v>
          </cell>
          <cell r="CG955">
            <v>0</v>
          </cell>
          <cell r="CH955">
            <v>0</v>
          </cell>
          <cell r="CI955">
            <v>0</v>
          </cell>
          <cell r="CJ955">
            <v>0</v>
          </cell>
          <cell r="CK955">
            <v>0</v>
          </cell>
          <cell r="CL955">
            <v>0</v>
          </cell>
          <cell r="CM955">
            <v>0</v>
          </cell>
          <cell r="CO955">
            <v>0</v>
          </cell>
          <cell r="CP955">
            <v>0</v>
          </cell>
          <cell r="CQ955">
            <v>0</v>
          </cell>
          <cell r="CR955">
            <v>0</v>
          </cell>
          <cell r="CS955">
            <v>0</v>
          </cell>
          <cell r="CT955">
            <v>0</v>
          </cell>
          <cell r="CU955">
            <v>0</v>
          </cell>
          <cell r="CV955">
            <v>0</v>
          </cell>
          <cell r="CW955">
            <v>0</v>
          </cell>
          <cell r="CY955">
            <v>0</v>
          </cell>
          <cell r="CZ955">
            <v>0</v>
          </cell>
          <cell r="DA955">
            <v>0</v>
          </cell>
          <cell r="DB955">
            <v>0</v>
          </cell>
          <cell r="DC955">
            <v>0</v>
          </cell>
          <cell r="DD955">
            <v>0</v>
          </cell>
          <cell r="DE955">
            <v>0</v>
          </cell>
          <cell r="DF955">
            <v>0</v>
          </cell>
          <cell r="DG955">
            <v>0</v>
          </cell>
          <cell r="DI955">
            <v>0</v>
          </cell>
          <cell r="DJ955">
            <v>0</v>
          </cell>
          <cell r="DK955">
            <v>0</v>
          </cell>
          <cell r="DL955">
            <v>0</v>
          </cell>
          <cell r="DM955">
            <v>0</v>
          </cell>
          <cell r="DN955">
            <v>0</v>
          </cell>
          <cell r="DO955">
            <v>0</v>
          </cell>
          <cell r="DP955">
            <v>0</v>
          </cell>
          <cell r="DQ955">
            <v>0</v>
          </cell>
          <cell r="DR955">
            <v>0</v>
          </cell>
          <cell r="DS955">
            <v>0</v>
          </cell>
          <cell r="DT955">
            <v>0</v>
          </cell>
          <cell r="DU955">
            <v>0</v>
          </cell>
          <cell r="DW955">
            <v>0</v>
          </cell>
          <cell r="DX955">
            <v>0</v>
          </cell>
          <cell r="DY955">
            <v>0</v>
          </cell>
          <cell r="DZ955">
            <v>0</v>
          </cell>
          <cell r="EA955">
            <v>0</v>
          </cell>
          <cell r="EB955">
            <v>0</v>
          </cell>
          <cell r="EC955">
            <v>0</v>
          </cell>
          <cell r="ED955">
            <v>0</v>
          </cell>
          <cell r="EE955">
            <v>0</v>
          </cell>
          <cell r="EF955">
            <v>0</v>
          </cell>
          <cell r="EG955">
            <v>0</v>
          </cell>
          <cell r="EH955">
            <v>0</v>
          </cell>
          <cell r="EI955">
            <v>0</v>
          </cell>
          <cell r="EK955">
            <v>0</v>
          </cell>
          <cell r="EL955">
            <v>0</v>
          </cell>
          <cell r="EM955">
            <v>0</v>
          </cell>
          <cell r="EN955">
            <v>0</v>
          </cell>
          <cell r="EO955">
            <v>0</v>
          </cell>
          <cell r="EP955">
            <v>0</v>
          </cell>
          <cell r="EQ955">
            <v>0</v>
          </cell>
          <cell r="ER955">
            <v>0</v>
          </cell>
          <cell r="ES955">
            <v>0</v>
          </cell>
          <cell r="ET955">
            <v>0</v>
          </cell>
          <cell r="EU955">
            <v>0</v>
          </cell>
          <cell r="EV955">
            <v>0</v>
          </cell>
          <cell r="EW955">
            <v>0</v>
          </cell>
          <cell r="EY955">
            <v>0</v>
          </cell>
          <cell r="EZ955">
            <v>8</v>
          </cell>
          <cell r="FA955">
            <v>0</v>
          </cell>
          <cell r="FB955">
            <v>0</v>
          </cell>
          <cell r="FC955">
            <v>8.6</v>
          </cell>
          <cell r="FD955">
            <v>0</v>
          </cell>
          <cell r="FE955">
            <v>0</v>
          </cell>
          <cell r="FF955">
            <v>0</v>
          </cell>
          <cell r="FH955">
            <v>0</v>
          </cell>
        </row>
        <row r="956">
          <cell r="B956">
            <v>10087</v>
          </cell>
          <cell r="C956" t="str">
            <v>10.09.2013</v>
          </cell>
          <cell r="D956" t="str">
            <v>Bhingardive Baby Asaram</v>
          </cell>
          <cell r="F956">
            <v>0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0</v>
          </cell>
          <cell r="AE956">
            <v>0</v>
          </cell>
          <cell r="AG956">
            <v>0</v>
          </cell>
          <cell r="AH956">
            <v>0</v>
          </cell>
          <cell r="AI956">
            <v>0</v>
          </cell>
          <cell r="AJ956">
            <v>0</v>
          </cell>
          <cell r="AK956">
            <v>0</v>
          </cell>
          <cell r="AL956">
            <v>0</v>
          </cell>
          <cell r="AM956">
            <v>0</v>
          </cell>
          <cell r="AN956">
            <v>0</v>
          </cell>
          <cell r="AO956">
            <v>0</v>
          </cell>
          <cell r="AQ956">
            <v>0</v>
          </cell>
          <cell r="AR956">
            <v>0</v>
          </cell>
          <cell r="AS956">
            <v>0</v>
          </cell>
          <cell r="AT956">
            <v>0</v>
          </cell>
          <cell r="AU956">
            <v>0</v>
          </cell>
          <cell r="AV956">
            <v>0</v>
          </cell>
          <cell r="AW956">
            <v>0</v>
          </cell>
          <cell r="AX956">
            <v>0</v>
          </cell>
          <cell r="AY956">
            <v>0</v>
          </cell>
          <cell r="BA956">
            <v>0</v>
          </cell>
          <cell r="BB956">
            <v>0</v>
          </cell>
          <cell r="BC956">
            <v>0</v>
          </cell>
          <cell r="BD956">
            <v>0</v>
          </cell>
          <cell r="BE956">
            <v>0</v>
          </cell>
          <cell r="BF956">
            <v>0</v>
          </cell>
          <cell r="BG956">
            <v>0</v>
          </cell>
          <cell r="BH956">
            <v>0</v>
          </cell>
          <cell r="BI956">
            <v>0</v>
          </cell>
          <cell r="BK956">
            <v>0</v>
          </cell>
          <cell r="BL956">
            <v>0</v>
          </cell>
          <cell r="BM956">
            <v>0</v>
          </cell>
          <cell r="BN956">
            <v>0</v>
          </cell>
          <cell r="BO956">
            <v>0</v>
          </cell>
          <cell r="BP956">
            <v>0</v>
          </cell>
          <cell r="BQ956">
            <v>0</v>
          </cell>
          <cell r="BR956">
            <v>0</v>
          </cell>
          <cell r="BS956">
            <v>0</v>
          </cell>
          <cell r="BU956">
            <v>0</v>
          </cell>
          <cell r="BV956">
            <v>0</v>
          </cell>
          <cell r="BW956">
            <v>0</v>
          </cell>
          <cell r="BX956">
            <v>0</v>
          </cell>
          <cell r="BY956">
            <v>0</v>
          </cell>
          <cell r="BZ956">
            <v>0</v>
          </cell>
          <cell r="CA956">
            <v>0</v>
          </cell>
          <cell r="CB956">
            <v>0</v>
          </cell>
          <cell r="CC956">
            <v>0</v>
          </cell>
          <cell r="CE956">
            <v>0</v>
          </cell>
          <cell r="CF956">
            <v>0</v>
          </cell>
          <cell r="CG956">
            <v>0</v>
          </cell>
          <cell r="CH956">
            <v>0</v>
          </cell>
          <cell r="CI956">
            <v>0</v>
          </cell>
          <cell r="CJ956">
            <v>0</v>
          </cell>
          <cell r="CK956">
            <v>0</v>
          </cell>
          <cell r="CL956">
            <v>0</v>
          </cell>
          <cell r="CM956">
            <v>0</v>
          </cell>
          <cell r="CO956">
            <v>0</v>
          </cell>
          <cell r="CP956">
            <v>0</v>
          </cell>
          <cell r="CQ956">
            <v>0</v>
          </cell>
          <cell r="CR956">
            <v>0</v>
          </cell>
          <cell r="CS956">
            <v>0</v>
          </cell>
          <cell r="CT956">
            <v>0</v>
          </cell>
          <cell r="CU956">
            <v>0</v>
          </cell>
          <cell r="CV956">
            <v>0</v>
          </cell>
          <cell r="CW956">
            <v>0</v>
          </cell>
          <cell r="CY956">
            <v>0</v>
          </cell>
          <cell r="CZ956">
            <v>0</v>
          </cell>
          <cell r="DA956">
            <v>0</v>
          </cell>
          <cell r="DB956">
            <v>0</v>
          </cell>
          <cell r="DC956">
            <v>0</v>
          </cell>
          <cell r="DD956">
            <v>0</v>
          </cell>
          <cell r="DE956">
            <v>0</v>
          </cell>
          <cell r="DF956">
            <v>0</v>
          </cell>
          <cell r="DG956">
            <v>0</v>
          </cell>
          <cell r="DI956">
            <v>0</v>
          </cell>
          <cell r="DJ956">
            <v>0</v>
          </cell>
          <cell r="DK956">
            <v>0</v>
          </cell>
          <cell r="DL956">
            <v>0</v>
          </cell>
          <cell r="DM956">
            <v>0</v>
          </cell>
          <cell r="DN956">
            <v>0</v>
          </cell>
          <cell r="DO956">
            <v>0</v>
          </cell>
          <cell r="DP956">
            <v>0</v>
          </cell>
          <cell r="DQ956">
            <v>0</v>
          </cell>
          <cell r="DR956">
            <v>0</v>
          </cell>
          <cell r="DS956">
            <v>0</v>
          </cell>
          <cell r="DT956">
            <v>0</v>
          </cell>
          <cell r="DU956">
            <v>0</v>
          </cell>
          <cell r="DW956">
            <v>0</v>
          </cell>
          <cell r="DX956">
            <v>0</v>
          </cell>
          <cell r="DY956">
            <v>0</v>
          </cell>
          <cell r="DZ956">
            <v>0</v>
          </cell>
          <cell r="EA956">
            <v>0</v>
          </cell>
          <cell r="EB956">
            <v>0</v>
          </cell>
          <cell r="EC956">
            <v>0</v>
          </cell>
          <cell r="ED956">
            <v>0</v>
          </cell>
          <cell r="EE956">
            <v>0</v>
          </cell>
          <cell r="EF956">
            <v>0</v>
          </cell>
          <cell r="EG956">
            <v>0</v>
          </cell>
          <cell r="EH956">
            <v>0</v>
          </cell>
          <cell r="EI956">
            <v>0</v>
          </cell>
          <cell r="EK956">
            <v>0</v>
          </cell>
          <cell r="EL956">
            <v>0</v>
          </cell>
          <cell r="EM956">
            <v>0</v>
          </cell>
          <cell r="EN956">
            <v>0</v>
          </cell>
          <cell r="EO956">
            <v>0</v>
          </cell>
          <cell r="EP956">
            <v>0</v>
          </cell>
          <cell r="EQ956">
            <v>0</v>
          </cell>
          <cell r="ER956">
            <v>0</v>
          </cell>
          <cell r="ES956">
            <v>0</v>
          </cell>
          <cell r="ET956">
            <v>0</v>
          </cell>
          <cell r="EU956">
            <v>0</v>
          </cell>
          <cell r="EV956">
            <v>0</v>
          </cell>
          <cell r="EW956">
            <v>0</v>
          </cell>
          <cell r="EY956">
            <v>0</v>
          </cell>
          <cell r="EZ956">
            <v>8</v>
          </cell>
          <cell r="FA956">
            <v>0</v>
          </cell>
          <cell r="FB956">
            <v>0</v>
          </cell>
          <cell r="FC956">
            <v>8.6</v>
          </cell>
          <cell r="FD956">
            <v>0</v>
          </cell>
          <cell r="FE956">
            <v>0</v>
          </cell>
          <cell r="FF956">
            <v>0</v>
          </cell>
          <cell r="FH956">
            <v>0</v>
          </cell>
        </row>
        <row r="957">
          <cell r="B957">
            <v>10088</v>
          </cell>
          <cell r="C957" t="str">
            <v>10.09.2013</v>
          </cell>
          <cell r="D957" t="str">
            <v>Pawar Vijay Gangaram</v>
          </cell>
          <cell r="F957">
            <v>0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0</v>
          </cell>
          <cell r="AA957">
            <v>0</v>
          </cell>
          <cell r="AB957">
            <v>0</v>
          </cell>
          <cell r="AC957">
            <v>0</v>
          </cell>
          <cell r="AD957">
            <v>0</v>
          </cell>
          <cell r="AE957">
            <v>0</v>
          </cell>
          <cell r="AG957">
            <v>0</v>
          </cell>
          <cell r="AH957">
            <v>0</v>
          </cell>
          <cell r="AI957">
            <v>0</v>
          </cell>
          <cell r="AJ957">
            <v>0</v>
          </cell>
          <cell r="AK957">
            <v>0</v>
          </cell>
          <cell r="AL957">
            <v>0</v>
          </cell>
          <cell r="AM957">
            <v>0</v>
          </cell>
          <cell r="AN957">
            <v>0</v>
          </cell>
          <cell r="AO957">
            <v>0</v>
          </cell>
          <cell r="AQ957">
            <v>0</v>
          </cell>
          <cell r="AR957">
            <v>0</v>
          </cell>
          <cell r="AS957">
            <v>0</v>
          </cell>
          <cell r="AT957">
            <v>0</v>
          </cell>
          <cell r="AU957">
            <v>0</v>
          </cell>
          <cell r="AV957">
            <v>0</v>
          </cell>
          <cell r="AW957">
            <v>0</v>
          </cell>
          <cell r="AX957">
            <v>0</v>
          </cell>
          <cell r="AY957">
            <v>0</v>
          </cell>
          <cell r="BA957">
            <v>0</v>
          </cell>
          <cell r="BB957">
            <v>0</v>
          </cell>
          <cell r="BC957">
            <v>0</v>
          </cell>
          <cell r="BD957">
            <v>0</v>
          </cell>
          <cell r="BE957">
            <v>0</v>
          </cell>
          <cell r="BF957">
            <v>0</v>
          </cell>
          <cell r="BG957">
            <v>0</v>
          </cell>
          <cell r="BH957">
            <v>0</v>
          </cell>
          <cell r="BI957">
            <v>0</v>
          </cell>
          <cell r="BK957">
            <v>0</v>
          </cell>
          <cell r="BL957">
            <v>0</v>
          </cell>
          <cell r="BM957">
            <v>0</v>
          </cell>
          <cell r="BN957">
            <v>0</v>
          </cell>
          <cell r="BO957">
            <v>0</v>
          </cell>
          <cell r="BP957">
            <v>0</v>
          </cell>
          <cell r="BQ957">
            <v>0</v>
          </cell>
          <cell r="BR957">
            <v>0</v>
          </cell>
          <cell r="BS957">
            <v>0</v>
          </cell>
          <cell r="BU957">
            <v>0</v>
          </cell>
          <cell r="BV957">
            <v>0</v>
          </cell>
          <cell r="BW957">
            <v>0</v>
          </cell>
          <cell r="BX957">
            <v>0</v>
          </cell>
          <cell r="BY957">
            <v>0</v>
          </cell>
          <cell r="BZ957">
            <v>0</v>
          </cell>
          <cell r="CA957">
            <v>0</v>
          </cell>
          <cell r="CB957">
            <v>0</v>
          </cell>
          <cell r="CC957">
            <v>0</v>
          </cell>
          <cell r="CE957">
            <v>0</v>
          </cell>
          <cell r="CF957">
            <v>0</v>
          </cell>
          <cell r="CG957">
            <v>0</v>
          </cell>
          <cell r="CH957">
            <v>0</v>
          </cell>
          <cell r="CI957">
            <v>0</v>
          </cell>
          <cell r="CJ957">
            <v>0</v>
          </cell>
          <cell r="CK957">
            <v>0</v>
          </cell>
          <cell r="CL957">
            <v>0</v>
          </cell>
          <cell r="CM957">
            <v>0</v>
          </cell>
          <cell r="CO957">
            <v>0</v>
          </cell>
          <cell r="CP957">
            <v>0</v>
          </cell>
          <cell r="CQ957">
            <v>0</v>
          </cell>
          <cell r="CR957">
            <v>0</v>
          </cell>
          <cell r="CS957">
            <v>0</v>
          </cell>
          <cell r="CT957">
            <v>0</v>
          </cell>
          <cell r="CU957">
            <v>0</v>
          </cell>
          <cell r="CV957">
            <v>0</v>
          </cell>
          <cell r="CW957">
            <v>0</v>
          </cell>
          <cell r="CY957">
            <v>0</v>
          </cell>
          <cell r="CZ957">
            <v>0</v>
          </cell>
          <cell r="DA957">
            <v>0</v>
          </cell>
          <cell r="DB957">
            <v>0</v>
          </cell>
          <cell r="DC957">
            <v>0</v>
          </cell>
          <cell r="DD957">
            <v>0</v>
          </cell>
          <cell r="DE957">
            <v>0</v>
          </cell>
          <cell r="DF957">
            <v>0</v>
          </cell>
          <cell r="DG957">
            <v>0</v>
          </cell>
          <cell r="DI957">
            <v>0</v>
          </cell>
          <cell r="DJ957">
            <v>0</v>
          </cell>
          <cell r="DK957">
            <v>0</v>
          </cell>
          <cell r="DL957">
            <v>0</v>
          </cell>
          <cell r="DM957">
            <v>0</v>
          </cell>
          <cell r="DN957">
            <v>0</v>
          </cell>
          <cell r="DO957">
            <v>0</v>
          </cell>
          <cell r="DP957">
            <v>0</v>
          </cell>
          <cell r="DQ957">
            <v>0</v>
          </cell>
          <cell r="DR957">
            <v>0</v>
          </cell>
          <cell r="DS957">
            <v>0</v>
          </cell>
          <cell r="DT957">
            <v>0</v>
          </cell>
          <cell r="DU957">
            <v>0</v>
          </cell>
          <cell r="DW957">
            <v>0</v>
          </cell>
          <cell r="DX957">
            <v>0</v>
          </cell>
          <cell r="DY957">
            <v>0</v>
          </cell>
          <cell r="DZ957">
            <v>0</v>
          </cell>
          <cell r="EA957">
            <v>0</v>
          </cell>
          <cell r="EB957">
            <v>0</v>
          </cell>
          <cell r="EC957">
            <v>0</v>
          </cell>
          <cell r="ED957">
            <v>0</v>
          </cell>
          <cell r="EE957">
            <v>0</v>
          </cell>
          <cell r="EF957">
            <v>0</v>
          </cell>
          <cell r="EG957">
            <v>0</v>
          </cell>
          <cell r="EH957">
            <v>0</v>
          </cell>
          <cell r="EI957">
            <v>0</v>
          </cell>
          <cell r="EK957">
            <v>0</v>
          </cell>
          <cell r="EL957">
            <v>0</v>
          </cell>
          <cell r="EM957">
            <v>0</v>
          </cell>
          <cell r="EN957">
            <v>0</v>
          </cell>
          <cell r="EO957">
            <v>0</v>
          </cell>
          <cell r="EP957">
            <v>0</v>
          </cell>
          <cell r="EQ957">
            <v>0</v>
          </cell>
          <cell r="ER957">
            <v>0</v>
          </cell>
          <cell r="ES957">
            <v>0</v>
          </cell>
          <cell r="ET957">
            <v>0</v>
          </cell>
          <cell r="EU957">
            <v>0</v>
          </cell>
          <cell r="EV957">
            <v>0</v>
          </cell>
          <cell r="EW957">
            <v>0</v>
          </cell>
          <cell r="EY957">
            <v>0</v>
          </cell>
          <cell r="EZ957">
            <v>8</v>
          </cell>
          <cell r="FA957">
            <v>0</v>
          </cell>
          <cell r="FB957">
            <v>0</v>
          </cell>
          <cell r="FC957">
            <v>8.6</v>
          </cell>
          <cell r="FD957">
            <v>0</v>
          </cell>
          <cell r="FE957">
            <v>0</v>
          </cell>
          <cell r="FF957">
            <v>0</v>
          </cell>
          <cell r="FH957">
            <v>0</v>
          </cell>
        </row>
        <row r="958">
          <cell r="B958">
            <v>10089</v>
          </cell>
          <cell r="C958" t="str">
            <v>10.09.2013</v>
          </cell>
          <cell r="D958" t="str">
            <v>Babriya Hemant Mithalal</v>
          </cell>
          <cell r="F958">
            <v>0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>
            <v>0</v>
          </cell>
          <cell r="AD958">
            <v>0</v>
          </cell>
          <cell r="AE958">
            <v>0</v>
          </cell>
          <cell r="AG958">
            <v>0</v>
          </cell>
          <cell r="AH958">
            <v>0</v>
          </cell>
          <cell r="AI958">
            <v>0</v>
          </cell>
          <cell r="AJ958">
            <v>0</v>
          </cell>
          <cell r="AK958">
            <v>0</v>
          </cell>
          <cell r="AL958">
            <v>0</v>
          </cell>
          <cell r="AM958">
            <v>0</v>
          </cell>
          <cell r="AN958">
            <v>0</v>
          </cell>
          <cell r="AO958">
            <v>0</v>
          </cell>
          <cell r="AQ958">
            <v>0</v>
          </cell>
          <cell r="AR958">
            <v>0</v>
          </cell>
          <cell r="AS958">
            <v>0</v>
          </cell>
          <cell r="AT958">
            <v>0</v>
          </cell>
          <cell r="AU958">
            <v>0</v>
          </cell>
          <cell r="AV958">
            <v>0</v>
          </cell>
          <cell r="AW958">
            <v>0</v>
          </cell>
          <cell r="AX958">
            <v>0</v>
          </cell>
          <cell r="AY958">
            <v>0</v>
          </cell>
          <cell r="BA958">
            <v>0</v>
          </cell>
          <cell r="BB958">
            <v>0</v>
          </cell>
          <cell r="BC958">
            <v>0</v>
          </cell>
          <cell r="BD958">
            <v>0</v>
          </cell>
          <cell r="BE958">
            <v>0</v>
          </cell>
          <cell r="BF958">
            <v>0</v>
          </cell>
          <cell r="BG958">
            <v>0</v>
          </cell>
          <cell r="BH958">
            <v>0</v>
          </cell>
          <cell r="BI958">
            <v>0</v>
          </cell>
          <cell r="BK958">
            <v>0</v>
          </cell>
          <cell r="BL958">
            <v>0</v>
          </cell>
          <cell r="BM958">
            <v>0</v>
          </cell>
          <cell r="BN958">
            <v>0</v>
          </cell>
          <cell r="BO958">
            <v>0</v>
          </cell>
          <cell r="BP958">
            <v>0</v>
          </cell>
          <cell r="BQ958">
            <v>0</v>
          </cell>
          <cell r="BR958">
            <v>0</v>
          </cell>
          <cell r="BS958">
            <v>0</v>
          </cell>
          <cell r="BU958">
            <v>0</v>
          </cell>
          <cell r="BV958">
            <v>0</v>
          </cell>
          <cell r="BW958">
            <v>0</v>
          </cell>
          <cell r="BX958">
            <v>0</v>
          </cell>
          <cell r="BY958">
            <v>0</v>
          </cell>
          <cell r="BZ958">
            <v>0</v>
          </cell>
          <cell r="CA958">
            <v>0</v>
          </cell>
          <cell r="CB958">
            <v>0</v>
          </cell>
          <cell r="CC958">
            <v>0</v>
          </cell>
          <cell r="CE958">
            <v>0</v>
          </cell>
          <cell r="CF958">
            <v>0</v>
          </cell>
          <cell r="CG958">
            <v>0</v>
          </cell>
          <cell r="CH958">
            <v>0</v>
          </cell>
          <cell r="CI958">
            <v>0</v>
          </cell>
          <cell r="CJ958">
            <v>0</v>
          </cell>
          <cell r="CK958">
            <v>0</v>
          </cell>
          <cell r="CL958">
            <v>0</v>
          </cell>
          <cell r="CM958">
            <v>0</v>
          </cell>
          <cell r="CO958">
            <v>0</v>
          </cell>
          <cell r="CP958">
            <v>0</v>
          </cell>
          <cell r="CQ958">
            <v>0</v>
          </cell>
          <cell r="CR958">
            <v>0</v>
          </cell>
          <cell r="CS958">
            <v>0</v>
          </cell>
          <cell r="CT958">
            <v>0</v>
          </cell>
          <cell r="CU958">
            <v>0</v>
          </cell>
          <cell r="CV958">
            <v>0</v>
          </cell>
          <cell r="CW958">
            <v>0</v>
          </cell>
          <cell r="CY958">
            <v>0</v>
          </cell>
          <cell r="CZ958">
            <v>0</v>
          </cell>
          <cell r="DA958">
            <v>0</v>
          </cell>
          <cell r="DB958">
            <v>0</v>
          </cell>
          <cell r="DC958">
            <v>0</v>
          </cell>
          <cell r="DD958">
            <v>0</v>
          </cell>
          <cell r="DE958">
            <v>0</v>
          </cell>
          <cell r="DF958">
            <v>0</v>
          </cell>
          <cell r="DG958">
            <v>0</v>
          </cell>
          <cell r="DI958">
            <v>0</v>
          </cell>
          <cell r="DJ958">
            <v>0</v>
          </cell>
          <cell r="DK958">
            <v>0</v>
          </cell>
          <cell r="DL958">
            <v>0</v>
          </cell>
          <cell r="DM958">
            <v>0</v>
          </cell>
          <cell r="DN958">
            <v>0</v>
          </cell>
          <cell r="DO958">
            <v>0</v>
          </cell>
          <cell r="DP958">
            <v>0</v>
          </cell>
          <cell r="DQ958">
            <v>0</v>
          </cell>
          <cell r="DR958">
            <v>0</v>
          </cell>
          <cell r="DS958">
            <v>0</v>
          </cell>
          <cell r="DT958">
            <v>0</v>
          </cell>
          <cell r="DU958">
            <v>0</v>
          </cell>
          <cell r="DW958">
            <v>0</v>
          </cell>
          <cell r="DX958">
            <v>0</v>
          </cell>
          <cell r="DY958">
            <v>0</v>
          </cell>
          <cell r="DZ958">
            <v>0</v>
          </cell>
          <cell r="EA958">
            <v>0</v>
          </cell>
          <cell r="EB958">
            <v>0</v>
          </cell>
          <cell r="EC958">
            <v>0</v>
          </cell>
          <cell r="ED958">
            <v>0</v>
          </cell>
          <cell r="EE958">
            <v>0</v>
          </cell>
          <cell r="EF958">
            <v>0</v>
          </cell>
          <cell r="EG958">
            <v>0</v>
          </cell>
          <cell r="EH958">
            <v>0</v>
          </cell>
          <cell r="EI958">
            <v>0</v>
          </cell>
          <cell r="EK958">
            <v>0</v>
          </cell>
          <cell r="EL958">
            <v>0</v>
          </cell>
          <cell r="EM958">
            <v>0</v>
          </cell>
          <cell r="EN958">
            <v>0</v>
          </cell>
          <cell r="EO958">
            <v>0</v>
          </cell>
          <cell r="EP958">
            <v>0</v>
          </cell>
          <cell r="EQ958">
            <v>0</v>
          </cell>
          <cell r="ER958">
            <v>0</v>
          </cell>
          <cell r="ES958">
            <v>0</v>
          </cell>
          <cell r="ET958">
            <v>0</v>
          </cell>
          <cell r="EU958">
            <v>0</v>
          </cell>
          <cell r="EV958">
            <v>0</v>
          </cell>
          <cell r="EW958">
            <v>0</v>
          </cell>
          <cell r="EY958">
            <v>0</v>
          </cell>
          <cell r="EZ958">
            <v>8</v>
          </cell>
          <cell r="FA958">
            <v>0</v>
          </cell>
          <cell r="FB958">
            <v>0</v>
          </cell>
          <cell r="FC958">
            <v>8.6</v>
          </cell>
          <cell r="FD958">
            <v>0</v>
          </cell>
          <cell r="FE958">
            <v>0</v>
          </cell>
          <cell r="FF958">
            <v>0</v>
          </cell>
          <cell r="FH958">
            <v>0</v>
          </cell>
        </row>
        <row r="959">
          <cell r="B959">
            <v>10090</v>
          </cell>
          <cell r="C959" t="str">
            <v>10.09.2013</v>
          </cell>
          <cell r="D959" t="str">
            <v>Makwana Sashikant Kisho</v>
          </cell>
          <cell r="F959">
            <v>0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0</v>
          </cell>
          <cell r="AA959">
            <v>0</v>
          </cell>
          <cell r="AB959">
            <v>0</v>
          </cell>
          <cell r="AC959">
            <v>0</v>
          </cell>
          <cell r="AD959">
            <v>0</v>
          </cell>
          <cell r="AE959">
            <v>0</v>
          </cell>
          <cell r="AG959">
            <v>0</v>
          </cell>
          <cell r="AH959">
            <v>0</v>
          </cell>
          <cell r="AI959">
            <v>0</v>
          </cell>
          <cell r="AJ959">
            <v>0</v>
          </cell>
          <cell r="AK959">
            <v>0</v>
          </cell>
          <cell r="AL959">
            <v>0</v>
          </cell>
          <cell r="AM959">
            <v>0</v>
          </cell>
          <cell r="AN959">
            <v>0</v>
          </cell>
          <cell r="AO959">
            <v>0</v>
          </cell>
          <cell r="AQ959">
            <v>0</v>
          </cell>
          <cell r="AR959">
            <v>0</v>
          </cell>
          <cell r="AS959">
            <v>0</v>
          </cell>
          <cell r="AT959">
            <v>0</v>
          </cell>
          <cell r="AU959">
            <v>0</v>
          </cell>
          <cell r="AV959">
            <v>0</v>
          </cell>
          <cell r="AW959">
            <v>0</v>
          </cell>
          <cell r="AX959">
            <v>0</v>
          </cell>
          <cell r="AY959">
            <v>0</v>
          </cell>
          <cell r="BA959">
            <v>0</v>
          </cell>
          <cell r="BB959">
            <v>0</v>
          </cell>
          <cell r="BC959">
            <v>0</v>
          </cell>
          <cell r="BD959">
            <v>0</v>
          </cell>
          <cell r="BE959">
            <v>0</v>
          </cell>
          <cell r="BF959">
            <v>0</v>
          </cell>
          <cell r="BG959">
            <v>0</v>
          </cell>
          <cell r="BH959">
            <v>0</v>
          </cell>
          <cell r="BI959">
            <v>0</v>
          </cell>
          <cell r="BK959">
            <v>0</v>
          </cell>
          <cell r="BL959">
            <v>0</v>
          </cell>
          <cell r="BM959">
            <v>0</v>
          </cell>
          <cell r="BN959">
            <v>0</v>
          </cell>
          <cell r="BO959">
            <v>0</v>
          </cell>
          <cell r="BP959">
            <v>0</v>
          </cell>
          <cell r="BQ959">
            <v>0</v>
          </cell>
          <cell r="BR959">
            <v>0</v>
          </cell>
          <cell r="BS959">
            <v>0</v>
          </cell>
          <cell r="BU959">
            <v>0</v>
          </cell>
          <cell r="BV959">
            <v>0</v>
          </cell>
          <cell r="BW959">
            <v>0</v>
          </cell>
          <cell r="BX959">
            <v>0</v>
          </cell>
          <cell r="BY959">
            <v>0</v>
          </cell>
          <cell r="BZ959">
            <v>0</v>
          </cell>
          <cell r="CA959">
            <v>0</v>
          </cell>
          <cell r="CB959">
            <v>0</v>
          </cell>
          <cell r="CC959">
            <v>0</v>
          </cell>
          <cell r="CE959">
            <v>0</v>
          </cell>
          <cell r="CF959">
            <v>0</v>
          </cell>
          <cell r="CG959">
            <v>0</v>
          </cell>
          <cell r="CH959">
            <v>0</v>
          </cell>
          <cell r="CI959">
            <v>0</v>
          </cell>
          <cell r="CJ959">
            <v>0</v>
          </cell>
          <cell r="CK959">
            <v>0</v>
          </cell>
          <cell r="CL959">
            <v>0</v>
          </cell>
          <cell r="CM959">
            <v>0</v>
          </cell>
          <cell r="CO959">
            <v>0</v>
          </cell>
          <cell r="CP959">
            <v>0</v>
          </cell>
          <cell r="CQ959">
            <v>0</v>
          </cell>
          <cell r="CR959">
            <v>0</v>
          </cell>
          <cell r="CS959">
            <v>0</v>
          </cell>
          <cell r="CT959">
            <v>0</v>
          </cell>
          <cell r="CU959">
            <v>0</v>
          </cell>
          <cell r="CV959">
            <v>0</v>
          </cell>
          <cell r="CW959">
            <v>0</v>
          </cell>
          <cell r="CY959">
            <v>0</v>
          </cell>
          <cell r="CZ959">
            <v>0</v>
          </cell>
          <cell r="DA959">
            <v>0</v>
          </cell>
          <cell r="DB959">
            <v>0</v>
          </cell>
          <cell r="DC959">
            <v>0</v>
          </cell>
          <cell r="DD959">
            <v>0</v>
          </cell>
          <cell r="DE959">
            <v>0</v>
          </cell>
          <cell r="DF959">
            <v>0</v>
          </cell>
          <cell r="DG959">
            <v>0</v>
          </cell>
          <cell r="DI959">
            <v>0</v>
          </cell>
          <cell r="DJ959">
            <v>0</v>
          </cell>
          <cell r="DK959">
            <v>0</v>
          </cell>
          <cell r="DL959">
            <v>0</v>
          </cell>
          <cell r="DM959">
            <v>0</v>
          </cell>
          <cell r="DN959">
            <v>0</v>
          </cell>
          <cell r="DO959">
            <v>0</v>
          </cell>
          <cell r="DP959">
            <v>0</v>
          </cell>
          <cell r="DQ959">
            <v>0</v>
          </cell>
          <cell r="DR959">
            <v>0</v>
          </cell>
          <cell r="DS959">
            <v>0</v>
          </cell>
          <cell r="DT959">
            <v>0</v>
          </cell>
          <cell r="DU959">
            <v>0</v>
          </cell>
          <cell r="DW959">
            <v>0</v>
          </cell>
          <cell r="DX959">
            <v>0</v>
          </cell>
          <cell r="DY959">
            <v>0</v>
          </cell>
          <cell r="DZ959">
            <v>0</v>
          </cell>
          <cell r="EA959">
            <v>0</v>
          </cell>
          <cell r="EB959">
            <v>0</v>
          </cell>
          <cell r="EC959">
            <v>0</v>
          </cell>
          <cell r="ED959">
            <v>0</v>
          </cell>
          <cell r="EE959">
            <v>0</v>
          </cell>
          <cell r="EF959">
            <v>0</v>
          </cell>
          <cell r="EG959">
            <v>0</v>
          </cell>
          <cell r="EH959">
            <v>0</v>
          </cell>
          <cell r="EI959">
            <v>0</v>
          </cell>
          <cell r="EK959">
            <v>0</v>
          </cell>
          <cell r="EL959">
            <v>0</v>
          </cell>
          <cell r="EM959">
            <v>0</v>
          </cell>
          <cell r="EN959">
            <v>0</v>
          </cell>
          <cell r="EO959">
            <v>0</v>
          </cell>
          <cell r="EP959">
            <v>0</v>
          </cell>
          <cell r="EQ959">
            <v>0</v>
          </cell>
          <cell r="ER959">
            <v>0</v>
          </cell>
          <cell r="ES959">
            <v>0</v>
          </cell>
          <cell r="ET959">
            <v>0</v>
          </cell>
          <cell r="EU959">
            <v>0</v>
          </cell>
          <cell r="EV959">
            <v>0</v>
          </cell>
          <cell r="EW959">
            <v>0</v>
          </cell>
          <cell r="EY959">
            <v>0</v>
          </cell>
          <cell r="EZ959">
            <v>8</v>
          </cell>
          <cell r="FA959">
            <v>0</v>
          </cell>
          <cell r="FB959">
            <v>0</v>
          </cell>
          <cell r="FC959">
            <v>8.6</v>
          </cell>
          <cell r="FD959">
            <v>0</v>
          </cell>
          <cell r="FE959">
            <v>0</v>
          </cell>
          <cell r="FF959">
            <v>0</v>
          </cell>
          <cell r="FH959">
            <v>0</v>
          </cell>
        </row>
        <row r="960">
          <cell r="B960">
            <v>10091</v>
          </cell>
          <cell r="C960" t="str">
            <v>17.09.2013</v>
          </cell>
          <cell r="D960" t="str">
            <v>Bhand Seema Kiran</v>
          </cell>
          <cell r="F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G960">
            <v>0</v>
          </cell>
          <cell r="AH960">
            <v>0</v>
          </cell>
          <cell r="AI960">
            <v>0</v>
          </cell>
          <cell r="AJ960">
            <v>0</v>
          </cell>
          <cell r="AK960">
            <v>0</v>
          </cell>
          <cell r="AL960">
            <v>0</v>
          </cell>
          <cell r="AM960">
            <v>0</v>
          </cell>
          <cell r="AN960">
            <v>0</v>
          </cell>
          <cell r="AO960">
            <v>0</v>
          </cell>
          <cell r="AQ960">
            <v>0</v>
          </cell>
          <cell r="AR960">
            <v>0</v>
          </cell>
          <cell r="AS960">
            <v>0</v>
          </cell>
          <cell r="AT960">
            <v>0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>
            <v>0</v>
          </cell>
          <cell r="BA960">
            <v>0</v>
          </cell>
          <cell r="BB960">
            <v>0</v>
          </cell>
          <cell r="BC960">
            <v>0</v>
          </cell>
          <cell r="BD960">
            <v>0</v>
          </cell>
          <cell r="BE960">
            <v>0</v>
          </cell>
          <cell r="BF960">
            <v>0</v>
          </cell>
          <cell r="BG960">
            <v>0</v>
          </cell>
          <cell r="BH960">
            <v>0</v>
          </cell>
          <cell r="BI960">
            <v>0</v>
          </cell>
          <cell r="BK960">
            <v>0</v>
          </cell>
          <cell r="BL960">
            <v>0</v>
          </cell>
          <cell r="BM960">
            <v>0</v>
          </cell>
          <cell r="BN960">
            <v>0</v>
          </cell>
          <cell r="BO960">
            <v>0</v>
          </cell>
          <cell r="BP960">
            <v>0</v>
          </cell>
          <cell r="BQ960">
            <v>0</v>
          </cell>
          <cell r="BR960">
            <v>0</v>
          </cell>
          <cell r="BS960">
            <v>0</v>
          </cell>
          <cell r="BU960">
            <v>0</v>
          </cell>
          <cell r="BV960">
            <v>0</v>
          </cell>
          <cell r="BW960">
            <v>0</v>
          </cell>
          <cell r="BX960">
            <v>0</v>
          </cell>
          <cell r="BY960">
            <v>0</v>
          </cell>
          <cell r="BZ960">
            <v>0</v>
          </cell>
          <cell r="CA960">
            <v>0</v>
          </cell>
          <cell r="CB960">
            <v>0</v>
          </cell>
          <cell r="CC960">
            <v>0</v>
          </cell>
          <cell r="CE960">
            <v>0</v>
          </cell>
          <cell r="CF960">
            <v>0</v>
          </cell>
          <cell r="CG960">
            <v>0</v>
          </cell>
          <cell r="CH960">
            <v>0</v>
          </cell>
          <cell r="CI960">
            <v>0</v>
          </cell>
          <cell r="CJ960">
            <v>0</v>
          </cell>
          <cell r="CK960">
            <v>0</v>
          </cell>
          <cell r="CL960">
            <v>0</v>
          </cell>
          <cell r="CM960">
            <v>0</v>
          </cell>
          <cell r="CO960">
            <v>0</v>
          </cell>
          <cell r="CP960">
            <v>0</v>
          </cell>
          <cell r="CQ960">
            <v>0</v>
          </cell>
          <cell r="CR960">
            <v>0</v>
          </cell>
          <cell r="CS960">
            <v>0</v>
          </cell>
          <cell r="CT960">
            <v>0</v>
          </cell>
          <cell r="CU960">
            <v>0</v>
          </cell>
          <cell r="CV960">
            <v>0</v>
          </cell>
          <cell r="CW960">
            <v>0</v>
          </cell>
          <cell r="CY960">
            <v>0</v>
          </cell>
          <cell r="CZ960">
            <v>0</v>
          </cell>
          <cell r="DA960">
            <v>0</v>
          </cell>
          <cell r="DB960">
            <v>0</v>
          </cell>
          <cell r="DC960">
            <v>0</v>
          </cell>
          <cell r="DD960">
            <v>0</v>
          </cell>
          <cell r="DE960">
            <v>0</v>
          </cell>
          <cell r="DF960">
            <v>0</v>
          </cell>
          <cell r="DG960">
            <v>0</v>
          </cell>
          <cell r="DI960">
            <v>0</v>
          </cell>
          <cell r="DJ960">
            <v>0</v>
          </cell>
          <cell r="DK960">
            <v>0</v>
          </cell>
          <cell r="DL960">
            <v>0</v>
          </cell>
          <cell r="DM960">
            <v>0</v>
          </cell>
          <cell r="DN960">
            <v>0</v>
          </cell>
          <cell r="DO960">
            <v>0</v>
          </cell>
          <cell r="DP960">
            <v>0</v>
          </cell>
          <cell r="DQ960">
            <v>0</v>
          </cell>
          <cell r="DR960">
            <v>0</v>
          </cell>
          <cell r="DS960">
            <v>0</v>
          </cell>
          <cell r="DT960">
            <v>0</v>
          </cell>
          <cell r="DU960">
            <v>0</v>
          </cell>
          <cell r="DW960">
            <v>0</v>
          </cell>
          <cell r="DX960">
            <v>0</v>
          </cell>
          <cell r="DY960">
            <v>0</v>
          </cell>
          <cell r="DZ960">
            <v>0</v>
          </cell>
          <cell r="EA960">
            <v>0</v>
          </cell>
          <cell r="EB960">
            <v>0</v>
          </cell>
          <cell r="EC960">
            <v>0</v>
          </cell>
          <cell r="ED960">
            <v>0</v>
          </cell>
          <cell r="EE960">
            <v>0</v>
          </cell>
          <cell r="EF960">
            <v>0</v>
          </cell>
          <cell r="EG960">
            <v>0</v>
          </cell>
          <cell r="EH960">
            <v>0</v>
          </cell>
          <cell r="EI960">
            <v>0</v>
          </cell>
          <cell r="EK960">
            <v>0</v>
          </cell>
          <cell r="EL960">
            <v>0</v>
          </cell>
          <cell r="EM960">
            <v>0</v>
          </cell>
          <cell r="EN960">
            <v>0</v>
          </cell>
          <cell r="EO960">
            <v>0</v>
          </cell>
          <cell r="EP960">
            <v>0</v>
          </cell>
          <cell r="EQ960">
            <v>0</v>
          </cell>
          <cell r="ER960">
            <v>0</v>
          </cell>
          <cell r="ES960">
            <v>0</v>
          </cell>
          <cell r="ET960">
            <v>0</v>
          </cell>
          <cell r="EU960">
            <v>0</v>
          </cell>
          <cell r="EV960">
            <v>0</v>
          </cell>
          <cell r="EW960">
            <v>0</v>
          </cell>
          <cell r="EY960">
            <v>0</v>
          </cell>
          <cell r="EZ960">
            <v>8</v>
          </cell>
          <cell r="FA960">
            <v>0</v>
          </cell>
          <cell r="FB960">
            <v>0</v>
          </cell>
          <cell r="FC960">
            <v>8.6</v>
          </cell>
          <cell r="FD960">
            <v>0</v>
          </cell>
          <cell r="FE960">
            <v>0</v>
          </cell>
          <cell r="FF960">
            <v>0</v>
          </cell>
          <cell r="FH960">
            <v>0</v>
          </cell>
        </row>
        <row r="961">
          <cell r="B961">
            <v>10092</v>
          </cell>
          <cell r="C961" t="str">
            <v>17.09.2013</v>
          </cell>
          <cell r="D961" t="str">
            <v>Charoskar Santosh Balakrishna</v>
          </cell>
          <cell r="F961">
            <v>0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>
            <v>0</v>
          </cell>
          <cell r="R961">
            <v>0</v>
          </cell>
          <cell r="S961">
            <v>0</v>
          </cell>
          <cell r="T961">
            <v>0</v>
          </cell>
          <cell r="U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0</v>
          </cell>
          <cell r="AB961">
            <v>0</v>
          </cell>
          <cell r="AC961">
            <v>0</v>
          </cell>
          <cell r="AD961">
            <v>0</v>
          </cell>
          <cell r="AE961">
            <v>0</v>
          </cell>
          <cell r="AG961">
            <v>0</v>
          </cell>
          <cell r="AH961">
            <v>0</v>
          </cell>
          <cell r="AI961">
            <v>0</v>
          </cell>
          <cell r="AJ961">
            <v>0</v>
          </cell>
          <cell r="AK961">
            <v>0</v>
          </cell>
          <cell r="AL961">
            <v>0</v>
          </cell>
          <cell r="AM961">
            <v>0</v>
          </cell>
          <cell r="AN961">
            <v>0</v>
          </cell>
          <cell r="AO961">
            <v>0</v>
          </cell>
          <cell r="AQ961">
            <v>0</v>
          </cell>
          <cell r="AR961">
            <v>0</v>
          </cell>
          <cell r="AS961">
            <v>0</v>
          </cell>
          <cell r="AT961">
            <v>0</v>
          </cell>
          <cell r="AU961">
            <v>0</v>
          </cell>
          <cell r="AV961">
            <v>0</v>
          </cell>
          <cell r="AW961">
            <v>0</v>
          </cell>
          <cell r="AX961">
            <v>0</v>
          </cell>
          <cell r="AY961">
            <v>0</v>
          </cell>
          <cell r="BA961">
            <v>0</v>
          </cell>
          <cell r="BB961">
            <v>0</v>
          </cell>
          <cell r="BC961">
            <v>0</v>
          </cell>
          <cell r="BD961">
            <v>0</v>
          </cell>
          <cell r="BE961">
            <v>0</v>
          </cell>
          <cell r="BF961">
            <v>0</v>
          </cell>
          <cell r="BG961">
            <v>0</v>
          </cell>
          <cell r="BH961">
            <v>0</v>
          </cell>
          <cell r="BI961">
            <v>0</v>
          </cell>
          <cell r="BK961">
            <v>0</v>
          </cell>
          <cell r="BL961">
            <v>0</v>
          </cell>
          <cell r="BM961">
            <v>0</v>
          </cell>
          <cell r="BN961">
            <v>0</v>
          </cell>
          <cell r="BO961">
            <v>0</v>
          </cell>
          <cell r="BP961">
            <v>0</v>
          </cell>
          <cell r="BQ961">
            <v>0</v>
          </cell>
          <cell r="BR961">
            <v>0</v>
          </cell>
          <cell r="BS961">
            <v>0</v>
          </cell>
          <cell r="BU961">
            <v>0</v>
          </cell>
          <cell r="BV961">
            <v>0</v>
          </cell>
          <cell r="BW961">
            <v>0</v>
          </cell>
          <cell r="BX961">
            <v>0</v>
          </cell>
          <cell r="BY961">
            <v>0</v>
          </cell>
          <cell r="BZ961">
            <v>0</v>
          </cell>
          <cell r="CA961">
            <v>0</v>
          </cell>
          <cell r="CB961">
            <v>0</v>
          </cell>
          <cell r="CC961">
            <v>0</v>
          </cell>
          <cell r="CE961">
            <v>0</v>
          </cell>
          <cell r="CF961">
            <v>0</v>
          </cell>
          <cell r="CG961">
            <v>0</v>
          </cell>
          <cell r="CH961">
            <v>0</v>
          </cell>
          <cell r="CI961">
            <v>0</v>
          </cell>
          <cell r="CJ961">
            <v>0</v>
          </cell>
          <cell r="CK961">
            <v>0</v>
          </cell>
          <cell r="CL961">
            <v>0</v>
          </cell>
          <cell r="CM961">
            <v>0</v>
          </cell>
          <cell r="CO961">
            <v>0</v>
          </cell>
          <cell r="CP961">
            <v>0</v>
          </cell>
          <cell r="CQ961">
            <v>0</v>
          </cell>
          <cell r="CR961">
            <v>0</v>
          </cell>
          <cell r="CS961">
            <v>0</v>
          </cell>
          <cell r="CT961">
            <v>0</v>
          </cell>
          <cell r="CU961">
            <v>0</v>
          </cell>
          <cell r="CV961">
            <v>0</v>
          </cell>
          <cell r="CW961">
            <v>0</v>
          </cell>
          <cell r="CY961">
            <v>0</v>
          </cell>
          <cell r="CZ961">
            <v>0</v>
          </cell>
          <cell r="DA961">
            <v>0</v>
          </cell>
          <cell r="DB961">
            <v>0</v>
          </cell>
          <cell r="DC961">
            <v>0</v>
          </cell>
          <cell r="DD961">
            <v>0</v>
          </cell>
          <cell r="DE961">
            <v>0</v>
          </cell>
          <cell r="DF961">
            <v>0</v>
          </cell>
          <cell r="DG961">
            <v>0</v>
          </cell>
          <cell r="DI961">
            <v>0</v>
          </cell>
          <cell r="DJ961">
            <v>0</v>
          </cell>
          <cell r="DK961">
            <v>0</v>
          </cell>
          <cell r="DL961">
            <v>0</v>
          </cell>
          <cell r="DM961">
            <v>0</v>
          </cell>
          <cell r="DN961">
            <v>0</v>
          </cell>
          <cell r="DO961">
            <v>0</v>
          </cell>
          <cell r="DP961">
            <v>0</v>
          </cell>
          <cell r="DQ961">
            <v>0</v>
          </cell>
          <cell r="DR961">
            <v>0</v>
          </cell>
          <cell r="DS961">
            <v>0</v>
          </cell>
          <cell r="DT961">
            <v>0</v>
          </cell>
          <cell r="DU961">
            <v>0</v>
          </cell>
          <cell r="DW961">
            <v>0</v>
          </cell>
          <cell r="DX961">
            <v>0</v>
          </cell>
          <cell r="DY961">
            <v>0</v>
          </cell>
          <cell r="DZ961">
            <v>0</v>
          </cell>
          <cell r="EA961">
            <v>0</v>
          </cell>
          <cell r="EB961">
            <v>0</v>
          </cell>
          <cell r="EC961">
            <v>0</v>
          </cell>
          <cell r="ED961">
            <v>0</v>
          </cell>
          <cell r="EE961">
            <v>0</v>
          </cell>
          <cell r="EF961">
            <v>0</v>
          </cell>
          <cell r="EG961">
            <v>0</v>
          </cell>
          <cell r="EH961">
            <v>0</v>
          </cell>
          <cell r="EI961">
            <v>0</v>
          </cell>
          <cell r="EK961">
            <v>0</v>
          </cell>
          <cell r="EL961">
            <v>0</v>
          </cell>
          <cell r="EM961">
            <v>0</v>
          </cell>
          <cell r="EN961">
            <v>0</v>
          </cell>
          <cell r="EO961">
            <v>0</v>
          </cell>
          <cell r="EP961">
            <v>0</v>
          </cell>
          <cell r="EQ961">
            <v>0</v>
          </cell>
          <cell r="ER961">
            <v>0</v>
          </cell>
          <cell r="ES961">
            <v>0</v>
          </cell>
          <cell r="ET961">
            <v>0</v>
          </cell>
          <cell r="EU961">
            <v>0</v>
          </cell>
          <cell r="EV961">
            <v>0</v>
          </cell>
          <cell r="EW961">
            <v>0</v>
          </cell>
          <cell r="EY961">
            <v>0</v>
          </cell>
          <cell r="EZ961">
            <v>8</v>
          </cell>
          <cell r="FA961">
            <v>0</v>
          </cell>
          <cell r="FB961">
            <v>0</v>
          </cell>
          <cell r="FC961">
            <v>8.6</v>
          </cell>
          <cell r="FD961">
            <v>0</v>
          </cell>
          <cell r="FE961">
            <v>0</v>
          </cell>
          <cell r="FF961">
            <v>0</v>
          </cell>
          <cell r="FH961">
            <v>0</v>
          </cell>
        </row>
        <row r="962">
          <cell r="B962">
            <v>10093</v>
          </cell>
          <cell r="C962" t="str">
            <v>10.10.2013</v>
          </cell>
          <cell r="D962" t="str">
            <v>Jadhav Mahendra Laxman</v>
          </cell>
          <cell r="F962">
            <v>0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R962">
            <v>0</v>
          </cell>
          <cell r="S962">
            <v>0</v>
          </cell>
          <cell r="T962">
            <v>0</v>
          </cell>
          <cell r="U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0</v>
          </cell>
          <cell r="AA962">
            <v>0</v>
          </cell>
          <cell r="AB962">
            <v>0</v>
          </cell>
          <cell r="AC962">
            <v>0</v>
          </cell>
          <cell r="AD962">
            <v>0</v>
          </cell>
          <cell r="AE962">
            <v>0</v>
          </cell>
          <cell r="AG962">
            <v>0</v>
          </cell>
          <cell r="AH962">
            <v>0</v>
          </cell>
          <cell r="AI962">
            <v>0</v>
          </cell>
          <cell r="AJ962">
            <v>0</v>
          </cell>
          <cell r="AK962">
            <v>0</v>
          </cell>
          <cell r="AL962">
            <v>0</v>
          </cell>
          <cell r="AM962">
            <v>0</v>
          </cell>
          <cell r="AN962">
            <v>0</v>
          </cell>
          <cell r="AO962">
            <v>0</v>
          </cell>
          <cell r="AQ962">
            <v>0</v>
          </cell>
          <cell r="AR962">
            <v>0</v>
          </cell>
          <cell r="AS962">
            <v>0</v>
          </cell>
          <cell r="AT962">
            <v>0</v>
          </cell>
          <cell r="AU962">
            <v>0</v>
          </cell>
          <cell r="AV962">
            <v>0</v>
          </cell>
          <cell r="AW962">
            <v>0</v>
          </cell>
          <cell r="AX962">
            <v>0</v>
          </cell>
          <cell r="AY962">
            <v>0</v>
          </cell>
          <cell r="BA962">
            <v>0</v>
          </cell>
          <cell r="BB962">
            <v>0</v>
          </cell>
          <cell r="BC962">
            <v>0</v>
          </cell>
          <cell r="BD962">
            <v>0</v>
          </cell>
          <cell r="BE962">
            <v>0</v>
          </cell>
          <cell r="BF962">
            <v>0</v>
          </cell>
          <cell r="BG962">
            <v>0</v>
          </cell>
          <cell r="BH962">
            <v>0</v>
          </cell>
          <cell r="BI962">
            <v>0</v>
          </cell>
          <cell r="BK962">
            <v>0</v>
          </cell>
          <cell r="BL962">
            <v>0</v>
          </cell>
          <cell r="BM962">
            <v>0</v>
          </cell>
          <cell r="BN962">
            <v>0</v>
          </cell>
          <cell r="BO962">
            <v>0</v>
          </cell>
          <cell r="BP962">
            <v>0</v>
          </cell>
          <cell r="BQ962">
            <v>0</v>
          </cell>
          <cell r="BR962">
            <v>0</v>
          </cell>
          <cell r="BS962">
            <v>0</v>
          </cell>
          <cell r="BU962">
            <v>0</v>
          </cell>
          <cell r="BV962">
            <v>0</v>
          </cell>
          <cell r="BW962">
            <v>0</v>
          </cell>
          <cell r="BX962">
            <v>0</v>
          </cell>
          <cell r="BY962">
            <v>0</v>
          </cell>
          <cell r="BZ962">
            <v>0</v>
          </cell>
          <cell r="CA962">
            <v>0</v>
          </cell>
          <cell r="CB962">
            <v>0</v>
          </cell>
          <cell r="CC962">
            <v>0</v>
          </cell>
          <cell r="CE962">
            <v>0</v>
          </cell>
          <cell r="CF962">
            <v>0</v>
          </cell>
          <cell r="CG962">
            <v>0</v>
          </cell>
          <cell r="CH962">
            <v>0</v>
          </cell>
          <cell r="CI962">
            <v>0</v>
          </cell>
          <cell r="CJ962">
            <v>0</v>
          </cell>
          <cell r="CK962">
            <v>0</v>
          </cell>
          <cell r="CL962">
            <v>0</v>
          </cell>
          <cell r="CM962">
            <v>0</v>
          </cell>
          <cell r="CO962">
            <v>0</v>
          </cell>
          <cell r="CP962">
            <v>0</v>
          </cell>
          <cell r="CQ962">
            <v>0</v>
          </cell>
          <cell r="CR962">
            <v>0</v>
          </cell>
          <cell r="CS962">
            <v>0</v>
          </cell>
          <cell r="CT962">
            <v>0</v>
          </cell>
          <cell r="CU962">
            <v>0</v>
          </cell>
          <cell r="CV962">
            <v>0</v>
          </cell>
          <cell r="CW962">
            <v>0</v>
          </cell>
          <cell r="CY962">
            <v>0</v>
          </cell>
          <cell r="CZ962">
            <v>0</v>
          </cell>
          <cell r="DA962">
            <v>0</v>
          </cell>
          <cell r="DB962">
            <v>0</v>
          </cell>
          <cell r="DC962">
            <v>0</v>
          </cell>
          <cell r="DD962">
            <v>0</v>
          </cell>
          <cell r="DE962">
            <v>0</v>
          </cell>
          <cell r="DF962">
            <v>0</v>
          </cell>
          <cell r="DG962">
            <v>0</v>
          </cell>
          <cell r="DI962">
            <v>0</v>
          </cell>
          <cell r="DJ962">
            <v>0</v>
          </cell>
          <cell r="DK962">
            <v>0</v>
          </cell>
          <cell r="DL962">
            <v>0</v>
          </cell>
          <cell r="DM962">
            <v>0</v>
          </cell>
          <cell r="DN962">
            <v>0</v>
          </cell>
          <cell r="DO962">
            <v>0</v>
          </cell>
          <cell r="DP962">
            <v>0</v>
          </cell>
          <cell r="DQ962">
            <v>0</v>
          </cell>
          <cell r="DR962">
            <v>0</v>
          </cell>
          <cell r="DS962">
            <v>0</v>
          </cell>
          <cell r="DT962">
            <v>0</v>
          </cell>
          <cell r="DU962">
            <v>0</v>
          </cell>
          <cell r="DW962">
            <v>0</v>
          </cell>
          <cell r="DX962">
            <v>0</v>
          </cell>
          <cell r="DY962">
            <v>0</v>
          </cell>
          <cell r="DZ962">
            <v>0</v>
          </cell>
          <cell r="EA962">
            <v>0</v>
          </cell>
          <cell r="EB962">
            <v>0</v>
          </cell>
          <cell r="EC962">
            <v>0</v>
          </cell>
          <cell r="ED962">
            <v>0</v>
          </cell>
          <cell r="EE962">
            <v>0</v>
          </cell>
          <cell r="EF962">
            <v>0</v>
          </cell>
          <cell r="EG962">
            <v>0</v>
          </cell>
          <cell r="EH962">
            <v>0</v>
          </cell>
          <cell r="EI962">
            <v>0</v>
          </cell>
          <cell r="EK962">
            <v>0</v>
          </cell>
          <cell r="EL962">
            <v>0</v>
          </cell>
          <cell r="EM962">
            <v>0</v>
          </cell>
          <cell r="EN962">
            <v>0</v>
          </cell>
          <cell r="EO962">
            <v>0</v>
          </cell>
          <cell r="EP962">
            <v>0</v>
          </cell>
          <cell r="EQ962">
            <v>0</v>
          </cell>
          <cell r="ER962">
            <v>0</v>
          </cell>
          <cell r="ES962">
            <v>0</v>
          </cell>
          <cell r="ET962">
            <v>0</v>
          </cell>
          <cell r="EU962">
            <v>0</v>
          </cell>
          <cell r="EV962">
            <v>0</v>
          </cell>
          <cell r="EW962">
            <v>0</v>
          </cell>
          <cell r="EY962">
            <v>0</v>
          </cell>
          <cell r="EZ962">
            <v>8</v>
          </cell>
          <cell r="FA962">
            <v>0</v>
          </cell>
          <cell r="FB962">
            <v>0</v>
          </cell>
          <cell r="FC962">
            <v>8.6</v>
          </cell>
          <cell r="FD962">
            <v>0</v>
          </cell>
          <cell r="FE962">
            <v>0</v>
          </cell>
          <cell r="FF962">
            <v>0</v>
          </cell>
          <cell r="FH962">
            <v>0</v>
          </cell>
        </row>
        <row r="963">
          <cell r="B963">
            <v>10094</v>
          </cell>
          <cell r="C963" t="str">
            <v>10.10.2013</v>
          </cell>
          <cell r="D963" t="str">
            <v>Baid Sonu Gamesingh</v>
          </cell>
          <cell r="F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  <cell r="AG963">
            <v>0</v>
          </cell>
          <cell r="AH963">
            <v>0</v>
          </cell>
          <cell r="AI963">
            <v>0</v>
          </cell>
          <cell r="AJ963">
            <v>0</v>
          </cell>
          <cell r="AK963">
            <v>0</v>
          </cell>
          <cell r="AL963">
            <v>0</v>
          </cell>
          <cell r="AM963">
            <v>0</v>
          </cell>
          <cell r="AN963">
            <v>0</v>
          </cell>
          <cell r="AO963">
            <v>0</v>
          </cell>
          <cell r="AQ963">
            <v>0</v>
          </cell>
          <cell r="AR963">
            <v>0</v>
          </cell>
          <cell r="AS963">
            <v>0</v>
          </cell>
          <cell r="AT963">
            <v>0</v>
          </cell>
          <cell r="AU963">
            <v>0</v>
          </cell>
          <cell r="AV963">
            <v>0</v>
          </cell>
          <cell r="AW963">
            <v>0</v>
          </cell>
          <cell r="AX963">
            <v>0</v>
          </cell>
          <cell r="AY963">
            <v>0</v>
          </cell>
          <cell r="BA963">
            <v>0</v>
          </cell>
          <cell r="BB963">
            <v>0</v>
          </cell>
          <cell r="BC963">
            <v>0</v>
          </cell>
          <cell r="BD963">
            <v>0</v>
          </cell>
          <cell r="BE963">
            <v>0</v>
          </cell>
          <cell r="BF963">
            <v>0</v>
          </cell>
          <cell r="BG963">
            <v>0</v>
          </cell>
          <cell r="BH963">
            <v>0</v>
          </cell>
          <cell r="BI963">
            <v>0</v>
          </cell>
          <cell r="BK963">
            <v>0</v>
          </cell>
          <cell r="BL963">
            <v>0</v>
          </cell>
          <cell r="BM963">
            <v>0</v>
          </cell>
          <cell r="BN963">
            <v>0</v>
          </cell>
          <cell r="BO963">
            <v>0</v>
          </cell>
          <cell r="BP963">
            <v>0</v>
          </cell>
          <cell r="BQ963">
            <v>0</v>
          </cell>
          <cell r="BR963">
            <v>0</v>
          </cell>
          <cell r="BS963">
            <v>0</v>
          </cell>
          <cell r="BU963">
            <v>0</v>
          </cell>
          <cell r="BV963">
            <v>0</v>
          </cell>
          <cell r="BW963">
            <v>0</v>
          </cell>
          <cell r="BX963">
            <v>0</v>
          </cell>
          <cell r="BY963">
            <v>0</v>
          </cell>
          <cell r="BZ963">
            <v>0</v>
          </cell>
          <cell r="CA963">
            <v>0</v>
          </cell>
          <cell r="CB963">
            <v>0</v>
          </cell>
          <cell r="CC963">
            <v>0</v>
          </cell>
          <cell r="CE963">
            <v>0</v>
          </cell>
          <cell r="CF963">
            <v>0</v>
          </cell>
          <cell r="CG963">
            <v>0</v>
          </cell>
          <cell r="CH963">
            <v>0</v>
          </cell>
          <cell r="CI963">
            <v>0</v>
          </cell>
          <cell r="CJ963">
            <v>0</v>
          </cell>
          <cell r="CK963">
            <v>0</v>
          </cell>
          <cell r="CL963">
            <v>0</v>
          </cell>
          <cell r="CM963">
            <v>0</v>
          </cell>
          <cell r="CO963">
            <v>0</v>
          </cell>
          <cell r="CP963">
            <v>0</v>
          </cell>
          <cell r="CQ963">
            <v>0</v>
          </cell>
          <cell r="CR963">
            <v>0</v>
          </cell>
          <cell r="CS963">
            <v>0</v>
          </cell>
          <cell r="CT963">
            <v>0</v>
          </cell>
          <cell r="CU963">
            <v>0</v>
          </cell>
          <cell r="CV963">
            <v>0</v>
          </cell>
          <cell r="CW963">
            <v>0</v>
          </cell>
          <cell r="CY963">
            <v>0</v>
          </cell>
          <cell r="CZ963">
            <v>0</v>
          </cell>
          <cell r="DA963">
            <v>0</v>
          </cell>
          <cell r="DB963">
            <v>0</v>
          </cell>
          <cell r="DC963">
            <v>0</v>
          </cell>
          <cell r="DD963">
            <v>0</v>
          </cell>
          <cell r="DE963">
            <v>0</v>
          </cell>
          <cell r="DF963">
            <v>0</v>
          </cell>
          <cell r="DG963">
            <v>0</v>
          </cell>
          <cell r="DI963">
            <v>0</v>
          </cell>
          <cell r="DJ963">
            <v>0</v>
          </cell>
          <cell r="DK963">
            <v>0</v>
          </cell>
          <cell r="DL963">
            <v>0</v>
          </cell>
          <cell r="DM963">
            <v>0</v>
          </cell>
          <cell r="DN963">
            <v>0</v>
          </cell>
          <cell r="DO963">
            <v>0</v>
          </cell>
          <cell r="DP963">
            <v>0</v>
          </cell>
          <cell r="DQ963">
            <v>0</v>
          </cell>
          <cell r="DR963">
            <v>0</v>
          </cell>
          <cell r="DS963">
            <v>0</v>
          </cell>
          <cell r="DT963">
            <v>0</v>
          </cell>
          <cell r="DU963">
            <v>0</v>
          </cell>
          <cell r="DW963">
            <v>0</v>
          </cell>
          <cell r="DX963">
            <v>0</v>
          </cell>
          <cell r="DY963">
            <v>0</v>
          </cell>
          <cell r="DZ963">
            <v>0</v>
          </cell>
          <cell r="EA963">
            <v>0</v>
          </cell>
          <cell r="EB963">
            <v>0</v>
          </cell>
          <cell r="EC963">
            <v>0</v>
          </cell>
          <cell r="ED963">
            <v>0</v>
          </cell>
          <cell r="EE963">
            <v>0</v>
          </cell>
          <cell r="EF963">
            <v>0</v>
          </cell>
          <cell r="EG963">
            <v>0</v>
          </cell>
          <cell r="EH963">
            <v>0</v>
          </cell>
          <cell r="EI963">
            <v>0</v>
          </cell>
          <cell r="EK963">
            <v>0</v>
          </cell>
          <cell r="EL963">
            <v>0</v>
          </cell>
          <cell r="EM963">
            <v>0</v>
          </cell>
          <cell r="EN963">
            <v>0</v>
          </cell>
          <cell r="EO963">
            <v>0</v>
          </cell>
          <cell r="EP963">
            <v>0</v>
          </cell>
          <cell r="EQ963">
            <v>0</v>
          </cell>
          <cell r="ER963">
            <v>0</v>
          </cell>
          <cell r="ES963">
            <v>0</v>
          </cell>
          <cell r="ET963">
            <v>0</v>
          </cell>
          <cell r="EU963">
            <v>0</v>
          </cell>
          <cell r="EV963">
            <v>0</v>
          </cell>
          <cell r="EW963">
            <v>0</v>
          </cell>
          <cell r="EY963">
            <v>0</v>
          </cell>
          <cell r="EZ963">
            <v>8</v>
          </cell>
          <cell r="FA963">
            <v>0</v>
          </cell>
          <cell r="FB963">
            <v>0</v>
          </cell>
          <cell r="FC963">
            <v>8.6</v>
          </cell>
          <cell r="FD963">
            <v>0</v>
          </cell>
          <cell r="FE963">
            <v>0</v>
          </cell>
          <cell r="FF963">
            <v>0</v>
          </cell>
          <cell r="FH963">
            <v>0</v>
          </cell>
        </row>
        <row r="964">
          <cell r="B964">
            <v>10095</v>
          </cell>
          <cell r="C964" t="str">
            <v>10.10.2013</v>
          </cell>
          <cell r="D964" t="str">
            <v>Ahire Vicky Kailas</v>
          </cell>
          <cell r="F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0</v>
          </cell>
          <cell r="R964">
            <v>0</v>
          </cell>
          <cell r="S964">
            <v>0</v>
          </cell>
          <cell r="T964">
            <v>0</v>
          </cell>
          <cell r="U964">
            <v>0</v>
          </cell>
          <cell r="W964">
            <v>0</v>
          </cell>
          <cell r="X964">
            <v>0</v>
          </cell>
          <cell r="Y964">
            <v>0</v>
          </cell>
          <cell r="Z964">
            <v>0</v>
          </cell>
          <cell r="AA964">
            <v>0</v>
          </cell>
          <cell r="AB964">
            <v>0</v>
          </cell>
          <cell r="AC964">
            <v>0</v>
          </cell>
          <cell r="AD964">
            <v>0</v>
          </cell>
          <cell r="AE964">
            <v>0</v>
          </cell>
          <cell r="AG964">
            <v>0</v>
          </cell>
          <cell r="AH964">
            <v>0</v>
          </cell>
          <cell r="AI964">
            <v>0</v>
          </cell>
          <cell r="AJ964">
            <v>0</v>
          </cell>
          <cell r="AK964">
            <v>0</v>
          </cell>
          <cell r="AL964">
            <v>0</v>
          </cell>
          <cell r="AM964">
            <v>0</v>
          </cell>
          <cell r="AN964">
            <v>0</v>
          </cell>
          <cell r="AO964">
            <v>0</v>
          </cell>
          <cell r="AQ964">
            <v>0</v>
          </cell>
          <cell r="AR964">
            <v>0</v>
          </cell>
          <cell r="AS964">
            <v>0</v>
          </cell>
          <cell r="AT964">
            <v>0</v>
          </cell>
          <cell r="AU964">
            <v>0</v>
          </cell>
          <cell r="AV964">
            <v>0</v>
          </cell>
          <cell r="AW964">
            <v>0</v>
          </cell>
          <cell r="AX964">
            <v>0</v>
          </cell>
          <cell r="AY964">
            <v>0</v>
          </cell>
          <cell r="BA964">
            <v>0</v>
          </cell>
          <cell r="BB964">
            <v>0</v>
          </cell>
          <cell r="BC964">
            <v>0</v>
          </cell>
          <cell r="BD964">
            <v>0</v>
          </cell>
          <cell r="BE964">
            <v>0</v>
          </cell>
          <cell r="BF964">
            <v>0</v>
          </cell>
          <cell r="BG964">
            <v>0</v>
          </cell>
          <cell r="BH964">
            <v>0</v>
          </cell>
          <cell r="BI964">
            <v>0</v>
          </cell>
          <cell r="BK964">
            <v>0</v>
          </cell>
          <cell r="BL964">
            <v>0</v>
          </cell>
          <cell r="BM964">
            <v>0</v>
          </cell>
          <cell r="BN964">
            <v>0</v>
          </cell>
          <cell r="BO964">
            <v>0</v>
          </cell>
          <cell r="BP964">
            <v>0</v>
          </cell>
          <cell r="BQ964">
            <v>0</v>
          </cell>
          <cell r="BR964">
            <v>0</v>
          </cell>
          <cell r="BS964">
            <v>0</v>
          </cell>
          <cell r="BU964">
            <v>0</v>
          </cell>
          <cell r="BV964">
            <v>0</v>
          </cell>
          <cell r="BW964">
            <v>0</v>
          </cell>
          <cell r="BX964">
            <v>0</v>
          </cell>
          <cell r="BY964">
            <v>0</v>
          </cell>
          <cell r="BZ964">
            <v>0</v>
          </cell>
          <cell r="CA964">
            <v>0</v>
          </cell>
          <cell r="CB964">
            <v>0</v>
          </cell>
          <cell r="CC964">
            <v>0</v>
          </cell>
          <cell r="CE964">
            <v>0</v>
          </cell>
          <cell r="CF964">
            <v>0</v>
          </cell>
          <cell r="CG964">
            <v>0</v>
          </cell>
          <cell r="CH964">
            <v>0</v>
          </cell>
          <cell r="CI964">
            <v>0</v>
          </cell>
          <cell r="CJ964">
            <v>0</v>
          </cell>
          <cell r="CK964">
            <v>0</v>
          </cell>
          <cell r="CL964">
            <v>0</v>
          </cell>
          <cell r="CM964">
            <v>0</v>
          </cell>
          <cell r="CO964">
            <v>0</v>
          </cell>
          <cell r="CP964">
            <v>0</v>
          </cell>
          <cell r="CQ964">
            <v>0</v>
          </cell>
          <cell r="CR964">
            <v>0</v>
          </cell>
          <cell r="CS964">
            <v>0</v>
          </cell>
          <cell r="CT964">
            <v>0</v>
          </cell>
          <cell r="CU964">
            <v>0</v>
          </cell>
          <cell r="CV964">
            <v>0</v>
          </cell>
          <cell r="CW964">
            <v>0</v>
          </cell>
          <cell r="CY964">
            <v>0</v>
          </cell>
          <cell r="CZ964">
            <v>0</v>
          </cell>
          <cell r="DA964">
            <v>0</v>
          </cell>
          <cell r="DB964">
            <v>0</v>
          </cell>
          <cell r="DC964">
            <v>0</v>
          </cell>
          <cell r="DD964">
            <v>0</v>
          </cell>
          <cell r="DE964">
            <v>0</v>
          </cell>
          <cell r="DF964">
            <v>0</v>
          </cell>
          <cell r="DG964">
            <v>0</v>
          </cell>
          <cell r="DI964">
            <v>0</v>
          </cell>
          <cell r="DJ964">
            <v>0</v>
          </cell>
          <cell r="DK964">
            <v>0</v>
          </cell>
          <cell r="DL964">
            <v>0</v>
          </cell>
          <cell r="DM964">
            <v>0</v>
          </cell>
          <cell r="DN964">
            <v>0</v>
          </cell>
          <cell r="DO964">
            <v>0</v>
          </cell>
          <cell r="DP964">
            <v>0</v>
          </cell>
          <cell r="DQ964">
            <v>0</v>
          </cell>
          <cell r="DR964">
            <v>0</v>
          </cell>
          <cell r="DS964">
            <v>0</v>
          </cell>
          <cell r="DT964">
            <v>0</v>
          </cell>
          <cell r="DU964">
            <v>0</v>
          </cell>
          <cell r="DW964">
            <v>0</v>
          </cell>
          <cell r="DX964">
            <v>0</v>
          </cell>
          <cell r="DY964">
            <v>0</v>
          </cell>
          <cell r="DZ964">
            <v>0</v>
          </cell>
          <cell r="EA964">
            <v>0</v>
          </cell>
          <cell r="EB964">
            <v>0</v>
          </cell>
          <cell r="EC964">
            <v>0</v>
          </cell>
          <cell r="ED964">
            <v>0</v>
          </cell>
          <cell r="EE964">
            <v>0</v>
          </cell>
          <cell r="EF964">
            <v>0</v>
          </cell>
          <cell r="EG964">
            <v>0</v>
          </cell>
          <cell r="EH964">
            <v>0</v>
          </cell>
          <cell r="EI964">
            <v>0</v>
          </cell>
          <cell r="EK964">
            <v>0</v>
          </cell>
          <cell r="EL964">
            <v>0</v>
          </cell>
          <cell r="EM964">
            <v>0</v>
          </cell>
          <cell r="EN964">
            <v>0</v>
          </cell>
          <cell r="EO964">
            <v>0</v>
          </cell>
          <cell r="EP964">
            <v>0</v>
          </cell>
          <cell r="EQ964">
            <v>0</v>
          </cell>
          <cell r="ER964">
            <v>0</v>
          </cell>
          <cell r="ES964">
            <v>0</v>
          </cell>
          <cell r="ET964">
            <v>0</v>
          </cell>
          <cell r="EU964">
            <v>0</v>
          </cell>
          <cell r="EV964">
            <v>0</v>
          </cell>
          <cell r="EW964">
            <v>0</v>
          </cell>
          <cell r="EY964">
            <v>0</v>
          </cell>
          <cell r="EZ964">
            <v>8</v>
          </cell>
          <cell r="FA964">
            <v>0</v>
          </cell>
          <cell r="FB964">
            <v>0</v>
          </cell>
          <cell r="FC964">
            <v>8.6</v>
          </cell>
          <cell r="FD964">
            <v>0</v>
          </cell>
          <cell r="FE964">
            <v>0</v>
          </cell>
          <cell r="FF964">
            <v>0</v>
          </cell>
          <cell r="FH964">
            <v>0</v>
          </cell>
        </row>
        <row r="965">
          <cell r="B965">
            <v>10096</v>
          </cell>
          <cell r="C965" t="str">
            <v>10.10.2013</v>
          </cell>
          <cell r="D965" t="str">
            <v>Chavan Prashant Vasant</v>
          </cell>
          <cell r="F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0</v>
          </cell>
          <cell r="AC965">
            <v>0</v>
          </cell>
          <cell r="AD965">
            <v>0</v>
          </cell>
          <cell r="AE965">
            <v>0</v>
          </cell>
          <cell r="AG965">
            <v>0</v>
          </cell>
          <cell r="AH965">
            <v>0</v>
          </cell>
          <cell r="AI965">
            <v>0</v>
          </cell>
          <cell r="AJ965">
            <v>0</v>
          </cell>
          <cell r="AK965">
            <v>0</v>
          </cell>
          <cell r="AL965">
            <v>0</v>
          </cell>
          <cell r="AM965">
            <v>0</v>
          </cell>
          <cell r="AN965">
            <v>0</v>
          </cell>
          <cell r="AO965">
            <v>0</v>
          </cell>
          <cell r="AQ965">
            <v>0</v>
          </cell>
          <cell r="AR965">
            <v>0</v>
          </cell>
          <cell r="AS965">
            <v>0</v>
          </cell>
          <cell r="AT965">
            <v>0</v>
          </cell>
          <cell r="AU965">
            <v>0</v>
          </cell>
          <cell r="AV965">
            <v>0</v>
          </cell>
          <cell r="AW965">
            <v>0</v>
          </cell>
          <cell r="AX965">
            <v>0</v>
          </cell>
          <cell r="AY965">
            <v>0</v>
          </cell>
          <cell r="BA965">
            <v>0</v>
          </cell>
          <cell r="BB965">
            <v>0</v>
          </cell>
          <cell r="BC965">
            <v>0</v>
          </cell>
          <cell r="BD965">
            <v>0</v>
          </cell>
          <cell r="BE965">
            <v>0</v>
          </cell>
          <cell r="BF965">
            <v>0</v>
          </cell>
          <cell r="BG965">
            <v>0</v>
          </cell>
          <cell r="BH965">
            <v>0</v>
          </cell>
          <cell r="BI965">
            <v>0</v>
          </cell>
          <cell r="BK965">
            <v>0</v>
          </cell>
          <cell r="BL965">
            <v>0</v>
          </cell>
          <cell r="BM965">
            <v>0</v>
          </cell>
          <cell r="BN965">
            <v>0</v>
          </cell>
          <cell r="BO965">
            <v>0</v>
          </cell>
          <cell r="BP965">
            <v>0</v>
          </cell>
          <cell r="BQ965">
            <v>0</v>
          </cell>
          <cell r="BR965">
            <v>0</v>
          </cell>
          <cell r="BS965">
            <v>0</v>
          </cell>
          <cell r="BU965">
            <v>0</v>
          </cell>
          <cell r="BV965">
            <v>0</v>
          </cell>
          <cell r="BW965">
            <v>0</v>
          </cell>
          <cell r="BX965">
            <v>0</v>
          </cell>
          <cell r="BY965">
            <v>0</v>
          </cell>
          <cell r="BZ965">
            <v>0</v>
          </cell>
          <cell r="CA965">
            <v>0</v>
          </cell>
          <cell r="CB965">
            <v>0</v>
          </cell>
          <cell r="CC965">
            <v>0</v>
          </cell>
          <cell r="CE965">
            <v>0</v>
          </cell>
          <cell r="CF965">
            <v>0</v>
          </cell>
          <cell r="CG965">
            <v>0</v>
          </cell>
          <cell r="CH965">
            <v>0</v>
          </cell>
          <cell r="CI965">
            <v>0</v>
          </cell>
          <cell r="CJ965">
            <v>0</v>
          </cell>
          <cell r="CK965">
            <v>0</v>
          </cell>
          <cell r="CL965">
            <v>0</v>
          </cell>
          <cell r="CM965">
            <v>0</v>
          </cell>
          <cell r="CO965">
            <v>0</v>
          </cell>
          <cell r="CP965">
            <v>0</v>
          </cell>
          <cell r="CQ965">
            <v>0</v>
          </cell>
          <cell r="CR965">
            <v>0</v>
          </cell>
          <cell r="CS965">
            <v>0</v>
          </cell>
          <cell r="CT965">
            <v>0</v>
          </cell>
          <cell r="CU965">
            <v>0</v>
          </cell>
          <cell r="CV965">
            <v>0</v>
          </cell>
          <cell r="CW965">
            <v>0</v>
          </cell>
          <cell r="CY965">
            <v>0</v>
          </cell>
          <cell r="CZ965">
            <v>0</v>
          </cell>
          <cell r="DA965">
            <v>0</v>
          </cell>
          <cell r="DB965">
            <v>0</v>
          </cell>
          <cell r="DC965">
            <v>0</v>
          </cell>
          <cell r="DD965">
            <v>0</v>
          </cell>
          <cell r="DE965">
            <v>0</v>
          </cell>
          <cell r="DF965">
            <v>0</v>
          </cell>
          <cell r="DG965">
            <v>0</v>
          </cell>
          <cell r="DI965">
            <v>0</v>
          </cell>
          <cell r="DJ965">
            <v>0</v>
          </cell>
          <cell r="DK965">
            <v>0</v>
          </cell>
          <cell r="DL965">
            <v>0</v>
          </cell>
          <cell r="DM965">
            <v>0</v>
          </cell>
          <cell r="DN965">
            <v>0</v>
          </cell>
          <cell r="DO965">
            <v>0</v>
          </cell>
          <cell r="DP965">
            <v>0</v>
          </cell>
          <cell r="DQ965">
            <v>0</v>
          </cell>
          <cell r="DR965">
            <v>0</v>
          </cell>
          <cell r="DS965">
            <v>0</v>
          </cell>
          <cell r="DT965">
            <v>0</v>
          </cell>
          <cell r="DU965">
            <v>0</v>
          </cell>
          <cell r="DW965">
            <v>0</v>
          </cell>
          <cell r="DX965">
            <v>0</v>
          </cell>
          <cell r="DY965">
            <v>0</v>
          </cell>
          <cell r="DZ965">
            <v>0</v>
          </cell>
          <cell r="EA965">
            <v>0</v>
          </cell>
          <cell r="EB965">
            <v>0</v>
          </cell>
          <cell r="EC965">
            <v>0</v>
          </cell>
          <cell r="ED965">
            <v>0</v>
          </cell>
          <cell r="EE965">
            <v>0</v>
          </cell>
          <cell r="EF965">
            <v>0</v>
          </cell>
          <cell r="EG965">
            <v>0</v>
          </cell>
          <cell r="EH965">
            <v>0</v>
          </cell>
          <cell r="EI965">
            <v>0</v>
          </cell>
          <cell r="EK965">
            <v>0</v>
          </cell>
          <cell r="EL965">
            <v>0</v>
          </cell>
          <cell r="EM965">
            <v>0</v>
          </cell>
          <cell r="EN965">
            <v>0</v>
          </cell>
          <cell r="EO965">
            <v>0</v>
          </cell>
          <cell r="EP965">
            <v>0</v>
          </cell>
          <cell r="EQ965">
            <v>0</v>
          </cell>
          <cell r="ER965">
            <v>0</v>
          </cell>
          <cell r="ES965">
            <v>0</v>
          </cell>
          <cell r="ET965">
            <v>0</v>
          </cell>
          <cell r="EU965">
            <v>0</v>
          </cell>
          <cell r="EV965">
            <v>0</v>
          </cell>
          <cell r="EW965">
            <v>0</v>
          </cell>
          <cell r="EY965">
            <v>0</v>
          </cell>
          <cell r="EZ965">
            <v>8</v>
          </cell>
          <cell r="FA965">
            <v>0</v>
          </cell>
          <cell r="FB965">
            <v>0</v>
          </cell>
          <cell r="FC965">
            <v>8.6</v>
          </cell>
          <cell r="FD965">
            <v>0</v>
          </cell>
          <cell r="FE965">
            <v>0</v>
          </cell>
          <cell r="FF965">
            <v>0</v>
          </cell>
          <cell r="FH965">
            <v>0</v>
          </cell>
        </row>
        <row r="966">
          <cell r="B966">
            <v>10097</v>
          </cell>
          <cell r="C966" t="str">
            <v>10.10.2013</v>
          </cell>
          <cell r="D966" t="str">
            <v>Gaikwad Rameshwari Madhukar</v>
          </cell>
          <cell r="F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G966">
            <v>0</v>
          </cell>
          <cell r="AH966">
            <v>0</v>
          </cell>
          <cell r="AI966">
            <v>0</v>
          </cell>
          <cell r="AJ966">
            <v>0</v>
          </cell>
          <cell r="AK966">
            <v>0</v>
          </cell>
          <cell r="AL966">
            <v>0</v>
          </cell>
          <cell r="AM966">
            <v>0</v>
          </cell>
          <cell r="AN966">
            <v>0</v>
          </cell>
          <cell r="AO966">
            <v>0</v>
          </cell>
          <cell r="AQ966">
            <v>0</v>
          </cell>
          <cell r="AR966">
            <v>0</v>
          </cell>
          <cell r="AS966">
            <v>0</v>
          </cell>
          <cell r="AT966">
            <v>0</v>
          </cell>
          <cell r="AU966">
            <v>0</v>
          </cell>
          <cell r="AV966">
            <v>0</v>
          </cell>
          <cell r="AW966">
            <v>0</v>
          </cell>
          <cell r="AX966">
            <v>0</v>
          </cell>
          <cell r="AY966">
            <v>0</v>
          </cell>
          <cell r="BA966">
            <v>0</v>
          </cell>
          <cell r="BB966">
            <v>0</v>
          </cell>
          <cell r="BC966">
            <v>0</v>
          </cell>
          <cell r="BD966">
            <v>0</v>
          </cell>
          <cell r="BE966">
            <v>0</v>
          </cell>
          <cell r="BF966">
            <v>0</v>
          </cell>
          <cell r="BG966">
            <v>0</v>
          </cell>
          <cell r="BH966">
            <v>0</v>
          </cell>
          <cell r="BI966">
            <v>0</v>
          </cell>
          <cell r="BK966">
            <v>0</v>
          </cell>
          <cell r="BL966">
            <v>0</v>
          </cell>
          <cell r="BM966">
            <v>0</v>
          </cell>
          <cell r="BN966">
            <v>0</v>
          </cell>
          <cell r="BO966">
            <v>0</v>
          </cell>
          <cell r="BP966">
            <v>0</v>
          </cell>
          <cell r="BQ966">
            <v>0</v>
          </cell>
          <cell r="BR966">
            <v>0</v>
          </cell>
          <cell r="BS966">
            <v>0</v>
          </cell>
          <cell r="BU966">
            <v>0</v>
          </cell>
          <cell r="BV966">
            <v>0</v>
          </cell>
          <cell r="BW966">
            <v>0</v>
          </cell>
          <cell r="BX966">
            <v>0</v>
          </cell>
          <cell r="BY966">
            <v>0</v>
          </cell>
          <cell r="BZ966">
            <v>0</v>
          </cell>
          <cell r="CA966">
            <v>0</v>
          </cell>
          <cell r="CB966">
            <v>0</v>
          </cell>
          <cell r="CC966">
            <v>0</v>
          </cell>
          <cell r="CE966">
            <v>0</v>
          </cell>
          <cell r="CF966">
            <v>0</v>
          </cell>
          <cell r="CG966">
            <v>0</v>
          </cell>
          <cell r="CH966">
            <v>0</v>
          </cell>
          <cell r="CI966">
            <v>0</v>
          </cell>
          <cell r="CJ966">
            <v>0</v>
          </cell>
          <cell r="CK966">
            <v>0</v>
          </cell>
          <cell r="CL966">
            <v>0</v>
          </cell>
          <cell r="CM966">
            <v>0</v>
          </cell>
          <cell r="CO966">
            <v>0</v>
          </cell>
          <cell r="CP966">
            <v>0</v>
          </cell>
          <cell r="CQ966">
            <v>0</v>
          </cell>
          <cell r="CR966">
            <v>0</v>
          </cell>
          <cell r="CS966">
            <v>0</v>
          </cell>
          <cell r="CT966">
            <v>0</v>
          </cell>
          <cell r="CU966">
            <v>0</v>
          </cell>
          <cell r="CV966">
            <v>0</v>
          </cell>
          <cell r="CW966">
            <v>0</v>
          </cell>
          <cell r="CY966">
            <v>0</v>
          </cell>
          <cell r="CZ966">
            <v>0</v>
          </cell>
          <cell r="DA966">
            <v>0</v>
          </cell>
          <cell r="DB966">
            <v>0</v>
          </cell>
          <cell r="DC966">
            <v>0</v>
          </cell>
          <cell r="DD966">
            <v>0</v>
          </cell>
          <cell r="DE966">
            <v>0</v>
          </cell>
          <cell r="DF966">
            <v>0</v>
          </cell>
          <cell r="DG966">
            <v>0</v>
          </cell>
          <cell r="DI966">
            <v>0</v>
          </cell>
          <cell r="DJ966">
            <v>0</v>
          </cell>
          <cell r="DK966">
            <v>0</v>
          </cell>
          <cell r="DL966">
            <v>0</v>
          </cell>
          <cell r="DM966">
            <v>0</v>
          </cell>
          <cell r="DN966">
            <v>0</v>
          </cell>
          <cell r="DO966">
            <v>0</v>
          </cell>
          <cell r="DP966">
            <v>0</v>
          </cell>
          <cell r="DQ966">
            <v>0</v>
          </cell>
          <cell r="DR966">
            <v>0</v>
          </cell>
          <cell r="DS966">
            <v>0</v>
          </cell>
          <cell r="DT966">
            <v>0</v>
          </cell>
          <cell r="DU966">
            <v>0</v>
          </cell>
          <cell r="DW966">
            <v>0</v>
          </cell>
          <cell r="DX966">
            <v>0</v>
          </cell>
          <cell r="DY966">
            <v>0</v>
          </cell>
          <cell r="DZ966">
            <v>0</v>
          </cell>
          <cell r="EA966">
            <v>0</v>
          </cell>
          <cell r="EB966">
            <v>0</v>
          </cell>
          <cell r="EC966">
            <v>0</v>
          </cell>
          <cell r="ED966">
            <v>0</v>
          </cell>
          <cell r="EE966">
            <v>0</v>
          </cell>
          <cell r="EF966">
            <v>0</v>
          </cell>
          <cell r="EG966">
            <v>0</v>
          </cell>
          <cell r="EH966">
            <v>0</v>
          </cell>
          <cell r="EI966">
            <v>0</v>
          </cell>
          <cell r="EK966">
            <v>0</v>
          </cell>
          <cell r="EL966">
            <v>0</v>
          </cell>
          <cell r="EM966">
            <v>0</v>
          </cell>
          <cell r="EN966">
            <v>0</v>
          </cell>
          <cell r="EO966">
            <v>0</v>
          </cell>
          <cell r="EP966">
            <v>0</v>
          </cell>
          <cell r="EQ966">
            <v>0</v>
          </cell>
          <cell r="ER966">
            <v>0</v>
          </cell>
          <cell r="ES966">
            <v>0</v>
          </cell>
          <cell r="ET966">
            <v>0</v>
          </cell>
          <cell r="EU966">
            <v>0</v>
          </cell>
          <cell r="EV966">
            <v>0</v>
          </cell>
          <cell r="EW966">
            <v>0</v>
          </cell>
          <cell r="EY966">
            <v>0</v>
          </cell>
          <cell r="EZ966">
            <v>8</v>
          </cell>
          <cell r="FA966">
            <v>0</v>
          </cell>
          <cell r="FB966">
            <v>0</v>
          </cell>
          <cell r="FC966">
            <v>8.6</v>
          </cell>
          <cell r="FD966">
            <v>0</v>
          </cell>
          <cell r="FE966">
            <v>0</v>
          </cell>
          <cell r="FF966">
            <v>0</v>
          </cell>
          <cell r="FH966">
            <v>0</v>
          </cell>
        </row>
        <row r="967">
          <cell r="B967">
            <v>10098</v>
          </cell>
          <cell r="C967" t="str">
            <v>10.10.2013</v>
          </cell>
          <cell r="D967" t="str">
            <v>Parmar Maya Rajendra</v>
          </cell>
          <cell r="F967">
            <v>0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0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0</v>
          </cell>
          <cell r="AG967">
            <v>0</v>
          </cell>
          <cell r="AH967">
            <v>0</v>
          </cell>
          <cell r="AI967">
            <v>0</v>
          </cell>
          <cell r="AJ967">
            <v>0</v>
          </cell>
          <cell r="AK967">
            <v>0</v>
          </cell>
          <cell r="AL967">
            <v>0</v>
          </cell>
          <cell r="AM967">
            <v>0</v>
          </cell>
          <cell r="AN967">
            <v>0</v>
          </cell>
          <cell r="AO967">
            <v>0</v>
          </cell>
          <cell r="AQ967">
            <v>0</v>
          </cell>
          <cell r="AR967">
            <v>0</v>
          </cell>
          <cell r="AS967">
            <v>0</v>
          </cell>
          <cell r="AT967">
            <v>0</v>
          </cell>
          <cell r="AU967">
            <v>0</v>
          </cell>
          <cell r="AV967">
            <v>0</v>
          </cell>
          <cell r="AW967">
            <v>0</v>
          </cell>
          <cell r="AX967">
            <v>0</v>
          </cell>
          <cell r="AY967">
            <v>0</v>
          </cell>
          <cell r="BA967">
            <v>0</v>
          </cell>
          <cell r="BB967">
            <v>0</v>
          </cell>
          <cell r="BC967">
            <v>0</v>
          </cell>
          <cell r="BD967">
            <v>0</v>
          </cell>
          <cell r="BE967">
            <v>0</v>
          </cell>
          <cell r="BF967">
            <v>0</v>
          </cell>
          <cell r="BG967">
            <v>0</v>
          </cell>
          <cell r="BH967">
            <v>0</v>
          </cell>
          <cell r="BI967">
            <v>0</v>
          </cell>
          <cell r="BK967">
            <v>0</v>
          </cell>
          <cell r="BL967">
            <v>0</v>
          </cell>
          <cell r="BM967">
            <v>0</v>
          </cell>
          <cell r="BN967">
            <v>0</v>
          </cell>
          <cell r="BO967">
            <v>0</v>
          </cell>
          <cell r="BP967">
            <v>0</v>
          </cell>
          <cell r="BQ967">
            <v>0</v>
          </cell>
          <cell r="BR967">
            <v>0</v>
          </cell>
          <cell r="BS967">
            <v>0</v>
          </cell>
          <cell r="BU967">
            <v>0</v>
          </cell>
          <cell r="BV967">
            <v>0</v>
          </cell>
          <cell r="BW967">
            <v>0</v>
          </cell>
          <cell r="BX967">
            <v>0</v>
          </cell>
          <cell r="BY967">
            <v>0</v>
          </cell>
          <cell r="BZ967">
            <v>0</v>
          </cell>
          <cell r="CA967">
            <v>0</v>
          </cell>
          <cell r="CB967">
            <v>0</v>
          </cell>
          <cell r="CC967">
            <v>0</v>
          </cell>
          <cell r="CE967">
            <v>0</v>
          </cell>
          <cell r="CF967">
            <v>0</v>
          </cell>
          <cell r="CG967">
            <v>0</v>
          </cell>
          <cell r="CH967">
            <v>0</v>
          </cell>
          <cell r="CI967">
            <v>0</v>
          </cell>
          <cell r="CJ967">
            <v>0</v>
          </cell>
          <cell r="CK967">
            <v>0</v>
          </cell>
          <cell r="CL967">
            <v>0</v>
          </cell>
          <cell r="CM967">
            <v>0</v>
          </cell>
          <cell r="CO967">
            <v>0</v>
          </cell>
          <cell r="CP967">
            <v>0</v>
          </cell>
          <cell r="CQ967">
            <v>0</v>
          </cell>
          <cell r="CR967">
            <v>0</v>
          </cell>
          <cell r="CS967">
            <v>0</v>
          </cell>
          <cell r="CT967">
            <v>0</v>
          </cell>
          <cell r="CU967">
            <v>0</v>
          </cell>
          <cell r="CV967">
            <v>0</v>
          </cell>
          <cell r="CW967">
            <v>0</v>
          </cell>
          <cell r="CY967">
            <v>0</v>
          </cell>
          <cell r="CZ967">
            <v>0</v>
          </cell>
          <cell r="DA967">
            <v>0</v>
          </cell>
          <cell r="DB967">
            <v>0</v>
          </cell>
          <cell r="DC967">
            <v>0</v>
          </cell>
          <cell r="DD967">
            <v>0</v>
          </cell>
          <cell r="DE967">
            <v>0</v>
          </cell>
          <cell r="DF967">
            <v>0</v>
          </cell>
          <cell r="DG967">
            <v>0</v>
          </cell>
          <cell r="DI967">
            <v>0</v>
          </cell>
          <cell r="DJ967">
            <v>0</v>
          </cell>
          <cell r="DK967">
            <v>0</v>
          </cell>
          <cell r="DL967">
            <v>0</v>
          </cell>
          <cell r="DM967">
            <v>0</v>
          </cell>
          <cell r="DN967">
            <v>0</v>
          </cell>
          <cell r="DO967">
            <v>0</v>
          </cell>
          <cell r="DP967">
            <v>0</v>
          </cell>
          <cell r="DQ967">
            <v>0</v>
          </cell>
          <cell r="DR967">
            <v>0</v>
          </cell>
          <cell r="DS967">
            <v>0</v>
          </cell>
          <cell r="DT967">
            <v>0</v>
          </cell>
          <cell r="DU967">
            <v>0</v>
          </cell>
          <cell r="DW967">
            <v>0</v>
          </cell>
          <cell r="DX967">
            <v>0</v>
          </cell>
          <cell r="DY967">
            <v>0</v>
          </cell>
          <cell r="DZ967">
            <v>0</v>
          </cell>
          <cell r="EA967">
            <v>0</v>
          </cell>
          <cell r="EB967">
            <v>0</v>
          </cell>
          <cell r="EC967">
            <v>0</v>
          </cell>
          <cell r="ED967">
            <v>0</v>
          </cell>
          <cell r="EE967">
            <v>0</v>
          </cell>
          <cell r="EF967">
            <v>0</v>
          </cell>
          <cell r="EG967">
            <v>0</v>
          </cell>
          <cell r="EH967">
            <v>0</v>
          </cell>
          <cell r="EI967">
            <v>0</v>
          </cell>
          <cell r="EK967">
            <v>0</v>
          </cell>
          <cell r="EL967">
            <v>0</v>
          </cell>
          <cell r="EM967">
            <v>0</v>
          </cell>
          <cell r="EN967">
            <v>0</v>
          </cell>
          <cell r="EO967">
            <v>0</v>
          </cell>
          <cell r="EP967">
            <v>0</v>
          </cell>
          <cell r="EQ967">
            <v>0</v>
          </cell>
          <cell r="ER967">
            <v>0</v>
          </cell>
          <cell r="ES967">
            <v>0</v>
          </cell>
          <cell r="ET967">
            <v>0</v>
          </cell>
          <cell r="EU967">
            <v>0</v>
          </cell>
          <cell r="EV967">
            <v>0</v>
          </cell>
          <cell r="EW967">
            <v>0</v>
          </cell>
          <cell r="EY967">
            <v>0</v>
          </cell>
          <cell r="EZ967">
            <v>8</v>
          </cell>
          <cell r="FA967">
            <v>0</v>
          </cell>
          <cell r="FB967">
            <v>0</v>
          </cell>
          <cell r="FC967">
            <v>8.6</v>
          </cell>
          <cell r="FD967">
            <v>0</v>
          </cell>
          <cell r="FE967">
            <v>0</v>
          </cell>
          <cell r="FF967">
            <v>0</v>
          </cell>
          <cell r="FH967">
            <v>0</v>
          </cell>
        </row>
        <row r="968">
          <cell r="B968">
            <v>10099</v>
          </cell>
          <cell r="C968" t="str">
            <v>10.10.2013</v>
          </cell>
          <cell r="D968" t="str">
            <v>Sakat Anita Eknath</v>
          </cell>
          <cell r="F968">
            <v>0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0</v>
          </cell>
          <cell r="AB968">
            <v>0</v>
          </cell>
          <cell r="AC968">
            <v>0</v>
          </cell>
          <cell r="AD968">
            <v>0</v>
          </cell>
          <cell r="AE968">
            <v>0</v>
          </cell>
          <cell r="AG968">
            <v>0</v>
          </cell>
          <cell r="AH968">
            <v>0</v>
          </cell>
          <cell r="AI968">
            <v>0</v>
          </cell>
          <cell r="AJ968">
            <v>0</v>
          </cell>
          <cell r="AK968">
            <v>0</v>
          </cell>
          <cell r="AL968">
            <v>0</v>
          </cell>
          <cell r="AM968">
            <v>0</v>
          </cell>
          <cell r="AN968">
            <v>0</v>
          </cell>
          <cell r="AO968">
            <v>0</v>
          </cell>
          <cell r="AQ968">
            <v>0</v>
          </cell>
          <cell r="AR968">
            <v>0</v>
          </cell>
          <cell r="AS968">
            <v>0</v>
          </cell>
          <cell r="AT968">
            <v>0</v>
          </cell>
          <cell r="AU968">
            <v>0</v>
          </cell>
          <cell r="AV968">
            <v>0</v>
          </cell>
          <cell r="AW968">
            <v>0</v>
          </cell>
          <cell r="AX968">
            <v>0</v>
          </cell>
          <cell r="AY968">
            <v>0</v>
          </cell>
          <cell r="BA968">
            <v>0</v>
          </cell>
          <cell r="BB968">
            <v>0</v>
          </cell>
          <cell r="BC968">
            <v>0</v>
          </cell>
          <cell r="BD968">
            <v>0</v>
          </cell>
          <cell r="BE968">
            <v>0</v>
          </cell>
          <cell r="BF968">
            <v>0</v>
          </cell>
          <cell r="BG968">
            <v>0</v>
          </cell>
          <cell r="BH968">
            <v>0</v>
          </cell>
          <cell r="BI968">
            <v>0</v>
          </cell>
          <cell r="BK968">
            <v>0</v>
          </cell>
          <cell r="BL968">
            <v>0</v>
          </cell>
          <cell r="BM968">
            <v>0</v>
          </cell>
          <cell r="BN968">
            <v>0</v>
          </cell>
          <cell r="BO968">
            <v>0</v>
          </cell>
          <cell r="BP968">
            <v>0</v>
          </cell>
          <cell r="BQ968">
            <v>0</v>
          </cell>
          <cell r="BR968">
            <v>0</v>
          </cell>
          <cell r="BS968">
            <v>0</v>
          </cell>
          <cell r="BU968">
            <v>0</v>
          </cell>
          <cell r="BV968">
            <v>0</v>
          </cell>
          <cell r="BW968">
            <v>0</v>
          </cell>
          <cell r="BX968">
            <v>0</v>
          </cell>
          <cell r="BY968">
            <v>0</v>
          </cell>
          <cell r="BZ968">
            <v>0</v>
          </cell>
          <cell r="CA968">
            <v>0</v>
          </cell>
          <cell r="CB968">
            <v>0</v>
          </cell>
          <cell r="CC968">
            <v>0</v>
          </cell>
          <cell r="CE968">
            <v>0</v>
          </cell>
          <cell r="CF968">
            <v>0</v>
          </cell>
          <cell r="CG968">
            <v>0</v>
          </cell>
          <cell r="CH968">
            <v>0</v>
          </cell>
          <cell r="CI968">
            <v>0</v>
          </cell>
          <cell r="CJ968">
            <v>0</v>
          </cell>
          <cell r="CK968">
            <v>0</v>
          </cell>
          <cell r="CL968">
            <v>0</v>
          </cell>
          <cell r="CM968">
            <v>0</v>
          </cell>
          <cell r="CO968">
            <v>0</v>
          </cell>
          <cell r="CP968">
            <v>0</v>
          </cell>
          <cell r="CQ968">
            <v>0</v>
          </cell>
          <cell r="CR968">
            <v>0</v>
          </cell>
          <cell r="CS968">
            <v>0</v>
          </cell>
          <cell r="CT968">
            <v>0</v>
          </cell>
          <cell r="CU968">
            <v>0</v>
          </cell>
          <cell r="CV968">
            <v>0</v>
          </cell>
          <cell r="CW968">
            <v>0</v>
          </cell>
          <cell r="CY968">
            <v>0</v>
          </cell>
          <cell r="CZ968">
            <v>0</v>
          </cell>
          <cell r="DA968">
            <v>0</v>
          </cell>
          <cell r="DB968">
            <v>0</v>
          </cell>
          <cell r="DC968">
            <v>0</v>
          </cell>
          <cell r="DD968">
            <v>0</v>
          </cell>
          <cell r="DE968">
            <v>0</v>
          </cell>
          <cell r="DF968">
            <v>0</v>
          </cell>
          <cell r="DG968">
            <v>0</v>
          </cell>
          <cell r="DI968">
            <v>0</v>
          </cell>
          <cell r="DJ968">
            <v>0</v>
          </cell>
          <cell r="DK968">
            <v>0</v>
          </cell>
          <cell r="DL968">
            <v>0</v>
          </cell>
          <cell r="DM968">
            <v>0</v>
          </cell>
          <cell r="DN968">
            <v>0</v>
          </cell>
          <cell r="DO968">
            <v>0</v>
          </cell>
          <cell r="DP968">
            <v>0</v>
          </cell>
          <cell r="DQ968">
            <v>0</v>
          </cell>
          <cell r="DR968">
            <v>0</v>
          </cell>
          <cell r="DS968">
            <v>0</v>
          </cell>
          <cell r="DT968">
            <v>0</v>
          </cell>
          <cell r="DU968">
            <v>0</v>
          </cell>
          <cell r="DW968">
            <v>0</v>
          </cell>
          <cell r="DX968">
            <v>0</v>
          </cell>
          <cell r="DY968">
            <v>0</v>
          </cell>
          <cell r="DZ968">
            <v>0</v>
          </cell>
          <cell r="EA968">
            <v>0</v>
          </cell>
          <cell r="EB968">
            <v>0</v>
          </cell>
          <cell r="EC968">
            <v>0</v>
          </cell>
          <cell r="ED968">
            <v>0</v>
          </cell>
          <cell r="EE968">
            <v>0</v>
          </cell>
          <cell r="EF968">
            <v>0</v>
          </cell>
          <cell r="EG968">
            <v>0</v>
          </cell>
          <cell r="EH968">
            <v>0</v>
          </cell>
          <cell r="EI968">
            <v>0</v>
          </cell>
          <cell r="EK968">
            <v>0</v>
          </cell>
          <cell r="EL968">
            <v>0</v>
          </cell>
          <cell r="EM968">
            <v>0</v>
          </cell>
          <cell r="EN968">
            <v>0</v>
          </cell>
          <cell r="EO968">
            <v>0</v>
          </cell>
          <cell r="EP968">
            <v>0</v>
          </cell>
          <cell r="EQ968">
            <v>0</v>
          </cell>
          <cell r="ER968">
            <v>0</v>
          </cell>
          <cell r="ES968">
            <v>0</v>
          </cell>
          <cell r="ET968">
            <v>0</v>
          </cell>
          <cell r="EU968">
            <v>0</v>
          </cell>
          <cell r="EV968">
            <v>0</v>
          </cell>
          <cell r="EW968">
            <v>0</v>
          </cell>
          <cell r="EY968">
            <v>0</v>
          </cell>
          <cell r="EZ968">
            <v>8</v>
          </cell>
          <cell r="FA968">
            <v>0</v>
          </cell>
          <cell r="FB968">
            <v>0</v>
          </cell>
          <cell r="FC968">
            <v>8.6</v>
          </cell>
          <cell r="FD968">
            <v>0</v>
          </cell>
          <cell r="FE968">
            <v>0</v>
          </cell>
          <cell r="FF968">
            <v>0</v>
          </cell>
          <cell r="FH968">
            <v>0</v>
          </cell>
        </row>
        <row r="969">
          <cell r="B969">
            <v>10100</v>
          </cell>
          <cell r="C969" t="str">
            <v>14.10.2013</v>
          </cell>
          <cell r="D969" t="str">
            <v>Kale Somnath Narayan</v>
          </cell>
          <cell r="F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G969">
            <v>0</v>
          </cell>
          <cell r="AH969">
            <v>0</v>
          </cell>
          <cell r="AI969">
            <v>0</v>
          </cell>
          <cell r="AJ969">
            <v>0</v>
          </cell>
          <cell r="AK969">
            <v>0</v>
          </cell>
          <cell r="AL969">
            <v>0</v>
          </cell>
          <cell r="AM969">
            <v>0</v>
          </cell>
          <cell r="AN969">
            <v>0</v>
          </cell>
          <cell r="AO969">
            <v>0</v>
          </cell>
          <cell r="AQ969">
            <v>0</v>
          </cell>
          <cell r="AR969">
            <v>0</v>
          </cell>
          <cell r="AS969">
            <v>0</v>
          </cell>
          <cell r="AT969">
            <v>0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BA969">
            <v>0</v>
          </cell>
          <cell r="BB969">
            <v>0</v>
          </cell>
          <cell r="BC969">
            <v>0</v>
          </cell>
          <cell r="BD969">
            <v>0</v>
          </cell>
          <cell r="BE969">
            <v>0</v>
          </cell>
          <cell r="BF969">
            <v>0</v>
          </cell>
          <cell r="BG969">
            <v>0</v>
          </cell>
          <cell r="BH969">
            <v>0</v>
          </cell>
          <cell r="BI969">
            <v>0</v>
          </cell>
          <cell r="BK969">
            <v>0</v>
          </cell>
          <cell r="BL969">
            <v>0</v>
          </cell>
          <cell r="BM969">
            <v>0</v>
          </cell>
          <cell r="BN969">
            <v>0</v>
          </cell>
          <cell r="BO969">
            <v>0</v>
          </cell>
          <cell r="BP969">
            <v>0</v>
          </cell>
          <cell r="BQ969">
            <v>0</v>
          </cell>
          <cell r="BR969">
            <v>0</v>
          </cell>
          <cell r="BS969">
            <v>0</v>
          </cell>
          <cell r="BU969">
            <v>0</v>
          </cell>
          <cell r="BV969">
            <v>0</v>
          </cell>
          <cell r="BW969">
            <v>0</v>
          </cell>
          <cell r="BX969">
            <v>0</v>
          </cell>
          <cell r="BY969">
            <v>0</v>
          </cell>
          <cell r="BZ969">
            <v>0</v>
          </cell>
          <cell r="CA969">
            <v>0</v>
          </cell>
          <cell r="CB969">
            <v>0</v>
          </cell>
          <cell r="CC969">
            <v>0</v>
          </cell>
          <cell r="CE969">
            <v>0</v>
          </cell>
          <cell r="CF969">
            <v>0</v>
          </cell>
          <cell r="CG969">
            <v>0</v>
          </cell>
          <cell r="CH969">
            <v>0</v>
          </cell>
          <cell r="CI969">
            <v>0</v>
          </cell>
          <cell r="CJ969">
            <v>0</v>
          </cell>
          <cell r="CK969">
            <v>0</v>
          </cell>
          <cell r="CL969">
            <v>0</v>
          </cell>
          <cell r="CM969">
            <v>0</v>
          </cell>
          <cell r="CO969">
            <v>0</v>
          </cell>
          <cell r="CP969">
            <v>0</v>
          </cell>
          <cell r="CQ969">
            <v>0</v>
          </cell>
          <cell r="CR969">
            <v>0</v>
          </cell>
          <cell r="CS969">
            <v>0</v>
          </cell>
          <cell r="CT969">
            <v>0</v>
          </cell>
          <cell r="CU969">
            <v>0</v>
          </cell>
          <cell r="CV969">
            <v>0</v>
          </cell>
          <cell r="CW969">
            <v>0</v>
          </cell>
          <cell r="CY969">
            <v>0</v>
          </cell>
          <cell r="CZ969">
            <v>0</v>
          </cell>
          <cell r="DA969">
            <v>0</v>
          </cell>
          <cell r="DB969">
            <v>0</v>
          </cell>
          <cell r="DC969">
            <v>0</v>
          </cell>
          <cell r="DD969">
            <v>0</v>
          </cell>
          <cell r="DE969">
            <v>0</v>
          </cell>
          <cell r="DF969">
            <v>0</v>
          </cell>
          <cell r="DG969">
            <v>0</v>
          </cell>
          <cell r="DI969">
            <v>0</v>
          </cell>
          <cell r="DJ969">
            <v>0</v>
          </cell>
          <cell r="DK969">
            <v>0</v>
          </cell>
          <cell r="DL969">
            <v>0</v>
          </cell>
          <cell r="DM969">
            <v>0</v>
          </cell>
          <cell r="DN969">
            <v>0</v>
          </cell>
          <cell r="DO969">
            <v>0</v>
          </cell>
          <cell r="DP969">
            <v>0</v>
          </cell>
          <cell r="DQ969">
            <v>0</v>
          </cell>
          <cell r="DR969">
            <v>0</v>
          </cell>
          <cell r="DS969">
            <v>0</v>
          </cell>
          <cell r="DT969">
            <v>0</v>
          </cell>
          <cell r="DU969">
            <v>0</v>
          </cell>
          <cell r="DW969">
            <v>0</v>
          </cell>
          <cell r="DX969">
            <v>0</v>
          </cell>
          <cell r="DY969">
            <v>0</v>
          </cell>
          <cell r="DZ969">
            <v>0</v>
          </cell>
          <cell r="EA969">
            <v>0</v>
          </cell>
          <cell r="EB969">
            <v>0</v>
          </cell>
          <cell r="EC969">
            <v>0</v>
          </cell>
          <cell r="ED969">
            <v>0</v>
          </cell>
          <cell r="EE969">
            <v>0</v>
          </cell>
          <cell r="EF969">
            <v>0</v>
          </cell>
          <cell r="EG969">
            <v>0</v>
          </cell>
          <cell r="EH969">
            <v>0</v>
          </cell>
          <cell r="EI969">
            <v>0</v>
          </cell>
          <cell r="EK969">
            <v>0</v>
          </cell>
          <cell r="EL969">
            <v>0</v>
          </cell>
          <cell r="EM969">
            <v>0</v>
          </cell>
          <cell r="EN969">
            <v>0</v>
          </cell>
          <cell r="EO969">
            <v>0</v>
          </cell>
          <cell r="EP969">
            <v>0</v>
          </cell>
          <cell r="EQ969">
            <v>0</v>
          </cell>
          <cell r="ER969">
            <v>0</v>
          </cell>
          <cell r="ES969">
            <v>0</v>
          </cell>
          <cell r="ET969">
            <v>0</v>
          </cell>
          <cell r="EU969">
            <v>0</v>
          </cell>
          <cell r="EV969">
            <v>0</v>
          </cell>
          <cell r="EW969">
            <v>0</v>
          </cell>
          <cell r="EY969">
            <v>0</v>
          </cell>
          <cell r="EZ969">
            <v>8</v>
          </cell>
          <cell r="FA969">
            <v>0</v>
          </cell>
          <cell r="FB969">
            <v>0</v>
          </cell>
          <cell r="FC969">
            <v>8.6</v>
          </cell>
          <cell r="FD969">
            <v>0</v>
          </cell>
          <cell r="FE969">
            <v>0</v>
          </cell>
          <cell r="FF969">
            <v>0</v>
          </cell>
          <cell r="FH969">
            <v>0</v>
          </cell>
        </row>
        <row r="970">
          <cell r="B970">
            <v>10101</v>
          </cell>
          <cell r="C970" t="str">
            <v>15.10.2013</v>
          </cell>
          <cell r="D970" t="str">
            <v>Wagh Rupali Prakash</v>
          </cell>
          <cell r="F970">
            <v>0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A970">
            <v>0</v>
          </cell>
          <cell r="AB970">
            <v>0</v>
          </cell>
          <cell r="AC970">
            <v>0</v>
          </cell>
          <cell r="AD970">
            <v>0</v>
          </cell>
          <cell r="AE970">
            <v>0</v>
          </cell>
          <cell r="AG970">
            <v>0</v>
          </cell>
          <cell r="AH970">
            <v>0</v>
          </cell>
          <cell r="AI970">
            <v>0</v>
          </cell>
          <cell r="AJ970">
            <v>0</v>
          </cell>
          <cell r="AK970">
            <v>0</v>
          </cell>
          <cell r="AL970">
            <v>0</v>
          </cell>
          <cell r="AM970">
            <v>0</v>
          </cell>
          <cell r="AN970">
            <v>0</v>
          </cell>
          <cell r="AO970">
            <v>0</v>
          </cell>
          <cell r="AQ970">
            <v>0</v>
          </cell>
          <cell r="AR970">
            <v>0</v>
          </cell>
          <cell r="AS970">
            <v>0</v>
          </cell>
          <cell r="AT970">
            <v>0</v>
          </cell>
          <cell r="AU970">
            <v>0</v>
          </cell>
          <cell r="AV970">
            <v>0</v>
          </cell>
          <cell r="AW970">
            <v>0</v>
          </cell>
          <cell r="AX970">
            <v>0</v>
          </cell>
          <cell r="AY970">
            <v>0</v>
          </cell>
          <cell r="BA970">
            <v>0</v>
          </cell>
          <cell r="BB970">
            <v>0</v>
          </cell>
          <cell r="BC970">
            <v>0</v>
          </cell>
          <cell r="BD970">
            <v>0</v>
          </cell>
          <cell r="BE970">
            <v>0</v>
          </cell>
          <cell r="BF970">
            <v>0</v>
          </cell>
          <cell r="BG970">
            <v>0</v>
          </cell>
          <cell r="BH970">
            <v>0</v>
          </cell>
          <cell r="BI970">
            <v>0</v>
          </cell>
          <cell r="BK970">
            <v>0</v>
          </cell>
          <cell r="BL970">
            <v>0</v>
          </cell>
          <cell r="BM970">
            <v>0</v>
          </cell>
          <cell r="BN970">
            <v>0</v>
          </cell>
          <cell r="BO970">
            <v>0</v>
          </cell>
          <cell r="BP970">
            <v>0</v>
          </cell>
          <cell r="BQ970">
            <v>0</v>
          </cell>
          <cell r="BR970">
            <v>0</v>
          </cell>
          <cell r="BS970">
            <v>0</v>
          </cell>
          <cell r="BU970">
            <v>0</v>
          </cell>
          <cell r="BV970">
            <v>0</v>
          </cell>
          <cell r="BW970">
            <v>0</v>
          </cell>
          <cell r="BX970">
            <v>0</v>
          </cell>
          <cell r="BY970">
            <v>0</v>
          </cell>
          <cell r="BZ970">
            <v>0</v>
          </cell>
          <cell r="CA970">
            <v>0</v>
          </cell>
          <cell r="CB970">
            <v>0</v>
          </cell>
          <cell r="CC970">
            <v>0</v>
          </cell>
          <cell r="CE970">
            <v>0</v>
          </cell>
          <cell r="CF970">
            <v>0</v>
          </cell>
          <cell r="CG970">
            <v>0</v>
          </cell>
          <cell r="CH970">
            <v>0</v>
          </cell>
          <cell r="CI970">
            <v>0</v>
          </cell>
          <cell r="CJ970">
            <v>0</v>
          </cell>
          <cell r="CK970">
            <v>0</v>
          </cell>
          <cell r="CL970">
            <v>0</v>
          </cell>
          <cell r="CM970">
            <v>0</v>
          </cell>
          <cell r="CO970">
            <v>0</v>
          </cell>
          <cell r="CP970">
            <v>0</v>
          </cell>
          <cell r="CQ970">
            <v>0</v>
          </cell>
          <cell r="CR970">
            <v>0</v>
          </cell>
          <cell r="CS970">
            <v>0</v>
          </cell>
          <cell r="CT970">
            <v>0</v>
          </cell>
          <cell r="CU970">
            <v>0</v>
          </cell>
          <cell r="CV970">
            <v>0</v>
          </cell>
          <cell r="CW970">
            <v>0</v>
          </cell>
          <cell r="CY970">
            <v>0</v>
          </cell>
          <cell r="CZ970">
            <v>0</v>
          </cell>
          <cell r="DA970">
            <v>0</v>
          </cell>
          <cell r="DB970">
            <v>0</v>
          </cell>
          <cell r="DC970">
            <v>0</v>
          </cell>
          <cell r="DD970">
            <v>0</v>
          </cell>
          <cell r="DE970">
            <v>0</v>
          </cell>
          <cell r="DF970">
            <v>0</v>
          </cell>
          <cell r="DG970">
            <v>0</v>
          </cell>
          <cell r="DI970">
            <v>0</v>
          </cell>
          <cell r="DJ970">
            <v>0</v>
          </cell>
          <cell r="DK970">
            <v>0</v>
          </cell>
          <cell r="DL970">
            <v>0</v>
          </cell>
          <cell r="DM970">
            <v>0</v>
          </cell>
          <cell r="DN970">
            <v>0</v>
          </cell>
          <cell r="DO970">
            <v>0</v>
          </cell>
          <cell r="DP970">
            <v>0</v>
          </cell>
          <cell r="DQ970">
            <v>0</v>
          </cell>
          <cell r="DR970">
            <v>0</v>
          </cell>
          <cell r="DS970">
            <v>0</v>
          </cell>
          <cell r="DT970">
            <v>0</v>
          </cell>
          <cell r="DU970">
            <v>0</v>
          </cell>
          <cell r="DW970">
            <v>0</v>
          </cell>
          <cell r="DX970">
            <v>0</v>
          </cell>
          <cell r="DY970">
            <v>0</v>
          </cell>
          <cell r="DZ970">
            <v>0</v>
          </cell>
          <cell r="EA970">
            <v>0</v>
          </cell>
          <cell r="EB970">
            <v>0</v>
          </cell>
          <cell r="EC970">
            <v>0</v>
          </cell>
          <cell r="ED970">
            <v>0</v>
          </cell>
          <cell r="EE970">
            <v>0</v>
          </cell>
          <cell r="EF970">
            <v>0</v>
          </cell>
          <cell r="EG970">
            <v>0</v>
          </cell>
          <cell r="EH970">
            <v>0</v>
          </cell>
          <cell r="EI970">
            <v>0</v>
          </cell>
          <cell r="EK970">
            <v>0</v>
          </cell>
          <cell r="EL970">
            <v>0</v>
          </cell>
          <cell r="EM970">
            <v>0</v>
          </cell>
          <cell r="EN970">
            <v>0</v>
          </cell>
          <cell r="EO970">
            <v>0</v>
          </cell>
          <cell r="EP970">
            <v>0</v>
          </cell>
          <cell r="EQ970">
            <v>0</v>
          </cell>
          <cell r="ER970">
            <v>0</v>
          </cell>
          <cell r="ES970">
            <v>0</v>
          </cell>
          <cell r="ET970">
            <v>0</v>
          </cell>
          <cell r="EU970">
            <v>0</v>
          </cell>
          <cell r="EV970">
            <v>0</v>
          </cell>
          <cell r="EW970">
            <v>0</v>
          </cell>
          <cell r="EY970">
            <v>0</v>
          </cell>
          <cell r="EZ970">
            <v>8</v>
          </cell>
          <cell r="FA970">
            <v>0</v>
          </cell>
          <cell r="FB970">
            <v>0</v>
          </cell>
          <cell r="FC970">
            <v>8.6</v>
          </cell>
          <cell r="FD970">
            <v>0</v>
          </cell>
          <cell r="FE970">
            <v>0</v>
          </cell>
          <cell r="FF970">
            <v>0</v>
          </cell>
          <cell r="FH970">
            <v>0</v>
          </cell>
        </row>
        <row r="971">
          <cell r="B971">
            <v>10103</v>
          </cell>
          <cell r="C971" t="str">
            <v>21.10.2013</v>
          </cell>
          <cell r="D971" t="str">
            <v>Salve Pranit Vishwanath</v>
          </cell>
          <cell r="F971">
            <v>0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R971">
            <v>0</v>
          </cell>
          <cell r="S971">
            <v>0</v>
          </cell>
          <cell r="T971">
            <v>0</v>
          </cell>
          <cell r="U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>
            <v>0</v>
          </cell>
          <cell r="AB971">
            <v>0</v>
          </cell>
          <cell r="AC971">
            <v>0</v>
          </cell>
          <cell r="AD971">
            <v>0</v>
          </cell>
          <cell r="AE971">
            <v>0</v>
          </cell>
          <cell r="AG971">
            <v>0</v>
          </cell>
          <cell r="AH971">
            <v>0</v>
          </cell>
          <cell r="AI971">
            <v>0</v>
          </cell>
          <cell r="AJ971">
            <v>0</v>
          </cell>
          <cell r="AK971">
            <v>0</v>
          </cell>
          <cell r="AL971">
            <v>0</v>
          </cell>
          <cell r="AM971">
            <v>0</v>
          </cell>
          <cell r="AN971">
            <v>0</v>
          </cell>
          <cell r="AO971">
            <v>0</v>
          </cell>
          <cell r="AQ971">
            <v>0</v>
          </cell>
          <cell r="AR971">
            <v>0</v>
          </cell>
          <cell r="AS971">
            <v>0</v>
          </cell>
          <cell r="AT971">
            <v>0</v>
          </cell>
          <cell r="AU971">
            <v>0</v>
          </cell>
          <cell r="AV971">
            <v>0</v>
          </cell>
          <cell r="AW971">
            <v>0</v>
          </cell>
          <cell r="AX971">
            <v>0</v>
          </cell>
          <cell r="AY971">
            <v>0</v>
          </cell>
          <cell r="BA971">
            <v>0</v>
          </cell>
          <cell r="BB971">
            <v>0</v>
          </cell>
          <cell r="BC971">
            <v>0</v>
          </cell>
          <cell r="BD971">
            <v>0</v>
          </cell>
          <cell r="BE971">
            <v>0</v>
          </cell>
          <cell r="BF971">
            <v>0</v>
          </cell>
          <cell r="BG971">
            <v>0</v>
          </cell>
          <cell r="BH971">
            <v>0</v>
          </cell>
          <cell r="BI971">
            <v>0</v>
          </cell>
          <cell r="BK971">
            <v>0</v>
          </cell>
          <cell r="BL971">
            <v>0</v>
          </cell>
          <cell r="BM971">
            <v>0</v>
          </cell>
          <cell r="BN971">
            <v>0</v>
          </cell>
          <cell r="BO971">
            <v>0</v>
          </cell>
          <cell r="BP971">
            <v>0</v>
          </cell>
          <cell r="BQ971">
            <v>0</v>
          </cell>
          <cell r="BR971">
            <v>0</v>
          </cell>
          <cell r="BS971">
            <v>0</v>
          </cell>
          <cell r="BU971">
            <v>0</v>
          </cell>
          <cell r="BV971">
            <v>0</v>
          </cell>
          <cell r="BW971">
            <v>0</v>
          </cell>
          <cell r="BX971">
            <v>0</v>
          </cell>
          <cell r="BY971">
            <v>0</v>
          </cell>
          <cell r="BZ971">
            <v>0</v>
          </cell>
          <cell r="CA971">
            <v>0</v>
          </cell>
          <cell r="CB971">
            <v>0</v>
          </cell>
          <cell r="CC971">
            <v>0</v>
          </cell>
          <cell r="CE971">
            <v>0</v>
          </cell>
          <cell r="CF971">
            <v>0</v>
          </cell>
          <cell r="CG971">
            <v>0</v>
          </cell>
          <cell r="CH971">
            <v>0</v>
          </cell>
          <cell r="CI971">
            <v>0</v>
          </cell>
          <cell r="CJ971">
            <v>0</v>
          </cell>
          <cell r="CK971">
            <v>0</v>
          </cell>
          <cell r="CL971">
            <v>0</v>
          </cell>
          <cell r="CM971">
            <v>0</v>
          </cell>
          <cell r="CO971">
            <v>0</v>
          </cell>
          <cell r="CP971">
            <v>0</v>
          </cell>
          <cell r="CQ971">
            <v>0</v>
          </cell>
          <cell r="CR971">
            <v>0</v>
          </cell>
          <cell r="CS971">
            <v>0</v>
          </cell>
          <cell r="CT971">
            <v>0</v>
          </cell>
          <cell r="CU971">
            <v>0</v>
          </cell>
          <cell r="CV971">
            <v>0</v>
          </cell>
          <cell r="CW971">
            <v>0</v>
          </cell>
          <cell r="CY971">
            <v>0</v>
          </cell>
          <cell r="CZ971">
            <v>0</v>
          </cell>
          <cell r="DA971">
            <v>0</v>
          </cell>
          <cell r="DB971">
            <v>0</v>
          </cell>
          <cell r="DC971">
            <v>0</v>
          </cell>
          <cell r="DD971">
            <v>0</v>
          </cell>
          <cell r="DE971">
            <v>0</v>
          </cell>
          <cell r="DF971">
            <v>0</v>
          </cell>
          <cell r="DG971">
            <v>0</v>
          </cell>
          <cell r="DI971">
            <v>0</v>
          </cell>
          <cell r="DJ971">
            <v>0</v>
          </cell>
          <cell r="DK971">
            <v>0</v>
          </cell>
          <cell r="DL971">
            <v>0</v>
          </cell>
          <cell r="DM971">
            <v>0</v>
          </cell>
          <cell r="DN971">
            <v>0</v>
          </cell>
          <cell r="DO971">
            <v>0</v>
          </cell>
          <cell r="DP971">
            <v>0</v>
          </cell>
          <cell r="DQ971">
            <v>0</v>
          </cell>
          <cell r="DR971">
            <v>0</v>
          </cell>
          <cell r="DS971">
            <v>0</v>
          </cell>
          <cell r="DT971">
            <v>0</v>
          </cell>
          <cell r="DU971">
            <v>0</v>
          </cell>
          <cell r="DW971">
            <v>0</v>
          </cell>
          <cell r="DX971">
            <v>0</v>
          </cell>
          <cell r="DY971">
            <v>0</v>
          </cell>
          <cell r="DZ971">
            <v>0</v>
          </cell>
          <cell r="EA971">
            <v>0</v>
          </cell>
          <cell r="EB971">
            <v>0</v>
          </cell>
          <cell r="EC971">
            <v>0</v>
          </cell>
          <cell r="ED971">
            <v>0</v>
          </cell>
          <cell r="EE971">
            <v>0</v>
          </cell>
          <cell r="EF971">
            <v>0</v>
          </cell>
          <cell r="EG971">
            <v>0</v>
          </cell>
          <cell r="EH971">
            <v>0</v>
          </cell>
          <cell r="EI971">
            <v>0</v>
          </cell>
          <cell r="EK971">
            <v>0</v>
          </cell>
          <cell r="EL971">
            <v>0</v>
          </cell>
          <cell r="EM971">
            <v>0</v>
          </cell>
          <cell r="EN971">
            <v>0</v>
          </cell>
          <cell r="EO971">
            <v>0</v>
          </cell>
          <cell r="EP971">
            <v>0</v>
          </cell>
          <cell r="EQ971">
            <v>0</v>
          </cell>
          <cell r="ER971">
            <v>0</v>
          </cell>
          <cell r="ES971">
            <v>0</v>
          </cell>
          <cell r="ET971">
            <v>0</v>
          </cell>
          <cell r="EU971">
            <v>0</v>
          </cell>
          <cell r="EV971">
            <v>0</v>
          </cell>
          <cell r="EW971">
            <v>0</v>
          </cell>
          <cell r="EY971">
            <v>0</v>
          </cell>
          <cell r="EZ971">
            <v>8</v>
          </cell>
          <cell r="FA971">
            <v>0</v>
          </cell>
          <cell r="FB971">
            <v>0</v>
          </cell>
          <cell r="FC971">
            <v>8.6</v>
          </cell>
          <cell r="FD971">
            <v>0</v>
          </cell>
          <cell r="FE971">
            <v>0</v>
          </cell>
          <cell r="FF971">
            <v>0</v>
          </cell>
          <cell r="FH971">
            <v>0</v>
          </cell>
        </row>
        <row r="972">
          <cell r="B972">
            <v>9813</v>
          </cell>
          <cell r="C972" t="str">
            <v>22.10.2013</v>
          </cell>
          <cell r="D972" t="str">
            <v>Deshmukh Girish Namdeo</v>
          </cell>
          <cell r="F972">
            <v>0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  <cell r="AC972">
            <v>0</v>
          </cell>
          <cell r="AD972">
            <v>0</v>
          </cell>
          <cell r="AE972">
            <v>0</v>
          </cell>
          <cell r="AG972">
            <v>0</v>
          </cell>
          <cell r="AH972">
            <v>0</v>
          </cell>
          <cell r="AI972">
            <v>0</v>
          </cell>
          <cell r="AJ972">
            <v>0</v>
          </cell>
          <cell r="AK972">
            <v>0</v>
          </cell>
          <cell r="AL972">
            <v>0</v>
          </cell>
          <cell r="AM972">
            <v>0</v>
          </cell>
          <cell r="AN972">
            <v>0</v>
          </cell>
          <cell r="AO972">
            <v>0</v>
          </cell>
          <cell r="AQ972">
            <v>0</v>
          </cell>
          <cell r="AR972">
            <v>0</v>
          </cell>
          <cell r="AS972">
            <v>0</v>
          </cell>
          <cell r="AT972">
            <v>0</v>
          </cell>
          <cell r="AU972">
            <v>0</v>
          </cell>
          <cell r="AV972">
            <v>0</v>
          </cell>
          <cell r="AW972">
            <v>0</v>
          </cell>
          <cell r="AX972">
            <v>0</v>
          </cell>
          <cell r="AY972">
            <v>0</v>
          </cell>
          <cell r="BA972">
            <v>0</v>
          </cell>
          <cell r="BB972">
            <v>0</v>
          </cell>
          <cell r="BC972">
            <v>0</v>
          </cell>
          <cell r="BD972">
            <v>0</v>
          </cell>
          <cell r="BE972">
            <v>0</v>
          </cell>
          <cell r="BF972">
            <v>0</v>
          </cell>
          <cell r="BG972">
            <v>0</v>
          </cell>
          <cell r="BH972">
            <v>0</v>
          </cell>
          <cell r="BI972">
            <v>0</v>
          </cell>
          <cell r="BK972">
            <v>0</v>
          </cell>
          <cell r="BL972">
            <v>0</v>
          </cell>
          <cell r="BM972">
            <v>0</v>
          </cell>
          <cell r="BN972">
            <v>0</v>
          </cell>
          <cell r="BO972">
            <v>0</v>
          </cell>
          <cell r="BP972">
            <v>0</v>
          </cell>
          <cell r="BQ972">
            <v>0</v>
          </cell>
          <cell r="BR972">
            <v>0</v>
          </cell>
          <cell r="BS972">
            <v>0</v>
          </cell>
          <cell r="BU972">
            <v>0</v>
          </cell>
          <cell r="BV972">
            <v>0</v>
          </cell>
          <cell r="BW972">
            <v>0</v>
          </cell>
          <cell r="BX972">
            <v>0</v>
          </cell>
          <cell r="BY972">
            <v>0</v>
          </cell>
          <cell r="BZ972">
            <v>0</v>
          </cell>
          <cell r="CA972">
            <v>0</v>
          </cell>
          <cell r="CB972">
            <v>0</v>
          </cell>
          <cell r="CC972">
            <v>0</v>
          </cell>
          <cell r="CE972">
            <v>0</v>
          </cell>
          <cell r="CF972">
            <v>0</v>
          </cell>
          <cell r="CG972">
            <v>0</v>
          </cell>
          <cell r="CH972">
            <v>0</v>
          </cell>
          <cell r="CI972">
            <v>0</v>
          </cell>
          <cell r="CJ972">
            <v>0</v>
          </cell>
          <cell r="CK972">
            <v>0</v>
          </cell>
          <cell r="CL972">
            <v>0</v>
          </cell>
          <cell r="CM972">
            <v>0</v>
          </cell>
          <cell r="CO972">
            <v>0</v>
          </cell>
          <cell r="CP972">
            <v>0</v>
          </cell>
          <cell r="CQ972">
            <v>0</v>
          </cell>
          <cell r="CR972">
            <v>0</v>
          </cell>
          <cell r="CS972">
            <v>0</v>
          </cell>
          <cell r="CT972">
            <v>0</v>
          </cell>
          <cell r="CU972">
            <v>0</v>
          </cell>
          <cell r="CV972">
            <v>0</v>
          </cell>
          <cell r="CW972">
            <v>0</v>
          </cell>
          <cell r="CY972">
            <v>0</v>
          </cell>
          <cell r="CZ972">
            <v>0</v>
          </cell>
          <cell r="DA972">
            <v>0</v>
          </cell>
          <cell r="DB972">
            <v>0</v>
          </cell>
          <cell r="DC972">
            <v>0</v>
          </cell>
          <cell r="DD972">
            <v>0</v>
          </cell>
          <cell r="DE972">
            <v>0</v>
          </cell>
          <cell r="DF972">
            <v>0</v>
          </cell>
          <cell r="DG972">
            <v>0</v>
          </cell>
          <cell r="DI972">
            <v>0</v>
          </cell>
          <cell r="DJ972">
            <v>0</v>
          </cell>
          <cell r="DK972">
            <v>0</v>
          </cell>
          <cell r="DL972">
            <v>0</v>
          </cell>
          <cell r="DM972">
            <v>0</v>
          </cell>
          <cell r="DN972">
            <v>0</v>
          </cell>
          <cell r="DO972">
            <v>0</v>
          </cell>
          <cell r="DP972">
            <v>0</v>
          </cell>
          <cell r="DQ972">
            <v>0</v>
          </cell>
          <cell r="DR972">
            <v>0</v>
          </cell>
          <cell r="DS972">
            <v>0</v>
          </cell>
          <cell r="DT972">
            <v>0</v>
          </cell>
          <cell r="DU972">
            <v>0</v>
          </cell>
          <cell r="DW972">
            <v>0</v>
          </cell>
          <cell r="DX972">
            <v>0</v>
          </cell>
          <cell r="DY972">
            <v>0</v>
          </cell>
          <cell r="DZ972">
            <v>0</v>
          </cell>
          <cell r="EA972">
            <v>0</v>
          </cell>
          <cell r="EB972">
            <v>0</v>
          </cell>
          <cell r="EC972">
            <v>0</v>
          </cell>
          <cell r="ED972">
            <v>0</v>
          </cell>
          <cell r="EE972">
            <v>0</v>
          </cell>
          <cell r="EF972">
            <v>0</v>
          </cell>
          <cell r="EG972">
            <v>0</v>
          </cell>
          <cell r="EH972">
            <v>0</v>
          </cell>
          <cell r="EI972">
            <v>0</v>
          </cell>
          <cell r="EK972">
            <v>0</v>
          </cell>
          <cell r="EL972">
            <v>0</v>
          </cell>
          <cell r="EM972">
            <v>0</v>
          </cell>
          <cell r="EN972">
            <v>0</v>
          </cell>
          <cell r="EO972">
            <v>0</v>
          </cell>
          <cell r="EP972">
            <v>0</v>
          </cell>
          <cell r="EQ972">
            <v>0</v>
          </cell>
          <cell r="ER972">
            <v>0</v>
          </cell>
          <cell r="ES972">
            <v>0</v>
          </cell>
          <cell r="ET972">
            <v>0</v>
          </cell>
          <cell r="EU972">
            <v>0</v>
          </cell>
          <cell r="EV972">
            <v>0</v>
          </cell>
          <cell r="EW972">
            <v>0</v>
          </cell>
          <cell r="EY972">
            <v>0</v>
          </cell>
          <cell r="EZ972">
            <v>8</v>
          </cell>
          <cell r="FA972">
            <v>0</v>
          </cell>
          <cell r="FB972">
            <v>0</v>
          </cell>
          <cell r="FC972">
            <v>8.6</v>
          </cell>
          <cell r="FD972">
            <v>0</v>
          </cell>
          <cell r="FE972">
            <v>0</v>
          </cell>
          <cell r="FF972">
            <v>0</v>
          </cell>
          <cell r="FH972">
            <v>0</v>
          </cell>
        </row>
        <row r="973">
          <cell r="B973">
            <v>10104</v>
          </cell>
          <cell r="C973" t="str">
            <v>10.11.2013</v>
          </cell>
          <cell r="D973" t="str">
            <v>Kalyani Sarita Vijay</v>
          </cell>
          <cell r="F973">
            <v>0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  <cell r="R973">
            <v>0</v>
          </cell>
          <cell r="S973">
            <v>0</v>
          </cell>
          <cell r="T973">
            <v>0</v>
          </cell>
          <cell r="U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0</v>
          </cell>
          <cell r="AA973">
            <v>0</v>
          </cell>
          <cell r="AB973">
            <v>0</v>
          </cell>
          <cell r="AC973">
            <v>0</v>
          </cell>
          <cell r="AD973">
            <v>0</v>
          </cell>
          <cell r="AE973">
            <v>0</v>
          </cell>
          <cell r="AG973">
            <v>0</v>
          </cell>
          <cell r="AH973">
            <v>0</v>
          </cell>
          <cell r="AI973">
            <v>0</v>
          </cell>
          <cell r="AJ973">
            <v>0</v>
          </cell>
          <cell r="AK973">
            <v>0</v>
          </cell>
          <cell r="AL973">
            <v>0</v>
          </cell>
          <cell r="AM973">
            <v>0</v>
          </cell>
          <cell r="AN973">
            <v>0</v>
          </cell>
          <cell r="AO973">
            <v>0</v>
          </cell>
          <cell r="AQ973">
            <v>0</v>
          </cell>
          <cell r="AR973">
            <v>0</v>
          </cell>
          <cell r="AS973">
            <v>0</v>
          </cell>
          <cell r="AT973">
            <v>0</v>
          </cell>
          <cell r="AU973">
            <v>0</v>
          </cell>
          <cell r="AV973">
            <v>0</v>
          </cell>
          <cell r="AW973">
            <v>0</v>
          </cell>
          <cell r="AX973">
            <v>0</v>
          </cell>
          <cell r="AY973">
            <v>0</v>
          </cell>
          <cell r="BA973">
            <v>0</v>
          </cell>
          <cell r="BB973">
            <v>0</v>
          </cell>
          <cell r="BC973">
            <v>0</v>
          </cell>
          <cell r="BD973">
            <v>0</v>
          </cell>
          <cell r="BE973">
            <v>0</v>
          </cell>
          <cell r="BF973">
            <v>0</v>
          </cell>
          <cell r="BG973">
            <v>0</v>
          </cell>
          <cell r="BH973">
            <v>0</v>
          </cell>
          <cell r="BI973">
            <v>0</v>
          </cell>
          <cell r="BK973">
            <v>0</v>
          </cell>
          <cell r="BL973">
            <v>0</v>
          </cell>
          <cell r="BM973">
            <v>0</v>
          </cell>
          <cell r="BN973">
            <v>0</v>
          </cell>
          <cell r="BO973">
            <v>0</v>
          </cell>
          <cell r="BP973">
            <v>0</v>
          </cell>
          <cell r="BQ973">
            <v>0</v>
          </cell>
          <cell r="BR973">
            <v>0</v>
          </cell>
          <cell r="BS973">
            <v>0</v>
          </cell>
          <cell r="BU973">
            <v>0</v>
          </cell>
          <cell r="BV973">
            <v>0</v>
          </cell>
          <cell r="BW973">
            <v>0</v>
          </cell>
          <cell r="BX973">
            <v>0</v>
          </cell>
          <cell r="BY973">
            <v>0</v>
          </cell>
          <cell r="BZ973">
            <v>0</v>
          </cell>
          <cell r="CA973">
            <v>0</v>
          </cell>
          <cell r="CB973">
            <v>0</v>
          </cell>
          <cell r="CC973">
            <v>0</v>
          </cell>
          <cell r="CE973">
            <v>0</v>
          </cell>
          <cell r="CF973">
            <v>0</v>
          </cell>
          <cell r="CG973">
            <v>0</v>
          </cell>
          <cell r="CH973">
            <v>0</v>
          </cell>
          <cell r="CI973">
            <v>0</v>
          </cell>
          <cell r="CJ973">
            <v>0</v>
          </cell>
          <cell r="CK973">
            <v>0</v>
          </cell>
          <cell r="CL973">
            <v>0</v>
          </cell>
          <cell r="CM973">
            <v>0</v>
          </cell>
          <cell r="CO973">
            <v>0</v>
          </cell>
          <cell r="CP973">
            <v>0</v>
          </cell>
          <cell r="CQ973">
            <v>0</v>
          </cell>
          <cell r="CR973">
            <v>0</v>
          </cell>
          <cell r="CS973">
            <v>0</v>
          </cell>
          <cell r="CT973">
            <v>0</v>
          </cell>
          <cell r="CU973">
            <v>0</v>
          </cell>
          <cell r="CV973">
            <v>0</v>
          </cell>
          <cell r="CW973">
            <v>0</v>
          </cell>
          <cell r="CY973">
            <v>0</v>
          </cell>
          <cell r="CZ973">
            <v>0</v>
          </cell>
          <cell r="DA973">
            <v>0</v>
          </cell>
          <cell r="DB973">
            <v>0</v>
          </cell>
          <cell r="DC973">
            <v>0</v>
          </cell>
          <cell r="DD973">
            <v>0</v>
          </cell>
          <cell r="DE973">
            <v>0</v>
          </cell>
          <cell r="DF973">
            <v>0</v>
          </cell>
          <cell r="DG973">
            <v>0</v>
          </cell>
          <cell r="DI973">
            <v>0</v>
          </cell>
          <cell r="DJ973">
            <v>0</v>
          </cell>
          <cell r="DK973">
            <v>0</v>
          </cell>
          <cell r="DL973">
            <v>0</v>
          </cell>
          <cell r="DM973">
            <v>0</v>
          </cell>
          <cell r="DN973">
            <v>0</v>
          </cell>
          <cell r="DO973">
            <v>0</v>
          </cell>
          <cell r="DP973">
            <v>0</v>
          </cell>
          <cell r="DQ973">
            <v>0</v>
          </cell>
          <cell r="DR973">
            <v>0</v>
          </cell>
          <cell r="DS973">
            <v>0</v>
          </cell>
          <cell r="DT973">
            <v>0</v>
          </cell>
          <cell r="DU973">
            <v>0</v>
          </cell>
          <cell r="DW973">
            <v>0</v>
          </cell>
          <cell r="DX973">
            <v>0</v>
          </cell>
          <cell r="DY973">
            <v>0</v>
          </cell>
          <cell r="DZ973">
            <v>0</v>
          </cell>
          <cell r="EA973">
            <v>0</v>
          </cell>
          <cell r="EB973">
            <v>0</v>
          </cell>
          <cell r="EC973">
            <v>0</v>
          </cell>
          <cell r="ED973">
            <v>0</v>
          </cell>
          <cell r="EE973">
            <v>0</v>
          </cell>
          <cell r="EF973">
            <v>0</v>
          </cell>
          <cell r="EG973">
            <v>0</v>
          </cell>
          <cell r="EH973">
            <v>0</v>
          </cell>
          <cell r="EI973">
            <v>0</v>
          </cell>
          <cell r="EK973">
            <v>0</v>
          </cell>
          <cell r="EL973">
            <v>0</v>
          </cell>
          <cell r="EM973">
            <v>0</v>
          </cell>
          <cell r="EN973">
            <v>0</v>
          </cell>
          <cell r="EO973">
            <v>0</v>
          </cell>
          <cell r="EP973">
            <v>0</v>
          </cell>
          <cell r="EQ973">
            <v>0</v>
          </cell>
          <cell r="ER973">
            <v>0</v>
          </cell>
          <cell r="ES973">
            <v>0</v>
          </cell>
          <cell r="ET973">
            <v>0</v>
          </cell>
          <cell r="EU973">
            <v>0</v>
          </cell>
          <cell r="EV973">
            <v>0</v>
          </cell>
          <cell r="EW973">
            <v>0</v>
          </cell>
          <cell r="EY973">
            <v>0</v>
          </cell>
          <cell r="EZ973">
            <v>8</v>
          </cell>
          <cell r="FA973">
            <v>0</v>
          </cell>
          <cell r="FB973">
            <v>0</v>
          </cell>
          <cell r="FC973">
            <v>8.6</v>
          </cell>
          <cell r="FD973">
            <v>0</v>
          </cell>
          <cell r="FE973">
            <v>0</v>
          </cell>
          <cell r="FF973">
            <v>0</v>
          </cell>
          <cell r="FH973">
            <v>0</v>
          </cell>
        </row>
        <row r="974">
          <cell r="B974">
            <v>10107</v>
          </cell>
          <cell r="C974" t="str">
            <v>10.11.2013</v>
          </cell>
          <cell r="D974" t="str">
            <v>Sakat Kusum Chagan</v>
          </cell>
          <cell r="F974">
            <v>0</v>
          </cell>
          <cell r="H974">
            <v>0</v>
          </cell>
          <cell r="I974">
            <v>0</v>
          </cell>
          <cell r="J974">
            <v>0</v>
          </cell>
          <cell r="K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R974">
            <v>0</v>
          </cell>
          <cell r="S974">
            <v>0</v>
          </cell>
          <cell r="T974">
            <v>0</v>
          </cell>
          <cell r="U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0</v>
          </cell>
          <cell r="AB974">
            <v>0</v>
          </cell>
          <cell r="AC974">
            <v>0</v>
          </cell>
          <cell r="AD974">
            <v>0</v>
          </cell>
          <cell r="AE974">
            <v>0</v>
          </cell>
          <cell r="AG974">
            <v>0</v>
          </cell>
          <cell r="AH974">
            <v>0</v>
          </cell>
          <cell r="AI974">
            <v>0</v>
          </cell>
          <cell r="AJ974">
            <v>0</v>
          </cell>
          <cell r="AK974">
            <v>0</v>
          </cell>
          <cell r="AL974">
            <v>0</v>
          </cell>
          <cell r="AM974">
            <v>0</v>
          </cell>
          <cell r="AN974">
            <v>0</v>
          </cell>
          <cell r="AO974">
            <v>0</v>
          </cell>
          <cell r="AQ974">
            <v>0</v>
          </cell>
          <cell r="AR974">
            <v>0</v>
          </cell>
          <cell r="AS974">
            <v>0</v>
          </cell>
          <cell r="AT974">
            <v>0</v>
          </cell>
          <cell r="AU974">
            <v>0</v>
          </cell>
          <cell r="AV974">
            <v>0</v>
          </cell>
          <cell r="AW974">
            <v>0</v>
          </cell>
          <cell r="AX974">
            <v>0</v>
          </cell>
          <cell r="AY974">
            <v>0</v>
          </cell>
          <cell r="BA974">
            <v>0</v>
          </cell>
          <cell r="BB974">
            <v>0</v>
          </cell>
          <cell r="BC974">
            <v>0</v>
          </cell>
          <cell r="BD974">
            <v>0</v>
          </cell>
          <cell r="BE974">
            <v>0</v>
          </cell>
          <cell r="BF974">
            <v>0</v>
          </cell>
          <cell r="BG974">
            <v>0</v>
          </cell>
          <cell r="BH974">
            <v>0</v>
          </cell>
          <cell r="BI974">
            <v>0</v>
          </cell>
          <cell r="BK974">
            <v>0</v>
          </cell>
          <cell r="BL974">
            <v>0</v>
          </cell>
          <cell r="BM974">
            <v>0</v>
          </cell>
          <cell r="BN974">
            <v>0</v>
          </cell>
          <cell r="BO974">
            <v>0</v>
          </cell>
          <cell r="BP974">
            <v>0</v>
          </cell>
          <cell r="BQ974">
            <v>0</v>
          </cell>
          <cell r="BR974">
            <v>0</v>
          </cell>
          <cell r="BS974">
            <v>0</v>
          </cell>
          <cell r="BU974">
            <v>0</v>
          </cell>
          <cell r="BV974">
            <v>0</v>
          </cell>
          <cell r="BW974">
            <v>0</v>
          </cell>
          <cell r="BX974">
            <v>0</v>
          </cell>
          <cell r="BY974">
            <v>0</v>
          </cell>
          <cell r="BZ974">
            <v>0</v>
          </cell>
          <cell r="CA974">
            <v>0</v>
          </cell>
          <cell r="CB974">
            <v>0</v>
          </cell>
          <cell r="CC974">
            <v>0</v>
          </cell>
          <cell r="CE974">
            <v>0</v>
          </cell>
          <cell r="CF974">
            <v>0</v>
          </cell>
          <cell r="CG974">
            <v>0</v>
          </cell>
          <cell r="CH974">
            <v>0</v>
          </cell>
          <cell r="CI974">
            <v>0</v>
          </cell>
          <cell r="CJ974">
            <v>0</v>
          </cell>
          <cell r="CK974">
            <v>0</v>
          </cell>
          <cell r="CL974">
            <v>0</v>
          </cell>
          <cell r="CM974">
            <v>0</v>
          </cell>
          <cell r="CO974">
            <v>0</v>
          </cell>
          <cell r="CP974">
            <v>0</v>
          </cell>
          <cell r="CQ974">
            <v>0</v>
          </cell>
          <cell r="CR974">
            <v>0</v>
          </cell>
          <cell r="CS974">
            <v>0</v>
          </cell>
          <cell r="CT974">
            <v>0</v>
          </cell>
          <cell r="CU974">
            <v>0</v>
          </cell>
          <cell r="CV974">
            <v>0</v>
          </cell>
          <cell r="CW974">
            <v>0</v>
          </cell>
          <cell r="CY974">
            <v>0</v>
          </cell>
          <cell r="CZ974">
            <v>0</v>
          </cell>
          <cell r="DA974">
            <v>0</v>
          </cell>
          <cell r="DB974">
            <v>0</v>
          </cell>
          <cell r="DC974">
            <v>0</v>
          </cell>
          <cell r="DD974">
            <v>0</v>
          </cell>
          <cell r="DE974">
            <v>0</v>
          </cell>
          <cell r="DF974">
            <v>0</v>
          </cell>
          <cell r="DG974">
            <v>0</v>
          </cell>
          <cell r="DI974">
            <v>0</v>
          </cell>
          <cell r="DJ974">
            <v>0</v>
          </cell>
          <cell r="DK974">
            <v>0</v>
          </cell>
          <cell r="DL974">
            <v>0</v>
          </cell>
          <cell r="DM974">
            <v>0</v>
          </cell>
          <cell r="DN974">
            <v>0</v>
          </cell>
          <cell r="DO974">
            <v>0</v>
          </cell>
          <cell r="DP974">
            <v>0</v>
          </cell>
          <cell r="DQ974">
            <v>0</v>
          </cell>
          <cell r="DR974">
            <v>0</v>
          </cell>
          <cell r="DS974">
            <v>0</v>
          </cell>
          <cell r="DT974">
            <v>0</v>
          </cell>
          <cell r="DU974">
            <v>0</v>
          </cell>
          <cell r="DW974">
            <v>0</v>
          </cell>
          <cell r="DX974">
            <v>0</v>
          </cell>
          <cell r="DY974">
            <v>0</v>
          </cell>
          <cell r="DZ974">
            <v>0</v>
          </cell>
          <cell r="EA974">
            <v>0</v>
          </cell>
          <cell r="EB974">
            <v>0</v>
          </cell>
          <cell r="EC974">
            <v>0</v>
          </cell>
          <cell r="ED974">
            <v>0</v>
          </cell>
          <cell r="EE974">
            <v>0</v>
          </cell>
          <cell r="EF974">
            <v>0</v>
          </cell>
          <cell r="EG974">
            <v>0</v>
          </cell>
          <cell r="EH974">
            <v>0</v>
          </cell>
          <cell r="EI974">
            <v>0</v>
          </cell>
          <cell r="EK974">
            <v>0</v>
          </cell>
          <cell r="EL974">
            <v>0</v>
          </cell>
          <cell r="EM974">
            <v>0</v>
          </cell>
          <cell r="EN974">
            <v>0</v>
          </cell>
          <cell r="EO974">
            <v>0</v>
          </cell>
          <cell r="EP974">
            <v>0</v>
          </cell>
          <cell r="EQ974">
            <v>0</v>
          </cell>
          <cell r="ER974">
            <v>0</v>
          </cell>
          <cell r="ES974">
            <v>0</v>
          </cell>
          <cell r="ET974">
            <v>0</v>
          </cell>
          <cell r="EU974">
            <v>0</v>
          </cell>
          <cell r="EV974">
            <v>0</v>
          </cell>
          <cell r="EW974">
            <v>0</v>
          </cell>
          <cell r="EY974">
            <v>0</v>
          </cell>
          <cell r="EZ974">
            <v>8</v>
          </cell>
          <cell r="FA974">
            <v>0</v>
          </cell>
          <cell r="FB974">
            <v>0</v>
          </cell>
          <cell r="FC974">
            <v>8.6</v>
          </cell>
          <cell r="FD974">
            <v>0</v>
          </cell>
          <cell r="FE974">
            <v>0</v>
          </cell>
          <cell r="FF974">
            <v>0</v>
          </cell>
          <cell r="FH974">
            <v>0</v>
          </cell>
        </row>
        <row r="975">
          <cell r="B975">
            <v>9831</v>
          </cell>
          <cell r="C975" t="str">
            <v>29.11.2013</v>
          </cell>
          <cell r="D975" t="str">
            <v>Ner Nitin Vasant</v>
          </cell>
          <cell r="F975">
            <v>0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G975">
            <v>0</v>
          </cell>
          <cell r="AH975">
            <v>0</v>
          </cell>
          <cell r="AI975">
            <v>0</v>
          </cell>
          <cell r="AJ975">
            <v>0</v>
          </cell>
          <cell r="AK975">
            <v>0</v>
          </cell>
          <cell r="AL975">
            <v>0</v>
          </cell>
          <cell r="AM975">
            <v>0</v>
          </cell>
          <cell r="AN975">
            <v>0</v>
          </cell>
          <cell r="AO975">
            <v>0</v>
          </cell>
          <cell r="AQ975">
            <v>0</v>
          </cell>
          <cell r="AR975">
            <v>0</v>
          </cell>
          <cell r="AS975">
            <v>0</v>
          </cell>
          <cell r="AT975">
            <v>0</v>
          </cell>
          <cell r="AU975">
            <v>0</v>
          </cell>
          <cell r="AV975">
            <v>0</v>
          </cell>
          <cell r="AW975">
            <v>0</v>
          </cell>
          <cell r="AX975">
            <v>0</v>
          </cell>
          <cell r="AY975">
            <v>0</v>
          </cell>
          <cell r="BA975">
            <v>0</v>
          </cell>
          <cell r="BB975">
            <v>0</v>
          </cell>
          <cell r="BC975">
            <v>0</v>
          </cell>
          <cell r="BD975">
            <v>0</v>
          </cell>
          <cell r="BE975">
            <v>0</v>
          </cell>
          <cell r="BF975">
            <v>0</v>
          </cell>
          <cell r="BG975">
            <v>0</v>
          </cell>
          <cell r="BH975">
            <v>0</v>
          </cell>
          <cell r="BI975">
            <v>0</v>
          </cell>
          <cell r="BK975">
            <v>0</v>
          </cell>
          <cell r="BL975">
            <v>0</v>
          </cell>
          <cell r="BM975">
            <v>0</v>
          </cell>
          <cell r="BN975">
            <v>0</v>
          </cell>
          <cell r="BO975">
            <v>0</v>
          </cell>
          <cell r="BP975">
            <v>0</v>
          </cell>
          <cell r="BQ975">
            <v>0</v>
          </cell>
          <cell r="BR975">
            <v>0</v>
          </cell>
          <cell r="BS975">
            <v>0</v>
          </cell>
          <cell r="BU975">
            <v>0</v>
          </cell>
          <cell r="BV975">
            <v>0</v>
          </cell>
          <cell r="BW975">
            <v>0</v>
          </cell>
          <cell r="BX975">
            <v>0</v>
          </cell>
          <cell r="BY975">
            <v>0</v>
          </cell>
          <cell r="BZ975">
            <v>0</v>
          </cell>
          <cell r="CA975">
            <v>0</v>
          </cell>
          <cell r="CB975">
            <v>0</v>
          </cell>
          <cell r="CC975">
            <v>0</v>
          </cell>
          <cell r="CE975">
            <v>0</v>
          </cell>
          <cell r="CF975">
            <v>0</v>
          </cell>
          <cell r="CG975">
            <v>0</v>
          </cell>
          <cell r="CH975">
            <v>0</v>
          </cell>
          <cell r="CI975">
            <v>0</v>
          </cell>
          <cell r="CJ975">
            <v>0</v>
          </cell>
          <cell r="CK975">
            <v>0</v>
          </cell>
          <cell r="CL975">
            <v>0</v>
          </cell>
          <cell r="CM975">
            <v>0</v>
          </cell>
          <cell r="CO975">
            <v>0</v>
          </cell>
          <cell r="CP975">
            <v>0</v>
          </cell>
          <cell r="CQ975">
            <v>0</v>
          </cell>
          <cell r="CR975">
            <v>0</v>
          </cell>
          <cell r="CS975">
            <v>0</v>
          </cell>
          <cell r="CT975">
            <v>0</v>
          </cell>
          <cell r="CU975">
            <v>0</v>
          </cell>
          <cell r="CV975">
            <v>0</v>
          </cell>
          <cell r="CW975">
            <v>0</v>
          </cell>
          <cell r="CY975">
            <v>0</v>
          </cell>
          <cell r="CZ975">
            <v>0</v>
          </cell>
          <cell r="DA975">
            <v>0</v>
          </cell>
          <cell r="DB975">
            <v>0</v>
          </cell>
          <cell r="DC975">
            <v>0</v>
          </cell>
          <cell r="DD975">
            <v>0</v>
          </cell>
          <cell r="DE975">
            <v>0</v>
          </cell>
          <cell r="DF975">
            <v>0</v>
          </cell>
          <cell r="DG975">
            <v>0</v>
          </cell>
          <cell r="DI975">
            <v>0</v>
          </cell>
          <cell r="DJ975">
            <v>0</v>
          </cell>
          <cell r="DK975">
            <v>0</v>
          </cell>
          <cell r="DL975">
            <v>0</v>
          </cell>
          <cell r="DM975">
            <v>0</v>
          </cell>
          <cell r="DN975">
            <v>0</v>
          </cell>
          <cell r="DO975">
            <v>0</v>
          </cell>
          <cell r="DP975">
            <v>0</v>
          </cell>
          <cell r="DQ975">
            <v>0</v>
          </cell>
          <cell r="DR975">
            <v>0</v>
          </cell>
          <cell r="DS975">
            <v>0</v>
          </cell>
          <cell r="DT975">
            <v>0</v>
          </cell>
          <cell r="DU975">
            <v>0</v>
          </cell>
          <cell r="DW975">
            <v>0</v>
          </cell>
          <cell r="DX975">
            <v>0</v>
          </cell>
          <cell r="DY975">
            <v>0</v>
          </cell>
          <cell r="DZ975">
            <v>0</v>
          </cell>
          <cell r="EA975">
            <v>0</v>
          </cell>
          <cell r="EB975">
            <v>0</v>
          </cell>
          <cell r="EC975">
            <v>0</v>
          </cell>
          <cell r="ED975">
            <v>0</v>
          </cell>
          <cell r="EE975">
            <v>0</v>
          </cell>
          <cell r="EF975">
            <v>0</v>
          </cell>
          <cell r="EG975">
            <v>0</v>
          </cell>
          <cell r="EH975">
            <v>0</v>
          </cell>
          <cell r="EI975">
            <v>0</v>
          </cell>
          <cell r="EK975">
            <v>0</v>
          </cell>
          <cell r="EL975">
            <v>0</v>
          </cell>
          <cell r="EM975">
            <v>0</v>
          </cell>
          <cell r="EN975">
            <v>0</v>
          </cell>
          <cell r="EO975">
            <v>0</v>
          </cell>
          <cell r="EP975">
            <v>0</v>
          </cell>
          <cell r="EQ975">
            <v>0</v>
          </cell>
          <cell r="ER975">
            <v>0</v>
          </cell>
          <cell r="ES975">
            <v>0</v>
          </cell>
          <cell r="ET975">
            <v>0</v>
          </cell>
          <cell r="EU975">
            <v>0</v>
          </cell>
          <cell r="EV975">
            <v>0</v>
          </cell>
          <cell r="EW975">
            <v>0</v>
          </cell>
          <cell r="EY975">
            <v>0</v>
          </cell>
          <cell r="EZ975">
            <v>8</v>
          </cell>
          <cell r="FA975">
            <v>0</v>
          </cell>
          <cell r="FB975">
            <v>0</v>
          </cell>
          <cell r="FC975">
            <v>8.6</v>
          </cell>
          <cell r="FD975">
            <v>0</v>
          </cell>
          <cell r="FE975">
            <v>0</v>
          </cell>
          <cell r="FF975">
            <v>0</v>
          </cell>
          <cell r="FH975">
            <v>0</v>
          </cell>
        </row>
        <row r="976">
          <cell r="B976">
            <v>10109</v>
          </cell>
          <cell r="C976" t="str">
            <v>24.02.2014</v>
          </cell>
          <cell r="D976" t="str">
            <v>Kale Kunal Daulat</v>
          </cell>
          <cell r="F976">
            <v>0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0</v>
          </cell>
          <cell r="AB976">
            <v>0</v>
          </cell>
          <cell r="AC976">
            <v>0</v>
          </cell>
          <cell r="AD976">
            <v>0</v>
          </cell>
          <cell r="AE976">
            <v>0</v>
          </cell>
          <cell r="AG976">
            <v>0</v>
          </cell>
          <cell r="AH976">
            <v>0</v>
          </cell>
          <cell r="AI976">
            <v>0</v>
          </cell>
          <cell r="AJ976">
            <v>0</v>
          </cell>
          <cell r="AK976">
            <v>0</v>
          </cell>
          <cell r="AL976">
            <v>0</v>
          </cell>
          <cell r="AM976">
            <v>0</v>
          </cell>
          <cell r="AN976">
            <v>0</v>
          </cell>
          <cell r="AO976">
            <v>0</v>
          </cell>
          <cell r="AQ976">
            <v>0</v>
          </cell>
          <cell r="AR976">
            <v>0</v>
          </cell>
          <cell r="AS976">
            <v>0</v>
          </cell>
          <cell r="AT976">
            <v>0</v>
          </cell>
          <cell r="AU976">
            <v>0</v>
          </cell>
          <cell r="AV976">
            <v>0</v>
          </cell>
          <cell r="AW976">
            <v>0</v>
          </cell>
          <cell r="AX976">
            <v>0</v>
          </cell>
          <cell r="AY976">
            <v>0</v>
          </cell>
          <cell r="BA976">
            <v>0</v>
          </cell>
          <cell r="BB976">
            <v>0</v>
          </cell>
          <cell r="BC976">
            <v>0</v>
          </cell>
          <cell r="BD976">
            <v>0</v>
          </cell>
          <cell r="BE976">
            <v>0</v>
          </cell>
          <cell r="BF976">
            <v>0</v>
          </cell>
          <cell r="BG976">
            <v>0</v>
          </cell>
          <cell r="BH976">
            <v>0</v>
          </cell>
          <cell r="BI976">
            <v>0</v>
          </cell>
          <cell r="BK976">
            <v>0</v>
          </cell>
          <cell r="BL976">
            <v>0</v>
          </cell>
          <cell r="BM976">
            <v>0</v>
          </cell>
          <cell r="BN976">
            <v>0</v>
          </cell>
          <cell r="BO976">
            <v>0</v>
          </cell>
          <cell r="BP976">
            <v>0</v>
          </cell>
          <cell r="BQ976">
            <v>0</v>
          </cell>
          <cell r="BR976">
            <v>0</v>
          </cell>
          <cell r="BS976">
            <v>0</v>
          </cell>
          <cell r="BU976">
            <v>0</v>
          </cell>
          <cell r="BV976">
            <v>0</v>
          </cell>
          <cell r="BW976">
            <v>0</v>
          </cell>
          <cell r="BX976">
            <v>0</v>
          </cell>
          <cell r="BY976">
            <v>0</v>
          </cell>
          <cell r="BZ976">
            <v>0</v>
          </cell>
          <cell r="CA976">
            <v>0</v>
          </cell>
          <cell r="CB976">
            <v>0</v>
          </cell>
          <cell r="CC976">
            <v>0</v>
          </cell>
          <cell r="CE976">
            <v>0</v>
          </cell>
          <cell r="CF976">
            <v>0</v>
          </cell>
          <cell r="CG976">
            <v>0</v>
          </cell>
          <cell r="CH976">
            <v>0</v>
          </cell>
          <cell r="CI976">
            <v>0</v>
          </cell>
          <cell r="CJ976">
            <v>0</v>
          </cell>
          <cell r="CK976">
            <v>0</v>
          </cell>
          <cell r="CL976">
            <v>0</v>
          </cell>
          <cell r="CM976">
            <v>0</v>
          </cell>
          <cell r="CO976">
            <v>0</v>
          </cell>
          <cell r="CP976">
            <v>0</v>
          </cell>
          <cell r="CQ976">
            <v>0</v>
          </cell>
          <cell r="CR976">
            <v>0</v>
          </cell>
          <cell r="CS976">
            <v>0</v>
          </cell>
          <cell r="CT976">
            <v>0</v>
          </cell>
          <cell r="CU976">
            <v>0</v>
          </cell>
          <cell r="CV976">
            <v>0</v>
          </cell>
          <cell r="CW976">
            <v>0</v>
          </cell>
          <cell r="CY976">
            <v>0</v>
          </cell>
          <cell r="CZ976">
            <v>0</v>
          </cell>
          <cell r="DA976">
            <v>0</v>
          </cell>
          <cell r="DB976">
            <v>0</v>
          </cell>
          <cell r="DC976">
            <v>0</v>
          </cell>
          <cell r="DD976">
            <v>0</v>
          </cell>
          <cell r="DE976">
            <v>0</v>
          </cell>
          <cell r="DF976">
            <v>0</v>
          </cell>
          <cell r="DG976">
            <v>0</v>
          </cell>
          <cell r="DI976">
            <v>0</v>
          </cell>
          <cell r="DJ976">
            <v>0</v>
          </cell>
          <cell r="DK976">
            <v>0</v>
          </cell>
          <cell r="DL976">
            <v>0</v>
          </cell>
          <cell r="DM976">
            <v>0</v>
          </cell>
          <cell r="DN976">
            <v>0</v>
          </cell>
          <cell r="DO976">
            <v>0</v>
          </cell>
          <cell r="DP976">
            <v>0</v>
          </cell>
          <cell r="DQ976">
            <v>0</v>
          </cell>
          <cell r="DR976">
            <v>0</v>
          </cell>
          <cell r="DS976">
            <v>0</v>
          </cell>
          <cell r="DT976">
            <v>0</v>
          </cell>
          <cell r="DU976">
            <v>0</v>
          </cell>
          <cell r="DW976">
            <v>0</v>
          </cell>
          <cell r="DX976">
            <v>0</v>
          </cell>
          <cell r="DY976">
            <v>0</v>
          </cell>
          <cell r="DZ976">
            <v>0</v>
          </cell>
          <cell r="EA976">
            <v>0</v>
          </cell>
          <cell r="EB976">
            <v>0</v>
          </cell>
          <cell r="EC976">
            <v>0</v>
          </cell>
          <cell r="ED976">
            <v>0</v>
          </cell>
          <cell r="EE976">
            <v>0</v>
          </cell>
          <cell r="EF976">
            <v>0</v>
          </cell>
          <cell r="EG976">
            <v>0</v>
          </cell>
          <cell r="EH976">
            <v>0</v>
          </cell>
          <cell r="EI976">
            <v>0</v>
          </cell>
          <cell r="EK976">
            <v>0</v>
          </cell>
          <cell r="EL976">
            <v>0</v>
          </cell>
          <cell r="EM976">
            <v>0</v>
          </cell>
          <cell r="EN976">
            <v>0</v>
          </cell>
          <cell r="EO976">
            <v>0</v>
          </cell>
          <cell r="EP976">
            <v>0</v>
          </cell>
          <cell r="EQ976">
            <v>0</v>
          </cell>
          <cell r="ER976">
            <v>0</v>
          </cell>
          <cell r="ES976">
            <v>0</v>
          </cell>
          <cell r="ET976">
            <v>0</v>
          </cell>
          <cell r="EU976">
            <v>0</v>
          </cell>
          <cell r="EV976">
            <v>0</v>
          </cell>
          <cell r="EW976">
            <v>0</v>
          </cell>
          <cell r="EY976">
            <v>0</v>
          </cell>
          <cell r="EZ976">
            <v>8</v>
          </cell>
          <cell r="FA976">
            <v>0</v>
          </cell>
          <cell r="FB976">
            <v>0</v>
          </cell>
          <cell r="FC976">
            <v>8.6</v>
          </cell>
          <cell r="FD976">
            <v>0</v>
          </cell>
          <cell r="FE976">
            <v>0</v>
          </cell>
          <cell r="FF976">
            <v>0</v>
          </cell>
          <cell r="FH976">
            <v>0</v>
          </cell>
        </row>
        <row r="977">
          <cell r="B977">
            <v>10110</v>
          </cell>
          <cell r="C977" t="str">
            <v>03.05.2014</v>
          </cell>
          <cell r="D977" t="str">
            <v>Gaikwad Kishor Vishnu</v>
          </cell>
          <cell r="F977">
            <v>0</v>
          </cell>
          <cell r="H977">
            <v>0</v>
          </cell>
          <cell r="I977">
            <v>0</v>
          </cell>
          <cell r="J977">
            <v>0</v>
          </cell>
          <cell r="K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R977">
            <v>0</v>
          </cell>
          <cell r="S977">
            <v>0</v>
          </cell>
          <cell r="T977">
            <v>0</v>
          </cell>
          <cell r="U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0</v>
          </cell>
          <cell r="AA977">
            <v>0</v>
          </cell>
          <cell r="AB977">
            <v>0</v>
          </cell>
          <cell r="AC977">
            <v>0</v>
          </cell>
          <cell r="AD977">
            <v>0</v>
          </cell>
          <cell r="AE977">
            <v>0</v>
          </cell>
          <cell r="AG977">
            <v>0</v>
          </cell>
          <cell r="AH977">
            <v>0</v>
          </cell>
          <cell r="AI977">
            <v>0</v>
          </cell>
          <cell r="AJ977">
            <v>0</v>
          </cell>
          <cell r="AK977">
            <v>0</v>
          </cell>
          <cell r="AL977">
            <v>0</v>
          </cell>
          <cell r="AM977">
            <v>0</v>
          </cell>
          <cell r="AN977">
            <v>0</v>
          </cell>
          <cell r="AO977">
            <v>0</v>
          </cell>
          <cell r="AQ977">
            <v>0</v>
          </cell>
          <cell r="AR977">
            <v>0</v>
          </cell>
          <cell r="AS977">
            <v>0</v>
          </cell>
          <cell r="AT977">
            <v>0</v>
          </cell>
          <cell r="AU977">
            <v>0</v>
          </cell>
          <cell r="AV977">
            <v>0</v>
          </cell>
          <cell r="AW977">
            <v>0</v>
          </cell>
          <cell r="AX977">
            <v>0</v>
          </cell>
          <cell r="AY977">
            <v>0</v>
          </cell>
          <cell r="BA977">
            <v>0</v>
          </cell>
          <cell r="BB977">
            <v>0</v>
          </cell>
          <cell r="BC977">
            <v>0</v>
          </cell>
          <cell r="BD977">
            <v>0</v>
          </cell>
          <cell r="BE977">
            <v>0</v>
          </cell>
          <cell r="BF977">
            <v>0</v>
          </cell>
          <cell r="BG977">
            <v>0</v>
          </cell>
          <cell r="BH977">
            <v>0</v>
          </cell>
          <cell r="BI977">
            <v>0</v>
          </cell>
          <cell r="BK977">
            <v>0</v>
          </cell>
          <cell r="BL977">
            <v>0</v>
          </cell>
          <cell r="BM977">
            <v>0</v>
          </cell>
          <cell r="BN977">
            <v>0</v>
          </cell>
          <cell r="BO977">
            <v>0</v>
          </cell>
          <cell r="BP977">
            <v>0</v>
          </cell>
          <cell r="BQ977">
            <v>0</v>
          </cell>
          <cell r="BR977">
            <v>0</v>
          </cell>
          <cell r="BS977">
            <v>0</v>
          </cell>
          <cell r="BU977">
            <v>0</v>
          </cell>
          <cell r="BV977">
            <v>0</v>
          </cell>
          <cell r="BW977">
            <v>0</v>
          </cell>
          <cell r="BX977">
            <v>0</v>
          </cell>
          <cell r="BY977">
            <v>0</v>
          </cell>
          <cell r="BZ977">
            <v>0</v>
          </cell>
          <cell r="CA977">
            <v>0</v>
          </cell>
          <cell r="CB977">
            <v>0</v>
          </cell>
          <cell r="CC977">
            <v>0</v>
          </cell>
          <cell r="CE977">
            <v>0</v>
          </cell>
          <cell r="CF977">
            <v>0</v>
          </cell>
          <cell r="CG977">
            <v>0</v>
          </cell>
          <cell r="CH977">
            <v>0</v>
          </cell>
          <cell r="CI977">
            <v>0</v>
          </cell>
          <cell r="CJ977">
            <v>0</v>
          </cell>
          <cell r="CK977">
            <v>0</v>
          </cell>
          <cell r="CL977">
            <v>0</v>
          </cell>
          <cell r="CM977">
            <v>0</v>
          </cell>
          <cell r="CO977">
            <v>0</v>
          </cell>
          <cell r="CP977">
            <v>0</v>
          </cell>
          <cell r="CQ977">
            <v>0</v>
          </cell>
          <cell r="CR977">
            <v>0</v>
          </cell>
          <cell r="CS977">
            <v>0</v>
          </cell>
          <cell r="CT977">
            <v>0</v>
          </cell>
          <cell r="CU977">
            <v>0</v>
          </cell>
          <cell r="CV977">
            <v>0</v>
          </cell>
          <cell r="CW977">
            <v>0</v>
          </cell>
          <cell r="CY977">
            <v>0</v>
          </cell>
          <cell r="CZ977">
            <v>0</v>
          </cell>
          <cell r="DA977">
            <v>0</v>
          </cell>
          <cell r="DB977">
            <v>0</v>
          </cell>
          <cell r="DC977">
            <v>0</v>
          </cell>
          <cell r="DD977">
            <v>0</v>
          </cell>
          <cell r="DE977">
            <v>0</v>
          </cell>
          <cell r="DF977">
            <v>0</v>
          </cell>
          <cell r="DG977">
            <v>0</v>
          </cell>
          <cell r="DI977">
            <v>0</v>
          </cell>
          <cell r="DJ977">
            <v>0</v>
          </cell>
          <cell r="DK977">
            <v>0</v>
          </cell>
          <cell r="DL977">
            <v>0</v>
          </cell>
          <cell r="DM977">
            <v>0</v>
          </cell>
          <cell r="DN977">
            <v>0</v>
          </cell>
          <cell r="DO977">
            <v>0</v>
          </cell>
          <cell r="DP977">
            <v>0</v>
          </cell>
          <cell r="DQ977">
            <v>0</v>
          </cell>
          <cell r="DR977">
            <v>0</v>
          </cell>
          <cell r="DS977">
            <v>0</v>
          </cell>
          <cell r="DT977">
            <v>0</v>
          </cell>
          <cell r="DU977">
            <v>0</v>
          </cell>
          <cell r="DW977">
            <v>0</v>
          </cell>
          <cell r="DX977">
            <v>0</v>
          </cell>
          <cell r="DY977">
            <v>0</v>
          </cell>
          <cell r="DZ977">
            <v>0</v>
          </cell>
          <cell r="EA977">
            <v>0</v>
          </cell>
          <cell r="EB977">
            <v>0</v>
          </cell>
          <cell r="EC977">
            <v>0</v>
          </cell>
          <cell r="ED977">
            <v>0</v>
          </cell>
          <cell r="EE977">
            <v>0</v>
          </cell>
          <cell r="EF977">
            <v>0</v>
          </cell>
          <cell r="EG977">
            <v>0</v>
          </cell>
          <cell r="EH977">
            <v>0</v>
          </cell>
          <cell r="EI977">
            <v>0</v>
          </cell>
          <cell r="EK977">
            <v>0</v>
          </cell>
          <cell r="EL977">
            <v>0</v>
          </cell>
          <cell r="EM977">
            <v>0</v>
          </cell>
          <cell r="EN977">
            <v>0</v>
          </cell>
          <cell r="EO977">
            <v>0</v>
          </cell>
          <cell r="EP977">
            <v>0</v>
          </cell>
          <cell r="EQ977">
            <v>0</v>
          </cell>
          <cell r="ER977">
            <v>0</v>
          </cell>
          <cell r="ES977">
            <v>0</v>
          </cell>
          <cell r="ET977">
            <v>0</v>
          </cell>
          <cell r="EU977">
            <v>0</v>
          </cell>
          <cell r="EV977">
            <v>0</v>
          </cell>
          <cell r="EW977">
            <v>0</v>
          </cell>
          <cell r="EY977">
            <v>0</v>
          </cell>
          <cell r="EZ977">
            <v>8</v>
          </cell>
          <cell r="FA977">
            <v>0</v>
          </cell>
          <cell r="FB977">
            <v>0</v>
          </cell>
          <cell r="FC977">
            <v>8.6</v>
          </cell>
          <cell r="FD977">
            <v>0</v>
          </cell>
          <cell r="FE977">
            <v>0</v>
          </cell>
          <cell r="FF977">
            <v>0</v>
          </cell>
          <cell r="FH977">
            <v>0</v>
          </cell>
        </row>
        <row r="978">
          <cell r="B978">
            <v>10111</v>
          </cell>
          <cell r="C978" t="str">
            <v>03.05.2014</v>
          </cell>
          <cell r="D978" t="str">
            <v>Gangurde Lokesh Madhukar</v>
          </cell>
          <cell r="F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G978">
            <v>0</v>
          </cell>
          <cell r="AH978">
            <v>0</v>
          </cell>
          <cell r="AI978">
            <v>0</v>
          </cell>
          <cell r="AJ978">
            <v>0</v>
          </cell>
          <cell r="AK978">
            <v>0</v>
          </cell>
          <cell r="AL978">
            <v>0</v>
          </cell>
          <cell r="AM978">
            <v>0</v>
          </cell>
          <cell r="AN978">
            <v>0</v>
          </cell>
          <cell r="AO978">
            <v>0</v>
          </cell>
          <cell r="AQ978">
            <v>0</v>
          </cell>
          <cell r="AR978">
            <v>0</v>
          </cell>
          <cell r="AS978">
            <v>0</v>
          </cell>
          <cell r="AT978">
            <v>0</v>
          </cell>
          <cell r="AU978">
            <v>0</v>
          </cell>
          <cell r="AV978">
            <v>0</v>
          </cell>
          <cell r="AW978">
            <v>0</v>
          </cell>
          <cell r="AX978">
            <v>0</v>
          </cell>
          <cell r="AY978">
            <v>0</v>
          </cell>
          <cell r="BA978">
            <v>0</v>
          </cell>
          <cell r="BB978">
            <v>0</v>
          </cell>
          <cell r="BC978">
            <v>0</v>
          </cell>
          <cell r="BD978">
            <v>0</v>
          </cell>
          <cell r="BE978">
            <v>0</v>
          </cell>
          <cell r="BF978">
            <v>0</v>
          </cell>
          <cell r="BG978">
            <v>0</v>
          </cell>
          <cell r="BH978">
            <v>0</v>
          </cell>
          <cell r="BI978">
            <v>0</v>
          </cell>
          <cell r="BK978">
            <v>0</v>
          </cell>
          <cell r="BL978">
            <v>0</v>
          </cell>
          <cell r="BM978">
            <v>0</v>
          </cell>
          <cell r="BN978">
            <v>0</v>
          </cell>
          <cell r="BO978">
            <v>0</v>
          </cell>
          <cell r="BP978">
            <v>0</v>
          </cell>
          <cell r="BQ978">
            <v>0</v>
          </cell>
          <cell r="BR978">
            <v>0</v>
          </cell>
          <cell r="BS978">
            <v>0</v>
          </cell>
          <cell r="BU978">
            <v>0</v>
          </cell>
          <cell r="BV978">
            <v>0</v>
          </cell>
          <cell r="BW978">
            <v>0</v>
          </cell>
          <cell r="BX978">
            <v>0</v>
          </cell>
          <cell r="BY978">
            <v>0</v>
          </cell>
          <cell r="BZ978">
            <v>0</v>
          </cell>
          <cell r="CA978">
            <v>0</v>
          </cell>
          <cell r="CB978">
            <v>0</v>
          </cell>
          <cell r="CC978">
            <v>0</v>
          </cell>
          <cell r="CE978">
            <v>0</v>
          </cell>
          <cell r="CF978">
            <v>0</v>
          </cell>
          <cell r="CG978">
            <v>0</v>
          </cell>
          <cell r="CH978">
            <v>0</v>
          </cell>
          <cell r="CI978">
            <v>0</v>
          </cell>
          <cell r="CJ978">
            <v>0</v>
          </cell>
          <cell r="CK978">
            <v>0</v>
          </cell>
          <cell r="CL978">
            <v>0</v>
          </cell>
          <cell r="CM978">
            <v>0</v>
          </cell>
          <cell r="CO978">
            <v>0</v>
          </cell>
          <cell r="CP978">
            <v>0</v>
          </cell>
          <cell r="CQ978">
            <v>0</v>
          </cell>
          <cell r="CR978">
            <v>0</v>
          </cell>
          <cell r="CS978">
            <v>0</v>
          </cell>
          <cell r="CT978">
            <v>0</v>
          </cell>
          <cell r="CU978">
            <v>0</v>
          </cell>
          <cell r="CV978">
            <v>0</v>
          </cell>
          <cell r="CW978">
            <v>0</v>
          </cell>
          <cell r="CY978">
            <v>0</v>
          </cell>
          <cell r="CZ978">
            <v>0</v>
          </cell>
          <cell r="DA978">
            <v>0</v>
          </cell>
          <cell r="DB978">
            <v>0</v>
          </cell>
          <cell r="DC978">
            <v>0</v>
          </cell>
          <cell r="DD978">
            <v>0</v>
          </cell>
          <cell r="DE978">
            <v>0</v>
          </cell>
          <cell r="DF978">
            <v>0</v>
          </cell>
          <cell r="DG978">
            <v>0</v>
          </cell>
          <cell r="DI978">
            <v>0</v>
          </cell>
          <cell r="DJ978">
            <v>0</v>
          </cell>
          <cell r="DK978">
            <v>0</v>
          </cell>
          <cell r="DL978">
            <v>0</v>
          </cell>
          <cell r="DM978">
            <v>0</v>
          </cell>
          <cell r="DN978">
            <v>0</v>
          </cell>
          <cell r="DO978">
            <v>0</v>
          </cell>
          <cell r="DP978">
            <v>0</v>
          </cell>
          <cell r="DQ978">
            <v>0</v>
          </cell>
          <cell r="DR978">
            <v>0</v>
          </cell>
          <cell r="DS978">
            <v>0</v>
          </cell>
          <cell r="DT978">
            <v>0</v>
          </cell>
          <cell r="DU978">
            <v>0</v>
          </cell>
          <cell r="DW978">
            <v>0</v>
          </cell>
          <cell r="DX978">
            <v>0</v>
          </cell>
          <cell r="DY978">
            <v>0</v>
          </cell>
          <cell r="DZ978">
            <v>0</v>
          </cell>
          <cell r="EA978">
            <v>0</v>
          </cell>
          <cell r="EB978">
            <v>0</v>
          </cell>
          <cell r="EC978">
            <v>0</v>
          </cell>
          <cell r="ED978">
            <v>0</v>
          </cell>
          <cell r="EE978">
            <v>0</v>
          </cell>
          <cell r="EF978">
            <v>0</v>
          </cell>
          <cell r="EG978">
            <v>0</v>
          </cell>
          <cell r="EH978">
            <v>0</v>
          </cell>
          <cell r="EI978">
            <v>0</v>
          </cell>
          <cell r="EK978">
            <v>0</v>
          </cell>
          <cell r="EL978">
            <v>0</v>
          </cell>
          <cell r="EM978">
            <v>0</v>
          </cell>
          <cell r="EN978">
            <v>0</v>
          </cell>
          <cell r="EO978">
            <v>0</v>
          </cell>
          <cell r="EP978">
            <v>0</v>
          </cell>
          <cell r="EQ978">
            <v>0</v>
          </cell>
          <cell r="ER978">
            <v>0</v>
          </cell>
          <cell r="ES978">
            <v>0</v>
          </cell>
          <cell r="ET978">
            <v>0</v>
          </cell>
          <cell r="EU978">
            <v>0</v>
          </cell>
          <cell r="EV978">
            <v>0</v>
          </cell>
          <cell r="EW978">
            <v>0</v>
          </cell>
          <cell r="EY978">
            <v>0</v>
          </cell>
          <cell r="EZ978">
            <v>8</v>
          </cell>
          <cell r="FA978">
            <v>0</v>
          </cell>
          <cell r="FB978">
            <v>0</v>
          </cell>
          <cell r="FC978">
            <v>8.6</v>
          </cell>
          <cell r="FD978">
            <v>0</v>
          </cell>
          <cell r="FE978">
            <v>0</v>
          </cell>
          <cell r="FF978">
            <v>0</v>
          </cell>
          <cell r="FH978">
            <v>0</v>
          </cell>
        </row>
        <row r="979">
          <cell r="B979">
            <v>10112</v>
          </cell>
          <cell r="C979" t="str">
            <v>03.05.2014</v>
          </cell>
          <cell r="D979" t="str">
            <v>Gangurde Bharat Govind</v>
          </cell>
          <cell r="F979">
            <v>0</v>
          </cell>
          <cell r="H979">
            <v>0</v>
          </cell>
          <cell r="I979">
            <v>0</v>
          </cell>
          <cell r="J979">
            <v>0</v>
          </cell>
          <cell r="K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  <cell r="Q979">
            <v>0</v>
          </cell>
          <cell r="R979">
            <v>0</v>
          </cell>
          <cell r="S979">
            <v>0</v>
          </cell>
          <cell r="T979">
            <v>0</v>
          </cell>
          <cell r="U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0</v>
          </cell>
          <cell r="AA979">
            <v>0</v>
          </cell>
          <cell r="AB979">
            <v>0</v>
          </cell>
          <cell r="AC979">
            <v>0</v>
          </cell>
          <cell r="AD979">
            <v>0</v>
          </cell>
          <cell r="AE979">
            <v>0</v>
          </cell>
          <cell r="AG979">
            <v>0</v>
          </cell>
          <cell r="AH979">
            <v>0</v>
          </cell>
          <cell r="AI979">
            <v>0</v>
          </cell>
          <cell r="AJ979">
            <v>0</v>
          </cell>
          <cell r="AK979">
            <v>0</v>
          </cell>
          <cell r="AL979">
            <v>0</v>
          </cell>
          <cell r="AM979">
            <v>0</v>
          </cell>
          <cell r="AN979">
            <v>0</v>
          </cell>
          <cell r="AO979">
            <v>0</v>
          </cell>
          <cell r="AQ979">
            <v>0</v>
          </cell>
          <cell r="AR979">
            <v>0</v>
          </cell>
          <cell r="AS979">
            <v>0</v>
          </cell>
          <cell r="AT979">
            <v>0</v>
          </cell>
          <cell r="AU979">
            <v>0</v>
          </cell>
          <cell r="AV979">
            <v>0</v>
          </cell>
          <cell r="AW979">
            <v>0</v>
          </cell>
          <cell r="AX979">
            <v>0</v>
          </cell>
          <cell r="AY979">
            <v>0</v>
          </cell>
          <cell r="BA979">
            <v>0</v>
          </cell>
          <cell r="BB979">
            <v>0</v>
          </cell>
          <cell r="BC979">
            <v>0</v>
          </cell>
          <cell r="BD979">
            <v>0</v>
          </cell>
          <cell r="BE979">
            <v>0</v>
          </cell>
          <cell r="BF979">
            <v>0</v>
          </cell>
          <cell r="BG979">
            <v>0</v>
          </cell>
          <cell r="BH979">
            <v>0</v>
          </cell>
          <cell r="BI979">
            <v>0</v>
          </cell>
          <cell r="BK979">
            <v>0</v>
          </cell>
          <cell r="BL979">
            <v>0</v>
          </cell>
          <cell r="BM979">
            <v>0</v>
          </cell>
          <cell r="BN979">
            <v>0</v>
          </cell>
          <cell r="BO979">
            <v>0</v>
          </cell>
          <cell r="BP979">
            <v>0</v>
          </cell>
          <cell r="BQ979">
            <v>0</v>
          </cell>
          <cell r="BR979">
            <v>0</v>
          </cell>
          <cell r="BS979">
            <v>0</v>
          </cell>
          <cell r="BU979">
            <v>0</v>
          </cell>
          <cell r="BV979">
            <v>0</v>
          </cell>
          <cell r="BW979">
            <v>0</v>
          </cell>
          <cell r="BX979">
            <v>0</v>
          </cell>
          <cell r="BY979">
            <v>0</v>
          </cell>
          <cell r="BZ979">
            <v>0</v>
          </cell>
          <cell r="CA979">
            <v>0</v>
          </cell>
          <cell r="CB979">
            <v>0</v>
          </cell>
          <cell r="CC979">
            <v>0</v>
          </cell>
          <cell r="CE979">
            <v>0</v>
          </cell>
          <cell r="CF979">
            <v>0</v>
          </cell>
          <cell r="CG979">
            <v>0</v>
          </cell>
          <cell r="CH979">
            <v>0</v>
          </cell>
          <cell r="CI979">
            <v>0</v>
          </cell>
          <cell r="CJ979">
            <v>0</v>
          </cell>
          <cell r="CK979">
            <v>0</v>
          </cell>
          <cell r="CL979">
            <v>0</v>
          </cell>
          <cell r="CM979">
            <v>0</v>
          </cell>
          <cell r="CO979">
            <v>0</v>
          </cell>
          <cell r="CP979">
            <v>0</v>
          </cell>
          <cell r="CQ979">
            <v>0</v>
          </cell>
          <cell r="CR979">
            <v>0</v>
          </cell>
          <cell r="CS979">
            <v>0</v>
          </cell>
          <cell r="CT979">
            <v>0</v>
          </cell>
          <cell r="CU979">
            <v>0</v>
          </cell>
          <cell r="CV979">
            <v>0</v>
          </cell>
          <cell r="CW979">
            <v>0</v>
          </cell>
          <cell r="CY979">
            <v>0</v>
          </cell>
          <cell r="CZ979">
            <v>0</v>
          </cell>
          <cell r="DA979">
            <v>0</v>
          </cell>
          <cell r="DB979">
            <v>0</v>
          </cell>
          <cell r="DC979">
            <v>0</v>
          </cell>
          <cell r="DD979">
            <v>0</v>
          </cell>
          <cell r="DE979">
            <v>0</v>
          </cell>
          <cell r="DF979">
            <v>0</v>
          </cell>
          <cell r="DG979">
            <v>0</v>
          </cell>
          <cell r="DI979">
            <v>0</v>
          </cell>
          <cell r="DJ979">
            <v>0</v>
          </cell>
          <cell r="DK979">
            <v>0</v>
          </cell>
          <cell r="DL979">
            <v>0</v>
          </cell>
          <cell r="DM979">
            <v>0</v>
          </cell>
          <cell r="DN979">
            <v>0</v>
          </cell>
          <cell r="DO979">
            <v>0</v>
          </cell>
          <cell r="DP979">
            <v>0</v>
          </cell>
          <cell r="DQ979">
            <v>0</v>
          </cell>
          <cell r="DR979">
            <v>0</v>
          </cell>
          <cell r="DS979">
            <v>0</v>
          </cell>
          <cell r="DT979">
            <v>0</v>
          </cell>
          <cell r="DU979">
            <v>0</v>
          </cell>
          <cell r="DW979">
            <v>0</v>
          </cell>
          <cell r="DX979">
            <v>0</v>
          </cell>
          <cell r="DY979">
            <v>0</v>
          </cell>
          <cell r="DZ979">
            <v>0</v>
          </cell>
          <cell r="EA979">
            <v>0</v>
          </cell>
          <cell r="EB979">
            <v>0</v>
          </cell>
          <cell r="EC979">
            <v>0</v>
          </cell>
          <cell r="ED979">
            <v>0</v>
          </cell>
          <cell r="EE979">
            <v>0</v>
          </cell>
          <cell r="EF979">
            <v>0</v>
          </cell>
          <cell r="EG979">
            <v>0</v>
          </cell>
          <cell r="EH979">
            <v>0</v>
          </cell>
          <cell r="EI979">
            <v>0</v>
          </cell>
          <cell r="EK979">
            <v>0</v>
          </cell>
          <cell r="EL979">
            <v>0</v>
          </cell>
          <cell r="EM979">
            <v>0</v>
          </cell>
          <cell r="EN979">
            <v>0</v>
          </cell>
          <cell r="EO979">
            <v>0</v>
          </cell>
          <cell r="EP979">
            <v>0</v>
          </cell>
          <cell r="EQ979">
            <v>0</v>
          </cell>
          <cell r="ER979">
            <v>0</v>
          </cell>
          <cell r="ES979">
            <v>0</v>
          </cell>
          <cell r="ET979">
            <v>0</v>
          </cell>
          <cell r="EU979">
            <v>0</v>
          </cell>
          <cell r="EV979">
            <v>0</v>
          </cell>
          <cell r="EW979">
            <v>0</v>
          </cell>
          <cell r="EY979">
            <v>0</v>
          </cell>
          <cell r="EZ979">
            <v>8</v>
          </cell>
          <cell r="FA979">
            <v>0</v>
          </cell>
          <cell r="FB979">
            <v>0</v>
          </cell>
          <cell r="FC979">
            <v>8.6</v>
          </cell>
          <cell r="FD979">
            <v>0</v>
          </cell>
          <cell r="FE979">
            <v>0</v>
          </cell>
          <cell r="FF979">
            <v>0</v>
          </cell>
          <cell r="FH979">
            <v>0</v>
          </cell>
        </row>
        <row r="980">
          <cell r="B980">
            <v>10113</v>
          </cell>
          <cell r="C980" t="str">
            <v>03.05.2014</v>
          </cell>
          <cell r="D980" t="str">
            <v>Solse Sachin Kishor</v>
          </cell>
          <cell r="F980">
            <v>0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  <cell r="Q980">
            <v>0</v>
          </cell>
          <cell r="R980">
            <v>0</v>
          </cell>
          <cell r="S980">
            <v>0</v>
          </cell>
          <cell r="T980">
            <v>0</v>
          </cell>
          <cell r="U980">
            <v>0</v>
          </cell>
          <cell r="W980">
            <v>0</v>
          </cell>
          <cell r="X980">
            <v>0</v>
          </cell>
          <cell r="Y980">
            <v>0</v>
          </cell>
          <cell r="Z980">
            <v>0</v>
          </cell>
          <cell r="AA980">
            <v>0</v>
          </cell>
          <cell r="AB980">
            <v>0</v>
          </cell>
          <cell r="AC980">
            <v>0</v>
          </cell>
          <cell r="AD980">
            <v>0</v>
          </cell>
          <cell r="AE980">
            <v>0</v>
          </cell>
          <cell r="AG980">
            <v>0</v>
          </cell>
          <cell r="AH980">
            <v>0</v>
          </cell>
          <cell r="AI980">
            <v>0</v>
          </cell>
          <cell r="AJ980">
            <v>0</v>
          </cell>
          <cell r="AK980">
            <v>0</v>
          </cell>
          <cell r="AL980">
            <v>0</v>
          </cell>
          <cell r="AM980">
            <v>0</v>
          </cell>
          <cell r="AN980">
            <v>0</v>
          </cell>
          <cell r="AO980">
            <v>0</v>
          </cell>
          <cell r="AQ980">
            <v>0</v>
          </cell>
          <cell r="AR980">
            <v>0</v>
          </cell>
          <cell r="AS980">
            <v>0</v>
          </cell>
          <cell r="AT980">
            <v>0</v>
          </cell>
          <cell r="AU980">
            <v>0</v>
          </cell>
          <cell r="AV980">
            <v>0</v>
          </cell>
          <cell r="AW980">
            <v>0</v>
          </cell>
          <cell r="AX980">
            <v>0</v>
          </cell>
          <cell r="AY980">
            <v>0</v>
          </cell>
          <cell r="BA980">
            <v>0</v>
          </cell>
          <cell r="BB980">
            <v>0</v>
          </cell>
          <cell r="BC980">
            <v>0</v>
          </cell>
          <cell r="BD980">
            <v>0</v>
          </cell>
          <cell r="BE980">
            <v>0</v>
          </cell>
          <cell r="BF980">
            <v>0</v>
          </cell>
          <cell r="BG980">
            <v>0</v>
          </cell>
          <cell r="BH980">
            <v>0</v>
          </cell>
          <cell r="BI980">
            <v>0</v>
          </cell>
          <cell r="BK980">
            <v>0</v>
          </cell>
          <cell r="BL980">
            <v>0</v>
          </cell>
          <cell r="BM980">
            <v>0</v>
          </cell>
          <cell r="BN980">
            <v>0</v>
          </cell>
          <cell r="BO980">
            <v>0</v>
          </cell>
          <cell r="BP980">
            <v>0</v>
          </cell>
          <cell r="BQ980">
            <v>0</v>
          </cell>
          <cell r="BR980">
            <v>0</v>
          </cell>
          <cell r="BS980">
            <v>0</v>
          </cell>
          <cell r="BU980">
            <v>0</v>
          </cell>
          <cell r="BV980">
            <v>0</v>
          </cell>
          <cell r="BW980">
            <v>0</v>
          </cell>
          <cell r="BX980">
            <v>0</v>
          </cell>
          <cell r="BY980">
            <v>0</v>
          </cell>
          <cell r="BZ980">
            <v>0</v>
          </cell>
          <cell r="CA980">
            <v>0</v>
          </cell>
          <cell r="CB980">
            <v>0</v>
          </cell>
          <cell r="CC980">
            <v>0</v>
          </cell>
          <cell r="CE980">
            <v>0</v>
          </cell>
          <cell r="CF980">
            <v>0</v>
          </cell>
          <cell r="CG980">
            <v>0</v>
          </cell>
          <cell r="CH980">
            <v>0</v>
          </cell>
          <cell r="CI980">
            <v>0</v>
          </cell>
          <cell r="CJ980">
            <v>0</v>
          </cell>
          <cell r="CK980">
            <v>0</v>
          </cell>
          <cell r="CL980">
            <v>0</v>
          </cell>
          <cell r="CM980">
            <v>0</v>
          </cell>
          <cell r="CO980">
            <v>0</v>
          </cell>
          <cell r="CP980">
            <v>0</v>
          </cell>
          <cell r="CQ980">
            <v>0</v>
          </cell>
          <cell r="CR980">
            <v>0</v>
          </cell>
          <cell r="CS980">
            <v>0</v>
          </cell>
          <cell r="CT980">
            <v>0</v>
          </cell>
          <cell r="CU980">
            <v>0</v>
          </cell>
          <cell r="CV980">
            <v>0</v>
          </cell>
          <cell r="CW980">
            <v>0</v>
          </cell>
          <cell r="CY980">
            <v>0</v>
          </cell>
          <cell r="CZ980">
            <v>0</v>
          </cell>
          <cell r="DA980">
            <v>0</v>
          </cell>
          <cell r="DB980">
            <v>0</v>
          </cell>
          <cell r="DC980">
            <v>0</v>
          </cell>
          <cell r="DD980">
            <v>0</v>
          </cell>
          <cell r="DE980">
            <v>0</v>
          </cell>
          <cell r="DF980">
            <v>0</v>
          </cell>
          <cell r="DG980">
            <v>0</v>
          </cell>
          <cell r="DI980">
            <v>0</v>
          </cell>
          <cell r="DJ980">
            <v>0</v>
          </cell>
          <cell r="DK980">
            <v>0</v>
          </cell>
          <cell r="DL980">
            <v>0</v>
          </cell>
          <cell r="DM980">
            <v>0</v>
          </cell>
          <cell r="DN980">
            <v>0</v>
          </cell>
          <cell r="DO980">
            <v>0</v>
          </cell>
          <cell r="DP980">
            <v>0</v>
          </cell>
          <cell r="DQ980">
            <v>0</v>
          </cell>
          <cell r="DR980">
            <v>0</v>
          </cell>
          <cell r="DS980">
            <v>0</v>
          </cell>
          <cell r="DT980">
            <v>0</v>
          </cell>
          <cell r="DU980">
            <v>0</v>
          </cell>
          <cell r="DW980">
            <v>0</v>
          </cell>
          <cell r="DX980">
            <v>0</v>
          </cell>
          <cell r="DY980">
            <v>0</v>
          </cell>
          <cell r="DZ980">
            <v>0</v>
          </cell>
          <cell r="EA980">
            <v>0</v>
          </cell>
          <cell r="EB980">
            <v>0</v>
          </cell>
          <cell r="EC980">
            <v>0</v>
          </cell>
          <cell r="ED980">
            <v>0</v>
          </cell>
          <cell r="EE980">
            <v>0</v>
          </cell>
          <cell r="EF980">
            <v>0</v>
          </cell>
          <cell r="EG980">
            <v>0</v>
          </cell>
          <cell r="EH980">
            <v>0</v>
          </cell>
          <cell r="EI980">
            <v>0</v>
          </cell>
          <cell r="EK980">
            <v>0</v>
          </cell>
          <cell r="EL980">
            <v>0</v>
          </cell>
          <cell r="EM980">
            <v>0</v>
          </cell>
          <cell r="EN980">
            <v>0</v>
          </cell>
          <cell r="EO980">
            <v>0</v>
          </cell>
          <cell r="EP980">
            <v>0</v>
          </cell>
          <cell r="EQ980">
            <v>0</v>
          </cell>
          <cell r="ER980">
            <v>0</v>
          </cell>
          <cell r="ES980">
            <v>0</v>
          </cell>
          <cell r="ET980">
            <v>0</v>
          </cell>
          <cell r="EU980">
            <v>0</v>
          </cell>
          <cell r="EV980">
            <v>0</v>
          </cell>
          <cell r="EW980">
            <v>0</v>
          </cell>
          <cell r="EY980">
            <v>0</v>
          </cell>
          <cell r="EZ980">
            <v>8</v>
          </cell>
          <cell r="FA980">
            <v>0</v>
          </cell>
          <cell r="FB980">
            <v>0</v>
          </cell>
          <cell r="FC980">
            <v>8.6</v>
          </cell>
          <cell r="FD980">
            <v>0</v>
          </cell>
          <cell r="FE980">
            <v>0</v>
          </cell>
          <cell r="FF980">
            <v>0</v>
          </cell>
          <cell r="FH980">
            <v>0</v>
          </cell>
        </row>
        <row r="981">
          <cell r="B981">
            <v>10114</v>
          </cell>
          <cell r="C981" t="str">
            <v>03.05.2014</v>
          </cell>
          <cell r="D981" t="str">
            <v>Baid Dolly Babul</v>
          </cell>
          <cell r="F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G981">
            <v>0</v>
          </cell>
          <cell r="AH981">
            <v>0</v>
          </cell>
          <cell r="AI981">
            <v>0</v>
          </cell>
          <cell r="AJ981">
            <v>0</v>
          </cell>
          <cell r="AK981">
            <v>0</v>
          </cell>
          <cell r="AL981">
            <v>0</v>
          </cell>
          <cell r="AM981">
            <v>0</v>
          </cell>
          <cell r="AN981">
            <v>0</v>
          </cell>
          <cell r="AO981">
            <v>0</v>
          </cell>
          <cell r="AQ981">
            <v>0</v>
          </cell>
          <cell r="AR981">
            <v>0</v>
          </cell>
          <cell r="AS981">
            <v>0</v>
          </cell>
          <cell r="AT981">
            <v>0</v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  <cell r="AY981">
            <v>0</v>
          </cell>
          <cell r="BA981">
            <v>0</v>
          </cell>
          <cell r="BB981">
            <v>0</v>
          </cell>
          <cell r="BC981">
            <v>0</v>
          </cell>
          <cell r="BD981">
            <v>0</v>
          </cell>
          <cell r="BE981">
            <v>0</v>
          </cell>
          <cell r="BF981">
            <v>0</v>
          </cell>
          <cell r="BG981">
            <v>0</v>
          </cell>
          <cell r="BH981">
            <v>0</v>
          </cell>
          <cell r="BI981">
            <v>0</v>
          </cell>
          <cell r="BK981">
            <v>0</v>
          </cell>
          <cell r="BL981">
            <v>0</v>
          </cell>
          <cell r="BM981">
            <v>0</v>
          </cell>
          <cell r="BN981">
            <v>0</v>
          </cell>
          <cell r="BO981">
            <v>0</v>
          </cell>
          <cell r="BP981">
            <v>0</v>
          </cell>
          <cell r="BQ981">
            <v>0</v>
          </cell>
          <cell r="BR981">
            <v>0</v>
          </cell>
          <cell r="BS981">
            <v>0</v>
          </cell>
          <cell r="BU981">
            <v>0</v>
          </cell>
          <cell r="BV981">
            <v>0</v>
          </cell>
          <cell r="BW981">
            <v>0</v>
          </cell>
          <cell r="BX981">
            <v>0</v>
          </cell>
          <cell r="BY981">
            <v>0</v>
          </cell>
          <cell r="BZ981">
            <v>0</v>
          </cell>
          <cell r="CA981">
            <v>0</v>
          </cell>
          <cell r="CB981">
            <v>0</v>
          </cell>
          <cell r="CC981">
            <v>0</v>
          </cell>
          <cell r="CE981">
            <v>0</v>
          </cell>
          <cell r="CF981">
            <v>0</v>
          </cell>
          <cell r="CG981">
            <v>0</v>
          </cell>
          <cell r="CH981">
            <v>0</v>
          </cell>
          <cell r="CI981">
            <v>0</v>
          </cell>
          <cell r="CJ981">
            <v>0</v>
          </cell>
          <cell r="CK981">
            <v>0</v>
          </cell>
          <cell r="CL981">
            <v>0</v>
          </cell>
          <cell r="CM981">
            <v>0</v>
          </cell>
          <cell r="CO981">
            <v>0</v>
          </cell>
          <cell r="CP981">
            <v>0</v>
          </cell>
          <cell r="CQ981">
            <v>0</v>
          </cell>
          <cell r="CR981">
            <v>0</v>
          </cell>
          <cell r="CS981">
            <v>0</v>
          </cell>
          <cell r="CT981">
            <v>0</v>
          </cell>
          <cell r="CU981">
            <v>0</v>
          </cell>
          <cell r="CV981">
            <v>0</v>
          </cell>
          <cell r="CW981">
            <v>0</v>
          </cell>
          <cell r="CY981">
            <v>0</v>
          </cell>
          <cell r="CZ981">
            <v>0</v>
          </cell>
          <cell r="DA981">
            <v>0</v>
          </cell>
          <cell r="DB981">
            <v>0</v>
          </cell>
          <cell r="DC981">
            <v>0</v>
          </cell>
          <cell r="DD981">
            <v>0</v>
          </cell>
          <cell r="DE981">
            <v>0</v>
          </cell>
          <cell r="DF981">
            <v>0</v>
          </cell>
          <cell r="DG981">
            <v>0</v>
          </cell>
          <cell r="DI981">
            <v>0</v>
          </cell>
          <cell r="DJ981">
            <v>0</v>
          </cell>
          <cell r="DK981">
            <v>0</v>
          </cell>
          <cell r="DL981">
            <v>0</v>
          </cell>
          <cell r="DM981">
            <v>0</v>
          </cell>
          <cell r="DN981">
            <v>0</v>
          </cell>
          <cell r="DO981">
            <v>0</v>
          </cell>
          <cell r="DP981">
            <v>0</v>
          </cell>
          <cell r="DQ981">
            <v>0</v>
          </cell>
          <cell r="DR981">
            <v>0</v>
          </cell>
          <cell r="DS981">
            <v>0</v>
          </cell>
          <cell r="DT981">
            <v>0</v>
          </cell>
          <cell r="DU981">
            <v>0</v>
          </cell>
          <cell r="DW981">
            <v>0</v>
          </cell>
          <cell r="DX981">
            <v>0</v>
          </cell>
          <cell r="DY981">
            <v>0</v>
          </cell>
          <cell r="DZ981">
            <v>0</v>
          </cell>
          <cell r="EA981">
            <v>0</v>
          </cell>
          <cell r="EB981">
            <v>0</v>
          </cell>
          <cell r="EC981">
            <v>0</v>
          </cell>
          <cell r="ED981">
            <v>0</v>
          </cell>
          <cell r="EE981">
            <v>0</v>
          </cell>
          <cell r="EF981">
            <v>0</v>
          </cell>
          <cell r="EG981">
            <v>0</v>
          </cell>
          <cell r="EH981">
            <v>0</v>
          </cell>
          <cell r="EI981">
            <v>0</v>
          </cell>
          <cell r="EK981">
            <v>0</v>
          </cell>
          <cell r="EL981">
            <v>0</v>
          </cell>
          <cell r="EM981">
            <v>0</v>
          </cell>
          <cell r="EN981">
            <v>0</v>
          </cell>
          <cell r="EO981">
            <v>0</v>
          </cell>
          <cell r="EP981">
            <v>0</v>
          </cell>
          <cell r="EQ981">
            <v>0</v>
          </cell>
          <cell r="ER981">
            <v>0</v>
          </cell>
          <cell r="ES981">
            <v>0</v>
          </cell>
          <cell r="ET981">
            <v>0</v>
          </cell>
          <cell r="EU981">
            <v>0</v>
          </cell>
          <cell r="EV981">
            <v>0</v>
          </cell>
          <cell r="EW981">
            <v>0</v>
          </cell>
          <cell r="EY981">
            <v>0</v>
          </cell>
          <cell r="EZ981">
            <v>8</v>
          </cell>
          <cell r="FA981">
            <v>0</v>
          </cell>
          <cell r="FB981">
            <v>0</v>
          </cell>
          <cell r="FC981">
            <v>8.6</v>
          </cell>
          <cell r="FD981">
            <v>0</v>
          </cell>
          <cell r="FE981">
            <v>0</v>
          </cell>
          <cell r="FF981">
            <v>0</v>
          </cell>
          <cell r="FH981">
            <v>0</v>
          </cell>
        </row>
        <row r="982">
          <cell r="B982">
            <v>10115</v>
          </cell>
          <cell r="C982" t="str">
            <v>03.05.2014</v>
          </cell>
          <cell r="D982" t="str">
            <v>Gholap Vishal Dashrath</v>
          </cell>
          <cell r="F982">
            <v>0</v>
          </cell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G982">
            <v>0</v>
          </cell>
          <cell r="AH982">
            <v>0</v>
          </cell>
          <cell r="AI982">
            <v>0</v>
          </cell>
          <cell r="AJ982">
            <v>0</v>
          </cell>
          <cell r="AK982">
            <v>0</v>
          </cell>
          <cell r="AL982">
            <v>0</v>
          </cell>
          <cell r="AM982">
            <v>0</v>
          </cell>
          <cell r="AN982">
            <v>0</v>
          </cell>
          <cell r="AO982">
            <v>0</v>
          </cell>
          <cell r="AQ982">
            <v>0</v>
          </cell>
          <cell r="AR982">
            <v>0</v>
          </cell>
          <cell r="AS982">
            <v>0</v>
          </cell>
          <cell r="AT982">
            <v>0</v>
          </cell>
          <cell r="AU982">
            <v>0</v>
          </cell>
          <cell r="AV982">
            <v>0</v>
          </cell>
          <cell r="AW982">
            <v>0</v>
          </cell>
          <cell r="AX982">
            <v>0</v>
          </cell>
          <cell r="AY982">
            <v>0</v>
          </cell>
          <cell r="BA982">
            <v>0</v>
          </cell>
          <cell r="BB982">
            <v>0</v>
          </cell>
          <cell r="BC982">
            <v>0</v>
          </cell>
          <cell r="BD982">
            <v>0</v>
          </cell>
          <cell r="BE982">
            <v>0</v>
          </cell>
          <cell r="BF982">
            <v>0</v>
          </cell>
          <cell r="BG982">
            <v>0</v>
          </cell>
          <cell r="BH982">
            <v>0</v>
          </cell>
          <cell r="BI982">
            <v>0</v>
          </cell>
          <cell r="BK982">
            <v>0</v>
          </cell>
          <cell r="BL982">
            <v>0</v>
          </cell>
          <cell r="BM982">
            <v>0</v>
          </cell>
          <cell r="BN982">
            <v>0</v>
          </cell>
          <cell r="BO982">
            <v>0</v>
          </cell>
          <cell r="BP982">
            <v>0</v>
          </cell>
          <cell r="BQ982">
            <v>0</v>
          </cell>
          <cell r="BR982">
            <v>0</v>
          </cell>
          <cell r="BS982">
            <v>0</v>
          </cell>
          <cell r="BU982">
            <v>0</v>
          </cell>
          <cell r="BV982">
            <v>0</v>
          </cell>
          <cell r="BW982">
            <v>0</v>
          </cell>
          <cell r="BX982">
            <v>0</v>
          </cell>
          <cell r="BY982">
            <v>0</v>
          </cell>
          <cell r="BZ982">
            <v>0</v>
          </cell>
          <cell r="CA982">
            <v>0</v>
          </cell>
          <cell r="CB982">
            <v>0</v>
          </cell>
          <cell r="CC982">
            <v>0</v>
          </cell>
          <cell r="CE982">
            <v>0</v>
          </cell>
          <cell r="CF982">
            <v>0</v>
          </cell>
          <cell r="CG982">
            <v>0</v>
          </cell>
          <cell r="CH982">
            <v>0</v>
          </cell>
          <cell r="CI982">
            <v>0</v>
          </cell>
          <cell r="CJ982">
            <v>0</v>
          </cell>
          <cell r="CK982">
            <v>0</v>
          </cell>
          <cell r="CL982">
            <v>0</v>
          </cell>
          <cell r="CM982">
            <v>0</v>
          </cell>
          <cell r="CO982">
            <v>0</v>
          </cell>
          <cell r="CP982">
            <v>0</v>
          </cell>
          <cell r="CQ982">
            <v>0</v>
          </cell>
          <cell r="CR982">
            <v>0</v>
          </cell>
          <cell r="CS982">
            <v>0</v>
          </cell>
          <cell r="CT982">
            <v>0</v>
          </cell>
          <cell r="CU982">
            <v>0</v>
          </cell>
          <cell r="CV982">
            <v>0</v>
          </cell>
          <cell r="CW982">
            <v>0</v>
          </cell>
          <cell r="CY982">
            <v>0</v>
          </cell>
          <cell r="CZ982">
            <v>0</v>
          </cell>
          <cell r="DA982">
            <v>0</v>
          </cell>
          <cell r="DB982">
            <v>0</v>
          </cell>
          <cell r="DC982">
            <v>0</v>
          </cell>
          <cell r="DD982">
            <v>0</v>
          </cell>
          <cell r="DE982">
            <v>0</v>
          </cell>
          <cell r="DF982">
            <v>0</v>
          </cell>
          <cell r="DG982">
            <v>0</v>
          </cell>
          <cell r="DI982">
            <v>0</v>
          </cell>
          <cell r="DJ982">
            <v>0</v>
          </cell>
          <cell r="DK982">
            <v>0</v>
          </cell>
          <cell r="DL982">
            <v>0</v>
          </cell>
          <cell r="DM982">
            <v>0</v>
          </cell>
          <cell r="DN982">
            <v>0</v>
          </cell>
          <cell r="DO982">
            <v>0</v>
          </cell>
          <cell r="DP982">
            <v>0</v>
          </cell>
          <cell r="DQ982">
            <v>0</v>
          </cell>
          <cell r="DR982">
            <v>0</v>
          </cell>
          <cell r="DS982">
            <v>0</v>
          </cell>
          <cell r="DT982">
            <v>0</v>
          </cell>
          <cell r="DU982">
            <v>0</v>
          </cell>
          <cell r="DW982">
            <v>0</v>
          </cell>
          <cell r="DX982">
            <v>0</v>
          </cell>
          <cell r="DY982">
            <v>0</v>
          </cell>
          <cell r="DZ982">
            <v>0</v>
          </cell>
          <cell r="EA982">
            <v>0</v>
          </cell>
          <cell r="EB982">
            <v>0</v>
          </cell>
          <cell r="EC982">
            <v>0</v>
          </cell>
          <cell r="ED982">
            <v>0</v>
          </cell>
          <cell r="EE982">
            <v>0</v>
          </cell>
          <cell r="EF982">
            <v>0</v>
          </cell>
          <cell r="EG982">
            <v>0</v>
          </cell>
          <cell r="EH982">
            <v>0</v>
          </cell>
          <cell r="EI982">
            <v>0</v>
          </cell>
          <cell r="EK982">
            <v>0</v>
          </cell>
          <cell r="EL982">
            <v>0</v>
          </cell>
          <cell r="EM982">
            <v>0</v>
          </cell>
          <cell r="EN982">
            <v>0</v>
          </cell>
          <cell r="EO982">
            <v>0</v>
          </cell>
          <cell r="EP982">
            <v>0</v>
          </cell>
          <cell r="EQ982">
            <v>0</v>
          </cell>
          <cell r="ER982">
            <v>0</v>
          </cell>
          <cell r="ES982">
            <v>0</v>
          </cell>
          <cell r="ET982">
            <v>0</v>
          </cell>
          <cell r="EU982">
            <v>0</v>
          </cell>
          <cell r="EV982">
            <v>0</v>
          </cell>
          <cell r="EW982">
            <v>0</v>
          </cell>
          <cell r="EY982">
            <v>0</v>
          </cell>
          <cell r="EZ982">
            <v>8</v>
          </cell>
          <cell r="FA982">
            <v>0</v>
          </cell>
          <cell r="FB982">
            <v>0</v>
          </cell>
          <cell r="FC982">
            <v>8.6</v>
          </cell>
          <cell r="FD982">
            <v>0</v>
          </cell>
          <cell r="FE982">
            <v>0</v>
          </cell>
          <cell r="FF982">
            <v>0</v>
          </cell>
          <cell r="FH982">
            <v>0</v>
          </cell>
        </row>
        <row r="983">
          <cell r="B983">
            <v>10116</v>
          </cell>
          <cell r="C983" t="str">
            <v>03.05.2014</v>
          </cell>
          <cell r="D983" t="str">
            <v>Katare Seema Vinod</v>
          </cell>
          <cell r="F983">
            <v>0</v>
          </cell>
          <cell r="H983">
            <v>0</v>
          </cell>
          <cell r="I983">
            <v>0</v>
          </cell>
          <cell r="J983">
            <v>0</v>
          </cell>
          <cell r="K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>
            <v>0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0</v>
          </cell>
          <cell r="AG983">
            <v>0</v>
          </cell>
          <cell r="AH983">
            <v>0</v>
          </cell>
          <cell r="AI983">
            <v>0</v>
          </cell>
          <cell r="AJ983">
            <v>0</v>
          </cell>
          <cell r="AK983">
            <v>0</v>
          </cell>
          <cell r="AL983">
            <v>0</v>
          </cell>
          <cell r="AM983">
            <v>0</v>
          </cell>
          <cell r="AN983">
            <v>0</v>
          </cell>
          <cell r="AO983">
            <v>0</v>
          </cell>
          <cell r="AQ983">
            <v>0</v>
          </cell>
          <cell r="AR983">
            <v>0</v>
          </cell>
          <cell r="AS983">
            <v>0</v>
          </cell>
          <cell r="AT983">
            <v>0</v>
          </cell>
          <cell r="AU983">
            <v>0</v>
          </cell>
          <cell r="AV983">
            <v>0</v>
          </cell>
          <cell r="AW983">
            <v>0</v>
          </cell>
          <cell r="AX983">
            <v>0</v>
          </cell>
          <cell r="AY983">
            <v>0</v>
          </cell>
          <cell r="BA983">
            <v>0</v>
          </cell>
          <cell r="BB983">
            <v>0</v>
          </cell>
          <cell r="BC983">
            <v>0</v>
          </cell>
          <cell r="BD983">
            <v>0</v>
          </cell>
          <cell r="BE983">
            <v>0</v>
          </cell>
          <cell r="BF983">
            <v>0</v>
          </cell>
          <cell r="BG983">
            <v>0</v>
          </cell>
          <cell r="BH983">
            <v>0</v>
          </cell>
          <cell r="BI983">
            <v>0</v>
          </cell>
          <cell r="BK983">
            <v>0</v>
          </cell>
          <cell r="BL983">
            <v>0</v>
          </cell>
          <cell r="BM983">
            <v>0</v>
          </cell>
          <cell r="BN983">
            <v>0</v>
          </cell>
          <cell r="BO983">
            <v>0</v>
          </cell>
          <cell r="BP983">
            <v>0</v>
          </cell>
          <cell r="BQ983">
            <v>0</v>
          </cell>
          <cell r="BR983">
            <v>0</v>
          </cell>
          <cell r="BS983">
            <v>0</v>
          </cell>
          <cell r="BU983">
            <v>0</v>
          </cell>
          <cell r="BV983">
            <v>0</v>
          </cell>
          <cell r="BW983">
            <v>0</v>
          </cell>
          <cell r="BX983">
            <v>0</v>
          </cell>
          <cell r="BY983">
            <v>0</v>
          </cell>
          <cell r="BZ983">
            <v>0</v>
          </cell>
          <cell r="CA983">
            <v>0</v>
          </cell>
          <cell r="CB983">
            <v>0</v>
          </cell>
          <cell r="CC983">
            <v>0</v>
          </cell>
          <cell r="CE983">
            <v>0</v>
          </cell>
          <cell r="CF983">
            <v>0</v>
          </cell>
          <cell r="CG983">
            <v>0</v>
          </cell>
          <cell r="CH983">
            <v>0</v>
          </cell>
          <cell r="CI983">
            <v>0</v>
          </cell>
          <cell r="CJ983">
            <v>0</v>
          </cell>
          <cell r="CK983">
            <v>0</v>
          </cell>
          <cell r="CL983">
            <v>0</v>
          </cell>
          <cell r="CM983">
            <v>0</v>
          </cell>
          <cell r="CO983">
            <v>0</v>
          </cell>
          <cell r="CP983">
            <v>0</v>
          </cell>
          <cell r="CQ983">
            <v>0</v>
          </cell>
          <cell r="CR983">
            <v>0</v>
          </cell>
          <cell r="CS983">
            <v>0</v>
          </cell>
          <cell r="CT983">
            <v>0</v>
          </cell>
          <cell r="CU983">
            <v>0</v>
          </cell>
          <cell r="CV983">
            <v>0</v>
          </cell>
          <cell r="CW983">
            <v>0</v>
          </cell>
          <cell r="CY983">
            <v>0</v>
          </cell>
          <cell r="CZ983">
            <v>0</v>
          </cell>
          <cell r="DA983">
            <v>0</v>
          </cell>
          <cell r="DB983">
            <v>0</v>
          </cell>
          <cell r="DC983">
            <v>0</v>
          </cell>
          <cell r="DD983">
            <v>0</v>
          </cell>
          <cell r="DE983">
            <v>0</v>
          </cell>
          <cell r="DF983">
            <v>0</v>
          </cell>
          <cell r="DG983">
            <v>0</v>
          </cell>
          <cell r="DI983">
            <v>0</v>
          </cell>
          <cell r="DJ983">
            <v>0</v>
          </cell>
          <cell r="DK983">
            <v>0</v>
          </cell>
          <cell r="DL983">
            <v>0</v>
          </cell>
          <cell r="DM983">
            <v>0</v>
          </cell>
          <cell r="DN983">
            <v>0</v>
          </cell>
          <cell r="DO983">
            <v>0</v>
          </cell>
          <cell r="DP983">
            <v>0</v>
          </cell>
          <cell r="DQ983">
            <v>0</v>
          </cell>
          <cell r="DR983">
            <v>0</v>
          </cell>
          <cell r="DS983">
            <v>0</v>
          </cell>
          <cell r="DT983">
            <v>0</v>
          </cell>
          <cell r="DU983">
            <v>0</v>
          </cell>
          <cell r="DW983">
            <v>0</v>
          </cell>
          <cell r="DX983">
            <v>0</v>
          </cell>
          <cell r="DY983">
            <v>0</v>
          </cell>
          <cell r="DZ983">
            <v>0</v>
          </cell>
          <cell r="EA983">
            <v>0</v>
          </cell>
          <cell r="EB983">
            <v>0</v>
          </cell>
          <cell r="EC983">
            <v>0</v>
          </cell>
          <cell r="ED983">
            <v>0</v>
          </cell>
          <cell r="EE983">
            <v>0</v>
          </cell>
          <cell r="EF983">
            <v>0</v>
          </cell>
          <cell r="EG983">
            <v>0</v>
          </cell>
          <cell r="EH983">
            <v>0</v>
          </cell>
          <cell r="EI983">
            <v>0</v>
          </cell>
          <cell r="EK983">
            <v>0</v>
          </cell>
          <cell r="EL983">
            <v>0</v>
          </cell>
          <cell r="EM983">
            <v>0</v>
          </cell>
          <cell r="EN983">
            <v>0</v>
          </cell>
          <cell r="EO983">
            <v>0</v>
          </cell>
          <cell r="EP983">
            <v>0</v>
          </cell>
          <cell r="EQ983">
            <v>0</v>
          </cell>
          <cell r="ER983">
            <v>0</v>
          </cell>
          <cell r="ES983">
            <v>0</v>
          </cell>
          <cell r="ET983">
            <v>0</v>
          </cell>
          <cell r="EU983">
            <v>0</v>
          </cell>
          <cell r="EV983">
            <v>0</v>
          </cell>
          <cell r="EW983">
            <v>0</v>
          </cell>
          <cell r="EY983">
            <v>0</v>
          </cell>
          <cell r="EZ983">
            <v>8</v>
          </cell>
          <cell r="FA983">
            <v>0</v>
          </cell>
          <cell r="FB983">
            <v>0</v>
          </cell>
          <cell r="FC983">
            <v>8.6</v>
          </cell>
          <cell r="FD983">
            <v>0</v>
          </cell>
          <cell r="FE983">
            <v>0</v>
          </cell>
          <cell r="FF983">
            <v>0</v>
          </cell>
          <cell r="FH983">
            <v>0</v>
          </cell>
        </row>
        <row r="984">
          <cell r="B984">
            <v>10117</v>
          </cell>
          <cell r="C984" t="str">
            <v>03.05.2014</v>
          </cell>
          <cell r="D984" t="str">
            <v>Kedar Nitin Devidas</v>
          </cell>
          <cell r="F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BA984">
            <v>0</v>
          </cell>
          <cell r="BB984">
            <v>0</v>
          </cell>
          <cell r="BC984">
            <v>0</v>
          </cell>
          <cell r="BD984">
            <v>0</v>
          </cell>
          <cell r="BE984">
            <v>0</v>
          </cell>
          <cell r="BF984">
            <v>0</v>
          </cell>
          <cell r="BG984">
            <v>0</v>
          </cell>
          <cell r="BH984">
            <v>0</v>
          </cell>
          <cell r="BI984">
            <v>0</v>
          </cell>
          <cell r="BK984">
            <v>0</v>
          </cell>
          <cell r="BL984">
            <v>0</v>
          </cell>
          <cell r="BM984">
            <v>0</v>
          </cell>
          <cell r="BN984">
            <v>0</v>
          </cell>
          <cell r="BO984">
            <v>0</v>
          </cell>
          <cell r="BP984">
            <v>0</v>
          </cell>
          <cell r="BQ984">
            <v>0</v>
          </cell>
          <cell r="BR984">
            <v>0</v>
          </cell>
          <cell r="BS984">
            <v>0</v>
          </cell>
          <cell r="BU984">
            <v>0</v>
          </cell>
          <cell r="BV984">
            <v>0</v>
          </cell>
          <cell r="BW984">
            <v>0</v>
          </cell>
          <cell r="BX984">
            <v>0</v>
          </cell>
          <cell r="BY984">
            <v>0</v>
          </cell>
          <cell r="BZ984">
            <v>0</v>
          </cell>
          <cell r="CA984">
            <v>0</v>
          </cell>
          <cell r="CB984">
            <v>0</v>
          </cell>
          <cell r="CC984">
            <v>0</v>
          </cell>
          <cell r="CE984">
            <v>0</v>
          </cell>
          <cell r="CF984">
            <v>0</v>
          </cell>
          <cell r="CG984">
            <v>0</v>
          </cell>
          <cell r="CH984">
            <v>0</v>
          </cell>
          <cell r="CI984">
            <v>0</v>
          </cell>
          <cell r="CJ984">
            <v>0</v>
          </cell>
          <cell r="CK984">
            <v>0</v>
          </cell>
          <cell r="CL984">
            <v>0</v>
          </cell>
          <cell r="CM984">
            <v>0</v>
          </cell>
          <cell r="CO984">
            <v>0</v>
          </cell>
          <cell r="CP984">
            <v>0</v>
          </cell>
          <cell r="CQ984">
            <v>0</v>
          </cell>
          <cell r="CR984">
            <v>0</v>
          </cell>
          <cell r="CS984">
            <v>0</v>
          </cell>
          <cell r="CT984">
            <v>0</v>
          </cell>
          <cell r="CU984">
            <v>0</v>
          </cell>
          <cell r="CV984">
            <v>0</v>
          </cell>
          <cell r="CW984">
            <v>0</v>
          </cell>
          <cell r="CY984">
            <v>0</v>
          </cell>
          <cell r="CZ984">
            <v>0</v>
          </cell>
          <cell r="DA984">
            <v>0</v>
          </cell>
          <cell r="DB984">
            <v>0</v>
          </cell>
          <cell r="DC984">
            <v>0</v>
          </cell>
          <cell r="DD984">
            <v>0</v>
          </cell>
          <cell r="DE984">
            <v>0</v>
          </cell>
          <cell r="DF984">
            <v>0</v>
          </cell>
          <cell r="DG984">
            <v>0</v>
          </cell>
          <cell r="DI984">
            <v>0</v>
          </cell>
          <cell r="DJ984">
            <v>0</v>
          </cell>
          <cell r="DK984">
            <v>0</v>
          </cell>
          <cell r="DL984">
            <v>0</v>
          </cell>
          <cell r="DM984">
            <v>0</v>
          </cell>
          <cell r="DN984">
            <v>0</v>
          </cell>
          <cell r="DO984">
            <v>0</v>
          </cell>
          <cell r="DP984">
            <v>0</v>
          </cell>
          <cell r="DQ984">
            <v>0</v>
          </cell>
          <cell r="DR984">
            <v>0</v>
          </cell>
          <cell r="DS984">
            <v>0</v>
          </cell>
          <cell r="DT984">
            <v>0</v>
          </cell>
          <cell r="DU984">
            <v>0</v>
          </cell>
          <cell r="DW984">
            <v>0</v>
          </cell>
          <cell r="DX984">
            <v>0</v>
          </cell>
          <cell r="DY984">
            <v>0</v>
          </cell>
          <cell r="DZ984">
            <v>0</v>
          </cell>
          <cell r="EA984">
            <v>0</v>
          </cell>
          <cell r="EB984">
            <v>0</v>
          </cell>
          <cell r="EC984">
            <v>0</v>
          </cell>
          <cell r="ED984">
            <v>0</v>
          </cell>
          <cell r="EE984">
            <v>0</v>
          </cell>
          <cell r="EF984">
            <v>0</v>
          </cell>
          <cell r="EG984">
            <v>0</v>
          </cell>
          <cell r="EH984">
            <v>0</v>
          </cell>
          <cell r="EI984">
            <v>0</v>
          </cell>
          <cell r="EK984">
            <v>0</v>
          </cell>
          <cell r="EL984">
            <v>0</v>
          </cell>
          <cell r="EM984">
            <v>0</v>
          </cell>
          <cell r="EN984">
            <v>0</v>
          </cell>
          <cell r="EO984">
            <v>0</v>
          </cell>
          <cell r="EP984">
            <v>0</v>
          </cell>
          <cell r="EQ984">
            <v>0</v>
          </cell>
          <cell r="ER984">
            <v>0</v>
          </cell>
          <cell r="ES984">
            <v>0</v>
          </cell>
          <cell r="ET984">
            <v>0</v>
          </cell>
          <cell r="EU984">
            <v>0</v>
          </cell>
          <cell r="EV984">
            <v>0</v>
          </cell>
          <cell r="EW984">
            <v>0</v>
          </cell>
          <cell r="EY984">
            <v>0</v>
          </cell>
          <cell r="EZ984">
            <v>8</v>
          </cell>
          <cell r="FA984">
            <v>0</v>
          </cell>
          <cell r="FB984">
            <v>0</v>
          </cell>
          <cell r="FC984">
            <v>8.6</v>
          </cell>
          <cell r="FD984">
            <v>0</v>
          </cell>
          <cell r="FE984">
            <v>0</v>
          </cell>
          <cell r="FF984">
            <v>0</v>
          </cell>
          <cell r="FH984">
            <v>0</v>
          </cell>
        </row>
        <row r="985">
          <cell r="B985">
            <v>10118</v>
          </cell>
          <cell r="C985" t="str">
            <v>03.05.2014</v>
          </cell>
          <cell r="D985" t="str">
            <v>Pawar Bhupendra Tarachand</v>
          </cell>
          <cell r="F985">
            <v>0</v>
          </cell>
          <cell r="H985">
            <v>0</v>
          </cell>
          <cell r="I985">
            <v>0</v>
          </cell>
          <cell r="J985">
            <v>0</v>
          </cell>
          <cell r="K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0</v>
          </cell>
          <cell r="R985">
            <v>0</v>
          </cell>
          <cell r="S985">
            <v>0</v>
          </cell>
          <cell r="T985">
            <v>0</v>
          </cell>
          <cell r="U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0</v>
          </cell>
          <cell r="AA985">
            <v>0</v>
          </cell>
          <cell r="AB985">
            <v>0</v>
          </cell>
          <cell r="AC985">
            <v>0</v>
          </cell>
          <cell r="AD985">
            <v>0</v>
          </cell>
          <cell r="AE985">
            <v>0</v>
          </cell>
          <cell r="AG985">
            <v>0</v>
          </cell>
          <cell r="AH985">
            <v>0</v>
          </cell>
          <cell r="AI985">
            <v>0</v>
          </cell>
          <cell r="AJ985">
            <v>0</v>
          </cell>
          <cell r="AK985">
            <v>0</v>
          </cell>
          <cell r="AL985">
            <v>0</v>
          </cell>
          <cell r="AM985">
            <v>0</v>
          </cell>
          <cell r="AN985">
            <v>0</v>
          </cell>
          <cell r="AO985">
            <v>0</v>
          </cell>
          <cell r="AQ985">
            <v>0</v>
          </cell>
          <cell r="AR985">
            <v>0</v>
          </cell>
          <cell r="AS985">
            <v>0</v>
          </cell>
          <cell r="AT985">
            <v>0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BA985">
            <v>0</v>
          </cell>
          <cell r="BB985">
            <v>0</v>
          </cell>
          <cell r="BC985">
            <v>0</v>
          </cell>
          <cell r="BD985">
            <v>0</v>
          </cell>
          <cell r="BE985">
            <v>0</v>
          </cell>
          <cell r="BF985">
            <v>0</v>
          </cell>
          <cell r="BG985">
            <v>0</v>
          </cell>
          <cell r="BH985">
            <v>0</v>
          </cell>
          <cell r="BI985">
            <v>0</v>
          </cell>
          <cell r="BK985">
            <v>0</v>
          </cell>
          <cell r="BL985">
            <v>0</v>
          </cell>
          <cell r="BM985">
            <v>0</v>
          </cell>
          <cell r="BN985">
            <v>0</v>
          </cell>
          <cell r="BO985">
            <v>0</v>
          </cell>
          <cell r="BP985">
            <v>0</v>
          </cell>
          <cell r="BQ985">
            <v>0</v>
          </cell>
          <cell r="BR985">
            <v>0</v>
          </cell>
          <cell r="BS985">
            <v>0</v>
          </cell>
          <cell r="BU985">
            <v>0</v>
          </cell>
          <cell r="BV985">
            <v>0</v>
          </cell>
          <cell r="BW985">
            <v>0</v>
          </cell>
          <cell r="BX985">
            <v>0</v>
          </cell>
          <cell r="BY985">
            <v>0</v>
          </cell>
          <cell r="BZ985">
            <v>0</v>
          </cell>
          <cell r="CA985">
            <v>0</v>
          </cell>
          <cell r="CB985">
            <v>0</v>
          </cell>
          <cell r="CC985">
            <v>0</v>
          </cell>
          <cell r="CE985">
            <v>0</v>
          </cell>
          <cell r="CF985">
            <v>0</v>
          </cell>
          <cell r="CG985">
            <v>0</v>
          </cell>
          <cell r="CH985">
            <v>0</v>
          </cell>
          <cell r="CI985">
            <v>0</v>
          </cell>
          <cell r="CJ985">
            <v>0</v>
          </cell>
          <cell r="CK985">
            <v>0</v>
          </cell>
          <cell r="CL985">
            <v>0</v>
          </cell>
          <cell r="CM985">
            <v>0</v>
          </cell>
          <cell r="CO985">
            <v>0</v>
          </cell>
          <cell r="CP985">
            <v>0</v>
          </cell>
          <cell r="CQ985">
            <v>0</v>
          </cell>
          <cell r="CR985">
            <v>0</v>
          </cell>
          <cell r="CS985">
            <v>0</v>
          </cell>
          <cell r="CT985">
            <v>0</v>
          </cell>
          <cell r="CU985">
            <v>0</v>
          </cell>
          <cell r="CV985">
            <v>0</v>
          </cell>
          <cell r="CW985">
            <v>0</v>
          </cell>
          <cell r="CY985">
            <v>0</v>
          </cell>
          <cell r="CZ985">
            <v>0</v>
          </cell>
          <cell r="DA985">
            <v>0</v>
          </cell>
          <cell r="DB985">
            <v>0</v>
          </cell>
          <cell r="DC985">
            <v>0</v>
          </cell>
          <cell r="DD985">
            <v>0</v>
          </cell>
          <cell r="DE985">
            <v>0</v>
          </cell>
          <cell r="DF985">
            <v>0</v>
          </cell>
          <cell r="DG985">
            <v>0</v>
          </cell>
          <cell r="DI985">
            <v>0</v>
          </cell>
          <cell r="DJ985">
            <v>0</v>
          </cell>
          <cell r="DK985">
            <v>0</v>
          </cell>
          <cell r="DL985">
            <v>0</v>
          </cell>
          <cell r="DM985">
            <v>0</v>
          </cell>
          <cell r="DN985">
            <v>0</v>
          </cell>
          <cell r="DO985">
            <v>0</v>
          </cell>
          <cell r="DP985">
            <v>0</v>
          </cell>
          <cell r="DQ985">
            <v>0</v>
          </cell>
          <cell r="DR985">
            <v>0</v>
          </cell>
          <cell r="DS985">
            <v>0</v>
          </cell>
          <cell r="DT985">
            <v>0</v>
          </cell>
          <cell r="DU985">
            <v>0</v>
          </cell>
          <cell r="DW985">
            <v>0</v>
          </cell>
          <cell r="DX985">
            <v>0</v>
          </cell>
          <cell r="DY985">
            <v>0</v>
          </cell>
          <cell r="DZ985">
            <v>0</v>
          </cell>
          <cell r="EA985">
            <v>0</v>
          </cell>
          <cell r="EB985">
            <v>0</v>
          </cell>
          <cell r="EC985">
            <v>0</v>
          </cell>
          <cell r="ED985">
            <v>0</v>
          </cell>
          <cell r="EE985">
            <v>0</v>
          </cell>
          <cell r="EF985">
            <v>0</v>
          </cell>
          <cell r="EG985">
            <v>0</v>
          </cell>
          <cell r="EH985">
            <v>0</v>
          </cell>
          <cell r="EI985">
            <v>0</v>
          </cell>
          <cell r="EK985">
            <v>0</v>
          </cell>
          <cell r="EL985">
            <v>0</v>
          </cell>
          <cell r="EM985">
            <v>0</v>
          </cell>
          <cell r="EN985">
            <v>0</v>
          </cell>
          <cell r="EO985">
            <v>0</v>
          </cell>
          <cell r="EP985">
            <v>0</v>
          </cell>
          <cell r="EQ985">
            <v>0</v>
          </cell>
          <cell r="ER985">
            <v>0</v>
          </cell>
          <cell r="ES985">
            <v>0</v>
          </cell>
          <cell r="ET985">
            <v>0</v>
          </cell>
          <cell r="EU985">
            <v>0</v>
          </cell>
          <cell r="EV985">
            <v>0</v>
          </cell>
          <cell r="EW985">
            <v>0</v>
          </cell>
          <cell r="EY985">
            <v>0</v>
          </cell>
          <cell r="EZ985">
            <v>8</v>
          </cell>
          <cell r="FA985">
            <v>0</v>
          </cell>
          <cell r="FB985">
            <v>0</v>
          </cell>
          <cell r="FC985">
            <v>8.6</v>
          </cell>
          <cell r="FD985">
            <v>0</v>
          </cell>
          <cell r="FE985">
            <v>0</v>
          </cell>
          <cell r="FF985">
            <v>0</v>
          </cell>
          <cell r="FH985">
            <v>0</v>
          </cell>
        </row>
        <row r="986">
          <cell r="B986">
            <v>10119</v>
          </cell>
          <cell r="C986" t="str">
            <v>03.05.2014</v>
          </cell>
          <cell r="D986" t="str">
            <v>Gangurde Kishor Ravindra</v>
          </cell>
          <cell r="F986">
            <v>0</v>
          </cell>
          <cell r="H986">
            <v>0</v>
          </cell>
          <cell r="I986">
            <v>0</v>
          </cell>
          <cell r="J986">
            <v>0</v>
          </cell>
          <cell r="K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G986">
            <v>0</v>
          </cell>
          <cell r="AH986">
            <v>0</v>
          </cell>
          <cell r="AI986">
            <v>0</v>
          </cell>
          <cell r="AJ986">
            <v>0</v>
          </cell>
          <cell r="AK986">
            <v>0</v>
          </cell>
          <cell r="AL986">
            <v>0</v>
          </cell>
          <cell r="AM986">
            <v>0</v>
          </cell>
          <cell r="AN986">
            <v>0</v>
          </cell>
          <cell r="AO986">
            <v>0</v>
          </cell>
          <cell r="AQ986">
            <v>0</v>
          </cell>
          <cell r="AR986">
            <v>0</v>
          </cell>
          <cell r="AS986">
            <v>0</v>
          </cell>
          <cell r="AT986">
            <v>0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BA986">
            <v>0</v>
          </cell>
          <cell r="BB986">
            <v>0</v>
          </cell>
          <cell r="BC986">
            <v>0</v>
          </cell>
          <cell r="BD986">
            <v>0</v>
          </cell>
          <cell r="BE986">
            <v>0</v>
          </cell>
          <cell r="BF986">
            <v>0</v>
          </cell>
          <cell r="BG986">
            <v>0</v>
          </cell>
          <cell r="BH986">
            <v>0</v>
          </cell>
          <cell r="BI986">
            <v>0</v>
          </cell>
          <cell r="BK986">
            <v>0</v>
          </cell>
          <cell r="BL986">
            <v>0</v>
          </cell>
          <cell r="BM986">
            <v>0</v>
          </cell>
          <cell r="BN986">
            <v>0</v>
          </cell>
          <cell r="BO986">
            <v>0</v>
          </cell>
          <cell r="BP986">
            <v>0</v>
          </cell>
          <cell r="BQ986">
            <v>0</v>
          </cell>
          <cell r="BR986">
            <v>0</v>
          </cell>
          <cell r="BS986">
            <v>0</v>
          </cell>
          <cell r="BU986">
            <v>0</v>
          </cell>
          <cell r="BV986">
            <v>0</v>
          </cell>
          <cell r="BW986">
            <v>0</v>
          </cell>
          <cell r="BX986">
            <v>0</v>
          </cell>
          <cell r="BY986">
            <v>0</v>
          </cell>
          <cell r="BZ986">
            <v>0</v>
          </cell>
          <cell r="CA986">
            <v>0</v>
          </cell>
          <cell r="CB986">
            <v>0</v>
          </cell>
          <cell r="CC986">
            <v>0</v>
          </cell>
          <cell r="CE986">
            <v>0</v>
          </cell>
          <cell r="CF986">
            <v>0</v>
          </cell>
          <cell r="CG986">
            <v>0</v>
          </cell>
          <cell r="CH986">
            <v>0</v>
          </cell>
          <cell r="CI986">
            <v>0</v>
          </cell>
          <cell r="CJ986">
            <v>0</v>
          </cell>
          <cell r="CK986">
            <v>0</v>
          </cell>
          <cell r="CL986">
            <v>0</v>
          </cell>
          <cell r="CM986">
            <v>0</v>
          </cell>
          <cell r="CO986">
            <v>0</v>
          </cell>
          <cell r="CP986">
            <v>0</v>
          </cell>
          <cell r="CQ986">
            <v>0</v>
          </cell>
          <cell r="CR986">
            <v>0</v>
          </cell>
          <cell r="CS986">
            <v>0</v>
          </cell>
          <cell r="CT986">
            <v>0</v>
          </cell>
          <cell r="CU986">
            <v>0</v>
          </cell>
          <cell r="CV986">
            <v>0</v>
          </cell>
          <cell r="CW986">
            <v>0</v>
          </cell>
          <cell r="CY986">
            <v>0</v>
          </cell>
          <cell r="CZ986">
            <v>0</v>
          </cell>
          <cell r="DA986">
            <v>0</v>
          </cell>
          <cell r="DB986">
            <v>0</v>
          </cell>
          <cell r="DC986">
            <v>0</v>
          </cell>
          <cell r="DD986">
            <v>0</v>
          </cell>
          <cell r="DE986">
            <v>0</v>
          </cell>
          <cell r="DF986">
            <v>0</v>
          </cell>
          <cell r="DG986">
            <v>0</v>
          </cell>
          <cell r="DI986">
            <v>0</v>
          </cell>
          <cell r="DJ986">
            <v>0</v>
          </cell>
          <cell r="DK986">
            <v>0</v>
          </cell>
          <cell r="DL986">
            <v>0</v>
          </cell>
          <cell r="DM986">
            <v>0</v>
          </cell>
          <cell r="DN986">
            <v>0</v>
          </cell>
          <cell r="DO986">
            <v>0</v>
          </cell>
          <cell r="DP986">
            <v>0</v>
          </cell>
          <cell r="DQ986">
            <v>0</v>
          </cell>
          <cell r="DR986">
            <v>0</v>
          </cell>
          <cell r="DS986">
            <v>0</v>
          </cell>
          <cell r="DT986">
            <v>0</v>
          </cell>
          <cell r="DU986">
            <v>0</v>
          </cell>
          <cell r="DW986">
            <v>0</v>
          </cell>
          <cell r="DX986">
            <v>0</v>
          </cell>
          <cell r="DY986">
            <v>0</v>
          </cell>
          <cell r="DZ986">
            <v>0</v>
          </cell>
          <cell r="EA986">
            <v>0</v>
          </cell>
          <cell r="EB986">
            <v>0</v>
          </cell>
          <cell r="EC986">
            <v>0</v>
          </cell>
          <cell r="ED986">
            <v>0</v>
          </cell>
          <cell r="EE986">
            <v>0</v>
          </cell>
          <cell r="EF986">
            <v>0</v>
          </cell>
          <cell r="EG986">
            <v>0</v>
          </cell>
          <cell r="EH986">
            <v>0</v>
          </cell>
          <cell r="EI986">
            <v>0</v>
          </cell>
          <cell r="EK986">
            <v>0</v>
          </cell>
          <cell r="EL986">
            <v>0</v>
          </cell>
          <cell r="EM986">
            <v>0</v>
          </cell>
          <cell r="EN986">
            <v>0</v>
          </cell>
          <cell r="EO986">
            <v>0</v>
          </cell>
          <cell r="EP986">
            <v>0</v>
          </cell>
          <cell r="EQ986">
            <v>0</v>
          </cell>
          <cell r="ER986">
            <v>0</v>
          </cell>
          <cell r="ES986">
            <v>0</v>
          </cell>
          <cell r="ET986">
            <v>0</v>
          </cell>
          <cell r="EU986">
            <v>0</v>
          </cell>
          <cell r="EV986">
            <v>0</v>
          </cell>
          <cell r="EW986">
            <v>0</v>
          </cell>
          <cell r="EY986">
            <v>0</v>
          </cell>
          <cell r="EZ986">
            <v>8</v>
          </cell>
          <cell r="FA986">
            <v>0</v>
          </cell>
          <cell r="FB986">
            <v>0</v>
          </cell>
          <cell r="FC986">
            <v>8.6</v>
          </cell>
          <cell r="FD986">
            <v>0</v>
          </cell>
          <cell r="FE986">
            <v>0</v>
          </cell>
          <cell r="FF986">
            <v>0</v>
          </cell>
          <cell r="FH986">
            <v>0</v>
          </cell>
        </row>
        <row r="987">
          <cell r="B987">
            <v>10122</v>
          </cell>
          <cell r="C987" t="str">
            <v>03.05.2014</v>
          </cell>
          <cell r="D987" t="str">
            <v>Gaikwad Sheetal Nilesh</v>
          </cell>
          <cell r="F987">
            <v>0</v>
          </cell>
          <cell r="H987">
            <v>0</v>
          </cell>
          <cell r="I987">
            <v>0</v>
          </cell>
          <cell r="J987">
            <v>0</v>
          </cell>
          <cell r="K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0</v>
          </cell>
          <cell r="AA987">
            <v>0</v>
          </cell>
          <cell r="AB987">
            <v>0</v>
          </cell>
          <cell r="AC987">
            <v>0</v>
          </cell>
          <cell r="AD987">
            <v>0</v>
          </cell>
          <cell r="AE987">
            <v>0</v>
          </cell>
          <cell r="AG987">
            <v>0</v>
          </cell>
          <cell r="AH987">
            <v>0</v>
          </cell>
          <cell r="AI987">
            <v>0</v>
          </cell>
          <cell r="AJ987">
            <v>0</v>
          </cell>
          <cell r="AK987">
            <v>0</v>
          </cell>
          <cell r="AL987">
            <v>0</v>
          </cell>
          <cell r="AM987">
            <v>0</v>
          </cell>
          <cell r="AN987">
            <v>0</v>
          </cell>
          <cell r="AO987">
            <v>0</v>
          </cell>
          <cell r="AQ987">
            <v>0</v>
          </cell>
          <cell r="AR987">
            <v>0</v>
          </cell>
          <cell r="AS987">
            <v>0</v>
          </cell>
          <cell r="AT987">
            <v>0</v>
          </cell>
          <cell r="AU987">
            <v>0</v>
          </cell>
          <cell r="AV987">
            <v>0</v>
          </cell>
          <cell r="AW987">
            <v>0</v>
          </cell>
          <cell r="AX987">
            <v>0</v>
          </cell>
          <cell r="AY987">
            <v>0</v>
          </cell>
          <cell r="BA987">
            <v>0</v>
          </cell>
          <cell r="BB987">
            <v>0</v>
          </cell>
          <cell r="BC987">
            <v>0</v>
          </cell>
          <cell r="BD987">
            <v>0</v>
          </cell>
          <cell r="BE987">
            <v>0</v>
          </cell>
          <cell r="BF987">
            <v>0</v>
          </cell>
          <cell r="BG987">
            <v>0</v>
          </cell>
          <cell r="BH987">
            <v>0</v>
          </cell>
          <cell r="BI987">
            <v>0</v>
          </cell>
          <cell r="BK987">
            <v>0</v>
          </cell>
          <cell r="BL987">
            <v>0</v>
          </cell>
          <cell r="BM987">
            <v>0</v>
          </cell>
          <cell r="BN987">
            <v>0</v>
          </cell>
          <cell r="BO987">
            <v>0</v>
          </cell>
          <cell r="BP987">
            <v>0</v>
          </cell>
          <cell r="BQ987">
            <v>0</v>
          </cell>
          <cell r="BR987">
            <v>0</v>
          </cell>
          <cell r="BS987">
            <v>0</v>
          </cell>
          <cell r="BU987">
            <v>0</v>
          </cell>
          <cell r="BV987">
            <v>0</v>
          </cell>
          <cell r="BW987">
            <v>0</v>
          </cell>
          <cell r="BX987">
            <v>0</v>
          </cell>
          <cell r="BY987">
            <v>0</v>
          </cell>
          <cell r="BZ987">
            <v>0</v>
          </cell>
          <cell r="CA987">
            <v>0</v>
          </cell>
          <cell r="CB987">
            <v>0</v>
          </cell>
          <cell r="CC987">
            <v>0</v>
          </cell>
          <cell r="CE987">
            <v>0</v>
          </cell>
          <cell r="CF987">
            <v>0</v>
          </cell>
          <cell r="CG987">
            <v>0</v>
          </cell>
          <cell r="CH987">
            <v>0</v>
          </cell>
          <cell r="CI987">
            <v>0</v>
          </cell>
          <cell r="CJ987">
            <v>0</v>
          </cell>
          <cell r="CK987">
            <v>0</v>
          </cell>
          <cell r="CL987">
            <v>0</v>
          </cell>
          <cell r="CM987">
            <v>0</v>
          </cell>
          <cell r="CO987">
            <v>0</v>
          </cell>
          <cell r="CP987">
            <v>0</v>
          </cell>
          <cell r="CQ987">
            <v>0</v>
          </cell>
          <cell r="CR987">
            <v>0</v>
          </cell>
          <cell r="CS987">
            <v>0</v>
          </cell>
          <cell r="CT987">
            <v>0</v>
          </cell>
          <cell r="CU987">
            <v>0</v>
          </cell>
          <cell r="CV987">
            <v>0</v>
          </cell>
          <cell r="CW987">
            <v>0</v>
          </cell>
          <cell r="CY987">
            <v>0</v>
          </cell>
          <cell r="CZ987">
            <v>0</v>
          </cell>
          <cell r="DA987">
            <v>0</v>
          </cell>
          <cell r="DB987">
            <v>0</v>
          </cell>
          <cell r="DC987">
            <v>0</v>
          </cell>
          <cell r="DD987">
            <v>0</v>
          </cell>
          <cell r="DE987">
            <v>0</v>
          </cell>
          <cell r="DF987">
            <v>0</v>
          </cell>
          <cell r="DG987">
            <v>0</v>
          </cell>
          <cell r="DI987">
            <v>0</v>
          </cell>
          <cell r="DJ987">
            <v>0</v>
          </cell>
          <cell r="DK987">
            <v>0</v>
          </cell>
          <cell r="DL987">
            <v>0</v>
          </cell>
          <cell r="DM987">
            <v>0</v>
          </cell>
          <cell r="DN987">
            <v>0</v>
          </cell>
          <cell r="DO987">
            <v>0</v>
          </cell>
          <cell r="DP987">
            <v>0</v>
          </cell>
          <cell r="DQ987">
            <v>0</v>
          </cell>
          <cell r="DR987">
            <v>0</v>
          </cell>
          <cell r="DS987">
            <v>0</v>
          </cell>
          <cell r="DT987">
            <v>0</v>
          </cell>
          <cell r="DU987">
            <v>0</v>
          </cell>
          <cell r="DW987">
            <v>0</v>
          </cell>
          <cell r="DX987">
            <v>0</v>
          </cell>
          <cell r="DY987">
            <v>0</v>
          </cell>
          <cell r="DZ987">
            <v>0</v>
          </cell>
          <cell r="EA987">
            <v>0</v>
          </cell>
          <cell r="EB987">
            <v>0</v>
          </cell>
          <cell r="EC987">
            <v>0</v>
          </cell>
          <cell r="ED987">
            <v>0</v>
          </cell>
          <cell r="EE987">
            <v>0</v>
          </cell>
          <cell r="EF987">
            <v>0</v>
          </cell>
          <cell r="EG987">
            <v>0</v>
          </cell>
          <cell r="EH987">
            <v>0</v>
          </cell>
          <cell r="EI987">
            <v>0</v>
          </cell>
          <cell r="EK987">
            <v>0</v>
          </cell>
          <cell r="EL987">
            <v>0</v>
          </cell>
          <cell r="EM987">
            <v>0</v>
          </cell>
          <cell r="EN987">
            <v>0</v>
          </cell>
          <cell r="EO987">
            <v>0</v>
          </cell>
          <cell r="EP987">
            <v>0</v>
          </cell>
          <cell r="EQ987">
            <v>0</v>
          </cell>
          <cell r="ER987">
            <v>0</v>
          </cell>
          <cell r="ES987">
            <v>0</v>
          </cell>
          <cell r="ET987">
            <v>0</v>
          </cell>
          <cell r="EU987">
            <v>0</v>
          </cell>
          <cell r="EV987">
            <v>0</v>
          </cell>
          <cell r="EW987">
            <v>0</v>
          </cell>
          <cell r="EY987">
            <v>0</v>
          </cell>
          <cell r="EZ987">
            <v>8</v>
          </cell>
          <cell r="FA987">
            <v>0</v>
          </cell>
          <cell r="FB987">
            <v>0</v>
          </cell>
          <cell r="FC987">
            <v>8.6</v>
          </cell>
          <cell r="FD987">
            <v>0</v>
          </cell>
          <cell r="FE987">
            <v>0</v>
          </cell>
          <cell r="FF987">
            <v>0</v>
          </cell>
          <cell r="FH987">
            <v>0</v>
          </cell>
        </row>
        <row r="988">
          <cell r="B988">
            <v>10121</v>
          </cell>
          <cell r="C988" t="str">
            <v>03.05.2014</v>
          </cell>
          <cell r="D988" t="str">
            <v>Revar Parvati Jagdish</v>
          </cell>
          <cell r="F988">
            <v>0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>
            <v>0</v>
          </cell>
          <cell r="R988">
            <v>0</v>
          </cell>
          <cell r="S988">
            <v>0</v>
          </cell>
          <cell r="T988">
            <v>0</v>
          </cell>
          <cell r="U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0</v>
          </cell>
          <cell r="AC988">
            <v>0</v>
          </cell>
          <cell r="AD988">
            <v>0</v>
          </cell>
          <cell r="AE988">
            <v>0</v>
          </cell>
          <cell r="AG988">
            <v>0</v>
          </cell>
          <cell r="AH988">
            <v>0</v>
          </cell>
          <cell r="AI988">
            <v>0</v>
          </cell>
          <cell r="AJ988">
            <v>0</v>
          </cell>
          <cell r="AK988">
            <v>0</v>
          </cell>
          <cell r="AL988">
            <v>0</v>
          </cell>
          <cell r="AM988">
            <v>0</v>
          </cell>
          <cell r="AN988">
            <v>0</v>
          </cell>
          <cell r="AO988">
            <v>0</v>
          </cell>
          <cell r="AQ988">
            <v>0</v>
          </cell>
          <cell r="AR988">
            <v>0</v>
          </cell>
          <cell r="AS988">
            <v>0</v>
          </cell>
          <cell r="AT988">
            <v>0</v>
          </cell>
          <cell r="AU988">
            <v>0</v>
          </cell>
          <cell r="AV988">
            <v>0</v>
          </cell>
          <cell r="AW988">
            <v>0</v>
          </cell>
          <cell r="AX988">
            <v>0</v>
          </cell>
          <cell r="AY988">
            <v>0</v>
          </cell>
          <cell r="BA988">
            <v>0</v>
          </cell>
          <cell r="BB988">
            <v>0</v>
          </cell>
          <cell r="BC988">
            <v>0</v>
          </cell>
          <cell r="BD988">
            <v>0</v>
          </cell>
          <cell r="BE988">
            <v>0</v>
          </cell>
          <cell r="BF988">
            <v>0</v>
          </cell>
          <cell r="BG988">
            <v>0</v>
          </cell>
          <cell r="BH988">
            <v>0</v>
          </cell>
          <cell r="BI988">
            <v>0</v>
          </cell>
          <cell r="BK988">
            <v>0</v>
          </cell>
          <cell r="BL988">
            <v>0</v>
          </cell>
          <cell r="BM988">
            <v>0</v>
          </cell>
          <cell r="BN988">
            <v>0</v>
          </cell>
          <cell r="BO988">
            <v>0</v>
          </cell>
          <cell r="BP988">
            <v>0</v>
          </cell>
          <cell r="BQ988">
            <v>0</v>
          </cell>
          <cell r="BR988">
            <v>0</v>
          </cell>
          <cell r="BS988">
            <v>0</v>
          </cell>
          <cell r="BU988">
            <v>0</v>
          </cell>
          <cell r="BV988">
            <v>0</v>
          </cell>
          <cell r="BW988">
            <v>0</v>
          </cell>
          <cell r="BX988">
            <v>0</v>
          </cell>
          <cell r="BY988">
            <v>0</v>
          </cell>
          <cell r="BZ988">
            <v>0</v>
          </cell>
          <cell r="CA988">
            <v>0</v>
          </cell>
          <cell r="CB988">
            <v>0</v>
          </cell>
          <cell r="CC988">
            <v>0</v>
          </cell>
          <cell r="CE988">
            <v>0</v>
          </cell>
          <cell r="CF988">
            <v>0</v>
          </cell>
          <cell r="CG988">
            <v>0</v>
          </cell>
          <cell r="CH988">
            <v>0</v>
          </cell>
          <cell r="CI988">
            <v>0</v>
          </cell>
          <cell r="CJ988">
            <v>0</v>
          </cell>
          <cell r="CK988">
            <v>0</v>
          </cell>
          <cell r="CL988">
            <v>0</v>
          </cell>
          <cell r="CM988">
            <v>0</v>
          </cell>
          <cell r="CO988">
            <v>0</v>
          </cell>
          <cell r="CP988">
            <v>0</v>
          </cell>
          <cell r="CQ988">
            <v>0</v>
          </cell>
          <cell r="CR988">
            <v>0</v>
          </cell>
          <cell r="CS988">
            <v>0</v>
          </cell>
          <cell r="CT988">
            <v>0</v>
          </cell>
          <cell r="CU988">
            <v>0</v>
          </cell>
          <cell r="CV988">
            <v>0</v>
          </cell>
          <cell r="CW988">
            <v>0</v>
          </cell>
          <cell r="CY988">
            <v>0</v>
          </cell>
          <cell r="CZ988">
            <v>0</v>
          </cell>
          <cell r="DA988">
            <v>0</v>
          </cell>
          <cell r="DB988">
            <v>0</v>
          </cell>
          <cell r="DC988">
            <v>0</v>
          </cell>
          <cell r="DD988">
            <v>0</v>
          </cell>
          <cell r="DE988">
            <v>0</v>
          </cell>
          <cell r="DF988">
            <v>0</v>
          </cell>
          <cell r="DG988">
            <v>0</v>
          </cell>
          <cell r="DI988">
            <v>0</v>
          </cell>
          <cell r="DJ988">
            <v>0</v>
          </cell>
          <cell r="DK988">
            <v>0</v>
          </cell>
          <cell r="DL988">
            <v>0</v>
          </cell>
          <cell r="DM988">
            <v>0</v>
          </cell>
          <cell r="DN988">
            <v>0</v>
          </cell>
          <cell r="DO988">
            <v>0</v>
          </cell>
          <cell r="DP988">
            <v>0</v>
          </cell>
          <cell r="DQ988">
            <v>0</v>
          </cell>
          <cell r="DR988">
            <v>0</v>
          </cell>
          <cell r="DS988">
            <v>0</v>
          </cell>
          <cell r="DT988">
            <v>0</v>
          </cell>
          <cell r="DU988">
            <v>0</v>
          </cell>
          <cell r="DW988">
            <v>0</v>
          </cell>
          <cell r="DX988">
            <v>0</v>
          </cell>
          <cell r="DY988">
            <v>0</v>
          </cell>
          <cell r="DZ988">
            <v>0</v>
          </cell>
          <cell r="EA988">
            <v>0</v>
          </cell>
          <cell r="EB988">
            <v>0</v>
          </cell>
          <cell r="EC988">
            <v>0</v>
          </cell>
          <cell r="ED988">
            <v>0</v>
          </cell>
          <cell r="EE988">
            <v>0</v>
          </cell>
          <cell r="EF988">
            <v>0</v>
          </cell>
          <cell r="EG988">
            <v>0</v>
          </cell>
          <cell r="EH988">
            <v>0</v>
          </cell>
          <cell r="EI988">
            <v>0</v>
          </cell>
          <cell r="EK988">
            <v>0</v>
          </cell>
          <cell r="EL988">
            <v>0</v>
          </cell>
          <cell r="EM988">
            <v>0</v>
          </cell>
          <cell r="EN988">
            <v>0</v>
          </cell>
          <cell r="EO988">
            <v>0</v>
          </cell>
          <cell r="EP988">
            <v>0</v>
          </cell>
          <cell r="EQ988">
            <v>0</v>
          </cell>
          <cell r="ER988">
            <v>0</v>
          </cell>
          <cell r="ES988">
            <v>0</v>
          </cell>
          <cell r="ET988">
            <v>0</v>
          </cell>
          <cell r="EU988">
            <v>0</v>
          </cell>
          <cell r="EV988">
            <v>0</v>
          </cell>
          <cell r="EW988">
            <v>0</v>
          </cell>
          <cell r="EY988">
            <v>0</v>
          </cell>
          <cell r="EZ988">
            <v>8</v>
          </cell>
          <cell r="FA988">
            <v>0</v>
          </cell>
          <cell r="FB988">
            <v>0</v>
          </cell>
          <cell r="FC988">
            <v>8.6</v>
          </cell>
          <cell r="FD988">
            <v>0</v>
          </cell>
          <cell r="FE988">
            <v>0</v>
          </cell>
          <cell r="FF988">
            <v>0</v>
          </cell>
          <cell r="FH988">
            <v>0</v>
          </cell>
        </row>
        <row r="989">
          <cell r="B989">
            <v>10120</v>
          </cell>
          <cell r="C989" t="str">
            <v>03.05.2014</v>
          </cell>
          <cell r="D989" t="str">
            <v>Hiwale Vanita Hari</v>
          </cell>
          <cell r="F989">
            <v>0</v>
          </cell>
          <cell r="H989">
            <v>0</v>
          </cell>
          <cell r="I989">
            <v>0</v>
          </cell>
          <cell r="J989">
            <v>0</v>
          </cell>
          <cell r="K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  <cell r="Q989">
            <v>0</v>
          </cell>
          <cell r="R989">
            <v>0</v>
          </cell>
          <cell r="S989">
            <v>0</v>
          </cell>
          <cell r="T989">
            <v>0</v>
          </cell>
          <cell r="U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0</v>
          </cell>
          <cell r="AA989">
            <v>0</v>
          </cell>
          <cell r="AB989">
            <v>0</v>
          </cell>
          <cell r="AC989">
            <v>0</v>
          </cell>
          <cell r="AD989">
            <v>0</v>
          </cell>
          <cell r="AE989">
            <v>0</v>
          </cell>
          <cell r="AG989">
            <v>0</v>
          </cell>
          <cell r="AH989">
            <v>0</v>
          </cell>
          <cell r="AI989">
            <v>0</v>
          </cell>
          <cell r="AJ989">
            <v>0</v>
          </cell>
          <cell r="AK989">
            <v>0</v>
          </cell>
          <cell r="AL989">
            <v>0</v>
          </cell>
          <cell r="AM989">
            <v>0</v>
          </cell>
          <cell r="AN989">
            <v>0</v>
          </cell>
          <cell r="AO989">
            <v>0</v>
          </cell>
          <cell r="AQ989">
            <v>0</v>
          </cell>
          <cell r="AR989">
            <v>0</v>
          </cell>
          <cell r="AS989">
            <v>0</v>
          </cell>
          <cell r="AT989">
            <v>0</v>
          </cell>
          <cell r="AU989">
            <v>0</v>
          </cell>
          <cell r="AV989">
            <v>0</v>
          </cell>
          <cell r="AW989">
            <v>0</v>
          </cell>
          <cell r="AX989">
            <v>0</v>
          </cell>
          <cell r="AY989">
            <v>0</v>
          </cell>
          <cell r="BA989">
            <v>0</v>
          </cell>
          <cell r="BB989">
            <v>0</v>
          </cell>
          <cell r="BC989">
            <v>0</v>
          </cell>
          <cell r="BD989">
            <v>0</v>
          </cell>
          <cell r="BE989">
            <v>0</v>
          </cell>
          <cell r="BF989">
            <v>0</v>
          </cell>
          <cell r="BG989">
            <v>0</v>
          </cell>
          <cell r="BH989">
            <v>0</v>
          </cell>
          <cell r="BI989">
            <v>0</v>
          </cell>
          <cell r="BK989">
            <v>0</v>
          </cell>
          <cell r="BL989">
            <v>0</v>
          </cell>
          <cell r="BM989">
            <v>0</v>
          </cell>
          <cell r="BN989">
            <v>0</v>
          </cell>
          <cell r="BO989">
            <v>0</v>
          </cell>
          <cell r="BP989">
            <v>0</v>
          </cell>
          <cell r="BQ989">
            <v>0</v>
          </cell>
          <cell r="BR989">
            <v>0</v>
          </cell>
          <cell r="BS989">
            <v>0</v>
          </cell>
          <cell r="BU989">
            <v>0</v>
          </cell>
          <cell r="BV989">
            <v>0</v>
          </cell>
          <cell r="BW989">
            <v>0</v>
          </cell>
          <cell r="BX989">
            <v>0</v>
          </cell>
          <cell r="BY989">
            <v>0</v>
          </cell>
          <cell r="BZ989">
            <v>0</v>
          </cell>
          <cell r="CA989">
            <v>0</v>
          </cell>
          <cell r="CB989">
            <v>0</v>
          </cell>
          <cell r="CC989">
            <v>0</v>
          </cell>
          <cell r="CE989">
            <v>0</v>
          </cell>
          <cell r="CF989">
            <v>0</v>
          </cell>
          <cell r="CG989">
            <v>0</v>
          </cell>
          <cell r="CH989">
            <v>0</v>
          </cell>
          <cell r="CI989">
            <v>0</v>
          </cell>
          <cell r="CJ989">
            <v>0</v>
          </cell>
          <cell r="CK989">
            <v>0</v>
          </cell>
          <cell r="CL989">
            <v>0</v>
          </cell>
          <cell r="CM989">
            <v>0</v>
          </cell>
          <cell r="CO989">
            <v>0</v>
          </cell>
          <cell r="CP989">
            <v>0</v>
          </cell>
          <cell r="CQ989">
            <v>0</v>
          </cell>
          <cell r="CR989">
            <v>0</v>
          </cell>
          <cell r="CS989">
            <v>0</v>
          </cell>
          <cell r="CT989">
            <v>0</v>
          </cell>
          <cell r="CU989">
            <v>0</v>
          </cell>
          <cell r="CV989">
            <v>0</v>
          </cell>
          <cell r="CW989">
            <v>0</v>
          </cell>
          <cell r="CY989">
            <v>0</v>
          </cell>
          <cell r="CZ989">
            <v>0</v>
          </cell>
          <cell r="DA989">
            <v>0</v>
          </cell>
          <cell r="DB989">
            <v>0</v>
          </cell>
          <cell r="DC989">
            <v>0</v>
          </cell>
          <cell r="DD989">
            <v>0</v>
          </cell>
          <cell r="DE989">
            <v>0</v>
          </cell>
          <cell r="DF989">
            <v>0</v>
          </cell>
          <cell r="DG989">
            <v>0</v>
          </cell>
          <cell r="DI989">
            <v>0</v>
          </cell>
          <cell r="DJ989">
            <v>0</v>
          </cell>
          <cell r="DK989">
            <v>0</v>
          </cell>
          <cell r="DL989">
            <v>0</v>
          </cell>
          <cell r="DM989">
            <v>0</v>
          </cell>
          <cell r="DN989">
            <v>0</v>
          </cell>
          <cell r="DO989">
            <v>0</v>
          </cell>
          <cell r="DP989">
            <v>0</v>
          </cell>
          <cell r="DQ989">
            <v>0</v>
          </cell>
          <cell r="DR989">
            <v>0</v>
          </cell>
          <cell r="DS989">
            <v>0</v>
          </cell>
          <cell r="DT989">
            <v>0</v>
          </cell>
          <cell r="DU989">
            <v>0</v>
          </cell>
          <cell r="DW989">
            <v>0</v>
          </cell>
          <cell r="DX989">
            <v>0</v>
          </cell>
          <cell r="DY989">
            <v>0</v>
          </cell>
          <cell r="DZ989">
            <v>0</v>
          </cell>
          <cell r="EA989">
            <v>0</v>
          </cell>
          <cell r="EB989">
            <v>0</v>
          </cell>
          <cell r="EC989">
            <v>0</v>
          </cell>
          <cell r="ED989">
            <v>0</v>
          </cell>
          <cell r="EE989">
            <v>0</v>
          </cell>
          <cell r="EF989">
            <v>0</v>
          </cell>
          <cell r="EG989">
            <v>0</v>
          </cell>
          <cell r="EH989">
            <v>0</v>
          </cell>
          <cell r="EI989">
            <v>0</v>
          </cell>
          <cell r="EK989">
            <v>0</v>
          </cell>
          <cell r="EL989">
            <v>0</v>
          </cell>
          <cell r="EM989">
            <v>0</v>
          </cell>
          <cell r="EN989">
            <v>0</v>
          </cell>
          <cell r="EO989">
            <v>0</v>
          </cell>
          <cell r="EP989">
            <v>0</v>
          </cell>
          <cell r="EQ989">
            <v>0</v>
          </cell>
          <cell r="ER989">
            <v>0</v>
          </cell>
          <cell r="ES989">
            <v>0</v>
          </cell>
          <cell r="ET989">
            <v>0</v>
          </cell>
          <cell r="EU989">
            <v>0</v>
          </cell>
          <cell r="EV989">
            <v>0</v>
          </cell>
          <cell r="EW989">
            <v>0</v>
          </cell>
          <cell r="EY989">
            <v>0</v>
          </cell>
          <cell r="EZ989">
            <v>8</v>
          </cell>
          <cell r="FA989">
            <v>0</v>
          </cell>
          <cell r="FB989">
            <v>0</v>
          </cell>
          <cell r="FC989">
            <v>8.6</v>
          </cell>
          <cell r="FD989">
            <v>0</v>
          </cell>
          <cell r="FE989">
            <v>0</v>
          </cell>
          <cell r="FF989">
            <v>0</v>
          </cell>
          <cell r="FH989">
            <v>0</v>
          </cell>
        </row>
        <row r="990">
          <cell r="B990">
            <v>10123</v>
          </cell>
          <cell r="C990" t="str">
            <v>30.05.2014</v>
          </cell>
          <cell r="D990" t="str">
            <v>Bhoj Vanita Devajibhai</v>
          </cell>
          <cell r="F990">
            <v>0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  <cell r="Q990">
            <v>0</v>
          </cell>
          <cell r="R990">
            <v>0</v>
          </cell>
          <cell r="S990">
            <v>0</v>
          </cell>
          <cell r="T990">
            <v>0</v>
          </cell>
          <cell r="U990">
            <v>0</v>
          </cell>
          <cell r="W990">
            <v>0</v>
          </cell>
          <cell r="X990">
            <v>0</v>
          </cell>
          <cell r="Y990">
            <v>0</v>
          </cell>
          <cell r="Z990">
            <v>0</v>
          </cell>
          <cell r="AA990">
            <v>0</v>
          </cell>
          <cell r="AB990">
            <v>0</v>
          </cell>
          <cell r="AC990">
            <v>0</v>
          </cell>
          <cell r="AD990">
            <v>0</v>
          </cell>
          <cell r="AE990">
            <v>0</v>
          </cell>
          <cell r="AG990">
            <v>0</v>
          </cell>
          <cell r="AH990">
            <v>0</v>
          </cell>
          <cell r="AI990">
            <v>0</v>
          </cell>
          <cell r="AJ990">
            <v>0</v>
          </cell>
          <cell r="AK990">
            <v>0</v>
          </cell>
          <cell r="AL990">
            <v>0</v>
          </cell>
          <cell r="AM990">
            <v>0</v>
          </cell>
          <cell r="AN990">
            <v>0</v>
          </cell>
          <cell r="AO990">
            <v>0</v>
          </cell>
          <cell r="AQ990">
            <v>0</v>
          </cell>
          <cell r="AR990">
            <v>0</v>
          </cell>
          <cell r="AS990">
            <v>0</v>
          </cell>
          <cell r="AT990">
            <v>0</v>
          </cell>
          <cell r="AU990">
            <v>0</v>
          </cell>
          <cell r="AV990">
            <v>0</v>
          </cell>
          <cell r="AW990">
            <v>0</v>
          </cell>
          <cell r="AX990">
            <v>0</v>
          </cell>
          <cell r="AY990">
            <v>0</v>
          </cell>
          <cell r="BA990">
            <v>0</v>
          </cell>
          <cell r="BB990">
            <v>0</v>
          </cell>
          <cell r="BC990">
            <v>0</v>
          </cell>
          <cell r="BD990">
            <v>0</v>
          </cell>
          <cell r="BE990">
            <v>0</v>
          </cell>
          <cell r="BF990">
            <v>0</v>
          </cell>
          <cell r="BG990">
            <v>0</v>
          </cell>
          <cell r="BH990">
            <v>0</v>
          </cell>
          <cell r="BI990">
            <v>0</v>
          </cell>
          <cell r="BK990">
            <v>0</v>
          </cell>
          <cell r="BL990">
            <v>0</v>
          </cell>
          <cell r="BM990">
            <v>0</v>
          </cell>
          <cell r="BN990">
            <v>0</v>
          </cell>
          <cell r="BO990">
            <v>0</v>
          </cell>
          <cell r="BP990">
            <v>0</v>
          </cell>
          <cell r="BQ990">
            <v>0</v>
          </cell>
          <cell r="BR990">
            <v>0</v>
          </cell>
          <cell r="BS990">
            <v>0</v>
          </cell>
          <cell r="BU990">
            <v>0</v>
          </cell>
          <cell r="BV990">
            <v>0</v>
          </cell>
          <cell r="BW990">
            <v>0</v>
          </cell>
          <cell r="BX990">
            <v>0</v>
          </cell>
          <cell r="BY990">
            <v>0</v>
          </cell>
          <cell r="BZ990">
            <v>0</v>
          </cell>
          <cell r="CA990">
            <v>0</v>
          </cell>
          <cell r="CB990">
            <v>0</v>
          </cell>
          <cell r="CC990">
            <v>0</v>
          </cell>
          <cell r="CE990">
            <v>0</v>
          </cell>
          <cell r="CF990">
            <v>0</v>
          </cell>
          <cell r="CG990">
            <v>0</v>
          </cell>
          <cell r="CH990">
            <v>0</v>
          </cell>
          <cell r="CI990">
            <v>0</v>
          </cell>
          <cell r="CJ990">
            <v>0</v>
          </cell>
          <cell r="CK990">
            <v>0</v>
          </cell>
          <cell r="CL990">
            <v>0</v>
          </cell>
          <cell r="CM990">
            <v>0</v>
          </cell>
          <cell r="CO990">
            <v>0</v>
          </cell>
          <cell r="CP990">
            <v>0</v>
          </cell>
          <cell r="CQ990">
            <v>0</v>
          </cell>
          <cell r="CR990">
            <v>0</v>
          </cell>
          <cell r="CS990">
            <v>0</v>
          </cell>
          <cell r="CT990">
            <v>0</v>
          </cell>
          <cell r="CU990">
            <v>0</v>
          </cell>
          <cell r="CV990">
            <v>0</v>
          </cell>
          <cell r="CW990">
            <v>0</v>
          </cell>
          <cell r="CY990">
            <v>0</v>
          </cell>
          <cell r="CZ990">
            <v>0</v>
          </cell>
          <cell r="DA990">
            <v>0</v>
          </cell>
          <cell r="DB990">
            <v>0</v>
          </cell>
          <cell r="DC990">
            <v>0</v>
          </cell>
          <cell r="DD990">
            <v>0</v>
          </cell>
          <cell r="DE990">
            <v>0</v>
          </cell>
          <cell r="DF990">
            <v>0</v>
          </cell>
          <cell r="DG990">
            <v>0</v>
          </cell>
          <cell r="DI990">
            <v>0</v>
          </cell>
          <cell r="DJ990">
            <v>0</v>
          </cell>
          <cell r="DK990">
            <v>0</v>
          </cell>
          <cell r="DL990">
            <v>0</v>
          </cell>
          <cell r="DM990">
            <v>0</v>
          </cell>
          <cell r="DN990">
            <v>0</v>
          </cell>
          <cell r="DO990">
            <v>0</v>
          </cell>
          <cell r="DP990">
            <v>0</v>
          </cell>
          <cell r="DQ990">
            <v>0</v>
          </cell>
          <cell r="DR990">
            <v>0</v>
          </cell>
          <cell r="DS990">
            <v>0</v>
          </cell>
          <cell r="DT990">
            <v>0</v>
          </cell>
          <cell r="DU990">
            <v>0</v>
          </cell>
          <cell r="DW990">
            <v>0</v>
          </cell>
          <cell r="DX990">
            <v>0</v>
          </cell>
          <cell r="DY990">
            <v>0</v>
          </cell>
          <cell r="DZ990">
            <v>0</v>
          </cell>
          <cell r="EA990">
            <v>0</v>
          </cell>
          <cell r="EB990">
            <v>0</v>
          </cell>
          <cell r="EC990">
            <v>0</v>
          </cell>
          <cell r="ED990">
            <v>0</v>
          </cell>
          <cell r="EE990">
            <v>0</v>
          </cell>
          <cell r="EF990">
            <v>0</v>
          </cell>
          <cell r="EG990">
            <v>0</v>
          </cell>
          <cell r="EH990">
            <v>0</v>
          </cell>
          <cell r="EI990">
            <v>0</v>
          </cell>
          <cell r="EK990">
            <v>0</v>
          </cell>
          <cell r="EL990">
            <v>0</v>
          </cell>
          <cell r="EM990">
            <v>0</v>
          </cell>
          <cell r="EN990">
            <v>0</v>
          </cell>
          <cell r="EO990">
            <v>0</v>
          </cell>
          <cell r="EP990">
            <v>0</v>
          </cell>
          <cell r="EQ990">
            <v>0</v>
          </cell>
          <cell r="ER990">
            <v>0</v>
          </cell>
          <cell r="ES990">
            <v>0</v>
          </cell>
          <cell r="ET990">
            <v>0</v>
          </cell>
          <cell r="EU990">
            <v>0</v>
          </cell>
          <cell r="EV990">
            <v>0</v>
          </cell>
          <cell r="EW990">
            <v>0</v>
          </cell>
          <cell r="EY990">
            <v>0</v>
          </cell>
          <cell r="EZ990">
            <v>8</v>
          </cell>
          <cell r="FA990">
            <v>0</v>
          </cell>
          <cell r="FB990">
            <v>0</v>
          </cell>
          <cell r="FC990">
            <v>8.6</v>
          </cell>
          <cell r="FD990">
            <v>0</v>
          </cell>
          <cell r="FE990">
            <v>0</v>
          </cell>
          <cell r="FF990">
            <v>0</v>
          </cell>
          <cell r="FH990">
            <v>0</v>
          </cell>
        </row>
        <row r="991">
          <cell r="B991">
            <v>10124</v>
          </cell>
          <cell r="C991" t="str">
            <v>11.07.2014</v>
          </cell>
          <cell r="D991" t="str">
            <v>Salve Manisha Lalit</v>
          </cell>
          <cell r="F991">
            <v>0</v>
          </cell>
          <cell r="H991">
            <v>0</v>
          </cell>
          <cell r="I991">
            <v>0</v>
          </cell>
          <cell r="J991">
            <v>0</v>
          </cell>
          <cell r="K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W991">
            <v>0</v>
          </cell>
          <cell r="X991">
            <v>0</v>
          </cell>
          <cell r="Y991">
            <v>0</v>
          </cell>
          <cell r="Z991">
            <v>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G991">
            <v>0</v>
          </cell>
          <cell r="AH991">
            <v>0</v>
          </cell>
          <cell r="AI991">
            <v>0</v>
          </cell>
          <cell r="AJ991">
            <v>0</v>
          </cell>
          <cell r="AK991">
            <v>0</v>
          </cell>
          <cell r="AL991">
            <v>0</v>
          </cell>
          <cell r="AM991">
            <v>0</v>
          </cell>
          <cell r="AN991">
            <v>0</v>
          </cell>
          <cell r="AO991">
            <v>0</v>
          </cell>
          <cell r="AQ991">
            <v>0</v>
          </cell>
          <cell r="AR991">
            <v>0</v>
          </cell>
          <cell r="AS991">
            <v>0</v>
          </cell>
          <cell r="AT991">
            <v>0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BA991">
            <v>0</v>
          </cell>
          <cell r="BB991">
            <v>0</v>
          </cell>
          <cell r="BC991">
            <v>0</v>
          </cell>
          <cell r="BD991">
            <v>0</v>
          </cell>
          <cell r="BE991">
            <v>0</v>
          </cell>
          <cell r="BF991">
            <v>0</v>
          </cell>
          <cell r="BG991">
            <v>0</v>
          </cell>
          <cell r="BH991">
            <v>0</v>
          </cell>
          <cell r="BI991">
            <v>0</v>
          </cell>
          <cell r="BK991">
            <v>0</v>
          </cell>
          <cell r="BL991">
            <v>0</v>
          </cell>
          <cell r="BM991">
            <v>0</v>
          </cell>
          <cell r="BN991">
            <v>0</v>
          </cell>
          <cell r="BO991">
            <v>0</v>
          </cell>
          <cell r="BP991">
            <v>0</v>
          </cell>
          <cell r="BQ991">
            <v>0</v>
          </cell>
          <cell r="BR991">
            <v>0</v>
          </cell>
          <cell r="BS991">
            <v>0</v>
          </cell>
          <cell r="BU991">
            <v>0</v>
          </cell>
          <cell r="BV991">
            <v>0</v>
          </cell>
          <cell r="BW991">
            <v>0</v>
          </cell>
          <cell r="BX991">
            <v>0</v>
          </cell>
          <cell r="BY991">
            <v>0</v>
          </cell>
          <cell r="BZ991">
            <v>0</v>
          </cell>
          <cell r="CA991">
            <v>0</v>
          </cell>
          <cell r="CB991">
            <v>0</v>
          </cell>
          <cell r="CC991">
            <v>0</v>
          </cell>
          <cell r="CE991">
            <v>0</v>
          </cell>
          <cell r="CF991">
            <v>0</v>
          </cell>
          <cell r="CG991">
            <v>0</v>
          </cell>
          <cell r="CH991">
            <v>0</v>
          </cell>
          <cell r="CI991">
            <v>0</v>
          </cell>
          <cell r="CJ991">
            <v>0</v>
          </cell>
          <cell r="CK991">
            <v>0</v>
          </cell>
          <cell r="CL991">
            <v>0</v>
          </cell>
          <cell r="CM991">
            <v>0</v>
          </cell>
          <cell r="CO991">
            <v>0</v>
          </cell>
          <cell r="CP991">
            <v>0</v>
          </cell>
          <cell r="CQ991">
            <v>0</v>
          </cell>
          <cell r="CR991">
            <v>0</v>
          </cell>
          <cell r="CS991">
            <v>0</v>
          </cell>
          <cell r="CT991">
            <v>0</v>
          </cell>
          <cell r="CU991">
            <v>0</v>
          </cell>
          <cell r="CV991">
            <v>0</v>
          </cell>
          <cell r="CW991">
            <v>0</v>
          </cell>
          <cell r="CY991">
            <v>0</v>
          </cell>
          <cell r="CZ991">
            <v>0</v>
          </cell>
          <cell r="DA991">
            <v>0</v>
          </cell>
          <cell r="DB991">
            <v>0</v>
          </cell>
          <cell r="DC991">
            <v>0</v>
          </cell>
          <cell r="DD991">
            <v>0</v>
          </cell>
          <cell r="DE991">
            <v>0</v>
          </cell>
          <cell r="DF991">
            <v>0</v>
          </cell>
          <cell r="DG991">
            <v>0</v>
          </cell>
          <cell r="DI991">
            <v>0</v>
          </cell>
          <cell r="DJ991">
            <v>0</v>
          </cell>
          <cell r="DK991">
            <v>0</v>
          </cell>
          <cell r="DL991">
            <v>0</v>
          </cell>
          <cell r="DM991">
            <v>0</v>
          </cell>
          <cell r="DN991">
            <v>0</v>
          </cell>
          <cell r="DO991">
            <v>0</v>
          </cell>
          <cell r="DP991">
            <v>0</v>
          </cell>
          <cell r="DQ991">
            <v>0</v>
          </cell>
          <cell r="DR991">
            <v>0</v>
          </cell>
          <cell r="DS991">
            <v>0</v>
          </cell>
          <cell r="DT991">
            <v>0</v>
          </cell>
          <cell r="DU991">
            <v>0</v>
          </cell>
          <cell r="DW991">
            <v>0</v>
          </cell>
          <cell r="DX991">
            <v>0</v>
          </cell>
          <cell r="DY991">
            <v>0</v>
          </cell>
          <cell r="DZ991">
            <v>0</v>
          </cell>
          <cell r="EA991">
            <v>0</v>
          </cell>
          <cell r="EB991">
            <v>0</v>
          </cell>
          <cell r="EC991">
            <v>0</v>
          </cell>
          <cell r="ED991">
            <v>0</v>
          </cell>
          <cell r="EE991">
            <v>0</v>
          </cell>
          <cell r="EF991">
            <v>0</v>
          </cell>
          <cell r="EG991">
            <v>0</v>
          </cell>
          <cell r="EH991">
            <v>0</v>
          </cell>
          <cell r="EI991">
            <v>0</v>
          </cell>
          <cell r="EK991">
            <v>0</v>
          </cell>
          <cell r="EL991">
            <v>0</v>
          </cell>
          <cell r="EM991">
            <v>0</v>
          </cell>
          <cell r="EN991">
            <v>0</v>
          </cell>
          <cell r="EO991">
            <v>0</v>
          </cell>
          <cell r="EP991">
            <v>0</v>
          </cell>
          <cell r="EQ991">
            <v>0</v>
          </cell>
          <cell r="ER991">
            <v>0</v>
          </cell>
          <cell r="ES991">
            <v>0</v>
          </cell>
          <cell r="ET991">
            <v>0</v>
          </cell>
          <cell r="EU991">
            <v>0</v>
          </cell>
          <cell r="EV991">
            <v>0</v>
          </cell>
          <cell r="EW991">
            <v>0</v>
          </cell>
          <cell r="EY991">
            <v>0</v>
          </cell>
          <cell r="EZ991">
            <v>8</v>
          </cell>
          <cell r="FA991">
            <v>0</v>
          </cell>
          <cell r="FB991">
            <v>0</v>
          </cell>
          <cell r="FC991">
            <v>8.6</v>
          </cell>
          <cell r="FD991">
            <v>0</v>
          </cell>
          <cell r="FE991">
            <v>0</v>
          </cell>
          <cell r="FF991">
            <v>0</v>
          </cell>
          <cell r="FH991">
            <v>0</v>
          </cell>
        </row>
        <row r="992">
          <cell r="B992">
            <v>10125</v>
          </cell>
          <cell r="C992" t="str">
            <v>17.07.2014</v>
          </cell>
          <cell r="D992" t="str">
            <v>Nimbalkar Pramod Ashok</v>
          </cell>
          <cell r="F992">
            <v>0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0</v>
          </cell>
          <cell r="R992">
            <v>0</v>
          </cell>
          <cell r="S992">
            <v>0</v>
          </cell>
          <cell r="T992">
            <v>0</v>
          </cell>
          <cell r="U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0</v>
          </cell>
          <cell r="AA992">
            <v>0</v>
          </cell>
          <cell r="AB992">
            <v>0</v>
          </cell>
          <cell r="AC992">
            <v>0</v>
          </cell>
          <cell r="AD992">
            <v>0</v>
          </cell>
          <cell r="AE992">
            <v>0</v>
          </cell>
          <cell r="AG992">
            <v>0</v>
          </cell>
          <cell r="AH992">
            <v>0</v>
          </cell>
          <cell r="AI992">
            <v>0</v>
          </cell>
          <cell r="AJ992">
            <v>0</v>
          </cell>
          <cell r="AK992">
            <v>0</v>
          </cell>
          <cell r="AL992">
            <v>0</v>
          </cell>
          <cell r="AM992">
            <v>0</v>
          </cell>
          <cell r="AN992">
            <v>0</v>
          </cell>
          <cell r="AO992">
            <v>0</v>
          </cell>
          <cell r="AQ992">
            <v>0</v>
          </cell>
          <cell r="AR992">
            <v>0</v>
          </cell>
          <cell r="AS992">
            <v>0</v>
          </cell>
          <cell r="AT992">
            <v>0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BA992">
            <v>0</v>
          </cell>
          <cell r="BB992">
            <v>0</v>
          </cell>
          <cell r="BC992">
            <v>0</v>
          </cell>
          <cell r="BD992">
            <v>0</v>
          </cell>
          <cell r="BE992">
            <v>0</v>
          </cell>
          <cell r="BF992">
            <v>0</v>
          </cell>
          <cell r="BG992">
            <v>0</v>
          </cell>
          <cell r="BH992">
            <v>0</v>
          </cell>
          <cell r="BI992">
            <v>0</v>
          </cell>
          <cell r="BK992">
            <v>0</v>
          </cell>
          <cell r="BL992">
            <v>0</v>
          </cell>
          <cell r="BM992">
            <v>0</v>
          </cell>
          <cell r="BN992">
            <v>0</v>
          </cell>
          <cell r="BO992">
            <v>0</v>
          </cell>
          <cell r="BP992">
            <v>0</v>
          </cell>
          <cell r="BQ992">
            <v>0</v>
          </cell>
          <cell r="BR992">
            <v>0</v>
          </cell>
          <cell r="BS992">
            <v>0</v>
          </cell>
          <cell r="BU992">
            <v>0</v>
          </cell>
          <cell r="BV992">
            <v>0</v>
          </cell>
          <cell r="BW992">
            <v>0</v>
          </cell>
          <cell r="BX992">
            <v>0</v>
          </cell>
          <cell r="BY992">
            <v>0</v>
          </cell>
          <cell r="BZ992">
            <v>0</v>
          </cell>
          <cell r="CA992">
            <v>0</v>
          </cell>
          <cell r="CB992">
            <v>0</v>
          </cell>
          <cell r="CC992">
            <v>0</v>
          </cell>
          <cell r="CE992">
            <v>0</v>
          </cell>
          <cell r="CF992">
            <v>0</v>
          </cell>
          <cell r="CG992">
            <v>0</v>
          </cell>
          <cell r="CH992">
            <v>0</v>
          </cell>
          <cell r="CI992">
            <v>0</v>
          </cell>
          <cell r="CJ992">
            <v>0</v>
          </cell>
          <cell r="CK992">
            <v>0</v>
          </cell>
          <cell r="CL992">
            <v>0</v>
          </cell>
          <cell r="CM992">
            <v>0</v>
          </cell>
          <cell r="CO992">
            <v>0</v>
          </cell>
          <cell r="CP992">
            <v>0</v>
          </cell>
          <cell r="CQ992">
            <v>0</v>
          </cell>
          <cell r="CR992">
            <v>0</v>
          </cell>
          <cell r="CS992">
            <v>0</v>
          </cell>
          <cell r="CT992">
            <v>0</v>
          </cell>
          <cell r="CU992">
            <v>0</v>
          </cell>
          <cell r="CV992">
            <v>0</v>
          </cell>
          <cell r="CW992">
            <v>0</v>
          </cell>
          <cell r="CY992">
            <v>0</v>
          </cell>
          <cell r="CZ992">
            <v>0</v>
          </cell>
          <cell r="DA992">
            <v>0</v>
          </cell>
          <cell r="DB992">
            <v>0</v>
          </cell>
          <cell r="DC992">
            <v>0</v>
          </cell>
          <cell r="DD992">
            <v>0</v>
          </cell>
          <cell r="DE992">
            <v>0</v>
          </cell>
          <cell r="DF992">
            <v>0</v>
          </cell>
          <cell r="DG992">
            <v>0</v>
          </cell>
          <cell r="DI992">
            <v>0</v>
          </cell>
          <cell r="DJ992">
            <v>0</v>
          </cell>
          <cell r="DK992">
            <v>0</v>
          </cell>
          <cell r="DL992">
            <v>0</v>
          </cell>
          <cell r="DM992">
            <v>0</v>
          </cell>
          <cell r="DN992">
            <v>0</v>
          </cell>
          <cell r="DO992">
            <v>0</v>
          </cell>
          <cell r="DP992">
            <v>0</v>
          </cell>
          <cell r="DQ992">
            <v>0</v>
          </cell>
          <cell r="DR992">
            <v>0</v>
          </cell>
          <cell r="DS992">
            <v>0</v>
          </cell>
          <cell r="DT992">
            <v>0</v>
          </cell>
          <cell r="DU992">
            <v>0</v>
          </cell>
          <cell r="DW992">
            <v>0</v>
          </cell>
          <cell r="DX992">
            <v>0</v>
          </cell>
          <cell r="DY992">
            <v>0</v>
          </cell>
          <cell r="DZ992">
            <v>0</v>
          </cell>
          <cell r="EA992">
            <v>0</v>
          </cell>
          <cell r="EB992">
            <v>0</v>
          </cell>
          <cell r="EC992">
            <v>0</v>
          </cell>
          <cell r="ED992">
            <v>0</v>
          </cell>
          <cell r="EE992">
            <v>0</v>
          </cell>
          <cell r="EF992">
            <v>0</v>
          </cell>
          <cell r="EG992">
            <v>0</v>
          </cell>
          <cell r="EH992">
            <v>0</v>
          </cell>
          <cell r="EI992">
            <v>0</v>
          </cell>
          <cell r="EK992">
            <v>0</v>
          </cell>
          <cell r="EL992">
            <v>0</v>
          </cell>
          <cell r="EM992">
            <v>0</v>
          </cell>
          <cell r="EN992">
            <v>0</v>
          </cell>
          <cell r="EO992">
            <v>0</v>
          </cell>
          <cell r="EP992">
            <v>0</v>
          </cell>
          <cell r="EQ992">
            <v>0</v>
          </cell>
          <cell r="ER992">
            <v>0</v>
          </cell>
          <cell r="ES992">
            <v>0</v>
          </cell>
          <cell r="ET992">
            <v>0</v>
          </cell>
          <cell r="EU992">
            <v>0</v>
          </cell>
          <cell r="EV992">
            <v>0</v>
          </cell>
          <cell r="EW992">
            <v>0</v>
          </cell>
          <cell r="EY992">
            <v>0</v>
          </cell>
          <cell r="EZ992">
            <v>8</v>
          </cell>
          <cell r="FA992">
            <v>0</v>
          </cell>
          <cell r="FB992">
            <v>0</v>
          </cell>
          <cell r="FC992">
            <v>8.6</v>
          </cell>
          <cell r="FD992">
            <v>0</v>
          </cell>
          <cell r="FE992">
            <v>0</v>
          </cell>
          <cell r="FF992">
            <v>0</v>
          </cell>
          <cell r="FH992">
            <v>0</v>
          </cell>
        </row>
        <row r="993">
          <cell r="B993">
            <v>10126</v>
          </cell>
          <cell r="C993" t="str">
            <v>25.07.2014</v>
          </cell>
          <cell r="D993" t="str">
            <v>Maru Dina Jagan</v>
          </cell>
          <cell r="F993">
            <v>0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>
            <v>0</v>
          </cell>
          <cell r="AB993">
            <v>0</v>
          </cell>
          <cell r="AC993">
            <v>0</v>
          </cell>
          <cell r="AD993">
            <v>0</v>
          </cell>
          <cell r="AE993">
            <v>0</v>
          </cell>
          <cell r="AG993">
            <v>0</v>
          </cell>
          <cell r="AH993">
            <v>0</v>
          </cell>
          <cell r="AI993">
            <v>0</v>
          </cell>
          <cell r="AJ993">
            <v>0</v>
          </cell>
          <cell r="AK993">
            <v>0</v>
          </cell>
          <cell r="AL993">
            <v>0</v>
          </cell>
          <cell r="AM993">
            <v>0</v>
          </cell>
          <cell r="AN993">
            <v>0</v>
          </cell>
          <cell r="AO993">
            <v>0</v>
          </cell>
          <cell r="AQ993">
            <v>0</v>
          </cell>
          <cell r="AR993">
            <v>0</v>
          </cell>
          <cell r="AS993">
            <v>0</v>
          </cell>
          <cell r="AT993">
            <v>0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BA993">
            <v>0</v>
          </cell>
          <cell r="BB993">
            <v>0</v>
          </cell>
          <cell r="BC993">
            <v>0</v>
          </cell>
          <cell r="BD993">
            <v>0</v>
          </cell>
          <cell r="BE993">
            <v>0</v>
          </cell>
          <cell r="BF993">
            <v>0</v>
          </cell>
          <cell r="BG993">
            <v>0</v>
          </cell>
          <cell r="BH993">
            <v>0</v>
          </cell>
          <cell r="BI993">
            <v>0</v>
          </cell>
          <cell r="BK993">
            <v>0</v>
          </cell>
          <cell r="BL993">
            <v>0</v>
          </cell>
          <cell r="BM993">
            <v>0</v>
          </cell>
          <cell r="BN993">
            <v>0</v>
          </cell>
          <cell r="BO993">
            <v>0</v>
          </cell>
          <cell r="BP993">
            <v>0</v>
          </cell>
          <cell r="BQ993">
            <v>0</v>
          </cell>
          <cell r="BR993">
            <v>0</v>
          </cell>
          <cell r="BS993">
            <v>0</v>
          </cell>
          <cell r="BU993">
            <v>0</v>
          </cell>
          <cell r="BV993">
            <v>0</v>
          </cell>
          <cell r="BW993">
            <v>0</v>
          </cell>
          <cell r="BX993">
            <v>0</v>
          </cell>
          <cell r="BY993">
            <v>0</v>
          </cell>
          <cell r="BZ993">
            <v>0</v>
          </cell>
          <cell r="CA993">
            <v>0</v>
          </cell>
          <cell r="CB993">
            <v>0</v>
          </cell>
          <cell r="CC993">
            <v>0</v>
          </cell>
          <cell r="CE993">
            <v>0</v>
          </cell>
          <cell r="CF993">
            <v>0</v>
          </cell>
          <cell r="CG993">
            <v>0</v>
          </cell>
          <cell r="CH993">
            <v>0</v>
          </cell>
          <cell r="CI993">
            <v>0</v>
          </cell>
          <cell r="CJ993">
            <v>0</v>
          </cell>
          <cell r="CK993">
            <v>0</v>
          </cell>
          <cell r="CL993">
            <v>0</v>
          </cell>
          <cell r="CM993">
            <v>0</v>
          </cell>
          <cell r="CO993">
            <v>0</v>
          </cell>
          <cell r="CP993">
            <v>0</v>
          </cell>
          <cell r="CQ993">
            <v>0</v>
          </cell>
          <cell r="CR993">
            <v>0</v>
          </cell>
          <cell r="CS993">
            <v>0</v>
          </cell>
          <cell r="CT993">
            <v>0</v>
          </cell>
          <cell r="CU993">
            <v>0</v>
          </cell>
          <cell r="CV993">
            <v>0</v>
          </cell>
          <cell r="CW993">
            <v>0</v>
          </cell>
          <cell r="CY993">
            <v>0</v>
          </cell>
          <cell r="CZ993">
            <v>0</v>
          </cell>
          <cell r="DA993">
            <v>0</v>
          </cell>
          <cell r="DB993">
            <v>0</v>
          </cell>
          <cell r="DC993">
            <v>0</v>
          </cell>
          <cell r="DD993">
            <v>0</v>
          </cell>
          <cell r="DE993">
            <v>0</v>
          </cell>
          <cell r="DF993">
            <v>0</v>
          </cell>
          <cell r="DG993">
            <v>0</v>
          </cell>
          <cell r="DI993">
            <v>0</v>
          </cell>
          <cell r="DJ993">
            <v>0</v>
          </cell>
          <cell r="DK993">
            <v>0</v>
          </cell>
          <cell r="DL993">
            <v>0</v>
          </cell>
          <cell r="DM993">
            <v>0</v>
          </cell>
          <cell r="DN993">
            <v>0</v>
          </cell>
          <cell r="DO993">
            <v>0</v>
          </cell>
          <cell r="DP993">
            <v>0</v>
          </cell>
          <cell r="DQ993">
            <v>0</v>
          </cell>
          <cell r="DR993">
            <v>0</v>
          </cell>
          <cell r="DS993">
            <v>0</v>
          </cell>
          <cell r="DT993">
            <v>0</v>
          </cell>
          <cell r="DU993">
            <v>0</v>
          </cell>
          <cell r="DW993">
            <v>0</v>
          </cell>
          <cell r="DX993">
            <v>0</v>
          </cell>
          <cell r="DY993">
            <v>0</v>
          </cell>
          <cell r="DZ993">
            <v>0</v>
          </cell>
          <cell r="EA993">
            <v>0</v>
          </cell>
          <cell r="EB993">
            <v>0</v>
          </cell>
          <cell r="EC993">
            <v>0</v>
          </cell>
          <cell r="ED993">
            <v>0</v>
          </cell>
          <cell r="EE993">
            <v>0</v>
          </cell>
          <cell r="EF993">
            <v>0</v>
          </cell>
          <cell r="EG993">
            <v>0</v>
          </cell>
          <cell r="EH993">
            <v>0</v>
          </cell>
          <cell r="EI993">
            <v>0</v>
          </cell>
          <cell r="EK993">
            <v>0</v>
          </cell>
          <cell r="EL993">
            <v>0</v>
          </cell>
          <cell r="EM993">
            <v>0</v>
          </cell>
          <cell r="EN993">
            <v>0</v>
          </cell>
          <cell r="EO993">
            <v>0</v>
          </cell>
          <cell r="EP993">
            <v>0</v>
          </cell>
          <cell r="EQ993">
            <v>0</v>
          </cell>
          <cell r="ER993">
            <v>0</v>
          </cell>
          <cell r="ES993">
            <v>0</v>
          </cell>
          <cell r="ET993">
            <v>0</v>
          </cell>
          <cell r="EU993">
            <v>0</v>
          </cell>
          <cell r="EV993">
            <v>0</v>
          </cell>
          <cell r="EW993">
            <v>0</v>
          </cell>
          <cell r="EY993">
            <v>0</v>
          </cell>
          <cell r="EZ993">
            <v>8</v>
          </cell>
          <cell r="FA993">
            <v>0</v>
          </cell>
          <cell r="FB993">
            <v>0</v>
          </cell>
          <cell r="FC993">
            <v>8.6</v>
          </cell>
          <cell r="FD993">
            <v>0</v>
          </cell>
          <cell r="FE993">
            <v>0</v>
          </cell>
          <cell r="FF993">
            <v>0</v>
          </cell>
          <cell r="FH993">
            <v>0</v>
          </cell>
        </row>
        <row r="994">
          <cell r="B994">
            <v>10195</v>
          </cell>
          <cell r="C994" t="str">
            <v>28.08.2014</v>
          </cell>
          <cell r="D994" t="str">
            <v>Gohil Sanjay Bhanji</v>
          </cell>
          <cell r="F994">
            <v>0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  <cell r="Q994">
            <v>0</v>
          </cell>
          <cell r="R994">
            <v>0</v>
          </cell>
          <cell r="S994">
            <v>0</v>
          </cell>
          <cell r="T994">
            <v>0</v>
          </cell>
          <cell r="U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>
            <v>0</v>
          </cell>
          <cell r="AB994">
            <v>0</v>
          </cell>
          <cell r="AC994">
            <v>0</v>
          </cell>
          <cell r="AD994">
            <v>0</v>
          </cell>
          <cell r="AE994">
            <v>0</v>
          </cell>
          <cell r="AG994">
            <v>0</v>
          </cell>
          <cell r="AH994">
            <v>0</v>
          </cell>
          <cell r="AI994">
            <v>0</v>
          </cell>
          <cell r="AJ994">
            <v>0</v>
          </cell>
          <cell r="AK994">
            <v>0</v>
          </cell>
          <cell r="AL994">
            <v>0</v>
          </cell>
          <cell r="AM994">
            <v>0</v>
          </cell>
          <cell r="AN994">
            <v>0</v>
          </cell>
          <cell r="AO994">
            <v>0</v>
          </cell>
          <cell r="AQ994">
            <v>0</v>
          </cell>
          <cell r="AR994">
            <v>0</v>
          </cell>
          <cell r="AS994">
            <v>0</v>
          </cell>
          <cell r="AT994">
            <v>0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BA994">
            <v>0</v>
          </cell>
          <cell r="BB994">
            <v>0</v>
          </cell>
          <cell r="BC994">
            <v>0</v>
          </cell>
          <cell r="BD994">
            <v>0</v>
          </cell>
          <cell r="BE994">
            <v>0</v>
          </cell>
          <cell r="BF994">
            <v>0</v>
          </cell>
          <cell r="BG994">
            <v>0</v>
          </cell>
          <cell r="BH994">
            <v>0</v>
          </cell>
          <cell r="BI994">
            <v>0</v>
          </cell>
          <cell r="BK994">
            <v>0</v>
          </cell>
          <cell r="BL994">
            <v>0</v>
          </cell>
          <cell r="BM994">
            <v>0</v>
          </cell>
          <cell r="BN994">
            <v>0</v>
          </cell>
          <cell r="BO994">
            <v>0</v>
          </cell>
          <cell r="BP994">
            <v>0</v>
          </cell>
          <cell r="BQ994">
            <v>0</v>
          </cell>
          <cell r="BR994">
            <v>0</v>
          </cell>
          <cell r="BS994">
            <v>0</v>
          </cell>
          <cell r="BU994">
            <v>0</v>
          </cell>
          <cell r="BV994">
            <v>0</v>
          </cell>
          <cell r="BW994">
            <v>0</v>
          </cell>
          <cell r="BX994">
            <v>0</v>
          </cell>
          <cell r="BY994">
            <v>0</v>
          </cell>
          <cell r="BZ994">
            <v>0</v>
          </cell>
          <cell r="CA994">
            <v>0</v>
          </cell>
          <cell r="CB994">
            <v>0</v>
          </cell>
          <cell r="CC994">
            <v>0</v>
          </cell>
          <cell r="CE994">
            <v>0</v>
          </cell>
          <cell r="CF994">
            <v>0</v>
          </cell>
          <cell r="CG994">
            <v>0</v>
          </cell>
          <cell r="CH994">
            <v>0</v>
          </cell>
          <cell r="CI994">
            <v>0</v>
          </cell>
          <cell r="CJ994">
            <v>0</v>
          </cell>
          <cell r="CK994">
            <v>0</v>
          </cell>
          <cell r="CL994">
            <v>0</v>
          </cell>
          <cell r="CM994">
            <v>0</v>
          </cell>
          <cell r="CO994">
            <v>0</v>
          </cell>
          <cell r="CP994">
            <v>0</v>
          </cell>
          <cell r="CQ994">
            <v>0</v>
          </cell>
          <cell r="CR994">
            <v>0</v>
          </cell>
          <cell r="CS994">
            <v>0</v>
          </cell>
          <cell r="CT994">
            <v>0</v>
          </cell>
          <cell r="CU994">
            <v>0</v>
          </cell>
          <cell r="CV994">
            <v>0</v>
          </cell>
          <cell r="CW994">
            <v>0</v>
          </cell>
          <cell r="CY994">
            <v>0</v>
          </cell>
          <cell r="CZ994">
            <v>0</v>
          </cell>
          <cell r="DA994">
            <v>0</v>
          </cell>
          <cell r="DB994">
            <v>0</v>
          </cell>
          <cell r="DC994">
            <v>0</v>
          </cell>
          <cell r="DD994">
            <v>0</v>
          </cell>
          <cell r="DE994">
            <v>0</v>
          </cell>
          <cell r="DF994">
            <v>0</v>
          </cell>
          <cell r="DG994">
            <v>0</v>
          </cell>
          <cell r="DI994">
            <v>0</v>
          </cell>
          <cell r="DJ994">
            <v>0</v>
          </cell>
          <cell r="DK994">
            <v>0</v>
          </cell>
          <cell r="DL994">
            <v>0</v>
          </cell>
          <cell r="DM994">
            <v>0</v>
          </cell>
          <cell r="DN994">
            <v>0</v>
          </cell>
          <cell r="DO994">
            <v>0</v>
          </cell>
          <cell r="DP994">
            <v>0</v>
          </cell>
          <cell r="DQ994">
            <v>0</v>
          </cell>
          <cell r="DR994">
            <v>0</v>
          </cell>
          <cell r="DS994">
            <v>0</v>
          </cell>
          <cell r="DT994">
            <v>0</v>
          </cell>
          <cell r="DU994">
            <v>0</v>
          </cell>
          <cell r="DW994">
            <v>0</v>
          </cell>
          <cell r="DX994">
            <v>0</v>
          </cell>
          <cell r="DY994">
            <v>0</v>
          </cell>
          <cell r="DZ994">
            <v>0</v>
          </cell>
          <cell r="EA994">
            <v>0</v>
          </cell>
          <cell r="EB994">
            <v>0</v>
          </cell>
          <cell r="EC994">
            <v>0</v>
          </cell>
          <cell r="ED994">
            <v>0</v>
          </cell>
          <cell r="EE994">
            <v>0</v>
          </cell>
          <cell r="EF994">
            <v>0</v>
          </cell>
          <cell r="EG994">
            <v>0</v>
          </cell>
          <cell r="EH994">
            <v>0</v>
          </cell>
          <cell r="EI994">
            <v>0</v>
          </cell>
          <cell r="EK994">
            <v>0</v>
          </cell>
          <cell r="EL994">
            <v>0</v>
          </cell>
          <cell r="EM994">
            <v>0</v>
          </cell>
          <cell r="EN994">
            <v>0</v>
          </cell>
          <cell r="EO994">
            <v>0</v>
          </cell>
          <cell r="EP994">
            <v>0</v>
          </cell>
          <cell r="EQ994">
            <v>0</v>
          </cell>
          <cell r="ER994">
            <v>0</v>
          </cell>
          <cell r="ES994">
            <v>0</v>
          </cell>
          <cell r="ET994">
            <v>0</v>
          </cell>
          <cell r="EU994">
            <v>0</v>
          </cell>
          <cell r="EV994">
            <v>0</v>
          </cell>
          <cell r="EW994">
            <v>0</v>
          </cell>
          <cell r="EY994">
            <v>0</v>
          </cell>
          <cell r="EZ994">
            <v>8</v>
          </cell>
          <cell r="FA994">
            <v>0</v>
          </cell>
          <cell r="FB994">
            <v>0</v>
          </cell>
          <cell r="FC994">
            <v>8.6</v>
          </cell>
          <cell r="FD994">
            <v>0</v>
          </cell>
          <cell r="FE994">
            <v>0</v>
          </cell>
          <cell r="FF994">
            <v>0</v>
          </cell>
          <cell r="FH994">
            <v>0</v>
          </cell>
        </row>
        <row r="995">
          <cell r="B995">
            <v>9925</v>
          </cell>
          <cell r="C995" t="str">
            <v>12.12.2014</v>
          </cell>
          <cell r="D995" t="str">
            <v>Avhad Sameer Shivaji</v>
          </cell>
          <cell r="F995">
            <v>0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>
            <v>0</v>
          </cell>
          <cell r="R995">
            <v>0</v>
          </cell>
          <cell r="S995">
            <v>0</v>
          </cell>
          <cell r="T995">
            <v>0</v>
          </cell>
          <cell r="U995">
            <v>0</v>
          </cell>
          <cell r="W995">
            <v>0</v>
          </cell>
          <cell r="X995">
            <v>0</v>
          </cell>
          <cell r="Y995">
            <v>0</v>
          </cell>
          <cell r="Z995">
            <v>0</v>
          </cell>
          <cell r="AA995">
            <v>0</v>
          </cell>
          <cell r="AB995">
            <v>0</v>
          </cell>
          <cell r="AC995">
            <v>0</v>
          </cell>
          <cell r="AD995">
            <v>0</v>
          </cell>
          <cell r="AE995">
            <v>0</v>
          </cell>
          <cell r="AG995">
            <v>0</v>
          </cell>
          <cell r="AH995">
            <v>0</v>
          </cell>
          <cell r="AI995">
            <v>0</v>
          </cell>
          <cell r="AJ995">
            <v>0</v>
          </cell>
          <cell r="AK995">
            <v>0</v>
          </cell>
          <cell r="AL995">
            <v>0</v>
          </cell>
          <cell r="AM995">
            <v>0</v>
          </cell>
          <cell r="AN995">
            <v>0</v>
          </cell>
          <cell r="AO995">
            <v>0</v>
          </cell>
          <cell r="AQ995">
            <v>0</v>
          </cell>
          <cell r="AR995">
            <v>0</v>
          </cell>
          <cell r="AS995">
            <v>0</v>
          </cell>
          <cell r="AT995">
            <v>0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BA995">
            <v>0</v>
          </cell>
          <cell r="BB995">
            <v>0</v>
          </cell>
          <cell r="BC995">
            <v>0</v>
          </cell>
          <cell r="BD995">
            <v>0</v>
          </cell>
          <cell r="BE995">
            <v>0</v>
          </cell>
          <cell r="BF995">
            <v>0</v>
          </cell>
          <cell r="BG995">
            <v>0</v>
          </cell>
          <cell r="BH995">
            <v>0</v>
          </cell>
          <cell r="BI995">
            <v>0</v>
          </cell>
          <cell r="BK995">
            <v>0</v>
          </cell>
          <cell r="BL995">
            <v>0</v>
          </cell>
          <cell r="BM995">
            <v>0</v>
          </cell>
          <cell r="BN995">
            <v>0</v>
          </cell>
          <cell r="BO995">
            <v>0</v>
          </cell>
          <cell r="BP995">
            <v>0</v>
          </cell>
          <cell r="BQ995">
            <v>0</v>
          </cell>
          <cell r="BR995">
            <v>0</v>
          </cell>
          <cell r="BS995">
            <v>0</v>
          </cell>
          <cell r="BU995">
            <v>0</v>
          </cell>
          <cell r="BV995">
            <v>0</v>
          </cell>
          <cell r="BW995">
            <v>0</v>
          </cell>
          <cell r="BX995">
            <v>0</v>
          </cell>
          <cell r="BY995">
            <v>0</v>
          </cell>
          <cell r="BZ995">
            <v>0</v>
          </cell>
          <cell r="CA995">
            <v>0</v>
          </cell>
          <cell r="CB995">
            <v>0</v>
          </cell>
          <cell r="CC995">
            <v>0</v>
          </cell>
          <cell r="CE995">
            <v>0</v>
          </cell>
          <cell r="CF995">
            <v>0</v>
          </cell>
          <cell r="CG995">
            <v>0</v>
          </cell>
          <cell r="CH995">
            <v>0</v>
          </cell>
          <cell r="CI995">
            <v>0</v>
          </cell>
          <cell r="CJ995">
            <v>0</v>
          </cell>
          <cell r="CK995">
            <v>0</v>
          </cell>
          <cell r="CL995">
            <v>0</v>
          </cell>
          <cell r="CM995">
            <v>0</v>
          </cell>
          <cell r="CO995">
            <v>0</v>
          </cell>
          <cell r="CP995">
            <v>0</v>
          </cell>
          <cell r="CQ995">
            <v>0</v>
          </cell>
          <cell r="CR995">
            <v>0</v>
          </cell>
          <cell r="CS995">
            <v>0</v>
          </cell>
          <cell r="CT995">
            <v>0</v>
          </cell>
          <cell r="CU995">
            <v>0</v>
          </cell>
          <cell r="CV995">
            <v>0</v>
          </cell>
          <cell r="CW995">
            <v>0</v>
          </cell>
          <cell r="CY995">
            <v>0</v>
          </cell>
          <cell r="CZ995">
            <v>0</v>
          </cell>
          <cell r="DA995">
            <v>0</v>
          </cell>
          <cell r="DB995">
            <v>0</v>
          </cell>
          <cell r="DC995">
            <v>0</v>
          </cell>
          <cell r="DD995">
            <v>0</v>
          </cell>
          <cell r="DE995">
            <v>0</v>
          </cell>
          <cell r="DF995">
            <v>0</v>
          </cell>
          <cell r="DG995">
            <v>0</v>
          </cell>
          <cell r="DI995">
            <v>0</v>
          </cell>
          <cell r="DJ995">
            <v>0</v>
          </cell>
          <cell r="DK995">
            <v>0</v>
          </cell>
          <cell r="DL995">
            <v>0</v>
          </cell>
          <cell r="DM995">
            <v>0</v>
          </cell>
          <cell r="DN995">
            <v>0</v>
          </cell>
          <cell r="DO995">
            <v>0</v>
          </cell>
          <cell r="DP995">
            <v>0</v>
          </cell>
          <cell r="DQ995">
            <v>0</v>
          </cell>
          <cell r="DR995">
            <v>0</v>
          </cell>
          <cell r="DS995">
            <v>0</v>
          </cell>
          <cell r="DT995">
            <v>0</v>
          </cell>
          <cell r="DU995">
            <v>0</v>
          </cell>
          <cell r="DW995">
            <v>0</v>
          </cell>
          <cell r="DX995">
            <v>0</v>
          </cell>
          <cell r="DY995">
            <v>0</v>
          </cell>
          <cell r="DZ995">
            <v>0</v>
          </cell>
          <cell r="EA995">
            <v>0</v>
          </cell>
          <cell r="EB995">
            <v>0</v>
          </cell>
          <cell r="EC995">
            <v>0</v>
          </cell>
          <cell r="ED995">
            <v>0</v>
          </cell>
          <cell r="EE995">
            <v>0</v>
          </cell>
          <cell r="EF995">
            <v>0</v>
          </cell>
          <cell r="EG995">
            <v>0</v>
          </cell>
          <cell r="EH995">
            <v>0</v>
          </cell>
          <cell r="EI995">
            <v>0</v>
          </cell>
          <cell r="EK995">
            <v>0</v>
          </cell>
          <cell r="EL995">
            <v>0</v>
          </cell>
          <cell r="EM995">
            <v>0</v>
          </cell>
          <cell r="EN995">
            <v>0</v>
          </cell>
          <cell r="EO995">
            <v>0</v>
          </cell>
          <cell r="EP995">
            <v>0</v>
          </cell>
          <cell r="EQ995">
            <v>0</v>
          </cell>
          <cell r="ER995">
            <v>0</v>
          </cell>
          <cell r="ES995">
            <v>0</v>
          </cell>
          <cell r="ET995">
            <v>0</v>
          </cell>
          <cell r="EU995">
            <v>0</v>
          </cell>
          <cell r="EV995">
            <v>0</v>
          </cell>
          <cell r="EW995">
            <v>0</v>
          </cell>
          <cell r="EY995">
            <v>0</v>
          </cell>
          <cell r="EZ995">
            <v>8</v>
          </cell>
          <cell r="FA995">
            <v>0</v>
          </cell>
          <cell r="FB995">
            <v>0</v>
          </cell>
          <cell r="FC995">
            <v>8.6</v>
          </cell>
          <cell r="FD995">
            <v>0</v>
          </cell>
          <cell r="FE995">
            <v>0</v>
          </cell>
          <cell r="FF995">
            <v>0</v>
          </cell>
          <cell r="FH995">
            <v>0</v>
          </cell>
        </row>
        <row r="996">
          <cell r="B996">
            <v>8909</v>
          </cell>
          <cell r="C996" t="str">
            <v>04.02.2005</v>
          </cell>
          <cell r="D996" t="str">
            <v>Shardul Nalini Sudhir</v>
          </cell>
          <cell r="E996" t="str">
            <v>F</v>
          </cell>
          <cell r="F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0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G996">
            <v>0</v>
          </cell>
          <cell r="AH996">
            <v>0</v>
          </cell>
          <cell r="AI996">
            <v>0</v>
          </cell>
          <cell r="AJ996">
            <v>0</v>
          </cell>
          <cell r="AK996">
            <v>0</v>
          </cell>
          <cell r="AL996">
            <v>0</v>
          </cell>
          <cell r="AM996">
            <v>0</v>
          </cell>
          <cell r="AN996">
            <v>0</v>
          </cell>
          <cell r="AO996">
            <v>0</v>
          </cell>
          <cell r="AQ996">
            <v>0</v>
          </cell>
          <cell r="AR996">
            <v>0</v>
          </cell>
          <cell r="AS996">
            <v>0</v>
          </cell>
          <cell r="AT996">
            <v>0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BA996">
            <v>0</v>
          </cell>
          <cell r="BB996">
            <v>0</v>
          </cell>
          <cell r="BC996">
            <v>0</v>
          </cell>
          <cell r="BD996">
            <v>0</v>
          </cell>
          <cell r="BE996">
            <v>0</v>
          </cell>
          <cell r="BF996">
            <v>0</v>
          </cell>
          <cell r="BG996">
            <v>0</v>
          </cell>
          <cell r="BH996">
            <v>0</v>
          </cell>
          <cell r="BI996">
            <v>0</v>
          </cell>
          <cell r="BK996">
            <v>0</v>
          </cell>
          <cell r="BL996">
            <v>0</v>
          </cell>
          <cell r="BM996">
            <v>0</v>
          </cell>
          <cell r="BN996">
            <v>0</v>
          </cell>
          <cell r="BO996">
            <v>0</v>
          </cell>
          <cell r="BP996">
            <v>0</v>
          </cell>
          <cell r="BQ996">
            <v>0</v>
          </cell>
          <cell r="BR996">
            <v>0</v>
          </cell>
          <cell r="BS996">
            <v>0</v>
          </cell>
          <cell r="BU996">
            <v>0</v>
          </cell>
          <cell r="BV996">
            <v>0</v>
          </cell>
          <cell r="BW996">
            <v>0</v>
          </cell>
          <cell r="BX996">
            <v>0</v>
          </cell>
          <cell r="BY996">
            <v>0</v>
          </cell>
          <cell r="BZ996">
            <v>0</v>
          </cell>
          <cell r="CA996">
            <v>0</v>
          </cell>
          <cell r="CB996">
            <v>0</v>
          </cell>
          <cell r="CC996">
            <v>0</v>
          </cell>
          <cell r="CE996">
            <v>0</v>
          </cell>
          <cell r="CF996">
            <v>0</v>
          </cell>
          <cell r="CG996">
            <v>0</v>
          </cell>
          <cell r="CH996">
            <v>0</v>
          </cell>
          <cell r="CI996">
            <v>0</v>
          </cell>
          <cell r="CJ996">
            <v>0</v>
          </cell>
          <cell r="CK996">
            <v>0</v>
          </cell>
          <cell r="CL996">
            <v>0</v>
          </cell>
          <cell r="CM996">
            <v>0</v>
          </cell>
          <cell r="CO996">
            <v>0</v>
          </cell>
          <cell r="CP996">
            <v>0</v>
          </cell>
          <cell r="CQ996">
            <v>0</v>
          </cell>
          <cell r="CR996">
            <v>0</v>
          </cell>
          <cell r="CS996">
            <v>0</v>
          </cell>
          <cell r="CT996">
            <v>0</v>
          </cell>
          <cell r="CU996">
            <v>0</v>
          </cell>
          <cell r="CV996">
            <v>0</v>
          </cell>
          <cell r="CW996">
            <v>0</v>
          </cell>
          <cell r="CY996">
            <v>0</v>
          </cell>
          <cell r="CZ996">
            <v>0</v>
          </cell>
          <cell r="DA996">
            <v>0</v>
          </cell>
          <cell r="DB996">
            <v>0</v>
          </cell>
          <cell r="DC996">
            <v>0</v>
          </cell>
          <cell r="DD996">
            <v>0</v>
          </cell>
          <cell r="DE996">
            <v>0</v>
          </cell>
          <cell r="DF996">
            <v>0</v>
          </cell>
          <cell r="DG996">
            <v>0</v>
          </cell>
          <cell r="DI996">
            <v>0</v>
          </cell>
          <cell r="DJ996">
            <v>0</v>
          </cell>
          <cell r="DK996">
            <v>0</v>
          </cell>
          <cell r="DL996">
            <v>0</v>
          </cell>
          <cell r="DM996">
            <v>0</v>
          </cell>
          <cell r="DN996">
            <v>0</v>
          </cell>
          <cell r="DO996">
            <v>0</v>
          </cell>
          <cell r="DP996">
            <v>0</v>
          </cell>
          <cell r="DQ996">
            <v>0</v>
          </cell>
          <cell r="DR996">
            <v>0</v>
          </cell>
          <cell r="DS996">
            <v>0</v>
          </cell>
          <cell r="DT996">
            <v>0</v>
          </cell>
          <cell r="DU996">
            <v>0</v>
          </cell>
          <cell r="DW996">
            <v>0</v>
          </cell>
          <cell r="DX996">
            <v>0</v>
          </cell>
          <cell r="DY996">
            <v>0</v>
          </cell>
          <cell r="DZ996">
            <v>0</v>
          </cell>
          <cell r="EA996">
            <v>0</v>
          </cell>
          <cell r="EB996">
            <v>0</v>
          </cell>
          <cell r="EC996">
            <v>0</v>
          </cell>
          <cell r="ED996">
            <v>0</v>
          </cell>
          <cell r="EE996">
            <v>0</v>
          </cell>
          <cell r="EF996">
            <v>0</v>
          </cell>
          <cell r="EG996">
            <v>0</v>
          </cell>
          <cell r="EH996">
            <v>0</v>
          </cell>
          <cell r="EI996">
            <v>0</v>
          </cell>
          <cell r="EK996">
            <v>0</v>
          </cell>
          <cell r="EL996">
            <v>0</v>
          </cell>
          <cell r="EM996">
            <v>0</v>
          </cell>
          <cell r="EN996">
            <v>0</v>
          </cell>
          <cell r="EO996">
            <v>0</v>
          </cell>
          <cell r="EP996">
            <v>0</v>
          </cell>
          <cell r="EQ996">
            <v>0</v>
          </cell>
          <cell r="ER996">
            <v>0</v>
          </cell>
          <cell r="ES996">
            <v>0</v>
          </cell>
          <cell r="ET996">
            <v>0</v>
          </cell>
          <cell r="EU996">
            <v>0</v>
          </cell>
          <cell r="EV996">
            <v>0</v>
          </cell>
          <cell r="EW996">
            <v>0</v>
          </cell>
          <cell r="EY996">
            <v>0</v>
          </cell>
          <cell r="EZ996">
            <v>8</v>
          </cell>
          <cell r="FA996">
            <v>0</v>
          </cell>
          <cell r="FB996">
            <v>0</v>
          </cell>
          <cell r="FC996">
            <v>8.6</v>
          </cell>
          <cell r="FD996">
            <v>0</v>
          </cell>
          <cell r="FE996">
            <v>0</v>
          </cell>
          <cell r="FF996">
            <v>0</v>
          </cell>
          <cell r="FH996">
            <v>0</v>
          </cell>
        </row>
        <row r="997">
          <cell r="B997">
            <v>8912</v>
          </cell>
          <cell r="C997" t="str">
            <v>04.02.2005</v>
          </cell>
          <cell r="D997" t="str">
            <v>Pincha Sanjay Mulchand</v>
          </cell>
          <cell r="E997" t="str">
            <v>F</v>
          </cell>
          <cell r="F997">
            <v>0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  <cell r="U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0</v>
          </cell>
          <cell r="AB997">
            <v>0</v>
          </cell>
          <cell r="AC997">
            <v>0</v>
          </cell>
          <cell r="AD997">
            <v>0</v>
          </cell>
          <cell r="AE997">
            <v>0</v>
          </cell>
          <cell r="AG997">
            <v>0</v>
          </cell>
          <cell r="AH997">
            <v>0</v>
          </cell>
          <cell r="AI997">
            <v>0</v>
          </cell>
          <cell r="AJ997">
            <v>0</v>
          </cell>
          <cell r="AK997">
            <v>0</v>
          </cell>
          <cell r="AL997">
            <v>0</v>
          </cell>
          <cell r="AM997">
            <v>0</v>
          </cell>
          <cell r="AN997">
            <v>0</v>
          </cell>
          <cell r="AO997">
            <v>0</v>
          </cell>
          <cell r="AQ997">
            <v>0</v>
          </cell>
          <cell r="AR997">
            <v>0</v>
          </cell>
          <cell r="AS997">
            <v>0</v>
          </cell>
          <cell r="AT997">
            <v>0</v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  <cell r="AY997">
            <v>0</v>
          </cell>
          <cell r="BA997">
            <v>0</v>
          </cell>
          <cell r="BB997">
            <v>0</v>
          </cell>
          <cell r="BC997">
            <v>0</v>
          </cell>
          <cell r="BD997">
            <v>0</v>
          </cell>
          <cell r="BE997">
            <v>0</v>
          </cell>
          <cell r="BF997">
            <v>0</v>
          </cell>
          <cell r="BG997">
            <v>0</v>
          </cell>
          <cell r="BH997">
            <v>0</v>
          </cell>
          <cell r="BI997">
            <v>0</v>
          </cell>
          <cell r="BK997">
            <v>0</v>
          </cell>
          <cell r="BL997">
            <v>0</v>
          </cell>
          <cell r="BM997">
            <v>0</v>
          </cell>
          <cell r="BN997">
            <v>0</v>
          </cell>
          <cell r="BO997">
            <v>0</v>
          </cell>
          <cell r="BP997">
            <v>0</v>
          </cell>
          <cell r="BQ997">
            <v>0</v>
          </cell>
          <cell r="BR997">
            <v>0</v>
          </cell>
          <cell r="BS997">
            <v>0</v>
          </cell>
          <cell r="BU997">
            <v>0</v>
          </cell>
          <cell r="BV997">
            <v>0</v>
          </cell>
          <cell r="BW997">
            <v>0</v>
          </cell>
          <cell r="BX997">
            <v>0</v>
          </cell>
          <cell r="BY997">
            <v>0</v>
          </cell>
          <cell r="BZ997">
            <v>0</v>
          </cell>
          <cell r="CA997">
            <v>0</v>
          </cell>
          <cell r="CB997">
            <v>0</v>
          </cell>
          <cell r="CC997">
            <v>0</v>
          </cell>
          <cell r="CE997">
            <v>0</v>
          </cell>
          <cell r="CF997">
            <v>0</v>
          </cell>
          <cell r="CG997">
            <v>0</v>
          </cell>
          <cell r="CH997">
            <v>0</v>
          </cell>
          <cell r="CI997">
            <v>0</v>
          </cell>
          <cell r="CJ997">
            <v>0</v>
          </cell>
          <cell r="CK997">
            <v>0</v>
          </cell>
          <cell r="CL997">
            <v>0</v>
          </cell>
          <cell r="CM997">
            <v>0</v>
          </cell>
          <cell r="CO997">
            <v>0</v>
          </cell>
          <cell r="CP997">
            <v>0</v>
          </cell>
          <cell r="CQ997">
            <v>0</v>
          </cell>
          <cell r="CR997">
            <v>0</v>
          </cell>
          <cell r="CS997">
            <v>0</v>
          </cell>
          <cell r="CT997">
            <v>0</v>
          </cell>
          <cell r="CU997">
            <v>0</v>
          </cell>
          <cell r="CV997">
            <v>0</v>
          </cell>
          <cell r="CW997">
            <v>0</v>
          </cell>
          <cell r="CY997">
            <v>0</v>
          </cell>
          <cell r="CZ997">
            <v>0</v>
          </cell>
          <cell r="DA997">
            <v>0</v>
          </cell>
          <cell r="DB997">
            <v>0</v>
          </cell>
          <cell r="DC997">
            <v>0</v>
          </cell>
          <cell r="DD997">
            <v>0</v>
          </cell>
          <cell r="DE997">
            <v>0</v>
          </cell>
          <cell r="DF997">
            <v>0</v>
          </cell>
          <cell r="DG997">
            <v>0</v>
          </cell>
          <cell r="DI997">
            <v>0</v>
          </cell>
          <cell r="DJ997">
            <v>0</v>
          </cell>
          <cell r="DK997">
            <v>0</v>
          </cell>
          <cell r="DL997">
            <v>0</v>
          </cell>
          <cell r="DM997">
            <v>0</v>
          </cell>
          <cell r="DN997">
            <v>0</v>
          </cell>
          <cell r="DO997">
            <v>0</v>
          </cell>
          <cell r="DP997">
            <v>0</v>
          </cell>
          <cell r="DQ997">
            <v>0</v>
          </cell>
          <cell r="DR997">
            <v>0</v>
          </cell>
          <cell r="DS997">
            <v>0</v>
          </cell>
          <cell r="DT997">
            <v>0</v>
          </cell>
          <cell r="DU997">
            <v>0</v>
          </cell>
          <cell r="DW997">
            <v>0</v>
          </cell>
          <cell r="DX997">
            <v>0</v>
          </cell>
          <cell r="DY997">
            <v>0</v>
          </cell>
          <cell r="DZ997">
            <v>0</v>
          </cell>
          <cell r="EA997">
            <v>0</v>
          </cell>
          <cell r="EB997">
            <v>0</v>
          </cell>
          <cell r="EC997">
            <v>0</v>
          </cell>
          <cell r="ED997">
            <v>0</v>
          </cell>
          <cell r="EE997">
            <v>0</v>
          </cell>
          <cell r="EF997">
            <v>0</v>
          </cell>
          <cell r="EG997">
            <v>0</v>
          </cell>
          <cell r="EH997">
            <v>0</v>
          </cell>
          <cell r="EI997">
            <v>0</v>
          </cell>
          <cell r="EK997">
            <v>0</v>
          </cell>
          <cell r="EL997">
            <v>0</v>
          </cell>
          <cell r="EM997">
            <v>0</v>
          </cell>
          <cell r="EN997">
            <v>0</v>
          </cell>
          <cell r="EO997">
            <v>0</v>
          </cell>
          <cell r="EP997">
            <v>0</v>
          </cell>
          <cell r="EQ997">
            <v>0</v>
          </cell>
          <cell r="ER997">
            <v>0</v>
          </cell>
          <cell r="ES997">
            <v>0</v>
          </cell>
          <cell r="ET997">
            <v>0</v>
          </cell>
          <cell r="EU997">
            <v>0</v>
          </cell>
          <cell r="EV997">
            <v>0</v>
          </cell>
          <cell r="EW997">
            <v>0</v>
          </cell>
          <cell r="EY997">
            <v>0</v>
          </cell>
          <cell r="EZ997">
            <v>8</v>
          </cell>
          <cell r="FA997">
            <v>0</v>
          </cell>
          <cell r="FB997">
            <v>0</v>
          </cell>
          <cell r="FC997">
            <v>8.6</v>
          </cell>
          <cell r="FD997">
            <v>0</v>
          </cell>
          <cell r="FE997">
            <v>0</v>
          </cell>
          <cell r="FF997">
            <v>0</v>
          </cell>
          <cell r="FH997">
            <v>0</v>
          </cell>
        </row>
        <row r="998">
          <cell r="B998">
            <v>9873</v>
          </cell>
          <cell r="C998" t="str">
            <v>15.07.2005</v>
          </cell>
          <cell r="D998" t="str">
            <v>Unhvane Gautam Rambhaji</v>
          </cell>
          <cell r="E998" t="str">
            <v>F</v>
          </cell>
          <cell r="F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0</v>
          </cell>
          <cell r="AC998">
            <v>0</v>
          </cell>
          <cell r="AD998">
            <v>0</v>
          </cell>
          <cell r="AE998">
            <v>0</v>
          </cell>
          <cell r="AG998">
            <v>0</v>
          </cell>
          <cell r="AH998">
            <v>0</v>
          </cell>
          <cell r="AI998">
            <v>0</v>
          </cell>
          <cell r="AJ998">
            <v>0</v>
          </cell>
          <cell r="AK998">
            <v>0</v>
          </cell>
          <cell r="AL998">
            <v>0</v>
          </cell>
          <cell r="AM998">
            <v>0</v>
          </cell>
          <cell r="AN998">
            <v>0</v>
          </cell>
          <cell r="AO998">
            <v>0</v>
          </cell>
          <cell r="AQ998">
            <v>0</v>
          </cell>
          <cell r="AR998">
            <v>0</v>
          </cell>
          <cell r="AS998">
            <v>0</v>
          </cell>
          <cell r="AT998">
            <v>0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BA998">
            <v>0</v>
          </cell>
          <cell r="BB998">
            <v>0</v>
          </cell>
          <cell r="BC998">
            <v>0</v>
          </cell>
          <cell r="BD998">
            <v>0</v>
          </cell>
          <cell r="BE998">
            <v>0</v>
          </cell>
          <cell r="BF998">
            <v>0</v>
          </cell>
          <cell r="BG998">
            <v>0</v>
          </cell>
          <cell r="BH998">
            <v>0</v>
          </cell>
          <cell r="BI998">
            <v>0</v>
          </cell>
          <cell r="BK998">
            <v>0</v>
          </cell>
          <cell r="BL998">
            <v>0</v>
          </cell>
          <cell r="BM998">
            <v>0</v>
          </cell>
          <cell r="BN998">
            <v>0</v>
          </cell>
          <cell r="BO998">
            <v>0</v>
          </cell>
          <cell r="BP998">
            <v>0</v>
          </cell>
          <cell r="BQ998">
            <v>0</v>
          </cell>
          <cell r="BR998">
            <v>0</v>
          </cell>
          <cell r="BS998">
            <v>0</v>
          </cell>
          <cell r="BU998">
            <v>0</v>
          </cell>
          <cell r="BV998">
            <v>0</v>
          </cell>
          <cell r="BW998">
            <v>0</v>
          </cell>
          <cell r="BX998">
            <v>0</v>
          </cell>
          <cell r="BY998">
            <v>0</v>
          </cell>
          <cell r="BZ998">
            <v>0</v>
          </cell>
          <cell r="CA998">
            <v>0</v>
          </cell>
          <cell r="CB998">
            <v>0</v>
          </cell>
          <cell r="CC998">
            <v>0</v>
          </cell>
          <cell r="CE998">
            <v>0</v>
          </cell>
          <cell r="CF998">
            <v>0</v>
          </cell>
          <cell r="CG998">
            <v>0</v>
          </cell>
          <cell r="CH998">
            <v>0</v>
          </cell>
          <cell r="CI998">
            <v>0</v>
          </cell>
          <cell r="CJ998">
            <v>0</v>
          </cell>
          <cell r="CK998">
            <v>0</v>
          </cell>
          <cell r="CL998">
            <v>0</v>
          </cell>
          <cell r="CM998">
            <v>0</v>
          </cell>
          <cell r="CO998">
            <v>0</v>
          </cell>
          <cell r="CP998">
            <v>0</v>
          </cell>
          <cell r="CQ998">
            <v>0</v>
          </cell>
          <cell r="CR998">
            <v>0</v>
          </cell>
          <cell r="CS998">
            <v>0</v>
          </cell>
          <cell r="CT998">
            <v>0</v>
          </cell>
          <cell r="CU998">
            <v>0</v>
          </cell>
          <cell r="CV998">
            <v>0</v>
          </cell>
          <cell r="CW998">
            <v>0</v>
          </cell>
          <cell r="CY998">
            <v>0</v>
          </cell>
          <cell r="CZ998">
            <v>0</v>
          </cell>
          <cell r="DA998">
            <v>0</v>
          </cell>
          <cell r="DB998">
            <v>0</v>
          </cell>
          <cell r="DC998">
            <v>0</v>
          </cell>
          <cell r="DD998">
            <v>0</v>
          </cell>
          <cell r="DE998">
            <v>0</v>
          </cell>
          <cell r="DF998">
            <v>0</v>
          </cell>
          <cell r="DG998">
            <v>0</v>
          </cell>
          <cell r="DI998">
            <v>0</v>
          </cell>
          <cell r="DJ998">
            <v>0</v>
          </cell>
          <cell r="DK998">
            <v>0</v>
          </cell>
          <cell r="DL998">
            <v>0</v>
          </cell>
          <cell r="DM998">
            <v>0</v>
          </cell>
          <cell r="DN998">
            <v>0</v>
          </cell>
          <cell r="DO998">
            <v>0</v>
          </cell>
          <cell r="DP998">
            <v>0</v>
          </cell>
          <cell r="DQ998">
            <v>0</v>
          </cell>
          <cell r="DR998">
            <v>0</v>
          </cell>
          <cell r="DS998">
            <v>0</v>
          </cell>
          <cell r="DT998">
            <v>0</v>
          </cell>
          <cell r="DU998">
            <v>0</v>
          </cell>
          <cell r="DW998">
            <v>0</v>
          </cell>
          <cell r="DX998">
            <v>0</v>
          </cell>
          <cell r="DY998">
            <v>0</v>
          </cell>
          <cell r="DZ998">
            <v>0</v>
          </cell>
          <cell r="EA998">
            <v>0</v>
          </cell>
          <cell r="EB998">
            <v>0</v>
          </cell>
          <cell r="EC998">
            <v>0</v>
          </cell>
          <cell r="ED998">
            <v>0</v>
          </cell>
          <cell r="EE998">
            <v>0</v>
          </cell>
          <cell r="EF998">
            <v>0</v>
          </cell>
          <cell r="EG998">
            <v>0</v>
          </cell>
          <cell r="EH998">
            <v>0</v>
          </cell>
          <cell r="EI998">
            <v>0</v>
          </cell>
          <cell r="EK998">
            <v>0</v>
          </cell>
          <cell r="EL998">
            <v>0</v>
          </cell>
          <cell r="EM998">
            <v>0</v>
          </cell>
          <cell r="EN998">
            <v>0</v>
          </cell>
          <cell r="EO998">
            <v>0</v>
          </cell>
          <cell r="EP998">
            <v>0</v>
          </cell>
          <cell r="EQ998">
            <v>0</v>
          </cell>
          <cell r="ER998">
            <v>0</v>
          </cell>
          <cell r="ES998">
            <v>0</v>
          </cell>
          <cell r="ET998">
            <v>0</v>
          </cell>
          <cell r="EU998">
            <v>0</v>
          </cell>
          <cell r="EV998">
            <v>0</v>
          </cell>
          <cell r="EW998">
            <v>0</v>
          </cell>
          <cell r="EY998">
            <v>0</v>
          </cell>
          <cell r="EZ998">
            <v>8</v>
          </cell>
          <cell r="FA998">
            <v>0</v>
          </cell>
          <cell r="FB998">
            <v>0</v>
          </cell>
          <cell r="FC998">
            <v>8.6</v>
          </cell>
          <cell r="FD998">
            <v>0</v>
          </cell>
          <cell r="FE998">
            <v>0</v>
          </cell>
          <cell r="FF998">
            <v>0</v>
          </cell>
          <cell r="FH998">
            <v>0</v>
          </cell>
        </row>
        <row r="999">
          <cell r="B999">
            <v>9574</v>
          </cell>
          <cell r="C999" t="str">
            <v>03.01.1978</v>
          </cell>
          <cell r="D999" t="str">
            <v>Pawaskar Ruchita Vinod</v>
          </cell>
          <cell r="F999">
            <v>0</v>
          </cell>
          <cell r="H999">
            <v>1350</v>
          </cell>
          <cell r="I999">
            <v>1350</v>
          </cell>
          <cell r="J999">
            <v>2700</v>
          </cell>
          <cell r="K999">
            <v>2700</v>
          </cell>
          <cell r="M999">
            <v>3827</v>
          </cell>
          <cell r="N999">
            <v>0</v>
          </cell>
          <cell r="O999">
            <v>3827</v>
          </cell>
          <cell r="P999">
            <v>0</v>
          </cell>
          <cell r="Q999">
            <v>0</v>
          </cell>
          <cell r="R999">
            <v>0</v>
          </cell>
          <cell r="S999">
            <v>0</v>
          </cell>
          <cell r="T999">
            <v>0</v>
          </cell>
          <cell r="U999">
            <v>0</v>
          </cell>
          <cell r="W999">
            <v>3827</v>
          </cell>
          <cell r="X999">
            <v>0</v>
          </cell>
          <cell r="Y999">
            <v>3827</v>
          </cell>
          <cell r="Z999">
            <v>0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0</v>
          </cell>
          <cell r="AG999">
            <v>3827</v>
          </cell>
          <cell r="AH999">
            <v>0</v>
          </cell>
          <cell r="AI999">
            <v>3827</v>
          </cell>
          <cell r="AJ999">
            <v>0</v>
          </cell>
          <cell r="AK999">
            <v>0</v>
          </cell>
          <cell r="AL999">
            <v>0</v>
          </cell>
          <cell r="AM999">
            <v>0</v>
          </cell>
          <cell r="AN999">
            <v>0</v>
          </cell>
          <cell r="AO999">
            <v>0</v>
          </cell>
          <cell r="AQ999">
            <v>3827</v>
          </cell>
          <cell r="AR999">
            <v>0</v>
          </cell>
          <cell r="AS999">
            <v>3827</v>
          </cell>
          <cell r="AT999">
            <v>0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BA999">
            <v>3827</v>
          </cell>
          <cell r="BB999">
            <v>0</v>
          </cell>
          <cell r="BC999">
            <v>3827</v>
          </cell>
          <cell r="BD999">
            <v>0</v>
          </cell>
          <cell r="BE999">
            <v>0</v>
          </cell>
          <cell r="BF999">
            <v>0</v>
          </cell>
          <cell r="BG999">
            <v>0</v>
          </cell>
          <cell r="BH999">
            <v>0</v>
          </cell>
          <cell r="BI999">
            <v>0</v>
          </cell>
          <cell r="BK999">
            <v>4005</v>
          </cell>
          <cell r="BL999">
            <v>0</v>
          </cell>
          <cell r="BM999">
            <v>4005</v>
          </cell>
          <cell r="BN999">
            <v>0</v>
          </cell>
          <cell r="BO999">
            <v>0</v>
          </cell>
          <cell r="BP999">
            <v>0</v>
          </cell>
          <cell r="BQ999">
            <v>0</v>
          </cell>
          <cell r="BR999">
            <v>0</v>
          </cell>
          <cell r="BS999">
            <v>0</v>
          </cell>
          <cell r="BU999">
            <v>4005</v>
          </cell>
          <cell r="BV999">
            <v>0</v>
          </cell>
          <cell r="BW999">
            <v>4005</v>
          </cell>
          <cell r="BX999">
            <v>0</v>
          </cell>
          <cell r="BY999">
            <v>0</v>
          </cell>
          <cell r="BZ999">
            <v>0</v>
          </cell>
          <cell r="CA999">
            <v>0</v>
          </cell>
          <cell r="CB999">
            <v>0</v>
          </cell>
          <cell r="CC999">
            <v>0</v>
          </cell>
          <cell r="CE999">
            <v>4005</v>
          </cell>
          <cell r="CF999">
            <v>0</v>
          </cell>
          <cell r="CG999">
            <v>4005</v>
          </cell>
          <cell r="CH999">
            <v>0</v>
          </cell>
          <cell r="CI999">
            <v>0</v>
          </cell>
          <cell r="CJ999">
            <v>0</v>
          </cell>
          <cell r="CK999">
            <v>0</v>
          </cell>
          <cell r="CL999">
            <v>0</v>
          </cell>
          <cell r="CM999">
            <v>0</v>
          </cell>
          <cell r="CO999">
            <v>4005</v>
          </cell>
          <cell r="CP999">
            <v>0</v>
          </cell>
          <cell r="CQ999">
            <v>4005</v>
          </cell>
          <cell r="CR999">
            <v>0</v>
          </cell>
          <cell r="CS999">
            <v>0</v>
          </cell>
          <cell r="CT999">
            <v>0</v>
          </cell>
          <cell r="CU999">
            <v>0</v>
          </cell>
          <cell r="CV999">
            <v>0</v>
          </cell>
          <cell r="CW999">
            <v>0</v>
          </cell>
          <cell r="CY999">
            <v>4005</v>
          </cell>
          <cell r="CZ999">
            <v>0</v>
          </cell>
          <cell r="DA999">
            <v>4005</v>
          </cell>
          <cell r="DB999">
            <v>0</v>
          </cell>
          <cell r="DC999">
            <v>0</v>
          </cell>
          <cell r="DD999">
            <v>0</v>
          </cell>
          <cell r="DE999">
            <v>0</v>
          </cell>
          <cell r="DF999">
            <v>0</v>
          </cell>
          <cell r="DG999">
            <v>0</v>
          </cell>
          <cell r="DI999">
            <v>2700</v>
          </cell>
          <cell r="DJ999">
            <v>39160</v>
          </cell>
          <cell r="DK999">
            <v>0</v>
          </cell>
          <cell r="DL999">
            <v>39160</v>
          </cell>
          <cell r="DM999">
            <v>39160</v>
          </cell>
          <cell r="DN999">
            <v>0</v>
          </cell>
          <cell r="DO999">
            <v>39160</v>
          </cell>
          <cell r="DP999">
            <v>0</v>
          </cell>
          <cell r="DQ999">
            <v>0</v>
          </cell>
          <cell r="DR999">
            <v>0</v>
          </cell>
          <cell r="DS999">
            <v>0</v>
          </cell>
          <cell r="DT999">
            <v>78320</v>
          </cell>
          <cell r="DU999">
            <v>0</v>
          </cell>
          <cell r="DW999">
            <v>0</v>
          </cell>
          <cell r="DX999">
            <v>0</v>
          </cell>
          <cell r="DY999">
            <v>10354</v>
          </cell>
          <cell r="DZ999">
            <v>18008</v>
          </cell>
          <cell r="EA999">
            <v>25662</v>
          </cell>
          <cell r="EB999">
            <v>33316</v>
          </cell>
          <cell r="EC999">
            <v>40970</v>
          </cell>
          <cell r="ED999">
            <v>48980</v>
          </cell>
          <cell r="EE999">
            <v>56990</v>
          </cell>
          <cell r="EF999">
            <v>65000</v>
          </cell>
          <cell r="EG999">
            <v>73010</v>
          </cell>
          <cell r="EH999">
            <v>81020</v>
          </cell>
          <cell r="EI999">
            <v>453310</v>
          </cell>
          <cell r="EK999">
            <v>0</v>
          </cell>
          <cell r="EL999">
            <v>0</v>
          </cell>
          <cell r="EM999">
            <v>69.026666666666671</v>
          </cell>
          <cell r="EN999">
            <v>120.05333333333334</v>
          </cell>
          <cell r="EO999">
            <v>171.08</v>
          </cell>
          <cell r="EP999">
            <v>222.10666666666668</v>
          </cell>
          <cell r="EQ999">
            <v>273.13333333333333</v>
          </cell>
          <cell r="ER999">
            <v>326.53333333333336</v>
          </cell>
          <cell r="ES999">
            <v>408.42833333333334</v>
          </cell>
          <cell r="ET999">
            <v>465.83333333333331</v>
          </cell>
          <cell r="EU999">
            <v>523.23833333333334</v>
          </cell>
          <cell r="EV999">
            <v>580.64333333333332</v>
          </cell>
          <cell r="EW999">
            <v>3160.0766666666668</v>
          </cell>
          <cell r="EY999">
            <v>177290</v>
          </cell>
          <cell r="EZ999">
            <v>8</v>
          </cell>
          <cell r="FA999">
            <v>1181.9333333333334</v>
          </cell>
          <cell r="FB999">
            <v>276020</v>
          </cell>
          <cell r="FC999">
            <v>8.6</v>
          </cell>
          <cell r="FD999">
            <v>1978.1433333333334</v>
          </cell>
          <cell r="FE999">
            <v>3160.0766666666668</v>
          </cell>
          <cell r="FF999">
            <v>84180</v>
          </cell>
          <cell r="FH999">
            <v>84180</v>
          </cell>
        </row>
        <row r="1000">
          <cell r="B1000" t="str">
            <v>FP</v>
          </cell>
          <cell r="D1000" t="str">
            <v>Sharma Durgadas Jamanadas</v>
          </cell>
          <cell r="F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0</v>
          </cell>
          <cell r="R1000">
            <v>0</v>
          </cell>
          <cell r="S1000">
            <v>0</v>
          </cell>
          <cell r="T1000">
            <v>0</v>
          </cell>
          <cell r="U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>
            <v>0</v>
          </cell>
          <cell r="AB1000">
            <v>0</v>
          </cell>
          <cell r="AC1000">
            <v>0</v>
          </cell>
          <cell r="AD1000">
            <v>0</v>
          </cell>
          <cell r="AE1000">
            <v>0</v>
          </cell>
          <cell r="AG1000">
            <v>0</v>
          </cell>
          <cell r="AH1000">
            <v>0</v>
          </cell>
          <cell r="AI1000">
            <v>0</v>
          </cell>
          <cell r="AJ1000">
            <v>0</v>
          </cell>
          <cell r="AK1000">
            <v>0</v>
          </cell>
          <cell r="AL1000">
            <v>0</v>
          </cell>
          <cell r="AM1000">
            <v>0</v>
          </cell>
          <cell r="AN1000">
            <v>0</v>
          </cell>
          <cell r="AO1000">
            <v>0</v>
          </cell>
          <cell r="AQ1000">
            <v>0</v>
          </cell>
          <cell r="AR1000">
            <v>0</v>
          </cell>
          <cell r="AS1000">
            <v>0</v>
          </cell>
          <cell r="AT1000">
            <v>0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BA1000">
            <v>0</v>
          </cell>
          <cell r="BB1000">
            <v>0</v>
          </cell>
          <cell r="BC1000">
            <v>0</v>
          </cell>
          <cell r="BD1000">
            <v>0</v>
          </cell>
          <cell r="BE1000">
            <v>0</v>
          </cell>
          <cell r="BF1000">
            <v>0</v>
          </cell>
          <cell r="BG1000">
            <v>0</v>
          </cell>
          <cell r="BH1000">
            <v>0</v>
          </cell>
          <cell r="BI1000">
            <v>0</v>
          </cell>
          <cell r="BK1000">
            <v>0</v>
          </cell>
          <cell r="BL1000">
            <v>0</v>
          </cell>
          <cell r="BM1000">
            <v>0</v>
          </cell>
          <cell r="BN1000">
            <v>0</v>
          </cell>
          <cell r="BO1000">
            <v>0</v>
          </cell>
          <cell r="BP1000">
            <v>0</v>
          </cell>
          <cell r="BQ1000">
            <v>0</v>
          </cell>
          <cell r="BR1000">
            <v>0</v>
          </cell>
          <cell r="BS1000">
            <v>0</v>
          </cell>
          <cell r="BU1000">
            <v>0</v>
          </cell>
          <cell r="BV1000">
            <v>0</v>
          </cell>
          <cell r="BW1000">
            <v>0</v>
          </cell>
          <cell r="BX1000">
            <v>0</v>
          </cell>
          <cell r="BY1000">
            <v>0</v>
          </cell>
          <cell r="BZ1000">
            <v>0</v>
          </cell>
          <cell r="CA1000">
            <v>0</v>
          </cell>
          <cell r="CB1000">
            <v>0</v>
          </cell>
          <cell r="CC1000">
            <v>0</v>
          </cell>
          <cell r="CE1000">
            <v>0</v>
          </cell>
          <cell r="CF1000">
            <v>0</v>
          </cell>
          <cell r="CG1000">
            <v>0</v>
          </cell>
          <cell r="CH1000">
            <v>0</v>
          </cell>
          <cell r="CI1000">
            <v>0</v>
          </cell>
          <cell r="CJ1000">
            <v>0</v>
          </cell>
          <cell r="CK1000">
            <v>0</v>
          </cell>
          <cell r="CL1000">
            <v>0</v>
          </cell>
          <cell r="CM1000">
            <v>0</v>
          </cell>
          <cell r="CO1000">
            <v>0</v>
          </cell>
          <cell r="CP1000">
            <v>0</v>
          </cell>
          <cell r="CQ1000">
            <v>0</v>
          </cell>
          <cell r="CR1000">
            <v>0</v>
          </cell>
          <cell r="CS1000">
            <v>0</v>
          </cell>
          <cell r="CT1000">
            <v>0</v>
          </cell>
          <cell r="CU1000">
            <v>0</v>
          </cell>
          <cell r="CV1000">
            <v>0</v>
          </cell>
          <cell r="CW1000">
            <v>0</v>
          </cell>
          <cell r="CY1000">
            <v>0</v>
          </cell>
          <cell r="CZ1000">
            <v>0</v>
          </cell>
          <cell r="DA1000">
            <v>0</v>
          </cell>
          <cell r="DB1000">
            <v>0</v>
          </cell>
          <cell r="DC1000">
            <v>0</v>
          </cell>
          <cell r="DD1000">
            <v>0</v>
          </cell>
          <cell r="DE1000">
            <v>0</v>
          </cell>
          <cell r="DF1000">
            <v>0</v>
          </cell>
          <cell r="DG1000">
            <v>0</v>
          </cell>
          <cell r="DI1000">
            <v>0</v>
          </cell>
          <cell r="DJ1000">
            <v>0</v>
          </cell>
          <cell r="DK1000">
            <v>0</v>
          </cell>
          <cell r="DL1000">
            <v>0</v>
          </cell>
          <cell r="DM1000">
            <v>0</v>
          </cell>
          <cell r="DN1000">
            <v>0</v>
          </cell>
          <cell r="DO1000">
            <v>0</v>
          </cell>
          <cell r="DP1000">
            <v>0</v>
          </cell>
          <cell r="DQ1000">
            <v>0</v>
          </cell>
          <cell r="DR1000">
            <v>0</v>
          </cell>
          <cell r="DS1000">
            <v>0</v>
          </cell>
          <cell r="DT1000">
            <v>0</v>
          </cell>
          <cell r="DU1000">
            <v>0</v>
          </cell>
          <cell r="DW1000">
            <v>0</v>
          </cell>
          <cell r="DX1000">
            <v>0</v>
          </cell>
          <cell r="DY1000">
            <v>0</v>
          </cell>
          <cell r="DZ1000">
            <v>0</v>
          </cell>
          <cell r="EA1000">
            <v>0</v>
          </cell>
          <cell r="EB1000">
            <v>0</v>
          </cell>
          <cell r="EC1000">
            <v>0</v>
          </cell>
          <cell r="ED1000">
            <v>0</v>
          </cell>
          <cell r="EE1000">
            <v>0</v>
          </cell>
          <cell r="EF1000">
            <v>0</v>
          </cell>
          <cell r="EG1000">
            <v>0</v>
          </cell>
          <cell r="EH1000">
            <v>0</v>
          </cell>
          <cell r="EI1000">
            <v>0</v>
          </cell>
          <cell r="EK1000">
            <v>0</v>
          </cell>
          <cell r="EL1000">
            <v>0</v>
          </cell>
          <cell r="EM1000">
            <v>0</v>
          </cell>
          <cell r="EN1000">
            <v>0</v>
          </cell>
          <cell r="EO1000">
            <v>0</v>
          </cell>
          <cell r="EP1000">
            <v>0</v>
          </cell>
          <cell r="EQ1000">
            <v>0</v>
          </cell>
          <cell r="ER1000">
            <v>0</v>
          </cell>
          <cell r="ES1000">
            <v>0</v>
          </cell>
          <cell r="ET1000">
            <v>0</v>
          </cell>
          <cell r="EU1000">
            <v>0</v>
          </cell>
          <cell r="EV1000">
            <v>0</v>
          </cell>
          <cell r="EW1000">
            <v>0</v>
          </cell>
          <cell r="EY1000">
            <v>0</v>
          </cell>
          <cell r="EZ1000">
            <v>8</v>
          </cell>
          <cell r="FA1000">
            <v>0</v>
          </cell>
          <cell r="FB1000">
            <v>0</v>
          </cell>
          <cell r="FC1000">
            <v>8.6</v>
          </cell>
          <cell r="FD1000">
            <v>0</v>
          </cell>
          <cell r="FE1000">
            <v>0</v>
          </cell>
          <cell r="FF1000">
            <v>0</v>
          </cell>
          <cell r="FH1000">
            <v>0</v>
          </cell>
        </row>
        <row r="1001">
          <cell r="B1001">
            <v>5769</v>
          </cell>
          <cell r="C1001" t="str">
            <v>02.04.1994</v>
          </cell>
          <cell r="D1001" t="str">
            <v>Babriya Manish Ravindra</v>
          </cell>
          <cell r="F1001">
            <v>0</v>
          </cell>
          <cell r="H1001">
            <v>0</v>
          </cell>
          <cell r="I1001">
            <v>0</v>
          </cell>
          <cell r="J1001">
            <v>0</v>
          </cell>
          <cell r="K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Q1001">
            <v>0</v>
          </cell>
          <cell r="R1001">
            <v>0</v>
          </cell>
          <cell r="S1001">
            <v>0</v>
          </cell>
          <cell r="T1001">
            <v>0</v>
          </cell>
          <cell r="U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0</v>
          </cell>
          <cell r="AB1001">
            <v>0</v>
          </cell>
          <cell r="AC1001">
            <v>0</v>
          </cell>
          <cell r="AD1001">
            <v>0</v>
          </cell>
          <cell r="AE1001">
            <v>0</v>
          </cell>
          <cell r="AG1001">
            <v>0</v>
          </cell>
          <cell r="AH1001">
            <v>0</v>
          </cell>
          <cell r="AI1001">
            <v>0</v>
          </cell>
          <cell r="AJ1001">
            <v>0</v>
          </cell>
          <cell r="AK1001">
            <v>0</v>
          </cell>
          <cell r="AL1001">
            <v>0</v>
          </cell>
          <cell r="AM1001">
            <v>0</v>
          </cell>
          <cell r="AN1001">
            <v>0</v>
          </cell>
          <cell r="AO1001">
            <v>0</v>
          </cell>
          <cell r="AQ1001">
            <v>0</v>
          </cell>
          <cell r="AR1001">
            <v>0</v>
          </cell>
          <cell r="AS1001">
            <v>0</v>
          </cell>
          <cell r="AT1001">
            <v>0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BA1001">
            <v>0</v>
          </cell>
          <cell r="BB1001">
            <v>0</v>
          </cell>
          <cell r="BC1001">
            <v>0</v>
          </cell>
          <cell r="BD1001">
            <v>0</v>
          </cell>
          <cell r="BE1001">
            <v>0</v>
          </cell>
          <cell r="BF1001">
            <v>0</v>
          </cell>
          <cell r="BG1001">
            <v>0</v>
          </cell>
          <cell r="BH1001">
            <v>0</v>
          </cell>
          <cell r="BI1001">
            <v>0</v>
          </cell>
          <cell r="BK1001">
            <v>0</v>
          </cell>
          <cell r="BL1001">
            <v>0</v>
          </cell>
          <cell r="BM1001">
            <v>0</v>
          </cell>
          <cell r="BN1001">
            <v>0</v>
          </cell>
          <cell r="BO1001">
            <v>0</v>
          </cell>
          <cell r="BP1001">
            <v>0</v>
          </cell>
          <cell r="BQ1001">
            <v>0</v>
          </cell>
          <cell r="BR1001">
            <v>0</v>
          </cell>
          <cell r="BS1001">
            <v>0</v>
          </cell>
          <cell r="BU1001">
            <v>0</v>
          </cell>
          <cell r="BV1001">
            <v>0</v>
          </cell>
          <cell r="BW1001">
            <v>0</v>
          </cell>
          <cell r="BX1001">
            <v>0</v>
          </cell>
          <cell r="BY1001">
            <v>0</v>
          </cell>
          <cell r="BZ1001">
            <v>0</v>
          </cell>
          <cell r="CA1001">
            <v>0</v>
          </cell>
          <cell r="CB1001">
            <v>0</v>
          </cell>
          <cell r="CC1001">
            <v>0</v>
          </cell>
          <cell r="CE1001">
            <v>0</v>
          </cell>
          <cell r="CF1001">
            <v>0</v>
          </cell>
          <cell r="CG1001">
            <v>0</v>
          </cell>
          <cell r="CH1001">
            <v>0</v>
          </cell>
          <cell r="CI1001">
            <v>0</v>
          </cell>
          <cell r="CJ1001">
            <v>0</v>
          </cell>
          <cell r="CK1001">
            <v>0</v>
          </cell>
          <cell r="CL1001">
            <v>0</v>
          </cell>
          <cell r="CM1001">
            <v>0</v>
          </cell>
          <cell r="CO1001">
            <v>0</v>
          </cell>
          <cell r="CP1001">
            <v>0</v>
          </cell>
          <cell r="CQ1001">
            <v>0</v>
          </cell>
          <cell r="CR1001">
            <v>0</v>
          </cell>
          <cell r="CS1001">
            <v>0</v>
          </cell>
          <cell r="CT1001">
            <v>0</v>
          </cell>
          <cell r="CU1001">
            <v>0</v>
          </cell>
          <cell r="CV1001">
            <v>0</v>
          </cell>
          <cell r="CW1001">
            <v>0</v>
          </cell>
          <cell r="CY1001">
            <v>0</v>
          </cell>
          <cell r="CZ1001">
            <v>0</v>
          </cell>
          <cell r="DA1001">
            <v>0</v>
          </cell>
          <cell r="DB1001">
            <v>0</v>
          </cell>
          <cell r="DC1001">
            <v>0</v>
          </cell>
          <cell r="DD1001">
            <v>0</v>
          </cell>
          <cell r="DE1001">
            <v>0</v>
          </cell>
          <cell r="DF1001">
            <v>0</v>
          </cell>
          <cell r="DG1001">
            <v>0</v>
          </cell>
          <cell r="DI1001">
            <v>0</v>
          </cell>
          <cell r="DJ1001">
            <v>0</v>
          </cell>
          <cell r="DK1001">
            <v>0</v>
          </cell>
          <cell r="DL1001">
            <v>0</v>
          </cell>
          <cell r="DM1001">
            <v>0</v>
          </cell>
          <cell r="DN1001">
            <v>0</v>
          </cell>
          <cell r="DO1001">
            <v>0</v>
          </cell>
          <cell r="DP1001">
            <v>0</v>
          </cell>
          <cell r="DQ1001">
            <v>0</v>
          </cell>
          <cell r="DR1001">
            <v>0</v>
          </cell>
          <cell r="DS1001">
            <v>0</v>
          </cell>
          <cell r="DT1001">
            <v>0</v>
          </cell>
          <cell r="DU1001">
            <v>0</v>
          </cell>
          <cell r="DW1001">
            <v>0</v>
          </cell>
          <cell r="DX1001">
            <v>0</v>
          </cell>
          <cell r="DY1001">
            <v>0</v>
          </cell>
          <cell r="DZ1001">
            <v>0</v>
          </cell>
          <cell r="EA1001">
            <v>0</v>
          </cell>
          <cell r="EB1001">
            <v>0</v>
          </cell>
          <cell r="EC1001">
            <v>0</v>
          </cell>
          <cell r="ED1001">
            <v>0</v>
          </cell>
          <cell r="EE1001">
            <v>0</v>
          </cell>
          <cell r="EF1001">
            <v>0</v>
          </cell>
          <cell r="EG1001">
            <v>0</v>
          </cell>
          <cell r="EH1001">
            <v>0</v>
          </cell>
          <cell r="EI1001">
            <v>0</v>
          </cell>
          <cell r="EK1001">
            <v>0</v>
          </cell>
          <cell r="EL1001">
            <v>0</v>
          </cell>
          <cell r="EM1001">
            <v>0</v>
          </cell>
          <cell r="EN1001">
            <v>0</v>
          </cell>
          <cell r="EO1001">
            <v>0</v>
          </cell>
          <cell r="EP1001">
            <v>0</v>
          </cell>
          <cell r="EQ1001">
            <v>0</v>
          </cell>
          <cell r="ER1001">
            <v>0</v>
          </cell>
          <cell r="ES1001">
            <v>0</v>
          </cell>
          <cell r="ET1001">
            <v>0</v>
          </cell>
          <cell r="EU1001">
            <v>0</v>
          </cell>
          <cell r="EV1001">
            <v>0</v>
          </cell>
          <cell r="EW1001">
            <v>0</v>
          </cell>
          <cell r="EY1001">
            <v>0</v>
          </cell>
          <cell r="EZ1001">
            <v>8</v>
          </cell>
          <cell r="FA1001">
            <v>0</v>
          </cell>
          <cell r="FB1001">
            <v>0</v>
          </cell>
          <cell r="FC1001">
            <v>8.6</v>
          </cell>
          <cell r="FD1001">
            <v>0</v>
          </cell>
          <cell r="FE1001">
            <v>0</v>
          </cell>
          <cell r="FF1001">
            <v>0</v>
          </cell>
          <cell r="FH1001">
            <v>0</v>
          </cell>
        </row>
        <row r="1002">
          <cell r="B1002" t="str">
            <v>FP</v>
          </cell>
          <cell r="D1002" t="str">
            <v>Chavriya Aakash Naresh</v>
          </cell>
          <cell r="F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0</v>
          </cell>
          <cell r="R1002">
            <v>0</v>
          </cell>
          <cell r="S1002">
            <v>0</v>
          </cell>
          <cell r="T1002">
            <v>0</v>
          </cell>
          <cell r="U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  <cell r="AL1002">
            <v>0</v>
          </cell>
          <cell r="AM1002">
            <v>0</v>
          </cell>
          <cell r="AN1002">
            <v>0</v>
          </cell>
          <cell r="AO1002">
            <v>0</v>
          </cell>
          <cell r="AQ1002">
            <v>0</v>
          </cell>
          <cell r="AR1002">
            <v>0</v>
          </cell>
          <cell r="AS1002">
            <v>0</v>
          </cell>
          <cell r="AT1002">
            <v>0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BA1002">
            <v>0</v>
          </cell>
          <cell r="BB1002">
            <v>0</v>
          </cell>
          <cell r="BC1002">
            <v>0</v>
          </cell>
          <cell r="BD1002">
            <v>0</v>
          </cell>
          <cell r="BE1002">
            <v>0</v>
          </cell>
          <cell r="BF1002">
            <v>0</v>
          </cell>
          <cell r="BG1002">
            <v>0</v>
          </cell>
          <cell r="BH1002">
            <v>0</v>
          </cell>
          <cell r="BI1002">
            <v>0</v>
          </cell>
          <cell r="BK1002">
            <v>0</v>
          </cell>
          <cell r="BL1002">
            <v>0</v>
          </cell>
          <cell r="BM1002">
            <v>0</v>
          </cell>
          <cell r="BN1002">
            <v>0</v>
          </cell>
          <cell r="BO1002">
            <v>0</v>
          </cell>
          <cell r="BP1002">
            <v>0</v>
          </cell>
          <cell r="BQ1002">
            <v>0</v>
          </cell>
          <cell r="BR1002">
            <v>0</v>
          </cell>
          <cell r="BS1002">
            <v>0</v>
          </cell>
          <cell r="BU1002">
            <v>0</v>
          </cell>
          <cell r="BV1002">
            <v>0</v>
          </cell>
          <cell r="BW1002">
            <v>0</v>
          </cell>
          <cell r="BX1002">
            <v>0</v>
          </cell>
          <cell r="BY1002">
            <v>0</v>
          </cell>
          <cell r="BZ1002">
            <v>0</v>
          </cell>
          <cell r="CA1002">
            <v>0</v>
          </cell>
          <cell r="CB1002">
            <v>0</v>
          </cell>
          <cell r="CC1002">
            <v>0</v>
          </cell>
          <cell r="CE1002">
            <v>0</v>
          </cell>
          <cell r="CF1002">
            <v>0</v>
          </cell>
          <cell r="CG1002">
            <v>0</v>
          </cell>
          <cell r="CH1002">
            <v>0</v>
          </cell>
          <cell r="CI1002">
            <v>0</v>
          </cell>
          <cell r="CJ1002">
            <v>0</v>
          </cell>
          <cell r="CK1002">
            <v>0</v>
          </cell>
          <cell r="CL1002">
            <v>0</v>
          </cell>
          <cell r="CM1002">
            <v>0</v>
          </cell>
          <cell r="CO1002">
            <v>0</v>
          </cell>
          <cell r="CP1002">
            <v>0</v>
          </cell>
          <cell r="CQ1002">
            <v>0</v>
          </cell>
          <cell r="CR1002">
            <v>0</v>
          </cell>
          <cell r="CS1002">
            <v>0</v>
          </cell>
          <cell r="CT1002">
            <v>0</v>
          </cell>
          <cell r="CU1002">
            <v>0</v>
          </cell>
          <cell r="CV1002">
            <v>0</v>
          </cell>
          <cell r="CW1002">
            <v>0</v>
          </cell>
          <cell r="CY1002">
            <v>0</v>
          </cell>
          <cell r="CZ1002">
            <v>0</v>
          </cell>
          <cell r="DA1002">
            <v>0</v>
          </cell>
          <cell r="DB1002">
            <v>0</v>
          </cell>
          <cell r="DC1002">
            <v>0</v>
          </cell>
          <cell r="DD1002">
            <v>0</v>
          </cell>
          <cell r="DE1002">
            <v>0</v>
          </cell>
          <cell r="DF1002">
            <v>0</v>
          </cell>
          <cell r="DG1002">
            <v>0</v>
          </cell>
          <cell r="DI1002">
            <v>0</v>
          </cell>
          <cell r="DJ1002">
            <v>0</v>
          </cell>
          <cell r="DK1002">
            <v>0</v>
          </cell>
          <cell r="DL1002">
            <v>0</v>
          </cell>
          <cell r="DM1002">
            <v>0</v>
          </cell>
          <cell r="DN1002">
            <v>0</v>
          </cell>
          <cell r="DO1002">
            <v>0</v>
          </cell>
          <cell r="DP1002">
            <v>0</v>
          </cell>
          <cell r="DQ1002">
            <v>0</v>
          </cell>
          <cell r="DR1002">
            <v>0</v>
          </cell>
          <cell r="DS1002">
            <v>0</v>
          </cell>
          <cell r="DT1002">
            <v>0</v>
          </cell>
          <cell r="DU1002">
            <v>0</v>
          </cell>
          <cell r="DW1002">
            <v>0</v>
          </cell>
          <cell r="DX1002">
            <v>0</v>
          </cell>
          <cell r="DY1002">
            <v>0</v>
          </cell>
          <cell r="DZ1002">
            <v>0</v>
          </cell>
          <cell r="EA1002">
            <v>0</v>
          </cell>
          <cell r="EB1002">
            <v>0</v>
          </cell>
          <cell r="EC1002">
            <v>0</v>
          </cell>
          <cell r="ED1002">
            <v>0</v>
          </cell>
          <cell r="EE1002">
            <v>0</v>
          </cell>
          <cell r="EF1002">
            <v>0</v>
          </cell>
          <cell r="EG1002">
            <v>0</v>
          </cell>
          <cell r="EH1002">
            <v>0</v>
          </cell>
          <cell r="EI1002">
            <v>0</v>
          </cell>
          <cell r="EK1002">
            <v>0</v>
          </cell>
          <cell r="EL1002">
            <v>0</v>
          </cell>
          <cell r="EM1002">
            <v>0</v>
          </cell>
          <cell r="EN1002">
            <v>0</v>
          </cell>
          <cell r="EO1002">
            <v>0</v>
          </cell>
          <cell r="EP1002">
            <v>0</v>
          </cell>
          <cell r="EQ1002">
            <v>0</v>
          </cell>
          <cell r="ER1002">
            <v>0</v>
          </cell>
          <cell r="ES1002">
            <v>0</v>
          </cell>
          <cell r="ET1002">
            <v>0</v>
          </cell>
          <cell r="EU1002">
            <v>0</v>
          </cell>
          <cell r="EV1002">
            <v>0</v>
          </cell>
          <cell r="EW1002">
            <v>0</v>
          </cell>
          <cell r="EY1002">
            <v>0</v>
          </cell>
          <cell r="EZ1002">
            <v>8</v>
          </cell>
          <cell r="FA1002">
            <v>0</v>
          </cell>
          <cell r="FB1002">
            <v>0</v>
          </cell>
          <cell r="FC1002">
            <v>8.6</v>
          </cell>
          <cell r="FD1002">
            <v>0</v>
          </cell>
          <cell r="FE1002">
            <v>0</v>
          </cell>
          <cell r="FF1002">
            <v>0</v>
          </cell>
          <cell r="FH1002">
            <v>0</v>
          </cell>
        </row>
        <row r="1003">
          <cell r="B1003" t="str">
            <v>FP</v>
          </cell>
          <cell r="D1003" t="str">
            <v>Shaikh S A</v>
          </cell>
          <cell r="F1003">
            <v>0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T1003">
            <v>0</v>
          </cell>
          <cell r="U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0</v>
          </cell>
          <cell r="AA1003">
            <v>0</v>
          </cell>
          <cell r="AB1003">
            <v>0</v>
          </cell>
          <cell r="AC1003">
            <v>0</v>
          </cell>
          <cell r="AD1003">
            <v>0</v>
          </cell>
          <cell r="AE1003">
            <v>0</v>
          </cell>
          <cell r="AG1003">
            <v>0</v>
          </cell>
          <cell r="AH1003">
            <v>0</v>
          </cell>
          <cell r="AI1003">
            <v>0</v>
          </cell>
          <cell r="AJ1003">
            <v>0</v>
          </cell>
          <cell r="AK1003">
            <v>0</v>
          </cell>
          <cell r="AL1003">
            <v>0</v>
          </cell>
          <cell r="AM1003">
            <v>0</v>
          </cell>
          <cell r="AN1003">
            <v>0</v>
          </cell>
          <cell r="AO1003">
            <v>0</v>
          </cell>
          <cell r="AQ1003">
            <v>0</v>
          </cell>
          <cell r="AR1003">
            <v>0</v>
          </cell>
          <cell r="AS1003">
            <v>0</v>
          </cell>
          <cell r="AT1003">
            <v>0</v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  <cell r="AY1003">
            <v>0</v>
          </cell>
          <cell r="BA1003">
            <v>0</v>
          </cell>
          <cell r="BB1003">
            <v>0</v>
          </cell>
          <cell r="BC1003">
            <v>0</v>
          </cell>
          <cell r="BD1003">
            <v>0</v>
          </cell>
          <cell r="BE1003">
            <v>0</v>
          </cell>
          <cell r="BF1003">
            <v>0</v>
          </cell>
          <cell r="BG1003">
            <v>0</v>
          </cell>
          <cell r="BH1003">
            <v>0</v>
          </cell>
          <cell r="BI1003">
            <v>0</v>
          </cell>
          <cell r="BK1003">
            <v>0</v>
          </cell>
          <cell r="BL1003">
            <v>0</v>
          </cell>
          <cell r="BM1003">
            <v>0</v>
          </cell>
          <cell r="BN1003">
            <v>0</v>
          </cell>
          <cell r="BO1003">
            <v>0</v>
          </cell>
          <cell r="BP1003">
            <v>0</v>
          </cell>
          <cell r="BQ1003">
            <v>0</v>
          </cell>
          <cell r="BR1003">
            <v>0</v>
          </cell>
          <cell r="BS1003">
            <v>0</v>
          </cell>
          <cell r="BU1003">
            <v>0</v>
          </cell>
          <cell r="BV1003">
            <v>0</v>
          </cell>
          <cell r="BW1003">
            <v>0</v>
          </cell>
          <cell r="BX1003">
            <v>0</v>
          </cell>
          <cell r="BY1003">
            <v>0</v>
          </cell>
          <cell r="BZ1003">
            <v>0</v>
          </cell>
          <cell r="CA1003">
            <v>0</v>
          </cell>
          <cell r="CB1003">
            <v>0</v>
          </cell>
          <cell r="CC1003">
            <v>0</v>
          </cell>
          <cell r="CE1003">
            <v>0</v>
          </cell>
          <cell r="CF1003">
            <v>0</v>
          </cell>
          <cell r="CG1003">
            <v>0</v>
          </cell>
          <cell r="CH1003">
            <v>0</v>
          </cell>
          <cell r="CI1003">
            <v>0</v>
          </cell>
          <cell r="CJ1003">
            <v>0</v>
          </cell>
          <cell r="CK1003">
            <v>0</v>
          </cell>
          <cell r="CL1003">
            <v>0</v>
          </cell>
          <cell r="CM1003">
            <v>0</v>
          </cell>
          <cell r="CO1003">
            <v>0</v>
          </cell>
          <cell r="CP1003">
            <v>0</v>
          </cell>
          <cell r="CQ1003">
            <v>0</v>
          </cell>
          <cell r="CR1003">
            <v>0</v>
          </cell>
          <cell r="CS1003">
            <v>0</v>
          </cell>
          <cell r="CT1003">
            <v>0</v>
          </cell>
          <cell r="CU1003">
            <v>0</v>
          </cell>
          <cell r="CV1003">
            <v>0</v>
          </cell>
          <cell r="CW1003">
            <v>0</v>
          </cell>
          <cell r="CY1003">
            <v>0</v>
          </cell>
          <cell r="CZ1003">
            <v>0</v>
          </cell>
          <cell r="DA1003">
            <v>0</v>
          </cell>
          <cell r="DB1003">
            <v>0</v>
          </cell>
          <cell r="DC1003">
            <v>0</v>
          </cell>
          <cell r="DD1003">
            <v>0</v>
          </cell>
          <cell r="DE1003">
            <v>0</v>
          </cell>
          <cell r="DF1003">
            <v>0</v>
          </cell>
          <cell r="DG1003">
            <v>0</v>
          </cell>
          <cell r="DI1003">
            <v>0</v>
          </cell>
          <cell r="DJ1003">
            <v>0</v>
          </cell>
          <cell r="DK1003">
            <v>0</v>
          </cell>
          <cell r="DL1003">
            <v>0</v>
          </cell>
          <cell r="DM1003">
            <v>0</v>
          </cell>
          <cell r="DN1003">
            <v>0</v>
          </cell>
          <cell r="DO1003">
            <v>0</v>
          </cell>
          <cell r="DP1003">
            <v>0</v>
          </cell>
          <cell r="DQ1003">
            <v>0</v>
          </cell>
          <cell r="DR1003">
            <v>0</v>
          </cell>
          <cell r="DS1003">
            <v>0</v>
          </cell>
          <cell r="DT1003">
            <v>0</v>
          </cell>
          <cell r="DU1003">
            <v>0</v>
          </cell>
          <cell r="DW1003">
            <v>0</v>
          </cell>
          <cell r="DX1003">
            <v>0</v>
          </cell>
          <cell r="DY1003">
            <v>0</v>
          </cell>
          <cell r="DZ1003">
            <v>0</v>
          </cell>
          <cell r="EA1003">
            <v>0</v>
          </cell>
          <cell r="EB1003">
            <v>0</v>
          </cell>
          <cell r="EC1003">
            <v>0</v>
          </cell>
          <cell r="ED1003">
            <v>0</v>
          </cell>
          <cell r="EE1003">
            <v>0</v>
          </cell>
          <cell r="EF1003">
            <v>0</v>
          </cell>
          <cell r="EG1003">
            <v>0</v>
          </cell>
          <cell r="EH1003">
            <v>0</v>
          </cell>
          <cell r="EI1003">
            <v>0</v>
          </cell>
          <cell r="EK1003">
            <v>0</v>
          </cell>
          <cell r="EL1003">
            <v>0</v>
          </cell>
          <cell r="EM1003">
            <v>0</v>
          </cell>
          <cell r="EN1003">
            <v>0</v>
          </cell>
          <cell r="EO1003">
            <v>0</v>
          </cell>
          <cell r="EP1003">
            <v>0</v>
          </cell>
          <cell r="EQ1003">
            <v>0</v>
          </cell>
          <cell r="ER1003">
            <v>0</v>
          </cell>
          <cell r="ES1003">
            <v>0</v>
          </cell>
          <cell r="ET1003">
            <v>0</v>
          </cell>
          <cell r="EU1003">
            <v>0</v>
          </cell>
          <cell r="EV1003">
            <v>0</v>
          </cell>
          <cell r="EW1003">
            <v>0</v>
          </cell>
          <cell r="EY1003">
            <v>0</v>
          </cell>
          <cell r="EZ1003">
            <v>8</v>
          </cell>
          <cell r="FA1003">
            <v>0</v>
          </cell>
          <cell r="FB1003">
            <v>0</v>
          </cell>
          <cell r="FC1003">
            <v>8.6</v>
          </cell>
          <cell r="FD1003">
            <v>0</v>
          </cell>
          <cell r="FE1003">
            <v>0</v>
          </cell>
          <cell r="FF1003">
            <v>0</v>
          </cell>
          <cell r="FH1003">
            <v>0</v>
          </cell>
        </row>
        <row r="1004">
          <cell r="B1004" t="str">
            <v>FP</v>
          </cell>
          <cell r="D1004" t="str">
            <v>Gangurde Renuka Anil</v>
          </cell>
          <cell r="F1004">
            <v>0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0</v>
          </cell>
          <cell r="AB1004">
            <v>0</v>
          </cell>
          <cell r="AC1004">
            <v>0</v>
          </cell>
          <cell r="AD1004">
            <v>0</v>
          </cell>
          <cell r="AE1004">
            <v>0</v>
          </cell>
          <cell r="AG1004">
            <v>0</v>
          </cell>
          <cell r="AH1004">
            <v>0</v>
          </cell>
          <cell r="AI1004">
            <v>0</v>
          </cell>
          <cell r="AJ1004">
            <v>0</v>
          </cell>
          <cell r="AK1004">
            <v>0</v>
          </cell>
          <cell r="AL1004">
            <v>0</v>
          </cell>
          <cell r="AM1004">
            <v>0</v>
          </cell>
          <cell r="AN1004">
            <v>0</v>
          </cell>
          <cell r="AO1004">
            <v>0</v>
          </cell>
          <cell r="AQ1004">
            <v>0</v>
          </cell>
          <cell r="AR1004">
            <v>0</v>
          </cell>
          <cell r="AS1004">
            <v>0</v>
          </cell>
          <cell r="AT1004">
            <v>0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BA1004">
            <v>0</v>
          </cell>
          <cell r="BB1004">
            <v>0</v>
          </cell>
          <cell r="BC1004">
            <v>0</v>
          </cell>
          <cell r="BD1004">
            <v>0</v>
          </cell>
          <cell r="BE1004">
            <v>0</v>
          </cell>
          <cell r="BF1004">
            <v>0</v>
          </cell>
          <cell r="BG1004">
            <v>0</v>
          </cell>
          <cell r="BH1004">
            <v>0</v>
          </cell>
          <cell r="BI1004">
            <v>0</v>
          </cell>
          <cell r="BK1004">
            <v>0</v>
          </cell>
          <cell r="BL1004">
            <v>0</v>
          </cell>
          <cell r="BM1004">
            <v>0</v>
          </cell>
          <cell r="BN1004">
            <v>0</v>
          </cell>
          <cell r="BO1004">
            <v>0</v>
          </cell>
          <cell r="BP1004">
            <v>0</v>
          </cell>
          <cell r="BQ1004">
            <v>0</v>
          </cell>
          <cell r="BR1004">
            <v>0</v>
          </cell>
          <cell r="BS1004">
            <v>0</v>
          </cell>
          <cell r="BU1004">
            <v>0</v>
          </cell>
          <cell r="BV1004">
            <v>0</v>
          </cell>
          <cell r="BW1004">
            <v>0</v>
          </cell>
          <cell r="BX1004">
            <v>0</v>
          </cell>
          <cell r="BY1004">
            <v>0</v>
          </cell>
          <cell r="BZ1004">
            <v>0</v>
          </cell>
          <cell r="CA1004">
            <v>0</v>
          </cell>
          <cell r="CB1004">
            <v>0</v>
          </cell>
          <cell r="CC1004">
            <v>0</v>
          </cell>
          <cell r="CE1004">
            <v>0</v>
          </cell>
          <cell r="CF1004">
            <v>0</v>
          </cell>
          <cell r="CG1004">
            <v>0</v>
          </cell>
          <cell r="CH1004">
            <v>0</v>
          </cell>
          <cell r="CI1004">
            <v>0</v>
          </cell>
          <cell r="CJ1004">
            <v>0</v>
          </cell>
          <cell r="CK1004">
            <v>0</v>
          </cell>
          <cell r="CL1004">
            <v>0</v>
          </cell>
          <cell r="CM1004">
            <v>0</v>
          </cell>
          <cell r="CO1004">
            <v>0</v>
          </cell>
          <cell r="CP1004">
            <v>0</v>
          </cell>
          <cell r="CQ1004">
            <v>0</v>
          </cell>
          <cell r="CR1004">
            <v>0</v>
          </cell>
          <cell r="CS1004">
            <v>0</v>
          </cell>
          <cell r="CT1004">
            <v>0</v>
          </cell>
          <cell r="CU1004">
            <v>0</v>
          </cell>
          <cell r="CV1004">
            <v>0</v>
          </cell>
          <cell r="CW1004">
            <v>0</v>
          </cell>
          <cell r="CY1004">
            <v>0</v>
          </cell>
          <cell r="CZ1004">
            <v>0</v>
          </cell>
          <cell r="DA1004">
            <v>0</v>
          </cell>
          <cell r="DB1004">
            <v>0</v>
          </cell>
          <cell r="DC1004">
            <v>0</v>
          </cell>
          <cell r="DD1004">
            <v>0</v>
          </cell>
          <cell r="DE1004">
            <v>0</v>
          </cell>
          <cell r="DF1004">
            <v>0</v>
          </cell>
          <cell r="DG1004">
            <v>0</v>
          </cell>
          <cell r="DI1004">
            <v>0</v>
          </cell>
          <cell r="DJ1004">
            <v>0</v>
          </cell>
          <cell r="DK1004">
            <v>0</v>
          </cell>
          <cell r="DL1004">
            <v>0</v>
          </cell>
          <cell r="DM1004">
            <v>0</v>
          </cell>
          <cell r="DN1004">
            <v>0</v>
          </cell>
          <cell r="DO1004">
            <v>0</v>
          </cell>
          <cell r="DP1004">
            <v>0</v>
          </cell>
          <cell r="DQ1004">
            <v>0</v>
          </cell>
          <cell r="DR1004">
            <v>0</v>
          </cell>
          <cell r="DS1004">
            <v>0</v>
          </cell>
          <cell r="DT1004">
            <v>0</v>
          </cell>
          <cell r="DU1004">
            <v>0</v>
          </cell>
          <cell r="DW1004">
            <v>0</v>
          </cell>
          <cell r="DX1004">
            <v>0</v>
          </cell>
          <cell r="DY1004">
            <v>0</v>
          </cell>
          <cell r="DZ1004">
            <v>0</v>
          </cell>
          <cell r="EA1004">
            <v>0</v>
          </cell>
          <cell r="EB1004">
            <v>0</v>
          </cell>
          <cell r="EC1004">
            <v>0</v>
          </cell>
          <cell r="ED1004">
            <v>0</v>
          </cell>
          <cell r="EE1004">
            <v>0</v>
          </cell>
          <cell r="EF1004">
            <v>0</v>
          </cell>
          <cell r="EG1004">
            <v>0</v>
          </cell>
          <cell r="EH1004">
            <v>0</v>
          </cell>
          <cell r="EI1004">
            <v>0</v>
          </cell>
          <cell r="EK1004">
            <v>0</v>
          </cell>
          <cell r="EL1004">
            <v>0</v>
          </cell>
          <cell r="EM1004">
            <v>0</v>
          </cell>
          <cell r="EN1004">
            <v>0</v>
          </cell>
          <cell r="EO1004">
            <v>0</v>
          </cell>
          <cell r="EP1004">
            <v>0</v>
          </cell>
          <cell r="EQ1004">
            <v>0</v>
          </cell>
          <cell r="ER1004">
            <v>0</v>
          </cell>
          <cell r="ES1004">
            <v>0</v>
          </cell>
          <cell r="ET1004">
            <v>0</v>
          </cell>
          <cell r="EU1004">
            <v>0</v>
          </cell>
          <cell r="EV1004">
            <v>0</v>
          </cell>
          <cell r="EW1004">
            <v>0</v>
          </cell>
          <cell r="EY1004">
            <v>0</v>
          </cell>
          <cell r="EZ1004">
            <v>8</v>
          </cell>
          <cell r="FA1004">
            <v>0</v>
          </cell>
          <cell r="FB1004">
            <v>0</v>
          </cell>
          <cell r="FC1004">
            <v>8.6</v>
          </cell>
          <cell r="FD1004">
            <v>0</v>
          </cell>
          <cell r="FE1004">
            <v>0</v>
          </cell>
          <cell r="FF1004">
            <v>0</v>
          </cell>
          <cell r="FH1004">
            <v>0</v>
          </cell>
        </row>
        <row r="1005">
          <cell r="B1005" t="str">
            <v>FP</v>
          </cell>
          <cell r="D1005" t="str">
            <v>Bodke Madhukar Jagdish</v>
          </cell>
          <cell r="F1005">
            <v>0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G1005">
            <v>0</v>
          </cell>
          <cell r="AH1005">
            <v>0</v>
          </cell>
          <cell r="AI1005">
            <v>0</v>
          </cell>
          <cell r="AJ1005">
            <v>0</v>
          </cell>
          <cell r="AK1005">
            <v>0</v>
          </cell>
          <cell r="AL1005">
            <v>0</v>
          </cell>
          <cell r="AM1005">
            <v>0</v>
          </cell>
          <cell r="AN1005">
            <v>0</v>
          </cell>
          <cell r="AO1005">
            <v>0</v>
          </cell>
          <cell r="AQ1005">
            <v>0</v>
          </cell>
          <cell r="AR1005">
            <v>0</v>
          </cell>
          <cell r="AS1005">
            <v>0</v>
          </cell>
          <cell r="AT1005">
            <v>0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BA1005">
            <v>0</v>
          </cell>
          <cell r="BB1005">
            <v>0</v>
          </cell>
          <cell r="BC1005">
            <v>0</v>
          </cell>
          <cell r="BD1005">
            <v>0</v>
          </cell>
          <cell r="BE1005">
            <v>0</v>
          </cell>
          <cell r="BF1005">
            <v>0</v>
          </cell>
          <cell r="BG1005">
            <v>0</v>
          </cell>
          <cell r="BH1005">
            <v>0</v>
          </cell>
          <cell r="BI1005">
            <v>0</v>
          </cell>
          <cell r="BK1005">
            <v>0</v>
          </cell>
          <cell r="BL1005">
            <v>0</v>
          </cell>
          <cell r="BM1005">
            <v>0</v>
          </cell>
          <cell r="BN1005">
            <v>0</v>
          </cell>
          <cell r="BO1005">
            <v>0</v>
          </cell>
          <cell r="BP1005">
            <v>0</v>
          </cell>
          <cell r="BQ1005">
            <v>0</v>
          </cell>
          <cell r="BR1005">
            <v>0</v>
          </cell>
          <cell r="BS1005">
            <v>0</v>
          </cell>
          <cell r="BU1005">
            <v>0</v>
          </cell>
          <cell r="BV1005">
            <v>0</v>
          </cell>
          <cell r="BW1005">
            <v>0</v>
          </cell>
          <cell r="BX1005">
            <v>0</v>
          </cell>
          <cell r="BY1005">
            <v>0</v>
          </cell>
          <cell r="BZ1005">
            <v>0</v>
          </cell>
          <cell r="CA1005">
            <v>0</v>
          </cell>
          <cell r="CB1005">
            <v>0</v>
          </cell>
          <cell r="CC1005">
            <v>0</v>
          </cell>
          <cell r="CE1005">
            <v>0</v>
          </cell>
          <cell r="CF1005">
            <v>0</v>
          </cell>
          <cell r="CG1005">
            <v>0</v>
          </cell>
          <cell r="CH1005">
            <v>0</v>
          </cell>
          <cell r="CI1005">
            <v>0</v>
          </cell>
          <cell r="CJ1005">
            <v>0</v>
          </cell>
          <cell r="CK1005">
            <v>0</v>
          </cell>
          <cell r="CL1005">
            <v>0</v>
          </cell>
          <cell r="CM1005">
            <v>0</v>
          </cell>
          <cell r="CO1005">
            <v>0</v>
          </cell>
          <cell r="CP1005">
            <v>0</v>
          </cell>
          <cell r="CQ1005">
            <v>0</v>
          </cell>
          <cell r="CR1005">
            <v>0</v>
          </cell>
          <cell r="CS1005">
            <v>0</v>
          </cell>
          <cell r="CT1005">
            <v>0</v>
          </cell>
          <cell r="CU1005">
            <v>0</v>
          </cell>
          <cell r="CV1005">
            <v>0</v>
          </cell>
          <cell r="CW1005">
            <v>0</v>
          </cell>
          <cell r="CY1005">
            <v>0</v>
          </cell>
          <cell r="CZ1005">
            <v>0</v>
          </cell>
          <cell r="DA1005">
            <v>0</v>
          </cell>
          <cell r="DB1005">
            <v>0</v>
          </cell>
          <cell r="DC1005">
            <v>0</v>
          </cell>
          <cell r="DD1005">
            <v>0</v>
          </cell>
          <cell r="DE1005">
            <v>0</v>
          </cell>
          <cell r="DF1005">
            <v>0</v>
          </cell>
          <cell r="DG1005">
            <v>0</v>
          </cell>
          <cell r="DI1005">
            <v>0</v>
          </cell>
          <cell r="DJ1005">
            <v>0</v>
          </cell>
          <cell r="DK1005">
            <v>0</v>
          </cell>
          <cell r="DL1005">
            <v>0</v>
          </cell>
          <cell r="DM1005">
            <v>0</v>
          </cell>
          <cell r="DN1005">
            <v>0</v>
          </cell>
          <cell r="DO1005">
            <v>0</v>
          </cell>
          <cell r="DP1005">
            <v>0</v>
          </cell>
          <cell r="DQ1005">
            <v>0</v>
          </cell>
          <cell r="DR1005">
            <v>0</v>
          </cell>
          <cell r="DS1005">
            <v>0</v>
          </cell>
          <cell r="DT1005">
            <v>0</v>
          </cell>
          <cell r="DU1005">
            <v>0</v>
          </cell>
          <cell r="DW1005">
            <v>0</v>
          </cell>
          <cell r="DX1005">
            <v>0</v>
          </cell>
          <cell r="DY1005">
            <v>0</v>
          </cell>
          <cell r="DZ1005">
            <v>0</v>
          </cell>
          <cell r="EA1005">
            <v>0</v>
          </cell>
          <cell r="EB1005">
            <v>0</v>
          </cell>
          <cell r="EC1005">
            <v>0</v>
          </cell>
          <cell r="ED1005">
            <v>0</v>
          </cell>
          <cell r="EE1005">
            <v>0</v>
          </cell>
          <cell r="EF1005">
            <v>0</v>
          </cell>
          <cell r="EG1005">
            <v>0</v>
          </cell>
          <cell r="EH1005">
            <v>0</v>
          </cell>
          <cell r="EI1005">
            <v>0</v>
          </cell>
          <cell r="EK1005">
            <v>0</v>
          </cell>
          <cell r="EL1005">
            <v>0</v>
          </cell>
          <cell r="EM1005">
            <v>0</v>
          </cell>
          <cell r="EN1005">
            <v>0</v>
          </cell>
          <cell r="EO1005">
            <v>0</v>
          </cell>
          <cell r="EP1005">
            <v>0</v>
          </cell>
          <cell r="EQ1005">
            <v>0</v>
          </cell>
          <cell r="ER1005">
            <v>0</v>
          </cell>
          <cell r="ES1005">
            <v>0</v>
          </cell>
          <cell r="ET1005">
            <v>0</v>
          </cell>
          <cell r="EU1005">
            <v>0</v>
          </cell>
          <cell r="EV1005">
            <v>0</v>
          </cell>
          <cell r="EW1005">
            <v>0</v>
          </cell>
          <cell r="EY1005">
            <v>0</v>
          </cell>
          <cell r="EZ1005">
            <v>8</v>
          </cell>
          <cell r="FA1005">
            <v>0</v>
          </cell>
          <cell r="FB1005">
            <v>0</v>
          </cell>
          <cell r="FC1005">
            <v>8.6</v>
          </cell>
          <cell r="FD1005">
            <v>0</v>
          </cell>
          <cell r="FE1005">
            <v>0</v>
          </cell>
          <cell r="FF1005">
            <v>0</v>
          </cell>
          <cell r="FH1005">
            <v>0</v>
          </cell>
        </row>
        <row r="1006">
          <cell r="B1006" t="str">
            <v>FP</v>
          </cell>
          <cell r="D1006" t="str">
            <v>Baid Bablu Shankar</v>
          </cell>
          <cell r="F1006">
            <v>0</v>
          </cell>
          <cell r="H1006">
            <v>0</v>
          </cell>
          <cell r="I1006">
            <v>0</v>
          </cell>
          <cell r="J1006">
            <v>0</v>
          </cell>
          <cell r="K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0</v>
          </cell>
          <cell r="AB1006">
            <v>0</v>
          </cell>
          <cell r="AC1006">
            <v>0</v>
          </cell>
          <cell r="AD1006">
            <v>0</v>
          </cell>
          <cell r="AE1006">
            <v>0</v>
          </cell>
          <cell r="AG1006">
            <v>0</v>
          </cell>
          <cell r="AH1006">
            <v>0</v>
          </cell>
          <cell r="AI1006">
            <v>0</v>
          </cell>
          <cell r="AJ1006">
            <v>0</v>
          </cell>
          <cell r="AK1006">
            <v>0</v>
          </cell>
          <cell r="AL1006">
            <v>0</v>
          </cell>
          <cell r="AM1006">
            <v>0</v>
          </cell>
          <cell r="AN1006">
            <v>0</v>
          </cell>
          <cell r="AO1006">
            <v>0</v>
          </cell>
          <cell r="AQ1006">
            <v>0</v>
          </cell>
          <cell r="AR1006">
            <v>0</v>
          </cell>
          <cell r="AS1006">
            <v>0</v>
          </cell>
          <cell r="AT1006">
            <v>0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BA1006">
            <v>0</v>
          </cell>
          <cell r="BB1006">
            <v>0</v>
          </cell>
          <cell r="BC1006">
            <v>0</v>
          </cell>
          <cell r="BD1006">
            <v>0</v>
          </cell>
          <cell r="BE1006">
            <v>0</v>
          </cell>
          <cell r="BF1006">
            <v>0</v>
          </cell>
          <cell r="BG1006">
            <v>0</v>
          </cell>
          <cell r="BH1006">
            <v>0</v>
          </cell>
          <cell r="BI1006">
            <v>0</v>
          </cell>
          <cell r="BK1006">
            <v>0</v>
          </cell>
          <cell r="BL1006">
            <v>0</v>
          </cell>
          <cell r="BM1006">
            <v>0</v>
          </cell>
          <cell r="BN1006">
            <v>0</v>
          </cell>
          <cell r="BO1006">
            <v>0</v>
          </cell>
          <cell r="BP1006">
            <v>0</v>
          </cell>
          <cell r="BQ1006">
            <v>0</v>
          </cell>
          <cell r="BR1006">
            <v>0</v>
          </cell>
          <cell r="BS1006">
            <v>0</v>
          </cell>
          <cell r="BU1006">
            <v>0</v>
          </cell>
          <cell r="BV1006">
            <v>0</v>
          </cell>
          <cell r="BW1006">
            <v>0</v>
          </cell>
          <cell r="BX1006">
            <v>0</v>
          </cell>
          <cell r="BY1006">
            <v>0</v>
          </cell>
          <cell r="BZ1006">
            <v>0</v>
          </cell>
          <cell r="CA1006">
            <v>0</v>
          </cell>
          <cell r="CB1006">
            <v>0</v>
          </cell>
          <cell r="CC1006">
            <v>0</v>
          </cell>
          <cell r="CE1006">
            <v>0</v>
          </cell>
          <cell r="CF1006">
            <v>0</v>
          </cell>
          <cell r="CG1006">
            <v>0</v>
          </cell>
          <cell r="CH1006">
            <v>0</v>
          </cell>
          <cell r="CI1006">
            <v>0</v>
          </cell>
          <cell r="CJ1006">
            <v>0</v>
          </cell>
          <cell r="CK1006">
            <v>0</v>
          </cell>
          <cell r="CL1006">
            <v>0</v>
          </cell>
          <cell r="CM1006">
            <v>0</v>
          </cell>
          <cell r="CO1006">
            <v>0</v>
          </cell>
          <cell r="CP1006">
            <v>0</v>
          </cell>
          <cell r="CQ1006">
            <v>0</v>
          </cell>
          <cell r="CR1006">
            <v>0</v>
          </cell>
          <cell r="CS1006">
            <v>0</v>
          </cell>
          <cell r="CT1006">
            <v>0</v>
          </cell>
          <cell r="CU1006">
            <v>0</v>
          </cell>
          <cell r="CV1006">
            <v>0</v>
          </cell>
          <cell r="CW1006">
            <v>0</v>
          </cell>
          <cell r="CY1006">
            <v>0</v>
          </cell>
          <cell r="CZ1006">
            <v>0</v>
          </cell>
          <cell r="DA1006">
            <v>0</v>
          </cell>
          <cell r="DB1006">
            <v>0</v>
          </cell>
          <cell r="DC1006">
            <v>0</v>
          </cell>
          <cell r="DD1006">
            <v>0</v>
          </cell>
          <cell r="DE1006">
            <v>0</v>
          </cell>
          <cell r="DF1006">
            <v>0</v>
          </cell>
          <cell r="DG1006">
            <v>0</v>
          </cell>
          <cell r="DI1006">
            <v>0</v>
          </cell>
          <cell r="DJ1006">
            <v>0</v>
          </cell>
          <cell r="DK1006">
            <v>0</v>
          </cell>
          <cell r="DL1006">
            <v>0</v>
          </cell>
          <cell r="DM1006">
            <v>0</v>
          </cell>
          <cell r="DN1006">
            <v>0</v>
          </cell>
          <cell r="DO1006">
            <v>0</v>
          </cell>
          <cell r="DP1006">
            <v>0</v>
          </cell>
          <cell r="DQ1006">
            <v>0</v>
          </cell>
          <cell r="DR1006">
            <v>0</v>
          </cell>
          <cell r="DS1006">
            <v>0</v>
          </cell>
          <cell r="DT1006">
            <v>0</v>
          </cell>
          <cell r="DU1006">
            <v>0</v>
          </cell>
          <cell r="DW1006">
            <v>0</v>
          </cell>
          <cell r="DX1006">
            <v>0</v>
          </cell>
          <cell r="DY1006">
            <v>0</v>
          </cell>
          <cell r="DZ1006">
            <v>0</v>
          </cell>
          <cell r="EA1006">
            <v>0</v>
          </cell>
          <cell r="EB1006">
            <v>0</v>
          </cell>
          <cell r="EC1006">
            <v>0</v>
          </cell>
          <cell r="ED1006">
            <v>0</v>
          </cell>
          <cell r="EE1006">
            <v>0</v>
          </cell>
          <cell r="EF1006">
            <v>0</v>
          </cell>
          <cell r="EG1006">
            <v>0</v>
          </cell>
          <cell r="EH1006">
            <v>0</v>
          </cell>
          <cell r="EI1006">
            <v>0</v>
          </cell>
          <cell r="EK1006">
            <v>0</v>
          </cell>
          <cell r="EL1006">
            <v>0</v>
          </cell>
          <cell r="EM1006">
            <v>0</v>
          </cell>
          <cell r="EN1006">
            <v>0</v>
          </cell>
          <cell r="EO1006">
            <v>0</v>
          </cell>
          <cell r="EP1006">
            <v>0</v>
          </cell>
          <cell r="EQ1006">
            <v>0</v>
          </cell>
          <cell r="ER1006">
            <v>0</v>
          </cell>
          <cell r="ES1006">
            <v>0</v>
          </cell>
          <cell r="ET1006">
            <v>0</v>
          </cell>
          <cell r="EU1006">
            <v>0</v>
          </cell>
          <cell r="EV1006">
            <v>0</v>
          </cell>
          <cell r="EW1006">
            <v>0</v>
          </cell>
          <cell r="EY1006">
            <v>0</v>
          </cell>
          <cell r="EZ1006">
            <v>8</v>
          </cell>
          <cell r="FA1006">
            <v>0</v>
          </cell>
          <cell r="FB1006">
            <v>0</v>
          </cell>
          <cell r="FC1006">
            <v>8.6</v>
          </cell>
          <cell r="FD1006">
            <v>0</v>
          </cell>
          <cell r="FE1006">
            <v>0</v>
          </cell>
          <cell r="FF1006">
            <v>0</v>
          </cell>
          <cell r="FH1006">
            <v>0</v>
          </cell>
        </row>
        <row r="1007">
          <cell r="B1007" t="str">
            <v>FP</v>
          </cell>
          <cell r="D1007" t="str">
            <v>Chandramore Sachin Baliram</v>
          </cell>
          <cell r="F1007">
            <v>0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G1007">
            <v>0</v>
          </cell>
          <cell r="AH1007">
            <v>0</v>
          </cell>
          <cell r="AI1007">
            <v>0</v>
          </cell>
          <cell r="AJ1007">
            <v>0</v>
          </cell>
          <cell r="AK1007">
            <v>0</v>
          </cell>
          <cell r="AL1007">
            <v>0</v>
          </cell>
          <cell r="AM1007">
            <v>0</v>
          </cell>
          <cell r="AN1007">
            <v>0</v>
          </cell>
          <cell r="AO1007">
            <v>0</v>
          </cell>
          <cell r="AQ1007">
            <v>0</v>
          </cell>
          <cell r="AR1007">
            <v>0</v>
          </cell>
          <cell r="AS1007">
            <v>0</v>
          </cell>
          <cell r="AT1007">
            <v>0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BA1007">
            <v>0</v>
          </cell>
          <cell r="BB1007">
            <v>0</v>
          </cell>
          <cell r="BC1007">
            <v>0</v>
          </cell>
          <cell r="BD1007">
            <v>0</v>
          </cell>
          <cell r="BE1007">
            <v>0</v>
          </cell>
          <cell r="BF1007">
            <v>0</v>
          </cell>
          <cell r="BG1007">
            <v>0</v>
          </cell>
          <cell r="BH1007">
            <v>0</v>
          </cell>
          <cell r="BI1007">
            <v>0</v>
          </cell>
          <cell r="BK1007">
            <v>0</v>
          </cell>
          <cell r="BL1007">
            <v>0</v>
          </cell>
          <cell r="BM1007">
            <v>0</v>
          </cell>
          <cell r="BN1007">
            <v>0</v>
          </cell>
          <cell r="BO1007">
            <v>0</v>
          </cell>
          <cell r="BP1007">
            <v>0</v>
          </cell>
          <cell r="BQ1007">
            <v>0</v>
          </cell>
          <cell r="BR1007">
            <v>0</v>
          </cell>
          <cell r="BS1007">
            <v>0</v>
          </cell>
          <cell r="BU1007">
            <v>0</v>
          </cell>
          <cell r="BV1007">
            <v>0</v>
          </cell>
          <cell r="BW1007">
            <v>0</v>
          </cell>
          <cell r="BX1007">
            <v>0</v>
          </cell>
          <cell r="BY1007">
            <v>0</v>
          </cell>
          <cell r="BZ1007">
            <v>0</v>
          </cell>
          <cell r="CA1007">
            <v>0</v>
          </cell>
          <cell r="CB1007">
            <v>0</v>
          </cell>
          <cell r="CC1007">
            <v>0</v>
          </cell>
          <cell r="CE1007">
            <v>0</v>
          </cell>
          <cell r="CF1007">
            <v>0</v>
          </cell>
          <cell r="CG1007">
            <v>0</v>
          </cell>
          <cell r="CH1007">
            <v>0</v>
          </cell>
          <cell r="CI1007">
            <v>0</v>
          </cell>
          <cell r="CJ1007">
            <v>0</v>
          </cell>
          <cell r="CK1007">
            <v>0</v>
          </cell>
          <cell r="CL1007">
            <v>0</v>
          </cell>
          <cell r="CM1007">
            <v>0</v>
          </cell>
          <cell r="CO1007">
            <v>0</v>
          </cell>
          <cell r="CP1007">
            <v>0</v>
          </cell>
          <cell r="CQ1007">
            <v>0</v>
          </cell>
          <cell r="CR1007">
            <v>0</v>
          </cell>
          <cell r="CS1007">
            <v>0</v>
          </cell>
          <cell r="CT1007">
            <v>0</v>
          </cell>
          <cell r="CU1007">
            <v>0</v>
          </cell>
          <cell r="CV1007">
            <v>0</v>
          </cell>
          <cell r="CW1007">
            <v>0</v>
          </cell>
          <cell r="CY1007">
            <v>0</v>
          </cell>
          <cell r="CZ1007">
            <v>0</v>
          </cell>
          <cell r="DA1007">
            <v>0</v>
          </cell>
          <cell r="DB1007">
            <v>0</v>
          </cell>
          <cell r="DC1007">
            <v>0</v>
          </cell>
          <cell r="DD1007">
            <v>0</v>
          </cell>
          <cell r="DE1007">
            <v>0</v>
          </cell>
          <cell r="DF1007">
            <v>0</v>
          </cell>
          <cell r="DG1007">
            <v>0</v>
          </cell>
          <cell r="DI1007">
            <v>0</v>
          </cell>
          <cell r="DJ1007">
            <v>0</v>
          </cell>
          <cell r="DK1007">
            <v>0</v>
          </cell>
          <cell r="DL1007">
            <v>0</v>
          </cell>
          <cell r="DM1007">
            <v>0</v>
          </cell>
          <cell r="DN1007">
            <v>0</v>
          </cell>
          <cell r="DO1007">
            <v>0</v>
          </cell>
          <cell r="DP1007">
            <v>0</v>
          </cell>
          <cell r="DQ1007">
            <v>0</v>
          </cell>
          <cell r="DR1007">
            <v>0</v>
          </cell>
          <cell r="DS1007">
            <v>0</v>
          </cell>
          <cell r="DT1007">
            <v>0</v>
          </cell>
          <cell r="DU1007">
            <v>0</v>
          </cell>
          <cell r="DW1007">
            <v>0</v>
          </cell>
          <cell r="DX1007">
            <v>0</v>
          </cell>
          <cell r="DY1007">
            <v>0</v>
          </cell>
          <cell r="DZ1007">
            <v>0</v>
          </cell>
          <cell r="EA1007">
            <v>0</v>
          </cell>
          <cell r="EB1007">
            <v>0</v>
          </cell>
          <cell r="EC1007">
            <v>0</v>
          </cell>
          <cell r="ED1007">
            <v>0</v>
          </cell>
          <cell r="EE1007">
            <v>0</v>
          </cell>
          <cell r="EF1007">
            <v>0</v>
          </cell>
          <cell r="EG1007">
            <v>0</v>
          </cell>
          <cell r="EH1007">
            <v>0</v>
          </cell>
          <cell r="EI1007">
            <v>0</v>
          </cell>
          <cell r="EK1007">
            <v>0</v>
          </cell>
          <cell r="EL1007">
            <v>0</v>
          </cell>
          <cell r="EM1007">
            <v>0</v>
          </cell>
          <cell r="EN1007">
            <v>0</v>
          </cell>
          <cell r="EO1007">
            <v>0</v>
          </cell>
          <cell r="EP1007">
            <v>0</v>
          </cell>
          <cell r="EQ1007">
            <v>0</v>
          </cell>
          <cell r="ER1007">
            <v>0</v>
          </cell>
          <cell r="ES1007">
            <v>0</v>
          </cell>
          <cell r="ET1007">
            <v>0</v>
          </cell>
          <cell r="EU1007">
            <v>0</v>
          </cell>
          <cell r="EV1007">
            <v>0</v>
          </cell>
          <cell r="EW1007">
            <v>0</v>
          </cell>
          <cell r="EY1007">
            <v>0</v>
          </cell>
          <cell r="EZ1007">
            <v>8</v>
          </cell>
          <cell r="FA1007">
            <v>0</v>
          </cell>
          <cell r="FB1007">
            <v>0</v>
          </cell>
          <cell r="FC1007">
            <v>8.6</v>
          </cell>
          <cell r="FD1007">
            <v>0</v>
          </cell>
          <cell r="FE1007">
            <v>0</v>
          </cell>
          <cell r="FF1007">
            <v>0</v>
          </cell>
          <cell r="FH1007">
            <v>0</v>
          </cell>
        </row>
        <row r="1008">
          <cell r="B1008" t="str">
            <v>FP</v>
          </cell>
          <cell r="D1008" t="str">
            <v>Mirza Mohommad Javed Akbar</v>
          </cell>
          <cell r="F1008">
            <v>0</v>
          </cell>
          <cell r="H1008">
            <v>0</v>
          </cell>
          <cell r="I1008">
            <v>0</v>
          </cell>
          <cell r="J1008">
            <v>0</v>
          </cell>
          <cell r="K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G1008">
            <v>0</v>
          </cell>
          <cell r="AH1008">
            <v>0</v>
          </cell>
          <cell r="AI1008">
            <v>0</v>
          </cell>
          <cell r="AJ1008">
            <v>0</v>
          </cell>
          <cell r="AK1008">
            <v>0</v>
          </cell>
          <cell r="AL1008">
            <v>0</v>
          </cell>
          <cell r="AM1008">
            <v>0</v>
          </cell>
          <cell r="AN1008">
            <v>0</v>
          </cell>
          <cell r="AO1008">
            <v>0</v>
          </cell>
          <cell r="AQ1008">
            <v>0</v>
          </cell>
          <cell r="AR1008">
            <v>0</v>
          </cell>
          <cell r="AS1008">
            <v>0</v>
          </cell>
          <cell r="AT1008">
            <v>0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BA1008">
            <v>0</v>
          </cell>
          <cell r="BB1008">
            <v>0</v>
          </cell>
          <cell r="BC1008">
            <v>0</v>
          </cell>
          <cell r="BD1008">
            <v>0</v>
          </cell>
          <cell r="BE1008">
            <v>0</v>
          </cell>
          <cell r="BF1008">
            <v>0</v>
          </cell>
          <cell r="BG1008">
            <v>0</v>
          </cell>
          <cell r="BH1008">
            <v>0</v>
          </cell>
          <cell r="BI1008">
            <v>0</v>
          </cell>
          <cell r="BK1008">
            <v>0</v>
          </cell>
          <cell r="BL1008">
            <v>0</v>
          </cell>
          <cell r="BM1008">
            <v>0</v>
          </cell>
          <cell r="BN1008">
            <v>0</v>
          </cell>
          <cell r="BO1008">
            <v>0</v>
          </cell>
          <cell r="BP1008">
            <v>0</v>
          </cell>
          <cell r="BQ1008">
            <v>0</v>
          </cell>
          <cell r="BR1008">
            <v>0</v>
          </cell>
          <cell r="BS1008">
            <v>0</v>
          </cell>
          <cell r="BU1008">
            <v>0</v>
          </cell>
          <cell r="BV1008">
            <v>0</v>
          </cell>
          <cell r="BW1008">
            <v>0</v>
          </cell>
          <cell r="BX1008">
            <v>0</v>
          </cell>
          <cell r="BY1008">
            <v>0</v>
          </cell>
          <cell r="BZ1008">
            <v>0</v>
          </cell>
          <cell r="CA1008">
            <v>0</v>
          </cell>
          <cell r="CB1008">
            <v>0</v>
          </cell>
          <cell r="CC1008">
            <v>0</v>
          </cell>
          <cell r="CE1008">
            <v>0</v>
          </cell>
          <cell r="CF1008">
            <v>0</v>
          </cell>
          <cell r="CG1008">
            <v>0</v>
          </cell>
          <cell r="CH1008">
            <v>0</v>
          </cell>
          <cell r="CI1008">
            <v>0</v>
          </cell>
          <cell r="CJ1008">
            <v>0</v>
          </cell>
          <cell r="CK1008">
            <v>0</v>
          </cell>
          <cell r="CL1008">
            <v>0</v>
          </cell>
          <cell r="CM1008">
            <v>0</v>
          </cell>
          <cell r="CO1008">
            <v>0</v>
          </cell>
          <cell r="CP1008">
            <v>0</v>
          </cell>
          <cell r="CQ1008">
            <v>0</v>
          </cell>
          <cell r="CR1008">
            <v>0</v>
          </cell>
          <cell r="CS1008">
            <v>0</v>
          </cell>
          <cell r="CT1008">
            <v>0</v>
          </cell>
          <cell r="CU1008">
            <v>0</v>
          </cell>
          <cell r="CV1008">
            <v>0</v>
          </cell>
          <cell r="CW1008">
            <v>0</v>
          </cell>
          <cell r="CY1008">
            <v>0</v>
          </cell>
          <cell r="CZ1008">
            <v>0</v>
          </cell>
          <cell r="DA1008">
            <v>0</v>
          </cell>
          <cell r="DB1008">
            <v>0</v>
          </cell>
          <cell r="DC1008">
            <v>0</v>
          </cell>
          <cell r="DD1008">
            <v>0</v>
          </cell>
          <cell r="DE1008">
            <v>0</v>
          </cell>
          <cell r="DF1008">
            <v>0</v>
          </cell>
          <cell r="DG1008">
            <v>0</v>
          </cell>
          <cell r="DI1008">
            <v>0</v>
          </cell>
          <cell r="DJ1008">
            <v>0</v>
          </cell>
          <cell r="DK1008">
            <v>0</v>
          </cell>
          <cell r="DL1008">
            <v>0</v>
          </cell>
          <cell r="DM1008">
            <v>0</v>
          </cell>
          <cell r="DN1008">
            <v>0</v>
          </cell>
          <cell r="DO1008">
            <v>0</v>
          </cell>
          <cell r="DP1008">
            <v>0</v>
          </cell>
          <cell r="DQ1008">
            <v>0</v>
          </cell>
          <cell r="DR1008">
            <v>0</v>
          </cell>
          <cell r="DS1008">
            <v>0</v>
          </cell>
          <cell r="DT1008">
            <v>0</v>
          </cell>
          <cell r="DU1008">
            <v>0</v>
          </cell>
          <cell r="DW1008">
            <v>0</v>
          </cell>
          <cell r="DX1008">
            <v>0</v>
          </cell>
          <cell r="DY1008">
            <v>0</v>
          </cell>
          <cell r="DZ1008">
            <v>0</v>
          </cell>
          <cell r="EA1008">
            <v>0</v>
          </cell>
          <cell r="EB1008">
            <v>0</v>
          </cell>
          <cell r="EC1008">
            <v>0</v>
          </cell>
          <cell r="ED1008">
            <v>0</v>
          </cell>
          <cell r="EE1008">
            <v>0</v>
          </cell>
          <cell r="EF1008">
            <v>0</v>
          </cell>
          <cell r="EG1008">
            <v>0</v>
          </cell>
          <cell r="EH1008">
            <v>0</v>
          </cell>
          <cell r="EI1008">
            <v>0</v>
          </cell>
          <cell r="EK1008">
            <v>0</v>
          </cell>
          <cell r="EL1008">
            <v>0</v>
          </cell>
          <cell r="EM1008">
            <v>0</v>
          </cell>
          <cell r="EN1008">
            <v>0</v>
          </cell>
          <cell r="EO1008">
            <v>0</v>
          </cell>
          <cell r="EP1008">
            <v>0</v>
          </cell>
          <cell r="EQ1008">
            <v>0</v>
          </cell>
          <cell r="ER1008">
            <v>0</v>
          </cell>
          <cell r="ES1008">
            <v>0</v>
          </cell>
          <cell r="ET1008">
            <v>0</v>
          </cell>
          <cell r="EU1008">
            <v>0</v>
          </cell>
          <cell r="EV1008">
            <v>0</v>
          </cell>
          <cell r="EW1008">
            <v>0</v>
          </cell>
          <cell r="EY1008">
            <v>0</v>
          </cell>
          <cell r="EZ1008">
            <v>8</v>
          </cell>
          <cell r="FA1008">
            <v>0</v>
          </cell>
          <cell r="FB1008">
            <v>0</v>
          </cell>
          <cell r="FC1008">
            <v>8.6</v>
          </cell>
          <cell r="FD1008">
            <v>0</v>
          </cell>
          <cell r="FE1008">
            <v>0</v>
          </cell>
          <cell r="FF1008">
            <v>0</v>
          </cell>
          <cell r="FH1008">
            <v>0</v>
          </cell>
        </row>
        <row r="1009">
          <cell r="B1009" t="str">
            <v>FP</v>
          </cell>
          <cell r="D1009" t="str">
            <v>Deshmukh Shivram</v>
          </cell>
          <cell r="F1009">
            <v>0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  <cell r="U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0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  <cell r="AG1009">
            <v>0</v>
          </cell>
          <cell r="AH1009">
            <v>0</v>
          </cell>
          <cell r="AI1009">
            <v>0</v>
          </cell>
          <cell r="AJ1009">
            <v>0</v>
          </cell>
          <cell r="AK1009">
            <v>0</v>
          </cell>
          <cell r="AL1009">
            <v>0</v>
          </cell>
          <cell r="AM1009">
            <v>0</v>
          </cell>
          <cell r="AN1009">
            <v>0</v>
          </cell>
          <cell r="AO1009">
            <v>0</v>
          </cell>
          <cell r="AQ1009">
            <v>0</v>
          </cell>
          <cell r="AR1009">
            <v>0</v>
          </cell>
          <cell r="AS1009">
            <v>0</v>
          </cell>
          <cell r="AT1009">
            <v>0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BA1009">
            <v>0</v>
          </cell>
          <cell r="BB1009">
            <v>0</v>
          </cell>
          <cell r="BC1009">
            <v>0</v>
          </cell>
          <cell r="BD1009">
            <v>0</v>
          </cell>
          <cell r="BE1009">
            <v>0</v>
          </cell>
          <cell r="BF1009">
            <v>0</v>
          </cell>
          <cell r="BG1009">
            <v>0</v>
          </cell>
          <cell r="BH1009">
            <v>0</v>
          </cell>
          <cell r="BI1009">
            <v>0</v>
          </cell>
          <cell r="BK1009">
            <v>0</v>
          </cell>
          <cell r="BL1009">
            <v>0</v>
          </cell>
          <cell r="BM1009">
            <v>0</v>
          </cell>
          <cell r="BN1009">
            <v>0</v>
          </cell>
          <cell r="BO1009">
            <v>0</v>
          </cell>
          <cell r="BP1009">
            <v>0</v>
          </cell>
          <cell r="BQ1009">
            <v>0</v>
          </cell>
          <cell r="BR1009">
            <v>0</v>
          </cell>
          <cell r="BS1009">
            <v>0</v>
          </cell>
          <cell r="BU1009">
            <v>0</v>
          </cell>
          <cell r="BV1009">
            <v>0</v>
          </cell>
          <cell r="BW1009">
            <v>0</v>
          </cell>
          <cell r="BX1009">
            <v>0</v>
          </cell>
          <cell r="BY1009">
            <v>0</v>
          </cell>
          <cell r="BZ1009">
            <v>0</v>
          </cell>
          <cell r="CA1009">
            <v>0</v>
          </cell>
          <cell r="CB1009">
            <v>0</v>
          </cell>
          <cell r="CC1009">
            <v>0</v>
          </cell>
          <cell r="CE1009">
            <v>0</v>
          </cell>
          <cell r="CF1009">
            <v>0</v>
          </cell>
          <cell r="CG1009">
            <v>0</v>
          </cell>
          <cell r="CH1009">
            <v>0</v>
          </cell>
          <cell r="CI1009">
            <v>0</v>
          </cell>
          <cell r="CJ1009">
            <v>0</v>
          </cell>
          <cell r="CK1009">
            <v>0</v>
          </cell>
          <cell r="CL1009">
            <v>0</v>
          </cell>
          <cell r="CM1009">
            <v>0</v>
          </cell>
          <cell r="CO1009">
            <v>0</v>
          </cell>
          <cell r="CP1009">
            <v>0</v>
          </cell>
          <cell r="CQ1009">
            <v>0</v>
          </cell>
          <cell r="CR1009">
            <v>0</v>
          </cell>
          <cell r="CS1009">
            <v>0</v>
          </cell>
          <cell r="CT1009">
            <v>0</v>
          </cell>
          <cell r="CU1009">
            <v>0</v>
          </cell>
          <cell r="CV1009">
            <v>0</v>
          </cell>
          <cell r="CW1009">
            <v>0</v>
          </cell>
          <cell r="CY1009">
            <v>0</v>
          </cell>
          <cell r="CZ1009">
            <v>0</v>
          </cell>
          <cell r="DA1009">
            <v>0</v>
          </cell>
          <cell r="DB1009">
            <v>0</v>
          </cell>
          <cell r="DC1009">
            <v>0</v>
          </cell>
          <cell r="DD1009">
            <v>0</v>
          </cell>
          <cell r="DE1009">
            <v>0</v>
          </cell>
          <cell r="DF1009">
            <v>0</v>
          </cell>
          <cell r="DG1009">
            <v>0</v>
          </cell>
          <cell r="DI1009">
            <v>0</v>
          </cell>
          <cell r="DJ1009">
            <v>0</v>
          </cell>
          <cell r="DK1009">
            <v>0</v>
          </cell>
          <cell r="DL1009">
            <v>0</v>
          </cell>
          <cell r="DM1009">
            <v>0</v>
          </cell>
          <cell r="DN1009">
            <v>0</v>
          </cell>
          <cell r="DO1009">
            <v>0</v>
          </cell>
          <cell r="DP1009">
            <v>0</v>
          </cell>
          <cell r="DQ1009">
            <v>0</v>
          </cell>
          <cell r="DR1009">
            <v>0</v>
          </cell>
          <cell r="DS1009">
            <v>0</v>
          </cell>
          <cell r="DT1009">
            <v>0</v>
          </cell>
          <cell r="DU1009">
            <v>0</v>
          </cell>
          <cell r="DW1009">
            <v>0</v>
          </cell>
          <cell r="DX1009">
            <v>0</v>
          </cell>
          <cell r="DY1009">
            <v>0</v>
          </cell>
          <cell r="DZ1009">
            <v>0</v>
          </cell>
          <cell r="EA1009">
            <v>0</v>
          </cell>
          <cell r="EB1009">
            <v>0</v>
          </cell>
          <cell r="EC1009">
            <v>0</v>
          </cell>
          <cell r="ED1009">
            <v>0</v>
          </cell>
          <cell r="EE1009">
            <v>0</v>
          </cell>
          <cell r="EF1009">
            <v>0</v>
          </cell>
          <cell r="EG1009">
            <v>0</v>
          </cell>
          <cell r="EH1009">
            <v>0</v>
          </cell>
          <cell r="EI1009">
            <v>0</v>
          </cell>
          <cell r="EK1009">
            <v>0</v>
          </cell>
          <cell r="EL1009">
            <v>0</v>
          </cell>
          <cell r="EM1009">
            <v>0</v>
          </cell>
          <cell r="EN1009">
            <v>0</v>
          </cell>
          <cell r="EO1009">
            <v>0</v>
          </cell>
          <cell r="EP1009">
            <v>0</v>
          </cell>
          <cell r="EQ1009">
            <v>0</v>
          </cell>
          <cell r="ER1009">
            <v>0</v>
          </cell>
          <cell r="ES1009">
            <v>0</v>
          </cell>
          <cell r="ET1009">
            <v>0</v>
          </cell>
          <cell r="EU1009">
            <v>0</v>
          </cell>
          <cell r="EV1009">
            <v>0</v>
          </cell>
          <cell r="EW1009">
            <v>0</v>
          </cell>
          <cell r="EY1009">
            <v>0</v>
          </cell>
          <cell r="EZ1009">
            <v>8</v>
          </cell>
          <cell r="FA1009">
            <v>0</v>
          </cell>
          <cell r="FB1009">
            <v>0</v>
          </cell>
          <cell r="FC1009">
            <v>8.6</v>
          </cell>
          <cell r="FD1009">
            <v>0</v>
          </cell>
          <cell r="FE1009">
            <v>0</v>
          </cell>
          <cell r="FF1009">
            <v>0</v>
          </cell>
          <cell r="FH1009">
            <v>0</v>
          </cell>
        </row>
        <row r="1010">
          <cell r="B1010" t="str">
            <v>FP</v>
          </cell>
          <cell r="D1010" t="str">
            <v>Galande Ramesh B</v>
          </cell>
          <cell r="F1010">
            <v>0</v>
          </cell>
          <cell r="H1010">
            <v>0</v>
          </cell>
          <cell r="I1010">
            <v>0</v>
          </cell>
          <cell r="J1010">
            <v>0</v>
          </cell>
          <cell r="K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  <cell r="U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0</v>
          </cell>
          <cell r="AB1010">
            <v>0</v>
          </cell>
          <cell r="AC1010">
            <v>0</v>
          </cell>
          <cell r="AD1010">
            <v>0</v>
          </cell>
          <cell r="AE1010">
            <v>0</v>
          </cell>
          <cell r="AG1010">
            <v>0</v>
          </cell>
          <cell r="AH1010">
            <v>0</v>
          </cell>
          <cell r="AI1010">
            <v>0</v>
          </cell>
          <cell r="AJ1010">
            <v>0</v>
          </cell>
          <cell r="AK1010">
            <v>0</v>
          </cell>
          <cell r="AL1010">
            <v>0</v>
          </cell>
          <cell r="AM1010">
            <v>0</v>
          </cell>
          <cell r="AN1010">
            <v>0</v>
          </cell>
          <cell r="AO1010">
            <v>0</v>
          </cell>
          <cell r="AQ1010">
            <v>0</v>
          </cell>
          <cell r="AR1010">
            <v>0</v>
          </cell>
          <cell r="AS1010">
            <v>0</v>
          </cell>
          <cell r="AT1010">
            <v>0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BA1010">
            <v>0</v>
          </cell>
          <cell r="BB1010">
            <v>0</v>
          </cell>
          <cell r="BC1010">
            <v>0</v>
          </cell>
          <cell r="BD1010">
            <v>0</v>
          </cell>
          <cell r="BE1010">
            <v>0</v>
          </cell>
          <cell r="BF1010">
            <v>0</v>
          </cell>
          <cell r="BG1010">
            <v>0</v>
          </cell>
          <cell r="BH1010">
            <v>0</v>
          </cell>
          <cell r="BI1010">
            <v>0</v>
          </cell>
          <cell r="BK1010">
            <v>0</v>
          </cell>
          <cell r="BL1010">
            <v>0</v>
          </cell>
          <cell r="BM1010">
            <v>0</v>
          </cell>
          <cell r="BN1010">
            <v>0</v>
          </cell>
          <cell r="BO1010">
            <v>0</v>
          </cell>
          <cell r="BP1010">
            <v>0</v>
          </cell>
          <cell r="BQ1010">
            <v>0</v>
          </cell>
          <cell r="BR1010">
            <v>0</v>
          </cell>
          <cell r="BS1010">
            <v>0</v>
          </cell>
          <cell r="BU1010">
            <v>0</v>
          </cell>
          <cell r="BV1010">
            <v>0</v>
          </cell>
          <cell r="BW1010">
            <v>0</v>
          </cell>
          <cell r="BX1010">
            <v>0</v>
          </cell>
          <cell r="BY1010">
            <v>0</v>
          </cell>
          <cell r="BZ1010">
            <v>0</v>
          </cell>
          <cell r="CA1010">
            <v>0</v>
          </cell>
          <cell r="CB1010">
            <v>0</v>
          </cell>
          <cell r="CC1010">
            <v>0</v>
          </cell>
          <cell r="CE1010">
            <v>0</v>
          </cell>
          <cell r="CF1010">
            <v>0</v>
          </cell>
          <cell r="CG1010">
            <v>0</v>
          </cell>
          <cell r="CH1010">
            <v>0</v>
          </cell>
          <cell r="CI1010">
            <v>0</v>
          </cell>
          <cell r="CJ1010">
            <v>0</v>
          </cell>
          <cell r="CK1010">
            <v>0</v>
          </cell>
          <cell r="CL1010">
            <v>0</v>
          </cell>
          <cell r="CM1010">
            <v>0</v>
          </cell>
          <cell r="CO1010">
            <v>0</v>
          </cell>
          <cell r="CP1010">
            <v>0</v>
          </cell>
          <cell r="CQ1010">
            <v>0</v>
          </cell>
          <cell r="CR1010">
            <v>0</v>
          </cell>
          <cell r="CS1010">
            <v>0</v>
          </cell>
          <cell r="CT1010">
            <v>0</v>
          </cell>
          <cell r="CU1010">
            <v>0</v>
          </cell>
          <cell r="CV1010">
            <v>0</v>
          </cell>
          <cell r="CW1010">
            <v>0</v>
          </cell>
          <cell r="CY1010">
            <v>0</v>
          </cell>
          <cell r="CZ1010">
            <v>0</v>
          </cell>
          <cell r="DA1010">
            <v>0</v>
          </cell>
          <cell r="DB1010">
            <v>0</v>
          </cell>
          <cell r="DC1010">
            <v>0</v>
          </cell>
          <cell r="DD1010">
            <v>0</v>
          </cell>
          <cell r="DE1010">
            <v>0</v>
          </cell>
          <cell r="DF1010">
            <v>0</v>
          </cell>
          <cell r="DG1010">
            <v>0</v>
          </cell>
          <cell r="DI1010">
            <v>0</v>
          </cell>
          <cell r="DJ1010">
            <v>0</v>
          </cell>
          <cell r="DK1010">
            <v>0</v>
          </cell>
          <cell r="DL1010">
            <v>0</v>
          </cell>
          <cell r="DM1010">
            <v>0</v>
          </cell>
          <cell r="DN1010">
            <v>0</v>
          </cell>
          <cell r="DO1010">
            <v>0</v>
          </cell>
          <cell r="DP1010">
            <v>0</v>
          </cell>
          <cell r="DQ1010">
            <v>0</v>
          </cell>
          <cell r="DR1010">
            <v>0</v>
          </cell>
          <cell r="DS1010">
            <v>0</v>
          </cell>
          <cell r="DT1010">
            <v>0</v>
          </cell>
          <cell r="DU1010">
            <v>0</v>
          </cell>
          <cell r="DW1010">
            <v>0</v>
          </cell>
          <cell r="DX1010">
            <v>0</v>
          </cell>
          <cell r="DY1010">
            <v>0</v>
          </cell>
          <cell r="DZ1010">
            <v>0</v>
          </cell>
          <cell r="EA1010">
            <v>0</v>
          </cell>
          <cell r="EB1010">
            <v>0</v>
          </cell>
          <cell r="EC1010">
            <v>0</v>
          </cell>
          <cell r="ED1010">
            <v>0</v>
          </cell>
          <cell r="EE1010">
            <v>0</v>
          </cell>
          <cell r="EF1010">
            <v>0</v>
          </cell>
          <cell r="EG1010">
            <v>0</v>
          </cell>
          <cell r="EH1010">
            <v>0</v>
          </cell>
          <cell r="EI1010">
            <v>0</v>
          </cell>
          <cell r="EK1010">
            <v>0</v>
          </cell>
          <cell r="EL1010">
            <v>0</v>
          </cell>
          <cell r="EM1010">
            <v>0</v>
          </cell>
          <cell r="EN1010">
            <v>0</v>
          </cell>
          <cell r="EO1010">
            <v>0</v>
          </cell>
          <cell r="EP1010">
            <v>0</v>
          </cell>
          <cell r="EQ1010">
            <v>0</v>
          </cell>
          <cell r="ER1010">
            <v>0</v>
          </cell>
          <cell r="ES1010">
            <v>0</v>
          </cell>
          <cell r="ET1010">
            <v>0</v>
          </cell>
          <cell r="EU1010">
            <v>0</v>
          </cell>
          <cell r="EV1010">
            <v>0</v>
          </cell>
          <cell r="EW1010">
            <v>0</v>
          </cell>
          <cell r="EY1010">
            <v>0</v>
          </cell>
          <cell r="EZ1010">
            <v>8</v>
          </cell>
          <cell r="FA1010">
            <v>0</v>
          </cell>
          <cell r="FB1010">
            <v>0</v>
          </cell>
          <cell r="FC1010">
            <v>8.6</v>
          </cell>
          <cell r="FD1010">
            <v>0</v>
          </cell>
          <cell r="FE1010">
            <v>0</v>
          </cell>
          <cell r="FF1010">
            <v>0</v>
          </cell>
          <cell r="FH1010">
            <v>0</v>
          </cell>
        </row>
        <row r="1011">
          <cell r="B1011" t="str">
            <v>FP</v>
          </cell>
          <cell r="D1011" t="str">
            <v>Kulkarni Vijay K</v>
          </cell>
          <cell r="F1011">
            <v>0</v>
          </cell>
          <cell r="H1011">
            <v>0</v>
          </cell>
          <cell r="I1011">
            <v>0</v>
          </cell>
          <cell r="J1011">
            <v>0</v>
          </cell>
          <cell r="K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0</v>
          </cell>
          <cell r="AB1011">
            <v>0</v>
          </cell>
          <cell r="AC1011">
            <v>0</v>
          </cell>
          <cell r="AD1011">
            <v>0</v>
          </cell>
          <cell r="AE1011">
            <v>0</v>
          </cell>
          <cell r="AG1011">
            <v>0</v>
          </cell>
          <cell r="AH1011">
            <v>0</v>
          </cell>
          <cell r="AI1011">
            <v>0</v>
          </cell>
          <cell r="AJ1011">
            <v>0</v>
          </cell>
          <cell r="AK1011">
            <v>0</v>
          </cell>
          <cell r="AL1011">
            <v>0</v>
          </cell>
          <cell r="AM1011">
            <v>0</v>
          </cell>
          <cell r="AN1011">
            <v>0</v>
          </cell>
          <cell r="AO1011">
            <v>0</v>
          </cell>
          <cell r="AQ1011">
            <v>0</v>
          </cell>
          <cell r="AR1011">
            <v>0</v>
          </cell>
          <cell r="AS1011">
            <v>0</v>
          </cell>
          <cell r="AT1011">
            <v>0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BA1011">
            <v>0</v>
          </cell>
          <cell r="BB1011">
            <v>0</v>
          </cell>
          <cell r="BC1011">
            <v>0</v>
          </cell>
          <cell r="BD1011">
            <v>0</v>
          </cell>
          <cell r="BE1011">
            <v>0</v>
          </cell>
          <cell r="BF1011">
            <v>0</v>
          </cell>
          <cell r="BG1011">
            <v>0</v>
          </cell>
          <cell r="BH1011">
            <v>0</v>
          </cell>
          <cell r="BI1011">
            <v>0</v>
          </cell>
          <cell r="BK1011">
            <v>0</v>
          </cell>
          <cell r="BL1011">
            <v>0</v>
          </cell>
          <cell r="BM1011">
            <v>0</v>
          </cell>
          <cell r="BN1011">
            <v>0</v>
          </cell>
          <cell r="BO1011">
            <v>0</v>
          </cell>
          <cell r="BP1011">
            <v>0</v>
          </cell>
          <cell r="BQ1011">
            <v>0</v>
          </cell>
          <cell r="BR1011">
            <v>0</v>
          </cell>
          <cell r="BS1011">
            <v>0</v>
          </cell>
          <cell r="BU1011">
            <v>0</v>
          </cell>
          <cell r="BV1011">
            <v>0</v>
          </cell>
          <cell r="BW1011">
            <v>0</v>
          </cell>
          <cell r="BX1011">
            <v>0</v>
          </cell>
          <cell r="BY1011">
            <v>0</v>
          </cell>
          <cell r="BZ1011">
            <v>0</v>
          </cell>
          <cell r="CA1011">
            <v>0</v>
          </cell>
          <cell r="CB1011">
            <v>0</v>
          </cell>
          <cell r="CC1011">
            <v>0</v>
          </cell>
          <cell r="CE1011">
            <v>0</v>
          </cell>
          <cell r="CF1011">
            <v>0</v>
          </cell>
          <cell r="CG1011">
            <v>0</v>
          </cell>
          <cell r="CH1011">
            <v>0</v>
          </cell>
          <cell r="CI1011">
            <v>0</v>
          </cell>
          <cell r="CJ1011">
            <v>0</v>
          </cell>
          <cell r="CK1011">
            <v>0</v>
          </cell>
          <cell r="CL1011">
            <v>0</v>
          </cell>
          <cell r="CM1011">
            <v>0</v>
          </cell>
          <cell r="CO1011">
            <v>0</v>
          </cell>
          <cell r="CP1011">
            <v>0</v>
          </cell>
          <cell r="CQ1011">
            <v>0</v>
          </cell>
          <cell r="CR1011">
            <v>0</v>
          </cell>
          <cell r="CS1011">
            <v>0</v>
          </cell>
          <cell r="CT1011">
            <v>0</v>
          </cell>
          <cell r="CU1011">
            <v>0</v>
          </cell>
          <cell r="CV1011">
            <v>0</v>
          </cell>
          <cell r="CW1011">
            <v>0</v>
          </cell>
          <cell r="CY1011">
            <v>0</v>
          </cell>
          <cell r="CZ1011">
            <v>0</v>
          </cell>
          <cell r="DA1011">
            <v>0</v>
          </cell>
          <cell r="DB1011">
            <v>0</v>
          </cell>
          <cell r="DC1011">
            <v>0</v>
          </cell>
          <cell r="DD1011">
            <v>0</v>
          </cell>
          <cell r="DE1011">
            <v>0</v>
          </cell>
          <cell r="DF1011">
            <v>0</v>
          </cell>
          <cell r="DG1011">
            <v>0</v>
          </cell>
          <cell r="DI1011">
            <v>0</v>
          </cell>
          <cell r="DJ1011">
            <v>0</v>
          </cell>
          <cell r="DK1011">
            <v>0</v>
          </cell>
          <cell r="DL1011">
            <v>0</v>
          </cell>
          <cell r="DM1011">
            <v>0</v>
          </cell>
          <cell r="DN1011">
            <v>0</v>
          </cell>
          <cell r="DO1011">
            <v>0</v>
          </cell>
          <cell r="DP1011">
            <v>0</v>
          </cell>
          <cell r="DQ1011">
            <v>0</v>
          </cell>
          <cell r="DR1011">
            <v>0</v>
          </cell>
          <cell r="DS1011">
            <v>0</v>
          </cell>
          <cell r="DT1011">
            <v>0</v>
          </cell>
          <cell r="DU1011">
            <v>0</v>
          </cell>
          <cell r="DW1011">
            <v>0</v>
          </cell>
          <cell r="DX1011">
            <v>0</v>
          </cell>
          <cell r="DY1011">
            <v>0</v>
          </cell>
          <cell r="DZ1011">
            <v>0</v>
          </cell>
          <cell r="EA1011">
            <v>0</v>
          </cell>
          <cell r="EB1011">
            <v>0</v>
          </cell>
          <cell r="EC1011">
            <v>0</v>
          </cell>
          <cell r="ED1011">
            <v>0</v>
          </cell>
          <cell r="EE1011">
            <v>0</v>
          </cell>
          <cell r="EF1011">
            <v>0</v>
          </cell>
          <cell r="EG1011">
            <v>0</v>
          </cell>
          <cell r="EH1011">
            <v>0</v>
          </cell>
          <cell r="EI1011">
            <v>0</v>
          </cell>
          <cell r="EK1011">
            <v>0</v>
          </cell>
          <cell r="EL1011">
            <v>0</v>
          </cell>
          <cell r="EM1011">
            <v>0</v>
          </cell>
          <cell r="EN1011">
            <v>0</v>
          </cell>
          <cell r="EO1011">
            <v>0</v>
          </cell>
          <cell r="EP1011">
            <v>0</v>
          </cell>
          <cell r="EQ1011">
            <v>0</v>
          </cell>
          <cell r="ER1011">
            <v>0</v>
          </cell>
          <cell r="ES1011">
            <v>0</v>
          </cell>
          <cell r="ET1011">
            <v>0</v>
          </cell>
          <cell r="EU1011">
            <v>0</v>
          </cell>
          <cell r="EV1011">
            <v>0</v>
          </cell>
          <cell r="EW1011">
            <v>0</v>
          </cell>
          <cell r="EY1011">
            <v>0</v>
          </cell>
          <cell r="EZ1011">
            <v>8</v>
          </cell>
          <cell r="FA1011">
            <v>0</v>
          </cell>
          <cell r="FB1011">
            <v>0</v>
          </cell>
          <cell r="FC1011">
            <v>8.6</v>
          </cell>
          <cell r="FD1011">
            <v>0</v>
          </cell>
          <cell r="FE1011">
            <v>0</v>
          </cell>
          <cell r="FF1011">
            <v>0</v>
          </cell>
          <cell r="FH1011">
            <v>0</v>
          </cell>
        </row>
        <row r="1012">
          <cell r="B1012" t="str">
            <v>FP</v>
          </cell>
          <cell r="D1012" t="str">
            <v>Maru Harish</v>
          </cell>
          <cell r="F1012">
            <v>0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  <cell r="S1012">
            <v>0</v>
          </cell>
          <cell r="T1012">
            <v>0</v>
          </cell>
          <cell r="U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B1012">
            <v>0</v>
          </cell>
          <cell r="AC1012">
            <v>0</v>
          </cell>
          <cell r="AD1012">
            <v>0</v>
          </cell>
          <cell r="AE1012">
            <v>0</v>
          </cell>
          <cell r="AG1012">
            <v>0</v>
          </cell>
          <cell r="AH1012">
            <v>0</v>
          </cell>
          <cell r="AI1012">
            <v>0</v>
          </cell>
          <cell r="AJ1012">
            <v>0</v>
          </cell>
          <cell r="AK1012">
            <v>0</v>
          </cell>
          <cell r="AL1012">
            <v>0</v>
          </cell>
          <cell r="AM1012">
            <v>0</v>
          </cell>
          <cell r="AN1012">
            <v>0</v>
          </cell>
          <cell r="AO1012">
            <v>0</v>
          </cell>
          <cell r="AQ1012">
            <v>0</v>
          </cell>
          <cell r="AR1012">
            <v>0</v>
          </cell>
          <cell r="AS1012">
            <v>0</v>
          </cell>
          <cell r="AT1012">
            <v>0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BA1012">
            <v>0</v>
          </cell>
          <cell r="BB1012">
            <v>0</v>
          </cell>
          <cell r="BC1012">
            <v>0</v>
          </cell>
          <cell r="BD1012">
            <v>0</v>
          </cell>
          <cell r="BE1012">
            <v>0</v>
          </cell>
          <cell r="BF1012">
            <v>0</v>
          </cell>
          <cell r="BG1012">
            <v>0</v>
          </cell>
          <cell r="BH1012">
            <v>0</v>
          </cell>
          <cell r="BI1012">
            <v>0</v>
          </cell>
          <cell r="BK1012">
            <v>0</v>
          </cell>
          <cell r="BL1012">
            <v>0</v>
          </cell>
          <cell r="BM1012">
            <v>0</v>
          </cell>
          <cell r="BN1012">
            <v>0</v>
          </cell>
          <cell r="BO1012">
            <v>0</v>
          </cell>
          <cell r="BP1012">
            <v>0</v>
          </cell>
          <cell r="BQ1012">
            <v>0</v>
          </cell>
          <cell r="BR1012">
            <v>0</v>
          </cell>
          <cell r="BS1012">
            <v>0</v>
          </cell>
          <cell r="BU1012">
            <v>0</v>
          </cell>
          <cell r="BV1012">
            <v>0</v>
          </cell>
          <cell r="BW1012">
            <v>0</v>
          </cell>
          <cell r="BX1012">
            <v>0</v>
          </cell>
          <cell r="BY1012">
            <v>0</v>
          </cell>
          <cell r="BZ1012">
            <v>0</v>
          </cell>
          <cell r="CA1012">
            <v>0</v>
          </cell>
          <cell r="CB1012">
            <v>0</v>
          </cell>
          <cell r="CC1012">
            <v>0</v>
          </cell>
          <cell r="CE1012">
            <v>0</v>
          </cell>
          <cell r="CF1012">
            <v>0</v>
          </cell>
          <cell r="CG1012">
            <v>0</v>
          </cell>
          <cell r="CH1012">
            <v>0</v>
          </cell>
          <cell r="CI1012">
            <v>0</v>
          </cell>
          <cell r="CJ1012">
            <v>0</v>
          </cell>
          <cell r="CK1012">
            <v>0</v>
          </cell>
          <cell r="CL1012">
            <v>0</v>
          </cell>
          <cell r="CM1012">
            <v>0</v>
          </cell>
          <cell r="CO1012">
            <v>0</v>
          </cell>
          <cell r="CP1012">
            <v>0</v>
          </cell>
          <cell r="CQ1012">
            <v>0</v>
          </cell>
          <cell r="CR1012">
            <v>0</v>
          </cell>
          <cell r="CS1012">
            <v>0</v>
          </cell>
          <cell r="CT1012">
            <v>0</v>
          </cell>
          <cell r="CU1012">
            <v>0</v>
          </cell>
          <cell r="CV1012">
            <v>0</v>
          </cell>
          <cell r="CW1012">
            <v>0</v>
          </cell>
          <cell r="CY1012">
            <v>0</v>
          </cell>
          <cell r="CZ1012">
            <v>0</v>
          </cell>
          <cell r="DA1012">
            <v>0</v>
          </cell>
          <cell r="DB1012">
            <v>0</v>
          </cell>
          <cell r="DC1012">
            <v>0</v>
          </cell>
          <cell r="DD1012">
            <v>0</v>
          </cell>
          <cell r="DE1012">
            <v>0</v>
          </cell>
          <cell r="DF1012">
            <v>0</v>
          </cell>
          <cell r="DG1012">
            <v>0</v>
          </cell>
          <cell r="DI1012">
            <v>0</v>
          </cell>
          <cell r="DJ1012">
            <v>0</v>
          </cell>
          <cell r="DK1012">
            <v>0</v>
          </cell>
          <cell r="DL1012">
            <v>0</v>
          </cell>
          <cell r="DM1012">
            <v>0</v>
          </cell>
          <cell r="DN1012">
            <v>0</v>
          </cell>
          <cell r="DO1012">
            <v>0</v>
          </cell>
          <cell r="DP1012">
            <v>0</v>
          </cell>
          <cell r="DQ1012">
            <v>0</v>
          </cell>
          <cell r="DR1012">
            <v>0</v>
          </cell>
          <cell r="DS1012">
            <v>0</v>
          </cell>
          <cell r="DT1012">
            <v>0</v>
          </cell>
          <cell r="DU1012">
            <v>0</v>
          </cell>
          <cell r="DW1012">
            <v>0</v>
          </cell>
          <cell r="DX1012">
            <v>0</v>
          </cell>
          <cell r="DY1012">
            <v>0</v>
          </cell>
          <cell r="DZ1012">
            <v>0</v>
          </cell>
          <cell r="EA1012">
            <v>0</v>
          </cell>
          <cell r="EB1012">
            <v>0</v>
          </cell>
          <cell r="EC1012">
            <v>0</v>
          </cell>
          <cell r="ED1012">
            <v>0</v>
          </cell>
          <cell r="EE1012">
            <v>0</v>
          </cell>
          <cell r="EF1012">
            <v>0</v>
          </cell>
          <cell r="EG1012">
            <v>0</v>
          </cell>
          <cell r="EH1012">
            <v>0</v>
          </cell>
          <cell r="EI1012">
            <v>0</v>
          </cell>
          <cell r="EK1012">
            <v>0</v>
          </cell>
          <cell r="EL1012">
            <v>0</v>
          </cell>
          <cell r="EM1012">
            <v>0</v>
          </cell>
          <cell r="EN1012">
            <v>0</v>
          </cell>
          <cell r="EO1012">
            <v>0</v>
          </cell>
          <cell r="EP1012">
            <v>0</v>
          </cell>
          <cell r="EQ1012">
            <v>0</v>
          </cell>
          <cell r="ER1012">
            <v>0</v>
          </cell>
          <cell r="ES1012">
            <v>0</v>
          </cell>
          <cell r="ET1012">
            <v>0</v>
          </cell>
          <cell r="EU1012">
            <v>0</v>
          </cell>
          <cell r="EV1012">
            <v>0</v>
          </cell>
          <cell r="EW1012">
            <v>0</v>
          </cell>
          <cell r="EY1012">
            <v>0</v>
          </cell>
          <cell r="EZ1012">
            <v>8</v>
          </cell>
          <cell r="FA1012">
            <v>0</v>
          </cell>
          <cell r="FB1012">
            <v>0</v>
          </cell>
          <cell r="FC1012">
            <v>8.6</v>
          </cell>
          <cell r="FD1012">
            <v>0</v>
          </cell>
          <cell r="FE1012">
            <v>0</v>
          </cell>
          <cell r="FF1012">
            <v>0</v>
          </cell>
          <cell r="FH1012">
            <v>0</v>
          </cell>
        </row>
        <row r="1013">
          <cell r="B1013" t="str">
            <v>FP</v>
          </cell>
          <cell r="D1013" t="str">
            <v>Chavan Jagdish R</v>
          </cell>
          <cell r="F1013">
            <v>0</v>
          </cell>
          <cell r="H1013">
            <v>0</v>
          </cell>
          <cell r="I1013">
            <v>0</v>
          </cell>
          <cell r="J1013">
            <v>0</v>
          </cell>
          <cell r="K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R1013">
            <v>0</v>
          </cell>
          <cell r="S1013">
            <v>0</v>
          </cell>
          <cell r="T1013">
            <v>0</v>
          </cell>
          <cell r="U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>
            <v>0</v>
          </cell>
          <cell r="AB1013">
            <v>0</v>
          </cell>
          <cell r="AC1013">
            <v>0</v>
          </cell>
          <cell r="AD1013">
            <v>0</v>
          </cell>
          <cell r="AE1013">
            <v>0</v>
          </cell>
          <cell r="AG1013">
            <v>0</v>
          </cell>
          <cell r="AH1013">
            <v>0</v>
          </cell>
          <cell r="AI1013">
            <v>0</v>
          </cell>
          <cell r="AJ1013">
            <v>0</v>
          </cell>
          <cell r="AK1013">
            <v>0</v>
          </cell>
          <cell r="AL1013">
            <v>0</v>
          </cell>
          <cell r="AM1013">
            <v>0</v>
          </cell>
          <cell r="AN1013">
            <v>0</v>
          </cell>
          <cell r="AO1013">
            <v>0</v>
          </cell>
          <cell r="AQ1013">
            <v>0</v>
          </cell>
          <cell r="AR1013">
            <v>0</v>
          </cell>
          <cell r="AS1013">
            <v>0</v>
          </cell>
          <cell r="AT1013">
            <v>0</v>
          </cell>
          <cell r="AU1013">
            <v>0</v>
          </cell>
          <cell r="AV1013">
            <v>0</v>
          </cell>
          <cell r="AW1013">
            <v>0</v>
          </cell>
          <cell r="AX1013">
            <v>0</v>
          </cell>
          <cell r="AY1013">
            <v>0</v>
          </cell>
          <cell r="BA1013">
            <v>0</v>
          </cell>
          <cell r="BB1013">
            <v>0</v>
          </cell>
          <cell r="BC1013">
            <v>0</v>
          </cell>
          <cell r="BD1013">
            <v>0</v>
          </cell>
          <cell r="BE1013">
            <v>0</v>
          </cell>
          <cell r="BF1013">
            <v>0</v>
          </cell>
          <cell r="BG1013">
            <v>0</v>
          </cell>
          <cell r="BH1013">
            <v>0</v>
          </cell>
          <cell r="BI1013">
            <v>0</v>
          </cell>
          <cell r="BK1013">
            <v>0</v>
          </cell>
          <cell r="BL1013">
            <v>0</v>
          </cell>
          <cell r="BM1013">
            <v>0</v>
          </cell>
          <cell r="BN1013">
            <v>0</v>
          </cell>
          <cell r="BO1013">
            <v>0</v>
          </cell>
          <cell r="BP1013">
            <v>0</v>
          </cell>
          <cell r="BQ1013">
            <v>0</v>
          </cell>
          <cell r="BR1013">
            <v>0</v>
          </cell>
          <cell r="BS1013">
            <v>0</v>
          </cell>
          <cell r="BU1013">
            <v>0</v>
          </cell>
          <cell r="BV1013">
            <v>0</v>
          </cell>
          <cell r="BW1013">
            <v>0</v>
          </cell>
          <cell r="BX1013">
            <v>0</v>
          </cell>
          <cell r="BY1013">
            <v>0</v>
          </cell>
          <cell r="BZ1013">
            <v>0</v>
          </cell>
          <cell r="CA1013">
            <v>0</v>
          </cell>
          <cell r="CB1013">
            <v>0</v>
          </cell>
          <cell r="CC1013">
            <v>0</v>
          </cell>
          <cell r="CE1013">
            <v>0</v>
          </cell>
          <cell r="CF1013">
            <v>0</v>
          </cell>
          <cell r="CG1013">
            <v>0</v>
          </cell>
          <cell r="CH1013">
            <v>0</v>
          </cell>
          <cell r="CI1013">
            <v>0</v>
          </cell>
          <cell r="CJ1013">
            <v>0</v>
          </cell>
          <cell r="CK1013">
            <v>0</v>
          </cell>
          <cell r="CL1013">
            <v>0</v>
          </cell>
          <cell r="CM1013">
            <v>0</v>
          </cell>
          <cell r="CO1013">
            <v>0</v>
          </cell>
          <cell r="CP1013">
            <v>0</v>
          </cell>
          <cell r="CQ1013">
            <v>0</v>
          </cell>
          <cell r="CR1013">
            <v>0</v>
          </cell>
          <cell r="CS1013">
            <v>0</v>
          </cell>
          <cell r="CT1013">
            <v>0</v>
          </cell>
          <cell r="CU1013">
            <v>0</v>
          </cell>
          <cell r="CV1013">
            <v>0</v>
          </cell>
          <cell r="CW1013">
            <v>0</v>
          </cell>
          <cell r="CY1013">
            <v>0</v>
          </cell>
          <cell r="CZ1013">
            <v>0</v>
          </cell>
          <cell r="DA1013">
            <v>0</v>
          </cell>
          <cell r="DB1013">
            <v>0</v>
          </cell>
          <cell r="DC1013">
            <v>0</v>
          </cell>
          <cell r="DD1013">
            <v>0</v>
          </cell>
          <cell r="DE1013">
            <v>0</v>
          </cell>
          <cell r="DF1013">
            <v>0</v>
          </cell>
          <cell r="DG1013">
            <v>0</v>
          </cell>
          <cell r="DI1013">
            <v>0</v>
          </cell>
          <cell r="DJ1013">
            <v>0</v>
          </cell>
          <cell r="DK1013">
            <v>0</v>
          </cell>
          <cell r="DL1013">
            <v>0</v>
          </cell>
          <cell r="DM1013">
            <v>0</v>
          </cell>
          <cell r="DN1013">
            <v>0</v>
          </cell>
          <cell r="DO1013">
            <v>0</v>
          </cell>
          <cell r="DP1013">
            <v>0</v>
          </cell>
          <cell r="DQ1013">
            <v>0</v>
          </cell>
          <cell r="DR1013">
            <v>0</v>
          </cell>
          <cell r="DS1013">
            <v>0</v>
          </cell>
          <cell r="DT1013">
            <v>0</v>
          </cell>
          <cell r="DU1013">
            <v>0</v>
          </cell>
          <cell r="DW1013">
            <v>0</v>
          </cell>
          <cell r="DX1013">
            <v>0</v>
          </cell>
          <cell r="DY1013">
            <v>0</v>
          </cell>
          <cell r="DZ1013">
            <v>0</v>
          </cell>
          <cell r="EA1013">
            <v>0</v>
          </cell>
          <cell r="EB1013">
            <v>0</v>
          </cell>
          <cell r="EC1013">
            <v>0</v>
          </cell>
          <cell r="ED1013">
            <v>0</v>
          </cell>
          <cell r="EE1013">
            <v>0</v>
          </cell>
          <cell r="EF1013">
            <v>0</v>
          </cell>
          <cell r="EG1013">
            <v>0</v>
          </cell>
          <cell r="EH1013">
            <v>0</v>
          </cell>
          <cell r="EI1013">
            <v>0</v>
          </cell>
          <cell r="EK1013">
            <v>0</v>
          </cell>
          <cell r="EL1013">
            <v>0</v>
          </cell>
          <cell r="EM1013">
            <v>0</v>
          </cell>
          <cell r="EN1013">
            <v>0</v>
          </cell>
          <cell r="EO1013">
            <v>0</v>
          </cell>
          <cell r="EP1013">
            <v>0</v>
          </cell>
          <cell r="EQ1013">
            <v>0</v>
          </cell>
          <cell r="ER1013">
            <v>0</v>
          </cell>
          <cell r="ES1013">
            <v>0</v>
          </cell>
          <cell r="ET1013">
            <v>0</v>
          </cell>
          <cell r="EU1013">
            <v>0</v>
          </cell>
          <cell r="EV1013">
            <v>0</v>
          </cell>
          <cell r="EW1013">
            <v>0</v>
          </cell>
          <cell r="EY1013">
            <v>0</v>
          </cell>
          <cell r="EZ1013">
            <v>8</v>
          </cell>
          <cell r="FA1013">
            <v>0</v>
          </cell>
          <cell r="FB1013">
            <v>0</v>
          </cell>
          <cell r="FC1013">
            <v>8.6</v>
          </cell>
          <cell r="FD1013">
            <v>0</v>
          </cell>
          <cell r="FE1013">
            <v>0</v>
          </cell>
          <cell r="FF1013">
            <v>0</v>
          </cell>
          <cell r="FH1013">
            <v>0</v>
          </cell>
        </row>
        <row r="1014">
          <cell r="B1014">
            <v>7852</v>
          </cell>
          <cell r="C1014" t="str">
            <v>21.08.2002</v>
          </cell>
          <cell r="D1014" t="str">
            <v>Kale Shravan Raghunath</v>
          </cell>
          <cell r="F1014">
            <v>0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  <cell r="AG1014">
            <v>0</v>
          </cell>
          <cell r="AH1014">
            <v>0</v>
          </cell>
          <cell r="AI1014">
            <v>0</v>
          </cell>
          <cell r="AJ1014">
            <v>0</v>
          </cell>
          <cell r="AK1014">
            <v>0</v>
          </cell>
          <cell r="AL1014">
            <v>0</v>
          </cell>
          <cell r="AM1014">
            <v>0</v>
          </cell>
          <cell r="AN1014">
            <v>0</v>
          </cell>
          <cell r="AO1014">
            <v>0</v>
          </cell>
          <cell r="AQ1014">
            <v>0</v>
          </cell>
          <cell r="AR1014">
            <v>0</v>
          </cell>
          <cell r="AS1014">
            <v>0</v>
          </cell>
          <cell r="AT1014">
            <v>0</v>
          </cell>
          <cell r="AU1014">
            <v>0</v>
          </cell>
          <cell r="AV1014">
            <v>0</v>
          </cell>
          <cell r="AW1014">
            <v>0</v>
          </cell>
          <cell r="AX1014">
            <v>0</v>
          </cell>
          <cell r="AY1014">
            <v>0</v>
          </cell>
          <cell r="BA1014">
            <v>0</v>
          </cell>
          <cell r="BB1014">
            <v>0</v>
          </cell>
          <cell r="BC1014">
            <v>0</v>
          </cell>
          <cell r="BD1014">
            <v>0</v>
          </cell>
          <cell r="BE1014">
            <v>0</v>
          </cell>
          <cell r="BF1014">
            <v>0</v>
          </cell>
          <cell r="BG1014">
            <v>0</v>
          </cell>
          <cell r="BH1014">
            <v>0</v>
          </cell>
          <cell r="BI1014">
            <v>0</v>
          </cell>
          <cell r="BK1014">
            <v>0</v>
          </cell>
          <cell r="BL1014">
            <v>0</v>
          </cell>
          <cell r="BM1014">
            <v>0</v>
          </cell>
          <cell r="BN1014">
            <v>0</v>
          </cell>
          <cell r="BO1014">
            <v>0</v>
          </cell>
          <cell r="BP1014">
            <v>0</v>
          </cell>
          <cell r="BQ1014">
            <v>0</v>
          </cell>
          <cell r="BR1014">
            <v>0</v>
          </cell>
          <cell r="BS1014">
            <v>0</v>
          </cell>
          <cell r="BU1014">
            <v>0</v>
          </cell>
          <cell r="BV1014">
            <v>0</v>
          </cell>
          <cell r="BW1014">
            <v>0</v>
          </cell>
          <cell r="BX1014">
            <v>0</v>
          </cell>
          <cell r="BY1014">
            <v>0</v>
          </cell>
          <cell r="BZ1014">
            <v>0</v>
          </cell>
          <cell r="CA1014">
            <v>0</v>
          </cell>
          <cell r="CB1014">
            <v>0</v>
          </cell>
          <cell r="CC1014">
            <v>0</v>
          </cell>
          <cell r="CE1014">
            <v>0</v>
          </cell>
          <cell r="CF1014">
            <v>0</v>
          </cell>
          <cell r="CG1014">
            <v>0</v>
          </cell>
          <cell r="CH1014">
            <v>0</v>
          </cell>
          <cell r="CI1014">
            <v>0</v>
          </cell>
          <cell r="CJ1014">
            <v>0</v>
          </cell>
          <cell r="CK1014">
            <v>0</v>
          </cell>
          <cell r="CL1014">
            <v>0</v>
          </cell>
          <cell r="CM1014">
            <v>0</v>
          </cell>
          <cell r="CO1014">
            <v>0</v>
          </cell>
          <cell r="CP1014">
            <v>0</v>
          </cell>
          <cell r="CQ1014">
            <v>0</v>
          </cell>
          <cell r="CR1014">
            <v>0</v>
          </cell>
          <cell r="CS1014">
            <v>0</v>
          </cell>
          <cell r="CT1014">
            <v>0</v>
          </cell>
          <cell r="CU1014">
            <v>0</v>
          </cell>
          <cell r="CV1014">
            <v>0</v>
          </cell>
          <cell r="CW1014">
            <v>0</v>
          </cell>
          <cell r="CY1014">
            <v>0</v>
          </cell>
          <cell r="CZ1014">
            <v>0</v>
          </cell>
          <cell r="DA1014">
            <v>0</v>
          </cell>
          <cell r="DB1014">
            <v>0</v>
          </cell>
          <cell r="DC1014">
            <v>0</v>
          </cell>
          <cell r="DD1014">
            <v>0</v>
          </cell>
          <cell r="DE1014">
            <v>0</v>
          </cell>
          <cell r="DF1014">
            <v>0</v>
          </cell>
          <cell r="DG1014">
            <v>0</v>
          </cell>
          <cell r="DI1014">
            <v>0</v>
          </cell>
          <cell r="DJ1014">
            <v>0</v>
          </cell>
          <cell r="DK1014">
            <v>0</v>
          </cell>
          <cell r="DL1014">
            <v>0</v>
          </cell>
          <cell r="DM1014">
            <v>0</v>
          </cell>
          <cell r="DN1014">
            <v>0</v>
          </cell>
          <cell r="DO1014">
            <v>0</v>
          </cell>
          <cell r="DP1014">
            <v>0</v>
          </cell>
          <cell r="DQ1014">
            <v>0</v>
          </cell>
          <cell r="DR1014">
            <v>0</v>
          </cell>
          <cell r="DS1014">
            <v>0</v>
          </cell>
          <cell r="DT1014">
            <v>0</v>
          </cell>
          <cell r="DU1014">
            <v>0</v>
          </cell>
          <cell r="DW1014">
            <v>0</v>
          </cell>
          <cell r="DX1014">
            <v>0</v>
          </cell>
          <cell r="DY1014">
            <v>0</v>
          </cell>
          <cell r="DZ1014">
            <v>0</v>
          </cell>
          <cell r="EA1014">
            <v>0</v>
          </cell>
          <cell r="EB1014">
            <v>0</v>
          </cell>
          <cell r="EC1014">
            <v>0</v>
          </cell>
          <cell r="ED1014">
            <v>0</v>
          </cell>
          <cell r="EE1014">
            <v>0</v>
          </cell>
          <cell r="EF1014">
            <v>0</v>
          </cell>
          <cell r="EG1014">
            <v>0</v>
          </cell>
          <cell r="EH1014">
            <v>0</v>
          </cell>
          <cell r="EI1014">
            <v>0</v>
          </cell>
          <cell r="EK1014">
            <v>0</v>
          </cell>
          <cell r="EL1014">
            <v>0</v>
          </cell>
          <cell r="EM1014">
            <v>0</v>
          </cell>
          <cell r="EN1014">
            <v>0</v>
          </cell>
          <cell r="EO1014">
            <v>0</v>
          </cell>
          <cell r="EP1014">
            <v>0</v>
          </cell>
          <cell r="EQ1014">
            <v>0</v>
          </cell>
          <cell r="ER1014">
            <v>0</v>
          </cell>
          <cell r="ES1014">
            <v>0</v>
          </cell>
          <cell r="ET1014">
            <v>0</v>
          </cell>
          <cell r="EU1014">
            <v>0</v>
          </cell>
          <cell r="EV1014">
            <v>0</v>
          </cell>
          <cell r="EW1014">
            <v>0</v>
          </cell>
          <cell r="EY1014">
            <v>0</v>
          </cell>
          <cell r="EZ1014">
            <v>8</v>
          </cell>
          <cell r="FA1014">
            <v>0</v>
          </cell>
          <cell r="FB1014">
            <v>0</v>
          </cell>
          <cell r="FC1014">
            <v>8.6</v>
          </cell>
          <cell r="FD1014">
            <v>0</v>
          </cell>
          <cell r="FE1014">
            <v>0</v>
          </cell>
          <cell r="FF1014">
            <v>0</v>
          </cell>
          <cell r="FH1014">
            <v>0</v>
          </cell>
        </row>
        <row r="1015">
          <cell r="B1015" t="str">
            <v>FP</v>
          </cell>
          <cell r="D1015" t="str">
            <v>Gedhe Anju Manoj</v>
          </cell>
          <cell r="F1015">
            <v>0</v>
          </cell>
          <cell r="H1015">
            <v>0</v>
          </cell>
          <cell r="I1015">
            <v>0</v>
          </cell>
          <cell r="J1015">
            <v>0</v>
          </cell>
          <cell r="K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</v>
          </cell>
          <cell r="Q1015">
            <v>0</v>
          </cell>
          <cell r="R1015">
            <v>0</v>
          </cell>
          <cell r="S1015">
            <v>0</v>
          </cell>
          <cell r="T1015">
            <v>0</v>
          </cell>
          <cell r="U1015">
            <v>0</v>
          </cell>
          <cell r="W1015">
            <v>0</v>
          </cell>
          <cell r="X1015">
            <v>0</v>
          </cell>
          <cell r="Y1015">
            <v>0</v>
          </cell>
          <cell r="Z1015">
            <v>0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0</v>
          </cell>
          <cell r="AG1015">
            <v>0</v>
          </cell>
          <cell r="AH1015">
            <v>0</v>
          </cell>
          <cell r="AI1015">
            <v>0</v>
          </cell>
          <cell r="AJ1015">
            <v>0</v>
          </cell>
          <cell r="AK1015">
            <v>0</v>
          </cell>
          <cell r="AL1015">
            <v>0</v>
          </cell>
          <cell r="AM1015">
            <v>0</v>
          </cell>
          <cell r="AN1015">
            <v>0</v>
          </cell>
          <cell r="AO1015">
            <v>0</v>
          </cell>
          <cell r="AQ1015">
            <v>0</v>
          </cell>
          <cell r="AR1015">
            <v>0</v>
          </cell>
          <cell r="AS1015">
            <v>0</v>
          </cell>
          <cell r="AT1015">
            <v>0</v>
          </cell>
          <cell r="AU1015">
            <v>0</v>
          </cell>
          <cell r="AV1015">
            <v>0</v>
          </cell>
          <cell r="AW1015">
            <v>0</v>
          </cell>
          <cell r="AX1015">
            <v>0</v>
          </cell>
          <cell r="AY1015">
            <v>0</v>
          </cell>
          <cell r="BA1015">
            <v>0</v>
          </cell>
          <cell r="BB1015">
            <v>0</v>
          </cell>
          <cell r="BC1015">
            <v>0</v>
          </cell>
          <cell r="BD1015">
            <v>0</v>
          </cell>
          <cell r="BE1015">
            <v>0</v>
          </cell>
          <cell r="BF1015">
            <v>0</v>
          </cell>
          <cell r="BG1015">
            <v>0</v>
          </cell>
          <cell r="BH1015">
            <v>0</v>
          </cell>
          <cell r="BI1015">
            <v>0</v>
          </cell>
          <cell r="BK1015">
            <v>0</v>
          </cell>
          <cell r="BL1015">
            <v>0</v>
          </cell>
          <cell r="BM1015">
            <v>0</v>
          </cell>
          <cell r="BN1015">
            <v>0</v>
          </cell>
          <cell r="BO1015">
            <v>0</v>
          </cell>
          <cell r="BP1015">
            <v>0</v>
          </cell>
          <cell r="BQ1015">
            <v>0</v>
          </cell>
          <cell r="BR1015">
            <v>0</v>
          </cell>
          <cell r="BS1015">
            <v>0</v>
          </cell>
          <cell r="BU1015">
            <v>0</v>
          </cell>
          <cell r="BV1015">
            <v>0</v>
          </cell>
          <cell r="BW1015">
            <v>0</v>
          </cell>
          <cell r="BX1015">
            <v>0</v>
          </cell>
          <cell r="BY1015">
            <v>0</v>
          </cell>
          <cell r="BZ1015">
            <v>0</v>
          </cell>
          <cell r="CA1015">
            <v>0</v>
          </cell>
          <cell r="CB1015">
            <v>0</v>
          </cell>
          <cell r="CC1015">
            <v>0</v>
          </cell>
          <cell r="CE1015">
            <v>0</v>
          </cell>
          <cell r="CF1015">
            <v>0</v>
          </cell>
          <cell r="CG1015">
            <v>0</v>
          </cell>
          <cell r="CH1015">
            <v>0</v>
          </cell>
          <cell r="CI1015">
            <v>0</v>
          </cell>
          <cell r="CJ1015">
            <v>0</v>
          </cell>
          <cell r="CK1015">
            <v>0</v>
          </cell>
          <cell r="CL1015">
            <v>0</v>
          </cell>
          <cell r="CM1015">
            <v>0</v>
          </cell>
          <cell r="CO1015">
            <v>0</v>
          </cell>
          <cell r="CP1015">
            <v>0</v>
          </cell>
          <cell r="CQ1015">
            <v>0</v>
          </cell>
          <cell r="CR1015">
            <v>0</v>
          </cell>
          <cell r="CS1015">
            <v>0</v>
          </cell>
          <cell r="CT1015">
            <v>0</v>
          </cell>
          <cell r="CU1015">
            <v>0</v>
          </cell>
          <cell r="CV1015">
            <v>0</v>
          </cell>
          <cell r="CW1015">
            <v>0</v>
          </cell>
          <cell r="CY1015">
            <v>0</v>
          </cell>
          <cell r="CZ1015">
            <v>0</v>
          </cell>
          <cell r="DA1015">
            <v>0</v>
          </cell>
          <cell r="DB1015">
            <v>0</v>
          </cell>
          <cell r="DC1015">
            <v>0</v>
          </cell>
          <cell r="DD1015">
            <v>0</v>
          </cell>
          <cell r="DE1015">
            <v>0</v>
          </cell>
          <cell r="DF1015">
            <v>0</v>
          </cell>
          <cell r="DG1015">
            <v>0</v>
          </cell>
          <cell r="DI1015">
            <v>0</v>
          </cell>
          <cell r="DJ1015">
            <v>0</v>
          </cell>
          <cell r="DK1015">
            <v>0</v>
          </cell>
          <cell r="DL1015">
            <v>0</v>
          </cell>
          <cell r="DM1015">
            <v>0</v>
          </cell>
          <cell r="DN1015">
            <v>0</v>
          </cell>
          <cell r="DO1015">
            <v>0</v>
          </cell>
          <cell r="DP1015">
            <v>0</v>
          </cell>
          <cell r="DQ1015">
            <v>0</v>
          </cell>
          <cell r="DR1015">
            <v>0</v>
          </cell>
          <cell r="DS1015">
            <v>0</v>
          </cell>
          <cell r="DT1015">
            <v>0</v>
          </cell>
          <cell r="DU1015">
            <v>0</v>
          </cell>
          <cell r="DW1015">
            <v>0</v>
          </cell>
          <cell r="DX1015">
            <v>0</v>
          </cell>
          <cell r="DY1015">
            <v>0</v>
          </cell>
          <cell r="DZ1015">
            <v>0</v>
          </cell>
          <cell r="EA1015">
            <v>0</v>
          </cell>
          <cell r="EB1015">
            <v>0</v>
          </cell>
          <cell r="EC1015">
            <v>0</v>
          </cell>
          <cell r="ED1015">
            <v>0</v>
          </cell>
          <cell r="EE1015">
            <v>0</v>
          </cell>
          <cell r="EF1015">
            <v>0</v>
          </cell>
          <cell r="EG1015">
            <v>0</v>
          </cell>
          <cell r="EH1015">
            <v>0</v>
          </cell>
          <cell r="EI1015">
            <v>0</v>
          </cell>
          <cell r="EK1015">
            <v>0</v>
          </cell>
          <cell r="EL1015">
            <v>0</v>
          </cell>
          <cell r="EM1015">
            <v>0</v>
          </cell>
          <cell r="EN1015">
            <v>0</v>
          </cell>
          <cell r="EO1015">
            <v>0</v>
          </cell>
          <cell r="EP1015">
            <v>0</v>
          </cell>
          <cell r="EQ1015">
            <v>0</v>
          </cell>
          <cell r="ER1015">
            <v>0</v>
          </cell>
          <cell r="ES1015">
            <v>0</v>
          </cell>
          <cell r="ET1015">
            <v>0</v>
          </cell>
          <cell r="EU1015">
            <v>0</v>
          </cell>
          <cell r="EV1015">
            <v>0</v>
          </cell>
          <cell r="EW1015">
            <v>0</v>
          </cell>
          <cell r="EY1015">
            <v>0</v>
          </cell>
          <cell r="EZ1015">
            <v>8</v>
          </cell>
          <cell r="FA1015">
            <v>0</v>
          </cell>
          <cell r="FB1015">
            <v>0</v>
          </cell>
          <cell r="FC1015">
            <v>8.6</v>
          </cell>
          <cell r="FD1015">
            <v>0</v>
          </cell>
          <cell r="FE1015">
            <v>0</v>
          </cell>
          <cell r="FF1015">
            <v>0</v>
          </cell>
          <cell r="FH1015">
            <v>0</v>
          </cell>
        </row>
        <row r="1016">
          <cell r="B1016" t="str">
            <v>FP</v>
          </cell>
          <cell r="C1016" t="str">
            <v>26.08.2010</v>
          </cell>
          <cell r="D1016" t="str">
            <v>Kale Ashwaghosh Shyam</v>
          </cell>
          <cell r="F1016">
            <v>0</v>
          </cell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G1016">
            <v>0</v>
          </cell>
          <cell r="AH1016">
            <v>0</v>
          </cell>
          <cell r="AI1016">
            <v>0</v>
          </cell>
          <cell r="AJ1016">
            <v>0</v>
          </cell>
          <cell r="AK1016">
            <v>0</v>
          </cell>
          <cell r="AL1016">
            <v>0</v>
          </cell>
          <cell r="AM1016">
            <v>0</v>
          </cell>
          <cell r="AN1016">
            <v>0</v>
          </cell>
          <cell r="AO1016">
            <v>0</v>
          </cell>
          <cell r="AQ1016">
            <v>0</v>
          </cell>
          <cell r="AR1016">
            <v>0</v>
          </cell>
          <cell r="AS1016">
            <v>0</v>
          </cell>
          <cell r="AT1016">
            <v>0</v>
          </cell>
          <cell r="AU1016">
            <v>0</v>
          </cell>
          <cell r="AV1016">
            <v>0</v>
          </cell>
          <cell r="AW1016">
            <v>0</v>
          </cell>
          <cell r="AX1016">
            <v>0</v>
          </cell>
          <cell r="AY1016">
            <v>0</v>
          </cell>
          <cell r="BA1016">
            <v>0</v>
          </cell>
          <cell r="BB1016">
            <v>0</v>
          </cell>
          <cell r="BC1016">
            <v>0</v>
          </cell>
          <cell r="BD1016">
            <v>0</v>
          </cell>
          <cell r="BE1016">
            <v>0</v>
          </cell>
          <cell r="BF1016">
            <v>0</v>
          </cell>
          <cell r="BG1016">
            <v>0</v>
          </cell>
          <cell r="BH1016">
            <v>0</v>
          </cell>
          <cell r="BI1016">
            <v>0</v>
          </cell>
          <cell r="BK1016">
            <v>0</v>
          </cell>
          <cell r="BL1016">
            <v>0</v>
          </cell>
          <cell r="BM1016">
            <v>0</v>
          </cell>
          <cell r="BN1016">
            <v>0</v>
          </cell>
          <cell r="BO1016">
            <v>0</v>
          </cell>
          <cell r="BP1016">
            <v>0</v>
          </cell>
          <cell r="BQ1016">
            <v>0</v>
          </cell>
          <cell r="BR1016">
            <v>0</v>
          </cell>
          <cell r="BS1016">
            <v>0</v>
          </cell>
          <cell r="BU1016">
            <v>0</v>
          </cell>
          <cell r="BV1016">
            <v>0</v>
          </cell>
          <cell r="BW1016">
            <v>0</v>
          </cell>
          <cell r="BX1016">
            <v>0</v>
          </cell>
          <cell r="BY1016">
            <v>0</v>
          </cell>
          <cell r="BZ1016">
            <v>0</v>
          </cell>
          <cell r="CA1016">
            <v>0</v>
          </cell>
          <cell r="CB1016">
            <v>0</v>
          </cell>
          <cell r="CC1016">
            <v>0</v>
          </cell>
          <cell r="CE1016">
            <v>0</v>
          </cell>
          <cell r="CF1016">
            <v>0</v>
          </cell>
          <cell r="CG1016">
            <v>0</v>
          </cell>
          <cell r="CH1016">
            <v>0</v>
          </cell>
          <cell r="CI1016">
            <v>0</v>
          </cell>
          <cell r="CJ1016">
            <v>0</v>
          </cell>
          <cell r="CK1016">
            <v>0</v>
          </cell>
          <cell r="CL1016">
            <v>0</v>
          </cell>
          <cell r="CM1016">
            <v>0</v>
          </cell>
          <cell r="CO1016">
            <v>0</v>
          </cell>
          <cell r="CP1016">
            <v>0</v>
          </cell>
          <cell r="CQ1016">
            <v>0</v>
          </cell>
          <cell r="CR1016">
            <v>0</v>
          </cell>
          <cell r="CS1016">
            <v>0</v>
          </cell>
          <cell r="CT1016">
            <v>0</v>
          </cell>
          <cell r="CU1016">
            <v>0</v>
          </cell>
          <cell r="CV1016">
            <v>0</v>
          </cell>
          <cell r="CW1016">
            <v>0</v>
          </cell>
          <cell r="CY1016">
            <v>0</v>
          </cell>
          <cell r="CZ1016">
            <v>0</v>
          </cell>
          <cell r="DA1016">
            <v>0</v>
          </cell>
          <cell r="DB1016">
            <v>0</v>
          </cell>
          <cell r="DC1016">
            <v>0</v>
          </cell>
          <cell r="DD1016">
            <v>0</v>
          </cell>
          <cell r="DE1016">
            <v>0</v>
          </cell>
          <cell r="DF1016">
            <v>0</v>
          </cell>
          <cell r="DG1016">
            <v>0</v>
          </cell>
          <cell r="DI1016">
            <v>0</v>
          </cell>
          <cell r="DJ1016">
            <v>0</v>
          </cell>
          <cell r="DK1016">
            <v>0</v>
          </cell>
          <cell r="DL1016">
            <v>0</v>
          </cell>
          <cell r="DM1016">
            <v>0</v>
          </cell>
          <cell r="DN1016">
            <v>0</v>
          </cell>
          <cell r="DO1016">
            <v>0</v>
          </cell>
          <cell r="DP1016">
            <v>0</v>
          </cell>
          <cell r="DQ1016">
            <v>0</v>
          </cell>
          <cell r="DR1016">
            <v>0</v>
          </cell>
          <cell r="DS1016">
            <v>0</v>
          </cell>
          <cell r="DT1016">
            <v>0</v>
          </cell>
          <cell r="DU1016">
            <v>0</v>
          </cell>
          <cell r="DW1016">
            <v>0</v>
          </cell>
          <cell r="DX1016">
            <v>0</v>
          </cell>
          <cell r="DY1016">
            <v>0</v>
          </cell>
          <cell r="DZ1016">
            <v>0</v>
          </cell>
          <cell r="EA1016">
            <v>0</v>
          </cell>
          <cell r="EB1016">
            <v>0</v>
          </cell>
          <cell r="EC1016">
            <v>0</v>
          </cell>
          <cell r="ED1016">
            <v>0</v>
          </cell>
          <cell r="EE1016">
            <v>0</v>
          </cell>
          <cell r="EF1016">
            <v>0</v>
          </cell>
          <cell r="EG1016">
            <v>0</v>
          </cell>
          <cell r="EH1016">
            <v>0</v>
          </cell>
          <cell r="EI1016">
            <v>0</v>
          </cell>
          <cell r="EK1016">
            <v>0</v>
          </cell>
          <cell r="EL1016">
            <v>0</v>
          </cell>
          <cell r="EM1016">
            <v>0</v>
          </cell>
          <cell r="EN1016">
            <v>0</v>
          </cell>
          <cell r="EO1016">
            <v>0</v>
          </cell>
          <cell r="EP1016">
            <v>0</v>
          </cell>
          <cell r="EQ1016">
            <v>0</v>
          </cell>
          <cell r="ER1016">
            <v>0</v>
          </cell>
          <cell r="ES1016">
            <v>0</v>
          </cell>
          <cell r="ET1016">
            <v>0</v>
          </cell>
          <cell r="EU1016">
            <v>0</v>
          </cell>
          <cell r="EV1016">
            <v>0</v>
          </cell>
          <cell r="EW1016">
            <v>0</v>
          </cell>
          <cell r="EY1016">
            <v>0</v>
          </cell>
          <cell r="EZ1016">
            <v>8</v>
          </cell>
          <cell r="FA1016">
            <v>0</v>
          </cell>
          <cell r="FB1016">
            <v>0</v>
          </cell>
          <cell r="FC1016">
            <v>8.6</v>
          </cell>
          <cell r="FD1016">
            <v>0</v>
          </cell>
          <cell r="FE1016">
            <v>0</v>
          </cell>
          <cell r="FF1016">
            <v>0</v>
          </cell>
          <cell r="FH1016">
            <v>0</v>
          </cell>
        </row>
        <row r="1018">
          <cell r="J1018">
            <v>15065736</v>
          </cell>
          <cell r="K1018">
            <v>4111762</v>
          </cell>
          <cell r="M1018">
            <v>693005</v>
          </cell>
          <cell r="N1018">
            <v>3435</v>
          </cell>
          <cell r="O1018">
            <v>693005</v>
          </cell>
          <cell r="P1018">
            <v>3435</v>
          </cell>
          <cell r="Q1018">
            <v>92300</v>
          </cell>
          <cell r="R1018">
            <v>0</v>
          </cell>
          <cell r="S1018">
            <v>0</v>
          </cell>
          <cell r="T1018">
            <v>92300</v>
          </cell>
          <cell r="U1018">
            <v>96420</v>
          </cell>
          <cell r="W1018">
            <v>698949</v>
          </cell>
          <cell r="X1018">
            <v>7500</v>
          </cell>
          <cell r="Y1018">
            <v>698949</v>
          </cell>
          <cell r="Z1018">
            <v>7500</v>
          </cell>
          <cell r="AA1018">
            <v>92295</v>
          </cell>
          <cell r="AB1018">
            <v>0</v>
          </cell>
          <cell r="AC1018">
            <v>0</v>
          </cell>
          <cell r="AD1018">
            <v>92295</v>
          </cell>
          <cell r="AE1018">
            <v>86200</v>
          </cell>
          <cell r="AG1018">
            <v>710318</v>
          </cell>
          <cell r="AH1018">
            <v>0</v>
          </cell>
          <cell r="AI1018">
            <v>710318</v>
          </cell>
          <cell r="AJ1018">
            <v>0</v>
          </cell>
          <cell r="AK1018">
            <v>94555</v>
          </cell>
          <cell r="AL1018">
            <v>0</v>
          </cell>
          <cell r="AM1018">
            <v>9165</v>
          </cell>
          <cell r="AN1018">
            <v>103720</v>
          </cell>
          <cell r="AO1018">
            <v>68875</v>
          </cell>
          <cell r="AQ1018">
            <v>723872</v>
          </cell>
          <cell r="AR1018">
            <v>450</v>
          </cell>
          <cell r="AS1018">
            <v>723872</v>
          </cell>
          <cell r="AT1018">
            <v>450</v>
          </cell>
          <cell r="AU1018">
            <v>96100</v>
          </cell>
          <cell r="AV1018">
            <v>0</v>
          </cell>
          <cell r="AW1018">
            <v>70865</v>
          </cell>
          <cell r="AX1018">
            <v>166965</v>
          </cell>
          <cell r="AY1018">
            <v>193900</v>
          </cell>
          <cell r="BA1018">
            <v>735099</v>
          </cell>
          <cell r="BB1018">
            <v>2000</v>
          </cell>
          <cell r="BC1018">
            <v>735099</v>
          </cell>
          <cell r="BD1018">
            <v>2000</v>
          </cell>
          <cell r="BE1018">
            <v>97035</v>
          </cell>
          <cell r="BF1018">
            <v>5410</v>
          </cell>
          <cell r="BG1018">
            <v>0</v>
          </cell>
          <cell r="BH1018">
            <v>102445</v>
          </cell>
          <cell r="BI1018">
            <v>137230</v>
          </cell>
          <cell r="BK1018">
            <v>778516</v>
          </cell>
          <cell r="BL1018">
            <v>3358</v>
          </cell>
          <cell r="BM1018">
            <v>778516</v>
          </cell>
          <cell r="BN1018">
            <v>3358</v>
          </cell>
          <cell r="BO1018">
            <v>101470</v>
          </cell>
          <cell r="BP1018">
            <v>0</v>
          </cell>
          <cell r="BQ1018">
            <v>0</v>
          </cell>
          <cell r="BR1018">
            <v>101470</v>
          </cell>
          <cell r="BS1018">
            <v>0</v>
          </cell>
          <cell r="BU1018">
            <v>808802</v>
          </cell>
          <cell r="BV1018">
            <v>0</v>
          </cell>
          <cell r="BW1018">
            <v>808802</v>
          </cell>
          <cell r="BX1018">
            <v>0</v>
          </cell>
          <cell r="BY1018">
            <v>102490</v>
          </cell>
          <cell r="BZ1018">
            <v>0</v>
          </cell>
          <cell r="CA1018">
            <v>0</v>
          </cell>
          <cell r="CB1018">
            <v>102490</v>
          </cell>
          <cell r="CC1018">
            <v>11450</v>
          </cell>
          <cell r="CE1018">
            <v>801507</v>
          </cell>
          <cell r="CF1018">
            <v>8532</v>
          </cell>
          <cell r="CG1018">
            <v>801507</v>
          </cell>
          <cell r="CH1018">
            <v>8532</v>
          </cell>
          <cell r="CI1018">
            <v>100330</v>
          </cell>
          <cell r="CJ1018">
            <v>0</v>
          </cell>
          <cell r="CK1018">
            <v>20520</v>
          </cell>
          <cell r="CL1018">
            <v>120850</v>
          </cell>
          <cell r="CM1018">
            <v>43515</v>
          </cell>
          <cell r="CO1018">
            <v>808705</v>
          </cell>
          <cell r="CP1018">
            <v>0</v>
          </cell>
          <cell r="CQ1018">
            <v>808705</v>
          </cell>
          <cell r="CR1018">
            <v>0</v>
          </cell>
          <cell r="CS1018">
            <v>99355</v>
          </cell>
          <cell r="CT1018">
            <v>0</v>
          </cell>
          <cell r="CU1018">
            <v>0</v>
          </cell>
          <cell r="CV1018">
            <v>99355</v>
          </cell>
          <cell r="CW1018">
            <v>20175</v>
          </cell>
          <cell r="CY1018">
            <v>805826</v>
          </cell>
          <cell r="CZ1018">
            <v>12635</v>
          </cell>
          <cell r="DA1018">
            <v>805826</v>
          </cell>
          <cell r="DB1018">
            <v>12635</v>
          </cell>
          <cell r="DC1018">
            <v>98125</v>
          </cell>
          <cell r="DD1018">
            <v>0</v>
          </cell>
          <cell r="DE1018">
            <v>0</v>
          </cell>
          <cell r="DF1018">
            <v>98125</v>
          </cell>
          <cell r="DG1018">
            <v>0</v>
          </cell>
          <cell r="DI1018">
            <v>15065736</v>
          </cell>
          <cell r="DJ1018">
            <v>7564599</v>
          </cell>
          <cell r="DK1018">
            <v>37910</v>
          </cell>
          <cell r="DL1018">
            <v>7602509</v>
          </cell>
          <cell r="DM1018">
            <v>7564599</v>
          </cell>
          <cell r="DN1018">
            <v>37910</v>
          </cell>
          <cell r="DO1018">
            <v>7602509</v>
          </cell>
          <cell r="DP1018">
            <v>974055</v>
          </cell>
          <cell r="DQ1018">
            <v>5410</v>
          </cell>
          <cell r="DR1018">
            <v>100550</v>
          </cell>
          <cell r="DS1018">
            <v>1080015</v>
          </cell>
          <cell r="DT1018">
            <v>16285033</v>
          </cell>
          <cell r="DU1018">
            <v>657765</v>
          </cell>
          <cell r="DW1018">
            <v>0</v>
          </cell>
          <cell r="DX1018">
            <v>0</v>
          </cell>
          <cell r="DY1018">
            <v>16454496</v>
          </cell>
          <cell r="DZ1018">
            <v>17873489</v>
          </cell>
          <cell r="EA1018">
            <v>19328970</v>
          </cell>
          <cell r="EB1018">
            <v>20750679</v>
          </cell>
          <cell r="EC1018">
            <v>22190092</v>
          </cell>
          <cell r="ED1018">
            <v>23855310</v>
          </cell>
          <cell r="EE1018">
            <v>25563954</v>
          </cell>
          <cell r="EF1018">
            <v>27261367</v>
          </cell>
          <cell r="EG1018">
            <v>28957957</v>
          </cell>
          <cell r="EH1018">
            <v>30693004</v>
          </cell>
          <cell r="EI1018">
            <v>232929318</v>
          </cell>
          <cell r="EK1018">
            <v>0</v>
          </cell>
          <cell r="EL1018">
            <v>0</v>
          </cell>
          <cell r="EM1018">
            <v>109696.64000000017</v>
          </cell>
          <cell r="EN1018">
            <v>119156.5933333331</v>
          </cell>
          <cell r="EO1018">
            <v>128859.80000000018</v>
          </cell>
          <cell r="EP1018">
            <v>138337.86000000016</v>
          </cell>
          <cell r="EQ1018">
            <v>147933.94666666622</v>
          </cell>
          <cell r="ER1018">
            <v>159035.39999999964</v>
          </cell>
          <cell r="ES1018">
            <v>183208.33700000009</v>
          </cell>
          <cell r="ET1018">
            <v>195373.13016666664</v>
          </cell>
          <cell r="EU1018">
            <v>207532.02516666686</v>
          </cell>
          <cell r="EV1018">
            <v>219966.52866666677</v>
          </cell>
          <cell r="EW1018">
            <v>1609100.260999996</v>
          </cell>
          <cell r="EY1018">
            <v>120453036</v>
          </cell>
          <cell r="EZ1018">
            <v>8120</v>
          </cell>
          <cell r="FA1018">
            <v>803020.23999999848</v>
          </cell>
          <cell r="FB1018">
            <v>112476282</v>
          </cell>
          <cell r="FC1018">
            <v>8729.0000000001655</v>
          </cell>
          <cell r="FD1018">
            <v>806080.0209999989</v>
          </cell>
          <cell r="FE1018">
            <v>1609100.260999996</v>
          </cell>
          <cell r="FF1018">
            <v>32302091</v>
          </cell>
          <cell r="FH1018">
            <v>32302091</v>
          </cell>
        </row>
      </sheetData>
      <sheetData sheetId="1"/>
      <sheetData sheetId="2"/>
      <sheetData sheetId="3">
        <row r="1">
          <cell r="B1" t="str">
            <v>Emp No.</v>
          </cell>
        </row>
      </sheetData>
      <sheetData sheetId="4"/>
      <sheetData sheetId="5">
        <row r="1">
          <cell r="B1" t="str">
            <v>Emp No.</v>
          </cell>
        </row>
      </sheetData>
      <sheetData sheetId="6"/>
      <sheetData sheetId="7">
        <row r="1">
          <cell r="B1" t="str">
            <v>Emp No.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24FEB-30D2-45EC-B8D1-EF12D0632444}">
  <sheetPr>
    <tabColor rgb="FF92D050"/>
  </sheetPr>
  <dimension ref="A1:BA731"/>
  <sheetViews>
    <sheetView topLeftCell="N11" zoomScale="115" zoomScaleNormal="115" zoomScaleSheetLayoutView="100" workbookViewId="0">
      <selection activeCell="Q15" sqref="Q15"/>
    </sheetView>
  </sheetViews>
  <sheetFormatPr defaultColWidth="9.109375" defaultRowHeight="14.4"/>
  <cols>
    <col min="1" max="1" width="11.6640625" style="1" customWidth="1"/>
    <col min="2" max="5" width="8.6640625" style="1" customWidth="1"/>
    <col min="6" max="14" width="10.6640625" style="1" customWidth="1"/>
    <col min="15" max="15" width="10.6640625" style="2" customWidth="1"/>
    <col min="16" max="16" width="2.6640625" style="1" customWidth="1"/>
    <col min="17" max="19" width="9.109375" style="1"/>
    <col min="20" max="20" width="11.109375" style="1" bestFit="1" customWidth="1"/>
    <col min="21" max="23" width="9.109375" style="30"/>
    <col min="24" max="24" width="10" style="30" customWidth="1"/>
    <col min="25" max="25" width="12.33203125" style="30" customWidth="1"/>
    <col min="26" max="26" width="12.109375" style="30" customWidth="1"/>
    <col min="27" max="27" width="12.6640625" style="30" customWidth="1"/>
    <col min="28" max="28" width="11.109375" style="1" customWidth="1"/>
    <col min="29" max="29" width="11.109375" style="1" bestFit="1" customWidth="1"/>
    <col min="30" max="30" width="22.33203125" style="1" customWidth="1"/>
    <col min="31" max="31" width="48.44140625" style="1" bestFit="1" customWidth="1"/>
    <col min="32" max="32" width="25.5546875" style="1" bestFit="1" customWidth="1"/>
    <col min="33" max="33" width="25.5546875" style="1" customWidth="1"/>
    <col min="34" max="40" width="15.6640625" style="1" customWidth="1"/>
    <col min="41" max="42" width="10.33203125" style="1" bestFit="1" customWidth="1"/>
    <col min="43" max="43" width="10.5546875" style="1" bestFit="1" customWidth="1"/>
    <col min="44" max="44" width="9.44140625" style="1" bestFit="1" customWidth="1"/>
    <col min="45" max="48" width="9.109375" style="1"/>
    <col min="49" max="49" width="9.44140625" style="1" bestFit="1" customWidth="1"/>
    <col min="50" max="53" width="9.109375" style="1"/>
    <col min="54" max="54" width="9.44140625" style="1" bestFit="1" customWidth="1"/>
    <col min="55" max="16384" width="9.109375" style="1"/>
  </cols>
  <sheetData>
    <row r="1" spans="1:43" ht="30" customHeight="1">
      <c r="A1" s="224" t="s">
        <v>0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Q1" s="221" t="s">
        <v>382</v>
      </c>
      <c r="R1" s="202"/>
      <c r="T1" s="206" t="s">
        <v>364</v>
      </c>
      <c r="U1" s="221" t="s">
        <v>360</v>
      </c>
      <c r="V1" s="202"/>
      <c r="X1" s="221" t="s">
        <v>361</v>
      </c>
      <c r="Y1" s="202"/>
      <c r="AA1" s="221" t="s">
        <v>418</v>
      </c>
      <c r="AB1" s="202"/>
      <c r="AF1" s="12"/>
      <c r="AG1" s="204" t="s">
        <v>364</v>
      </c>
      <c r="AH1" s="204" t="s">
        <v>505</v>
      </c>
      <c r="AI1" s="204" t="s">
        <v>506</v>
      </c>
      <c r="AJ1" s="204" t="s">
        <v>507</v>
      </c>
      <c r="AK1" s="204" t="s">
        <v>500</v>
      </c>
      <c r="AL1" s="206" t="s">
        <v>501</v>
      </c>
      <c r="AM1" s="206" t="s">
        <v>507</v>
      </c>
      <c r="AN1" s="206" t="s">
        <v>508</v>
      </c>
    </row>
    <row r="2" spans="1:43" ht="30" customHeight="1" thickBot="1">
      <c r="A2" s="224" t="s">
        <v>1</v>
      </c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Q2" s="222"/>
      <c r="R2" s="203"/>
      <c r="T2" s="207"/>
      <c r="U2" s="226"/>
      <c r="V2" s="227"/>
      <c r="X2" s="226"/>
      <c r="Y2" s="227"/>
      <c r="AA2" s="226"/>
      <c r="AB2" s="227"/>
      <c r="AF2" s="12"/>
      <c r="AG2" s="205"/>
      <c r="AH2" s="205"/>
      <c r="AI2" s="205"/>
      <c r="AJ2" s="205"/>
      <c r="AK2" s="205"/>
      <c r="AL2" s="207"/>
      <c r="AM2" s="207"/>
      <c r="AN2" s="207"/>
    </row>
    <row r="3" spans="1:43" ht="15" thickBot="1">
      <c r="Q3" s="226">
        <v>195668</v>
      </c>
      <c r="R3" s="227"/>
      <c r="T3" s="139" t="s">
        <v>70</v>
      </c>
      <c r="U3" s="228">
        <f>AA15+AA16+AA17+AA18+AA19+AA20+AA21+AA22+AA23+AA24</f>
        <v>-2259</v>
      </c>
      <c r="V3" s="229"/>
      <c r="X3" s="230">
        <v>0</v>
      </c>
      <c r="Y3" s="231"/>
      <c r="AA3" s="230">
        <f t="shared" ref="AA3:AA9" si="0">U3+X3</f>
        <v>-2259</v>
      </c>
      <c r="AB3" s="231"/>
      <c r="AC3" s="32"/>
      <c r="AF3" s="12"/>
      <c r="AG3" s="79" t="s">
        <v>70</v>
      </c>
      <c r="AH3" s="81">
        <f>L28</f>
        <v>2259</v>
      </c>
      <c r="AI3" s="82">
        <f>L34</f>
        <v>85</v>
      </c>
      <c r="AJ3" s="83">
        <f t="shared" ref="AJ3:AJ8" si="1">AH3+AI3</f>
        <v>2344</v>
      </c>
      <c r="AK3" s="82">
        <f>L31</f>
        <v>2259</v>
      </c>
      <c r="AL3" s="82">
        <f>L35</f>
        <v>85</v>
      </c>
      <c r="AM3" s="84">
        <f t="shared" ref="AM3:AM8" si="2">AK3+AL3</f>
        <v>2344</v>
      </c>
      <c r="AN3" s="80">
        <f t="shared" ref="AN3:AN9" si="3">AJ3+AM3</f>
        <v>4688</v>
      </c>
    </row>
    <row r="4" spans="1:43" ht="15" thickBot="1">
      <c r="A4" s="225" t="s">
        <v>70</v>
      </c>
      <c r="B4" s="225"/>
      <c r="C4" s="225"/>
      <c r="D4" s="225"/>
      <c r="E4" s="225"/>
      <c r="F4" s="225"/>
      <c r="G4" s="225"/>
      <c r="H4" s="225"/>
      <c r="I4" s="225"/>
      <c r="J4" s="225"/>
      <c r="K4" s="225"/>
      <c r="L4" s="225"/>
      <c r="M4" s="225"/>
      <c r="N4" s="225"/>
      <c r="T4" s="137" t="s">
        <v>85</v>
      </c>
      <c r="U4" s="233">
        <f>AA56+AA57+AA58+AA59+AA60+AA61+AA62+AA63+AA64+AA65+AA66+AA67</f>
        <v>-5487</v>
      </c>
      <c r="V4" s="234"/>
      <c r="X4" s="284">
        <v>0</v>
      </c>
      <c r="Y4" s="285"/>
      <c r="AA4" s="284">
        <f t="shared" si="0"/>
        <v>-5487</v>
      </c>
      <c r="AB4" s="285"/>
      <c r="AC4" s="32"/>
      <c r="AF4" s="12"/>
      <c r="AG4" s="79" t="s">
        <v>85</v>
      </c>
      <c r="AH4" s="81">
        <f>L71</f>
        <v>5487</v>
      </c>
      <c r="AI4" s="82">
        <f>L77</f>
        <v>564</v>
      </c>
      <c r="AJ4" s="83">
        <f t="shared" si="1"/>
        <v>6051</v>
      </c>
      <c r="AK4" s="82">
        <f>L74</f>
        <v>5487</v>
      </c>
      <c r="AL4" s="82">
        <f>L78</f>
        <v>189</v>
      </c>
      <c r="AM4" s="84">
        <f t="shared" si="2"/>
        <v>5676</v>
      </c>
      <c r="AN4" s="80">
        <f t="shared" si="3"/>
        <v>11727</v>
      </c>
    </row>
    <row r="5" spans="1:43" ht="36" customHeight="1" thickBot="1">
      <c r="A5" s="55" t="s">
        <v>3</v>
      </c>
      <c r="B5" s="53">
        <v>9255</v>
      </c>
      <c r="C5" s="5"/>
      <c r="D5" s="5"/>
      <c r="E5" s="211" t="s">
        <v>4</v>
      </c>
      <c r="F5" s="213"/>
      <c r="G5" s="5"/>
      <c r="H5" s="211" t="s">
        <v>5</v>
      </c>
      <c r="I5" s="212"/>
      <c r="J5" s="212"/>
      <c r="K5" s="212"/>
      <c r="L5" s="212"/>
      <c r="M5" s="212"/>
      <c r="N5" s="212"/>
      <c r="O5" s="213"/>
      <c r="Q5" s="221" t="s">
        <v>383</v>
      </c>
      <c r="R5" s="202"/>
      <c r="T5" s="137" t="s">
        <v>362</v>
      </c>
      <c r="U5" s="233">
        <f>AA99+AA100+AA101+AA102+AA103+AA104+AA105+AA106+AA107+AA108+AA109</f>
        <v>-434</v>
      </c>
      <c r="V5" s="234"/>
      <c r="X5" s="284">
        <f>AA110</f>
        <v>931</v>
      </c>
      <c r="Y5" s="285"/>
      <c r="AA5" s="284">
        <f t="shared" si="0"/>
        <v>497</v>
      </c>
      <c r="AB5" s="285"/>
      <c r="AC5" s="32"/>
      <c r="AF5" s="12"/>
      <c r="AG5" s="79" t="s">
        <v>362</v>
      </c>
      <c r="AH5" s="81">
        <f>L114</f>
        <v>12503</v>
      </c>
      <c r="AI5" s="82">
        <f>L120</f>
        <v>1854</v>
      </c>
      <c r="AJ5" s="83">
        <f t="shared" si="1"/>
        <v>14357</v>
      </c>
      <c r="AK5" s="82">
        <f>L117</f>
        <v>12503</v>
      </c>
      <c r="AL5" s="82">
        <f>L121</f>
        <v>538</v>
      </c>
      <c r="AM5" s="84">
        <f t="shared" si="2"/>
        <v>13041</v>
      </c>
      <c r="AN5" s="80">
        <f t="shared" si="3"/>
        <v>27398</v>
      </c>
    </row>
    <row r="6" spans="1:43" ht="15" thickBot="1">
      <c r="A6" s="5"/>
      <c r="E6" s="5"/>
      <c r="F6" s="5"/>
      <c r="G6" s="5"/>
      <c r="H6" s="5"/>
      <c r="I6" s="5"/>
      <c r="J6" s="5"/>
      <c r="K6" s="6"/>
      <c r="L6" s="6"/>
      <c r="M6" s="6"/>
      <c r="N6" s="5"/>
      <c r="Q6" s="232">
        <f>L256</f>
        <v>296595</v>
      </c>
      <c r="R6" s="227"/>
      <c r="T6" s="137" t="s">
        <v>363</v>
      </c>
      <c r="U6" s="233">
        <f>AA143</f>
        <v>-19959</v>
      </c>
      <c r="V6" s="234"/>
      <c r="X6" s="284">
        <f>AA142+AA144+AA145+AA146+AA147+AA148+AA149+AA149+AA151+AA152+AA153+AA154</f>
        <v>11172</v>
      </c>
      <c r="Y6" s="285"/>
      <c r="AA6" s="284">
        <f t="shared" si="0"/>
        <v>-8787</v>
      </c>
      <c r="AB6" s="285"/>
      <c r="AC6" s="32"/>
      <c r="AF6" s="12"/>
      <c r="AG6" s="79" t="s">
        <v>363</v>
      </c>
      <c r="AH6" s="81">
        <f>L158</f>
        <v>32787</v>
      </c>
      <c r="AI6" s="82">
        <f>L164</f>
        <v>1130</v>
      </c>
      <c r="AJ6" s="83">
        <f t="shared" si="1"/>
        <v>33917</v>
      </c>
      <c r="AK6" s="82">
        <f>L161</f>
        <v>32787</v>
      </c>
      <c r="AL6" s="82">
        <f>L165</f>
        <v>546</v>
      </c>
      <c r="AM6" s="84">
        <f t="shared" si="2"/>
        <v>33333</v>
      </c>
      <c r="AN6" s="80">
        <f t="shared" si="3"/>
        <v>67250</v>
      </c>
    </row>
    <row r="7" spans="1:43" ht="36" customHeight="1" thickBot="1">
      <c r="A7" s="55" t="s">
        <v>6</v>
      </c>
      <c r="B7" s="55" t="s">
        <v>504</v>
      </c>
      <c r="C7" s="5"/>
      <c r="D7" s="5"/>
      <c r="E7" s="55" t="s">
        <v>7</v>
      </c>
      <c r="F7" s="55">
        <v>2301</v>
      </c>
      <c r="G7" s="5"/>
      <c r="H7" s="55" t="s">
        <v>8</v>
      </c>
      <c r="I7" s="211" t="s">
        <v>9</v>
      </c>
      <c r="J7" s="212"/>
      <c r="K7" s="212"/>
      <c r="L7" s="212"/>
      <c r="M7" s="212"/>
      <c r="N7" s="212"/>
      <c r="O7" s="213"/>
      <c r="T7" s="137" t="s">
        <v>128</v>
      </c>
      <c r="U7" s="233">
        <f>AA187+AA188+AA189+AA190+AA191+AA194+AA195+AA196+AW196</f>
        <v>-13591</v>
      </c>
      <c r="V7" s="234"/>
      <c r="X7" s="284">
        <f>AA186+AA197+AA198+AA199+AA200+AA201+AA202</f>
        <v>931</v>
      </c>
      <c r="Y7" s="285"/>
      <c r="AA7" s="284">
        <f t="shared" si="0"/>
        <v>-12660</v>
      </c>
      <c r="AB7" s="285"/>
      <c r="AC7" s="32"/>
      <c r="AF7" s="12"/>
      <c r="AG7" s="79" t="s">
        <v>128</v>
      </c>
      <c r="AH7" s="81">
        <f>L206</f>
        <v>51737</v>
      </c>
      <c r="AI7" s="82">
        <f>L212</f>
        <v>11552</v>
      </c>
      <c r="AJ7" s="83">
        <f t="shared" si="1"/>
        <v>63289</v>
      </c>
      <c r="AK7" s="82">
        <f>L206</f>
        <v>51737</v>
      </c>
      <c r="AL7" s="82">
        <f>L213</f>
        <v>2442</v>
      </c>
      <c r="AM7" s="84">
        <f t="shared" si="2"/>
        <v>54179</v>
      </c>
      <c r="AN7" s="80">
        <f t="shared" si="3"/>
        <v>117468</v>
      </c>
    </row>
    <row r="8" spans="1:43" ht="30.75" customHeight="1" thickBot="1">
      <c r="A8" s="5"/>
      <c r="B8" s="5"/>
      <c r="C8" s="5"/>
      <c r="D8" s="5"/>
      <c r="E8" s="5"/>
      <c r="F8" s="5"/>
      <c r="G8" s="5"/>
      <c r="H8" s="5"/>
      <c r="I8" s="5"/>
      <c r="J8" s="5"/>
      <c r="K8" s="6"/>
      <c r="L8" s="6"/>
      <c r="M8" s="6"/>
      <c r="N8" s="5"/>
      <c r="Q8" s="221" t="s">
        <v>384</v>
      </c>
      <c r="R8" s="202"/>
      <c r="T8" s="141" t="s">
        <v>143</v>
      </c>
      <c r="U8" s="237">
        <f>AA235+AA236+AA237+AA238</f>
        <v>-4</v>
      </c>
      <c r="V8" s="238"/>
      <c r="X8" s="286">
        <f>AA232++AA233+AA234+AA239+AA240+AA241</f>
        <v>2532</v>
      </c>
      <c r="Y8" s="287"/>
      <c r="AA8" s="286">
        <f t="shared" si="0"/>
        <v>2528</v>
      </c>
      <c r="AB8" s="287"/>
      <c r="AC8" s="32"/>
      <c r="AF8" s="12"/>
      <c r="AG8" s="79" t="s">
        <v>143</v>
      </c>
      <c r="AH8" s="81">
        <f>L247</f>
        <v>22661</v>
      </c>
      <c r="AI8" s="82">
        <f>L253</f>
        <v>21426</v>
      </c>
      <c r="AJ8" s="83">
        <f t="shared" si="1"/>
        <v>44087</v>
      </c>
      <c r="AK8" s="82">
        <f>L250</f>
        <v>22661</v>
      </c>
      <c r="AL8" s="82">
        <f>L254</f>
        <v>1316</v>
      </c>
      <c r="AM8" s="84">
        <f t="shared" si="2"/>
        <v>23977</v>
      </c>
      <c r="AN8" s="80">
        <f t="shared" si="3"/>
        <v>68064</v>
      </c>
    </row>
    <row r="9" spans="1:43" ht="24" customHeight="1" thickBot="1">
      <c r="A9" s="55" t="s">
        <v>10</v>
      </c>
      <c r="B9" s="58">
        <v>0.08</v>
      </c>
      <c r="C9" s="5"/>
      <c r="D9" s="5"/>
      <c r="E9" s="55" t="s">
        <v>11</v>
      </c>
      <c r="F9" s="58">
        <v>0</v>
      </c>
      <c r="G9" s="5"/>
      <c r="H9" s="239" t="s">
        <v>12</v>
      </c>
      <c r="I9" s="240"/>
      <c r="J9" s="241"/>
      <c r="K9" s="242">
        <v>0</v>
      </c>
      <c r="L9" s="243"/>
      <c r="M9" s="243"/>
      <c r="N9" s="243"/>
      <c r="O9" s="244"/>
      <c r="Q9" s="232">
        <f>Q3-Q6</f>
        <v>-100927</v>
      </c>
      <c r="R9" s="227"/>
      <c r="T9" s="79" t="s">
        <v>24</v>
      </c>
      <c r="U9" s="245">
        <f>SUM(U3:V8)</f>
        <v>-41734</v>
      </c>
      <c r="V9" s="246"/>
      <c r="X9" s="288">
        <f>SUM(X3:X8)</f>
        <v>15566</v>
      </c>
      <c r="Y9" s="289"/>
      <c r="AA9" s="288">
        <f t="shared" si="0"/>
        <v>-26168</v>
      </c>
      <c r="AB9" s="289"/>
      <c r="AC9" s="61"/>
      <c r="AF9" s="12"/>
      <c r="AG9" s="79" t="s">
        <v>24</v>
      </c>
      <c r="AH9" s="80">
        <f t="shared" ref="AH9:AM9" si="4">SUM(AH3:AH8)</f>
        <v>127434</v>
      </c>
      <c r="AI9" s="80">
        <f t="shared" si="4"/>
        <v>36611</v>
      </c>
      <c r="AJ9" s="80">
        <f t="shared" si="4"/>
        <v>164045</v>
      </c>
      <c r="AK9" s="80">
        <f t="shared" si="4"/>
        <v>127434</v>
      </c>
      <c r="AL9" s="80">
        <f t="shared" si="4"/>
        <v>5116</v>
      </c>
      <c r="AM9" s="80">
        <f t="shared" si="4"/>
        <v>132550</v>
      </c>
      <c r="AN9" s="80">
        <f t="shared" si="3"/>
        <v>296595</v>
      </c>
      <c r="AO9" s="21"/>
      <c r="AQ9" s="21"/>
    </row>
    <row r="10" spans="1:43" ht="15" thickBot="1">
      <c r="A10" s="5"/>
      <c r="B10" s="5"/>
      <c r="C10" s="5"/>
      <c r="D10" s="5"/>
      <c r="E10" s="5"/>
      <c r="F10" s="5"/>
      <c r="G10" s="5"/>
      <c r="H10" s="5"/>
      <c r="I10" s="5"/>
      <c r="J10" s="5"/>
      <c r="K10" s="6"/>
      <c r="L10" s="6"/>
      <c r="M10" s="6"/>
      <c r="N10" s="5"/>
    </row>
    <row r="11" spans="1:43" ht="39.9" customHeight="1" thickBot="1">
      <c r="A11" s="235" t="s">
        <v>13</v>
      </c>
      <c r="B11" s="256" t="s">
        <v>14</v>
      </c>
      <c r="C11" s="257"/>
      <c r="D11" s="256" t="s">
        <v>349</v>
      </c>
      <c r="E11" s="257"/>
      <c r="F11" s="235" t="s">
        <v>342</v>
      </c>
      <c r="G11" s="235" t="s">
        <v>16</v>
      </c>
      <c r="H11" s="235" t="s">
        <v>17</v>
      </c>
      <c r="I11" s="235" t="s">
        <v>341</v>
      </c>
      <c r="J11" s="235" t="s">
        <v>354</v>
      </c>
      <c r="K11" s="254" t="s">
        <v>353</v>
      </c>
      <c r="L11" s="254" t="s">
        <v>340</v>
      </c>
      <c r="M11" s="254" t="s">
        <v>355</v>
      </c>
      <c r="N11" s="254" t="s">
        <v>343</v>
      </c>
      <c r="O11" s="247" t="s">
        <v>20</v>
      </c>
      <c r="Q11" s="221" t="s">
        <v>27</v>
      </c>
      <c r="R11" s="219" t="s">
        <v>28</v>
      </c>
      <c r="S11" s="219" t="s">
        <v>29</v>
      </c>
      <c r="T11" s="219" t="s">
        <v>30</v>
      </c>
      <c r="U11" s="219" t="s">
        <v>21</v>
      </c>
      <c r="V11" s="219" t="s">
        <v>22</v>
      </c>
      <c r="W11" s="219" t="s">
        <v>23</v>
      </c>
      <c r="X11" s="219" t="s">
        <v>24</v>
      </c>
      <c r="Y11" s="219" t="s">
        <v>356</v>
      </c>
      <c r="Z11" s="219" t="s">
        <v>336</v>
      </c>
      <c r="AA11" s="219" t="s">
        <v>26</v>
      </c>
      <c r="AB11" s="219" t="s">
        <v>31</v>
      </c>
      <c r="AC11" s="219" t="s">
        <v>32</v>
      </c>
      <c r="AD11" s="219" t="s">
        <v>333</v>
      </c>
      <c r="AE11" s="202" t="s">
        <v>417</v>
      </c>
      <c r="AF11" s="202" t="s">
        <v>420</v>
      </c>
      <c r="AG11" s="12"/>
      <c r="AH11" s="12"/>
      <c r="AI11" s="12"/>
      <c r="AJ11" s="12"/>
    </row>
    <row r="12" spans="1:43" ht="39.9" customHeight="1" thickBot="1">
      <c r="A12" s="236"/>
      <c r="B12" s="55" t="s">
        <v>350</v>
      </c>
      <c r="C12" s="55" t="s">
        <v>351</v>
      </c>
      <c r="D12" s="55" t="s">
        <v>350</v>
      </c>
      <c r="E12" s="55" t="s">
        <v>351</v>
      </c>
      <c r="F12" s="236"/>
      <c r="G12" s="236"/>
      <c r="H12" s="236"/>
      <c r="I12" s="236"/>
      <c r="J12" s="236"/>
      <c r="K12" s="255"/>
      <c r="L12" s="255"/>
      <c r="M12" s="255"/>
      <c r="N12" s="255"/>
      <c r="O12" s="248"/>
      <c r="Q12" s="222"/>
      <c r="R12" s="220"/>
      <c r="S12" s="220"/>
      <c r="T12" s="220"/>
      <c r="U12" s="220"/>
      <c r="V12" s="220"/>
      <c r="W12" s="220"/>
      <c r="X12" s="220"/>
      <c r="Y12" s="220"/>
      <c r="Z12" s="220"/>
      <c r="AA12" s="220"/>
      <c r="AB12" s="220"/>
      <c r="AC12" s="220"/>
      <c r="AD12" s="220"/>
      <c r="AE12" s="203"/>
      <c r="AF12" s="203"/>
      <c r="AG12" s="12"/>
      <c r="AH12" s="12"/>
      <c r="AI12" s="12"/>
      <c r="AJ12" s="12"/>
    </row>
    <row r="13" spans="1:43" ht="18" customHeight="1">
      <c r="A13" s="51" t="s">
        <v>71</v>
      </c>
      <c r="B13" s="48">
        <v>0</v>
      </c>
      <c r="C13" s="48">
        <v>0</v>
      </c>
      <c r="D13" s="48">
        <f>B13</f>
        <v>0</v>
      </c>
      <c r="E13" s="48">
        <f>C13</f>
        <v>0</v>
      </c>
      <c r="F13" s="48">
        <v>0</v>
      </c>
      <c r="G13" s="48">
        <f>(B13+C13+F13)+(D13+E13)</f>
        <v>0</v>
      </c>
      <c r="H13" s="48">
        <v>0</v>
      </c>
      <c r="I13" s="48">
        <f>(K9+B13+C13+F13)-H13</f>
        <v>0</v>
      </c>
      <c r="J13" s="48">
        <f>(D13+E13)</f>
        <v>0</v>
      </c>
      <c r="K13" s="48">
        <f>(K9+G13)-H13</f>
        <v>0</v>
      </c>
      <c r="L13" s="48">
        <f>ROUND((I13*8/100)/12,0)</f>
        <v>0</v>
      </c>
      <c r="M13" s="48">
        <f>ROUND((J13*8/100)/12,0)</f>
        <v>0</v>
      </c>
      <c r="N13" s="48">
        <f>L13+M13</f>
        <v>0</v>
      </c>
      <c r="O13" s="252" t="s">
        <v>34</v>
      </c>
      <c r="Q13" s="130"/>
      <c r="R13" s="131"/>
      <c r="S13" s="131"/>
      <c r="T13" s="142"/>
      <c r="U13" s="143"/>
      <c r="V13" s="143"/>
      <c r="W13" s="143"/>
      <c r="X13" s="143"/>
      <c r="Y13" s="143"/>
      <c r="Z13" s="143"/>
      <c r="AA13" s="140"/>
      <c r="AB13" s="142"/>
      <c r="AC13" s="142"/>
      <c r="AD13" s="131"/>
      <c r="AE13" s="71"/>
      <c r="AF13" s="71"/>
      <c r="AH13" s="64">
        <v>39173</v>
      </c>
      <c r="AI13" s="64">
        <v>39203</v>
      </c>
      <c r="AJ13" s="64">
        <v>39234</v>
      </c>
    </row>
    <row r="14" spans="1:43" ht="18" customHeight="1">
      <c r="A14" s="42" t="s">
        <v>72</v>
      </c>
      <c r="B14" s="20">
        <v>0</v>
      </c>
      <c r="C14" s="20">
        <v>0</v>
      </c>
      <c r="D14" s="20">
        <f t="shared" ref="D14:E24" si="5">B14</f>
        <v>0</v>
      </c>
      <c r="E14" s="20">
        <f t="shared" si="5"/>
        <v>0</v>
      </c>
      <c r="F14" s="20">
        <v>0</v>
      </c>
      <c r="G14" s="20">
        <f t="shared" ref="G14:G24" si="6">(B14+C14+F14)+(D14+E14)</f>
        <v>0</v>
      </c>
      <c r="H14" s="20">
        <v>0</v>
      </c>
      <c r="I14" s="20">
        <f>(I13+B14+C14+F14)-H14</f>
        <v>0</v>
      </c>
      <c r="J14" s="20">
        <f>(J13+D14+E14)</f>
        <v>0</v>
      </c>
      <c r="K14" s="20">
        <f t="shared" ref="K14:K24" si="7">(K13+G14)-H14</f>
        <v>0</v>
      </c>
      <c r="L14" s="20">
        <f t="shared" ref="L14:M24" si="8">ROUND((I14*8/100)/12,0)</f>
        <v>0</v>
      </c>
      <c r="M14" s="20">
        <f t="shared" si="8"/>
        <v>0</v>
      </c>
      <c r="N14" s="20">
        <f t="shared" ref="N14:N24" si="9">L14+M14</f>
        <v>0</v>
      </c>
      <c r="O14" s="210"/>
      <c r="Q14" s="130"/>
      <c r="R14" s="131"/>
      <c r="S14" s="131"/>
      <c r="T14" s="142"/>
      <c r="U14" s="143"/>
      <c r="V14" s="143"/>
      <c r="W14" s="143"/>
      <c r="X14" s="143"/>
      <c r="Y14" s="143"/>
      <c r="Z14" s="143"/>
      <c r="AA14" s="140"/>
      <c r="AB14" s="142"/>
      <c r="AC14" s="142"/>
      <c r="AD14" s="131"/>
      <c r="AE14" s="71"/>
      <c r="AF14" s="71"/>
      <c r="AH14" s="1">
        <v>26</v>
      </c>
      <c r="AI14" s="1">
        <v>27</v>
      </c>
      <c r="AJ14" s="1">
        <v>25</v>
      </c>
    </row>
    <row r="15" spans="1:43" ht="18" customHeight="1">
      <c r="A15" s="42" t="s">
        <v>73</v>
      </c>
      <c r="B15" s="20">
        <v>0</v>
      </c>
      <c r="C15" s="20">
        <f t="shared" ref="C15:C24" si="10">Y15</f>
        <v>225</v>
      </c>
      <c r="D15" s="20">
        <f t="shared" si="5"/>
        <v>0</v>
      </c>
      <c r="E15" s="20">
        <f t="shared" si="5"/>
        <v>225</v>
      </c>
      <c r="F15" s="20">
        <v>0</v>
      </c>
      <c r="G15" s="20">
        <f t="shared" si="6"/>
        <v>450</v>
      </c>
      <c r="H15" s="20">
        <v>0</v>
      </c>
      <c r="I15" s="20">
        <f t="shared" ref="I15:I24" si="11">(I14+B15+C15+F15)-H15</f>
        <v>225</v>
      </c>
      <c r="J15" s="20">
        <f t="shared" ref="J15:J24" si="12">(J14+D15+E15)</f>
        <v>225</v>
      </c>
      <c r="K15" s="20">
        <f t="shared" si="7"/>
        <v>450</v>
      </c>
      <c r="L15" s="20">
        <f t="shared" si="8"/>
        <v>2</v>
      </c>
      <c r="M15" s="20">
        <f t="shared" si="8"/>
        <v>2</v>
      </c>
      <c r="N15" s="20">
        <f t="shared" si="9"/>
        <v>4</v>
      </c>
      <c r="O15" s="210"/>
      <c r="Q15" s="184">
        <v>13</v>
      </c>
      <c r="R15" s="185">
        <v>49</v>
      </c>
      <c r="S15" s="185">
        <v>4517</v>
      </c>
      <c r="T15" s="186">
        <v>39284</v>
      </c>
      <c r="U15" s="187">
        <v>2250</v>
      </c>
      <c r="V15" s="187">
        <v>0</v>
      </c>
      <c r="W15" s="187">
        <v>0</v>
      </c>
      <c r="X15" s="187">
        <f>U15+V15+W15</f>
        <v>2250</v>
      </c>
      <c r="Y15" s="187">
        <f>ROUND(X15*10%,0)</f>
        <v>225</v>
      </c>
      <c r="Z15" s="187">
        <v>0</v>
      </c>
      <c r="AA15" s="188">
        <f>Z15-Y15</f>
        <v>-225</v>
      </c>
      <c r="AB15" s="189">
        <v>39239</v>
      </c>
      <c r="AC15" s="189">
        <v>39259</v>
      </c>
      <c r="AD15" s="150" t="s">
        <v>74</v>
      </c>
      <c r="AE15" s="148" t="s">
        <v>421</v>
      </c>
      <c r="AF15" s="148" t="s">
        <v>403</v>
      </c>
      <c r="AG15" s="2"/>
      <c r="AH15" s="1">
        <v>90</v>
      </c>
      <c r="AI15" s="1">
        <v>90</v>
      </c>
      <c r="AJ15" s="1">
        <v>90</v>
      </c>
    </row>
    <row r="16" spans="1:43" ht="18" customHeight="1">
      <c r="A16" s="42" t="s">
        <v>75</v>
      </c>
      <c r="B16" s="20">
        <v>0</v>
      </c>
      <c r="C16" s="20">
        <f t="shared" si="10"/>
        <v>225</v>
      </c>
      <c r="D16" s="20">
        <f t="shared" si="5"/>
        <v>0</v>
      </c>
      <c r="E16" s="20">
        <f t="shared" si="5"/>
        <v>225</v>
      </c>
      <c r="F16" s="20">
        <v>0</v>
      </c>
      <c r="G16" s="20">
        <f t="shared" si="6"/>
        <v>450</v>
      </c>
      <c r="H16" s="20">
        <v>0</v>
      </c>
      <c r="I16" s="20">
        <f t="shared" si="11"/>
        <v>450</v>
      </c>
      <c r="J16" s="20">
        <f t="shared" si="12"/>
        <v>450</v>
      </c>
      <c r="K16" s="20">
        <f t="shared" si="7"/>
        <v>900</v>
      </c>
      <c r="L16" s="20">
        <f t="shared" si="8"/>
        <v>3</v>
      </c>
      <c r="M16" s="20">
        <f t="shared" si="8"/>
        <v>3</v>
      </c>
      <c r="N16" s="20">
        <f t="shared" si="9"/>
        <v>6</v>
      </c>
      <c r="O16" s="210"/>
      <c r="Q16" s="184">
        <v>16</v>
      </c>
      <c r="R16" s="185">
        <v>59</v>
      </c>
      <c r="S16" s="185">
        <v>5448</v>
      </c>
      <c r="T16" s="186">
        <v>39304</v>
      </c>
      <c r="U16" s="187">
        <v>2250</v>
      </c>
      <c r="V16" s="187">
        <v>0</v>
      </c>
      <c r="W16" s="187">
        <v>0</v>
      </c>
      <c r="X16" s="187">
        <f>U16+V16+W16</f>
        <v>2250</v>
      </c>
      <c r="Y16" s="187">
        <f>ROUND(X16*10%,0)</f>
        <v>225</v>
      </c>
      <c r="Z16" s="187">
        <v>0</v>
      </c>
      <c r="AA16" s="188">
        <f t="shared" ref="AA16:AA24" si="13">Z16-Y16</f>
        <v>-225</v>
      </c>
      <c r="AB16" s="189">
        <v>39264</v>
      </c>
      <c r="AC16" s="189">
        <v>39288</v>
      </c>
      <c r="AD16" s="150" t="s">
        <v>74</v>
      </c>
      <c r="AE16" s="148" t="s">
        <v>422</v>
      </c>
      <c r="AF16" s="148" t="s">
        <v>403</v>
      </c>
      <c r="AG16" s="2"/>
      <c r="AH16" s="1">
        <f>AH14*AH15</f>
        <v>2340</v>
      </c>
      <c r="AI16" s="1">
        <f>AI14*AI15</f>
        <v>2430</v>
      </c>
      <c r="AJ16" s="1">
        <f>AJ14*AJ15</f>
        <v>2250</v>
      </c>
      <c r="AK16" s="1">
        <f>AH16+AI16+AJ16</f>
        <v>7020</v>
      </c>
    </row>
    <row r="17" spans="1:36" ht="18" customHeight="1">
      <c r="A17" s="42" t="s">
        <v>76</v>
      </c>
      <c r="B17" s="20">
        <v>0</v>
      </c>
      <c r="C17" s="20">
        <f t="shared" si="10"/>
        <v>243</v>
      </c>
      <c r="D17" s="20">
        <f t="shared" si="5"/>
        <v>0</v>
      </c>
      <c r="E17" s="20">
        <f t="shared" si="5"/>
        <v>243</v>
      </c>
      <c r="F17" s="20">
        <v>0</v>
      </c>
      <c r="G17" s="20">
        <f t="shared" si="6"/>
        <v>486</v>
      </c>
      <c r="H17" s="20">
        <v>0</v>
      </c>
      <c r="I17" s="20">
        <f t="shared" si="11"/>
        <v>693</v>
      </c>
      <c r="J17" s="20">
        <f t="shared" si="12"/>
        <v>693</v>
      </c>
      <c r="K17" s="20">
        <f t="shared" si="7"/>
        <v>1386</v>
      </c>
      <c r="L17" s="20">
        <f t="shared" si="8"/>
        <v>5</v>
      </c>
      <c r="M17" s="20">
        <f t="shared" si="8"/>
        <v>5</v>
      </c>
      <c r="N17" s="20">
        <f t="shared" si="9"/>
        <v>10</v>
      </c>
      <c r="O17" s="210"/>
      <c r="Q17" s="184">
        <v>20</v>
      </c>
      <c r="R17" s="185">
        <v>74</v>
      </c>
      <c r="S17" s="185">
        <v>7172</v>
      </c>
      <c r="T17" s="186">
        <v>39339</v>
      </c>
      <c r="U17" s="187">
        <v>2430</v>
      </c>
      <c r="V17" s="187">
        <v>0</v>
      </c>
      <c r="W17" s="187">
        <v>0</v>
      </c>
      <c r="X17" s="187">
        <f t="shared" ref="X17:X24" si="14">U17+V17+W17</f>
        <v>2430</v>
      </c>
      <c r="Y17" s="187">
        <f t="shared" ref="Y17:Y24" si="15">ROUND(X17*10%,0)</f>
        <v>243</v>
      </c>
      <c r="Z17" s="187">
        <v>0</v>
      </c>
      <c r="AA17" s="188">
        <f t="shared" si="13"/>
        <v>-243</v>
      </c>
      <c r="AB17" s="189">
        <v>39295</v>
      </c>
      <c r="AC17" s="189">
        <v>39321</v>
      </c>
      <c r="AD17" s="150" t="s">
        <v>74</v>
      </c>
      <c r="AE17" s="148" t="s">
        <v>423</v>
      </c>
      <c r="AF17" s="148" t="s">
        <v>403</v>
      </c>
      <c r="AG17" s="2"/>
      <c r="AH17" s="2"/>
      <c r="AI17" s="2"/>
      <c r="AJ17" s="2"/>
    </row>
    <row r="18" spans="1:36" ht="18" customHeight="1">
      <c r="A18" s="42" t="s">
        <v>77</v>
      </c>
      <c r="B18" s="20">
        <v>0</v>
      </c>
      <c r="C18" s="20">
        <f t="shared" si="10"/>
        <v>225</v>
      </c>
      <c r="D18" s="20">
        <f t="shared" si="5"/>
        <v>0</v>
      </c>
      <c r="E18" s="20">
        <f t="shared" si="5"/>
        <v>225</v>
      </c>
      <c r="F18" s="20">
        <v>0</v>
      </c>
      <c r="G18" s="20">
        <f t="shared" si="6"/>
        <v>450</v>
      </c>
      <c r="H18" s="20">
        <v>0</v>
      </c>
      <c r="I18" s="20">
        <f t="shared" si="11"/>
        <v>918</v>
      </c>
      <c r="J18" s="20">
        <f t="shared" si="12"/>
        <v>918</v>
      </c>
      <c r="K18" s="20">
        <f t="shared" si="7"/>
        <v>1836</v>
      </c>
      <c r="L18" s="20">
        <f t="shared" si="8"/>
        <v>6</v>
      </c>
      <c r="M18" s="20">
        <f t="shared" si="8"/>
        <v>6</v>
      </c>
      <c r="N18" s="20">
        <f t="shared" si="9"/>
        <v>12</v>
      </c>
      <c r="O18" s="210"/>
      <c r="Q18" s="184">
        <v>23</v>
      </c>
      <c r="R18" s="185">
        <v>86</v>
      </c>
      <c r="S18" s="185">
        <v>8533</v>
      </c>
      <c r="T18" s="186">
        <v>39363</v>
      </c>
      <c r="U18" s="187">
        <v>2250</v>
      </c>
      <c r="V18" s="187">
        <v>0</v>
      </c>
      <c r="W18" s="187">
        <v>0</v>
      </c>
      <c r="X18" s="187">
        <f t="shared" si="14"/>
        <v>2250</v>
      </c>
      <c r="Y18" s="187">
        <f t="shared" si="15"/>
        <v>225</v>
      </c>
      <c r="Z18" s="187">
        <v>0</v>
      </c>
      <c r="AA18" s="188">
        <f t="shared" si="13"/>
        <v>-225</v>
      </c>
      <c r="AB18" s="189">
        <v>39326</v>
      </c>
      <c r="AC18" s="189">
        <v>39350</v>
      </c>
      <c r="AD18" s="150" t="s">
        <v>74</v>
      </c>
      <c r="AE18" s="148" t="s">
        <v>424</v>
      </c>
      <c r="AF18" s="148" t="s">
        <v>403</v>
      </c>
      <c r="AG18" s="2"/>
      <c r="AH18" s="2"/>
      <c r="AI18" s="2"/>
      <c r="AJ18" s="2"/>
    </row>
    <row r="19" spans="1:36" ht="18" customHeight="1">
      <c r="A19" s="42" t="s">
        <v>78</v>
      </c>
      <c r="B19" s="20">
        <v>0</v>
      </c>
      <c r="C19" s="20">
        <f t="shared" si="10"/>
        <v>243</v>
      </c>
      <c r="D19" s="20">
        <f t="shared" si="5"/>
        <v>0</v>
      </c>
      <c r="E19" s="20">
        <f t="shared" si="5"/>
        <v>243</v>
      </c>
      <c r="F19" s="20">
        <v>0</v>
      </c>
      <c r="G19" s="20">
        <f t="shared" si="6"/>
        <v>486</v>
      </c>
      <c r="H19" s="20">
        <v>0</v>
      </c>
      <c r="I19" s="20">
        <f t="shared" si="11"/>
        <v>1161</v>
      </c>
      <c r="J19" s="20">
        <f t="shared" si="12"/>
        <v>1161</v>
      </c>
      <c r="K19" s="20">
        <f t="shared" si="7"/>
        <v>2322</v>
      </c>
      <c r="L19" s="20">
        <f t="shared" si="8"/>
        <v>8</v>
      </c>
      <c r="M19" s="20">
        <f t="shared" si="8"/>
        <v>8</v>
      </c>
      <c r="N19" s="20">
        <f t="shared" si="9"/>
        <v>16</v>
      </c>
      <c r="O19" s="210"/>
      <c r="Q19" s="184">
        <v>28</v>
      </c>
      <c r="R19" s="185">
        <v>106</v>
      </c>
      <c r="S19" s="185">
        <v>10444</v>
      </c>
      <c r="T19" s="186">
        <v>39392</v>
      </c>
      <c r="U19" s="187">
        <v>2430</v>
      </c>
      <c r="V19" s="187">
        <v>0</v>
      </c>
      <c r="W19" s="187">
        <v>0</v>
      </c>
      <c r="X19" s="187">
        <f t="shared" si="14"/>
        <v>2430</v>
      </c>
      <c r="Y19" s="187">
        <f t="shared" si="15"/>
        <v>243</v>
      </c>
      <c r="Z19" s="187">
        <v>0</v>
      </c>
      <c r="AA19" s="188">
        <f t="shared" si="13"/>
        <v>-243</v>
      </c>
      <c r="AB19" s="189">
        <v>39356</v>
      </c>
      <c r="AC19" s="189">
        <v>39382</v>
      </c>
      <c r="AD19" s="150" t="s">
        <v>74</v>
      </c>
      <c r="AE19" s="148" t="s">
        <v>425</v>
      </c>
      <c r="AF19" s="148" t="s">
        <v>403</v>
      </c>
      <c r="AG19" s="2"/>
      <c r="AH19" s="2"/>
      <c r="AI19" s="2"/>
      <c r="AJ19" s="2"/>
    </row>
    <row r="20" spans="1:36" ht="18" customHeight="1">
      <c r="A20" s="42" t="s">
        <v>79</v>
      </c>
      <c r="B20" s="20">
        <v>0</v>
      </c>
      <c r="C20" s="20">
        <f t="shared" si="10"/>
        <v>234</v>
      </c>
      <c r="D20" s="20">
        <f t="shared" si="5"/>
        <v>0</v>
      </c>
      <c r="E20" s="20">
        <f t="shared" si="5"/>
        <v>234</v>
      </c>
      <c r="F20" s="20">
        <v>0</v>
      </c>
      <c r="G20" s="20">
        <f t="shared" si="6"/>
        <v>468</v>
      </c>
      <c r="H20" s="20">
        <v>0</v>
      </c>
      <c r="I20" s="20">
        <f t="shared" si="11"/>
        <v>1395</v>
      </c>
      <c r="J20" s="20">
        <f t="shared" si="12"/>
        <v>1395</v>
      </c>
      <c r="K20" s="20">
        <f t="shared" si="7"/>
        <v>2790</v>
      </c>
      <c r="L20" s="20">
        <f t="shared" si="8"/>
        <v>9</v>
      </c>
      <c r="M20" s="20">
        <f t="shared" si="8"/>
        <v>9</v>
      </c>
      <c r="N20" s="20">
        <f t="shared" si="9"/>
        <v>18</v>
      </c>
      <c r="O20" s="210"/>
      <c r="Q20" s="184">
        <v>33</v>
      </c>
      <c r="R20" s="185">
        <v>123</v>
      </c>
      <c r="S20" s="185">
        <v>12034</v>
      </c>
      <c r="T20" s="186">
        <v>39431</v>
      </c>
      <c r="U20" s="187">
        <v>2340</v>
      </c>
      <c r="V20" s="187">
        <v>0</v>
      </c>
      <c r="W20" s="187">
        <v>0</v>
      </c>
      <c r="X20" s="187">
        <f t="shared" si="14"/>
        <v>2340</v>
      </c>
      <c r="Y20" s="187">
        <f t="shared" si="15"/>
        <v>234</v>
      </c>
      <c r="Z20" s="187">
        <v>0</v>
      </c>
      <c r="AA20" s="188">
        <f t="shared" si="13"/>
        <v>-234</v>
      </c>
      <c r="AB20" s="189">
        <v>39387</v>
      </c>
      <c r="AC20" s="189">
        <v>39412</v>
      </c>
      <c r="AD20" s="150" t="s">
        <v>74</v>
      </c>
      <c r="AE20" s="148" t="s">
        <v>426</v>
      </c>
      <c r="AF20" s="148" t="s">
        <v>403</v>
      </c>
      <c r="AG20" s="2"/>
      <c r="AH20" s="2"/>
      <c r="AI20" s="2"/>
      <c r="AJ20" s="2"/>
    </row>
    <row r="21" spans="1:36" ht="18" customHeight="1">
      <c r="A21" s="42" t="s">
        <v>80</v>
      </c>
      <c r="B21" s="20">
        <v>0</v>
      </c>
      <c r="C21" s="20">
        <f t="shared" si="10"/>
        <v>234</v>
      </c>
      <c r="D21" s="20">
        <f t="shared" si="5"/>
        <v>0</v>
      </c>
      <c r="E21" s="20">
        <f t="shared" si="5"/>
        <v>234</v>
      </c>
      <c r="F21" s="20">
        <v>0</v>
      </c>
      <c r="G21" s="20">
        <f t="shared" si="6"/>
        <v>468</v>
      </c>
      <c r="H21" s="20">
        <v>0</v>
      </c>
      <c r="I21" s="20">
        <f t="shared" si="11"/>
        <v>1629</v>
      </c>
      <c r="J21" s="20">
        <f t="shared" si="12"/>
        <v>1629</v>
      </c>
      <c r="K21" s="20">
        <f t="shared" si="7"/>
        <v>3258</v>
      </c>
      <c r="L21" s="20">
        <f t="shared" si="8"/>
        <v>11</v>
      </c>
      <c r="M21" s="20">
        <f t="shared" si="8"/>
        <v>11</v>
      </c>
      <c r="N21" s="20">
        <f t="shared" si="9"/>
        <v>22</v>
      </c>
      <c r="O21" s="210"/>
      <c r="Q21" s="184">
        <v>36</v>
      </c>
      <c r="R21" s="185">
        <v>133</v>
      </c>
      <c r="S21" s="185">
        <v>12927</v>
      </c>
      <c r="T21" s="186">
        <v>39454</v>
      </c>
      <c r="U21" s="187">
        <v>2340</v>
      </c>
      <c r="V21" s="187">
        <v>0</v>
      </c>
      <c r="W21" s="187">
        <v>0</v>
      </c>
      <c r="X21" s="187">
        <f t="shared" si="14"/>
        <v>2340</v>
      </c>
      <c r="Y21" s="187">
        <f t="shared" si="15"/>
        <v>234</v>
      </c>
      <c r="Z21" s="187">
        <v>0</v>
      </c>
      <c r="AA21" s="188">
        <f t="shared" si="13"/>
        <v>-234</v>
      </c>
      <c r="AB21" s="189">
        <v>39417</v>
      </c>
      <c r="AC21" s="189">
        <v>39442</v>
      </c>
      <c r="AD21" s="150" t="s">
        <v>74</v>
      </c>
      <c r="AE21" s="148" t="s">
        <v>427</v>
      </c>
      <c r="AF21" s="148" t="s">
        <v>403</v>
      </c>
      <c r="AG21" s="2"/>
      <c r="AH21" s="2"/>
      <c r="AI21" s="2"/>
      <c r="AJ21" s="2"/>
    </row>
    <row r="22" spans="1:36" ht="18" customHeight="1">
      <c r="A22" s="42" t="s">
        <v>81</v>
      </c>
      <c r="B22" s="20">
        <v>0</v>
      </c>
      <c r="C22" s="20">
        <f t="shared" si="10"/>
        <v>198</v>
      </c>
      <c r="D22" s="20">
        <f t="shared" si="5"/>
        <v>0</v>
      </c>
      <c r="E22" s="20">
        <f t="shared" si="5"/>
        <v>198</v>
      </c>
      <c r="F22" s="20">
        <v>0</v>
      </c>
      <c r="G22" s="20">
        <f t="shared" si="6"/>
        <v>396</v>
      </c>
      <c r="H22" s="20">
        <v>0</v>
      </c>
      <c r="I22" s="20">
        <f t="shared" si="11"/>
        <v>1827</v>
      </c>
      <c r="J22" s="20">
        <f t="shared" si="12"/>
        <v>1827</v>
      </c>
      <c r="K22" s="20">
        <f t="shared" si="7"/>
        <v>3654</v>
      </c>
      <c r="L22" s="20">
        <f t="shared" si="8"/>
        <v>12</v>
      </c>
      <c r="M22" s="20">
        <f t="shared" si="8"/>
        <v>12</v>
      </c>
      <c r="N22" s="20">
        <f t="shared" si="9"/>
        <v>24</v>
      </c>
      <c r="O22" s="210"/>
      <c r="Q22" s="184">
        <v>40</v>
      </c>
      <c r="R22" s="185">
        <v>147</v>
      </c>
      <c r="S22" s="185">
        <v>14426</v>
      </c>
      <c r="T22" s="186">
        <v>39493</v>
      </c>
      <c r="U22" s="187">
        <v>1980</v>
      </c>
      <c r="V22" s="187">
        <v>0</v>
      </c>
      <c r="W22" s="187">
        <v>0</v>
      </c>
      <c r="X22" s="187">
        <f t="shared" si="14"/>
        <v>1980</v>
      </c>
      <c r="Y22" s="187">
        <f t="shared" si="15"/>
        <v>198</v>
      </c>
      <c r="Z22" s="187">
        <v>0</v>
      </c>
      <c r="AA22" s="188">
        <f t="shared" si="13"/>
        <v>-198</v>
      </c>
      <c r="AB22" s="189">
        <v>39448</v>
      </c>
      <c r="AC22" s="189">
        <v>39469</v>
      </c>
      <c r="AD22" s="150" t="s">
        <v>74</v>
      </c>
      <c r="AE22" s="148" t="s">
        <v>428</v>
      </c>
      <c r="AF22" s="148" t="s">
        <v>403</v>
      </c>
      <c r="AG22" s="2"/>
      <c r="AH22" s="2"/>
      <c r="AI22" s="2"/>
      <c r="AJ22" s="2"/>
    </row>
    <row r="23" spans="1:36" ht="18" customHeight="1">
      <c r="A23" s="42" t="s">
        <v>82</v>
      </c>
      <c r="B23" s="20">
        <v>0</v>
      </c>
      <c r="C23" s="20">
        <f t="shared" si="10"/>
        <v>225</v>
      </c>
      <c r="D23" s="20">
        <f t="shared" si="5"/>
        <v>0</v>
      </c>
      <c r="E23" s="20">
        <f t="shared" si="5"/>
        <v>225</v>
      </c>
      <c r="F23" s="20">
        <v>0</v>
      </c>
      <c r="G23" s="20">
        <f t="shared" si="6"/>
        <v>450</v>
      </c>
      <c r="H23" s="20">
        <v>0</v>
      </c>
      <c r="I23" s="20">
        <f t="shared" si="11"/>
        <v>2052</v>
      </c>
      <c r="J23" s="20">
        <f t="shared" si="12"/>
        <v>2052</v>
      </c>
      <c r="K23" s="20">
        <f t="shared" si="7"/>
        <v>4104</v>
      </c>
      <c r="L23" s="20">
        <f t="shared" si="8"/>
        <v>14</v>
      </c>
      <c r="M23" s="20">
        <f t="shared" si="8"/>
        <v>14</v>
      </c>
      <c r="N23" s="20">
        <f t="shared" si="9"/>
        <v>28</v>
      </c>
      <c r="O23" s="210"/>
      <c r="Q23" s="184">
        <v>43</v>
      </c>
      <c r="R23" s="185">
        <v>157</v>
      </c>
      <c r="S23" s="185">
        <v>15705</v>
      </c>
      <c r="T23" s="186">
        <v>39521</v>
      </c>
      <c r="U23" s="187">
        <v>2250</v>
      </c>
      <c r="V23" s="187">
        <v>0</v>
      </c>
      <c r="W23" s="187">
        <v>0</v>
      </c>
      <c r="X23" s="187">
        <f t="shared" si="14"/>
        <v>2250</v>
      </c>
      <c r="Y23" s="187">
        <f t="shared" si="15"/>
        <v>225</v>
      </c>
      <c r="Z23" s="187">
        <v>0</v>
      </c>
      <c r="AA23" s="188">
        <f t="shared" si="13"/>
        <v>-225</v>
      </c>
      <c r="AB23" s="189">
        <v>39479</v>
      </c>
      <c r="AC23" s="189">
        <v>39503</v>
      </c>
      <c r="AD23" s="150" t="s">
        <v>74</v>
      </c>
      <c r="AE23" s="148" t="s">
        <v>429</v>
      </c>
      <c r="AF23" s="148" t="s">
        <v>403</v>
      </c>
      <c r="AG23" s="2"/>
      <c r="AH23" s="2"/>
      <c r="AI23" s="2"/>
      <c r="AJ23" s="2"/>
    </row>
    <row r="24" spans="1:36" ht="18" customHeight="1" thickBot="1">
      <c r="A24" s="50" t="s">
        <v>83</v>
      </c>
      <c r="B24" s="47">
        <v>0</v>
      </c>
      <c r="C24" s="47">
        <f t="shared" si="10"/>
        <v>207</v>
      </c>
      <c r="D24" s="47">
        <f t="shared" si="5"/>
        <v>0</v>
      </c>
      <c r="E24" s="47">
        <f t="shared" si="5"/>
        <v>207</v>
      </c>
      <c r="F24" s="47">
        <v>0</v>
      </c>
      <c r="G24" s="47">
        <f t="shared" si="6"/>
        <v>414</v>
      </c>
      <c r="H24" s="47">
        <v>0</v>
      </c>
      <c r="I24" s="47">
        <f t="shared" si="11"/>
        <v>2259</v>
      </c>
      <c r="J24" s="47">
        <f t="shared" si="12"/>
        <v>2259</v>
      </c>
      <c r="K24" s="47">
        <f t="shared" si="7"/>
        <v>4518</v>
      </c>
      <c r="L24" s="47">
        <f t="shared" si="8"/>
        <v>15</v>
      </c>
      <c r="M24" s="47">
        <f t="shared" si="8"/>
        <v>15</v>
      </c>
      <c r="N24" s="47">
        <f t="shared" si="9"/>
        <v>30</v>
      </c>
      <c r="O24" s="253"/>
      <c r="Q24" s="184">
        <v>5</v>
      </c>
      <c r="R24" s="185">
        <v>20</v>
      </c>
      <c r="S24" s="185">
        <v>1506</v>
      </c>
      <c r="T24" s="186">
        <v>39571</v>
      </c>
      <c r="U24" s="187">
        <v>2070</v>
      </c>
      <c r="V24" s="187">
        <v>0</v>
      </c>
      <c r="W24" s="187">
        <v>0</v>
      </c>
      <c r="X24" s="187">
        <f t="shared" si="14"/>
        <v>2070</v>
      </c>
      <c r="Y24" s="187">
        <f t="shared" si="15"/>
        <v>207</v>
      </c>
      <c r="Z24" s="187">
        <v>0</v>
      </c>
      <c r="AA24" s="188">
        <f t="shared" si="13"/>
        <v>-207</v>
      </c>
      <c r="AB24" s="189">
        <v>39508</v>
      </c>
      <c r="AC24" s="189">
        <v>39530</v>
      </c>
      <c r="AD24" s="150" t="s">
        <v>74</v>
      </c>
      <c r="AE24" s="148" t="s">
        <v>502</v>
      </c>
      <c r="AF24" s="148" t="s">
        <v>403</v>
      </c>
      <c r="AG24" s="2"/>
      <c r="AH24" s="2"/>
      <c r="AI24" s="2"/>
      <c r="AJ24" s="2"/>
    </row>
    <row r="25" spans="1:36" ht="18" customHeight="1" thickBot="1">
      <c r="A25" s="55" t="s">
        <v>84</v>
      </c>
      <c r="B25" s="54">
        <f t="shared" ref="B25:H25" si="16">SUM(B13:B24)</f>
        <v>0</v>
      </c>
      <c r="C25" s="54">
        <f t="shared" si="16"/>
        <v>2259</v>
      </c>
      <c r="D25" s="54">
        <f t="shared" si="16"/>
        <v>0</v>
      </c>
      <c r="E25" s="54">
        <f t="shared" si="16"/>
        <v>2259</v>
      </c>
      <c r="F25" s="54">
        <f t="shared" si="16"/>
        <v>0</v>
      </c>
      <c r="G25" s="54">
        <f t="shared" si="16"/>
        <v>4518</v>
      </c>
      <c r="H25" s="54">
        <f t="shared" si="16"/>
        <v>0</v>
      </c>
      <c r="I25" s="54">
        <f>SUM(I13:I24)</f>
        <v>12609</v>
      </c>
      <c r="J25" s="54">
        <f>SUM(J13:J24)</f>
        <v>12609</v>
      </c>
      <c r="K25" s="54">
        <f>SUM(K13:K24)</f>
        <v>25218</v>
      </c>
      <c r="L25" s="54">
        <f t="shared" ref="L25:N25" si="17">SUM(L13:L24)</f>
        <v>85</v>
      </c>
      <c r="M25" s="54">
        <f t="shared" si="17"/>
        <v>85</v>
      </c>
      <c r="N25" s="57">
        <f t="shared" si="17"/>
        <v>170</v>
      </c>
      <c r="O25" s="56"/>
      <c r="Q25" s="133"/>
      <c r="R25" s="134"/>
      <c r="S25" s="134"/>
      <c r="T25" s="145" t="s">
        <v>24</v>
      </c>
      <c r="U25" s="146">
        <f t="shared" ref="U25:AA25" si="18">SUM(U13:U24)</f>
        <v>22590</v>
      </c>
      <c r="V25" s="146">
        <f t="shared" si="18"/>
        <v>0</v>
      </c>
      <c r="W25" s="146">
        <f t="shared" si="18"/>
        <v>0</v>
      </c>
      <c r="X25" s="146">
        <f t="shared" si="18"/>
        <v>22590</v>
      </c>
      <c r="Y25" s="146">
        <f t="shared" si="18"/>
        <v>2259</v>
      </c>
      <c r="Z25" s="146">
        <f t="shared" si="18"/>
        <v>0</v>
      </c>
      <c r="AA25" s="146">
        <f t="shared" si="18"/>
        <v>-2259</v>
      </c>
      <c r="AB25" s="134"/>
      <c r="AC25" s="134"/>
      <c r="AD25" s="134"/>
      <c r="AE25" s="72"/>
      <c r="AF25" s="72"/>
    </row>
    <row r="26" spans="1:36" ht="15" thickBot="1">
      <c r="A26" s="5"/>
      <c r="B26" s="5"/>
      <c r="C26" s="5"/>
      <c r="D26" s="5"/>
      <c r="E26" s="5"/>
      <c r="F26" s="5"/>
      <c r="G26" s="5"/>
      <c r="H26" s="5"/>
      <c r="I26" s="5"/>
      <c r="J26" s="5"/>
      <c r="K26" s="6"/>
      <c r="L26" s="6"/>
      <c r="M26" s="6"/>
      <c r="N26" s="6"/>
    </row>
    <row r="27" spans="1:36" ht="21.9" customHeight="1" thickBot="1">
      <c r="A27" s="5"/>
      <c r="B27" s="6"/>
      <c r="C27" s="6"/>
      <c r="D27" s="6"/>
      <c r="E27" s="5"/>
      <c r="F27" s="53">
        <v>1</v>
      </c>
      <c r="G27" s="212" t="s">
        <v>47</v>
      </c>
      <c r="H27" s="212"/>
      <c r="I27" s="212"/>
      <c r="J27" s="212"/>
      <c r="K27" s="213"/>
      <c r="L27" s="54">
        <f>K9</f>
        <v>0</v>
      </c>
      <c r="M27" s="2"/>
      <c r="O27" s="1"/>
      <c r="S27" s="30"/>
      <c r="T27" s="30"/>
      <c r="Z27" s="1"/>
      <c r="AA27" s="1"/>
    </row>
    <row r="28" spans="1:36" ht="21.9" customHeight="1" thickBot="1">
      <c r="A28" s="5"/>
      <c r="B28" s="5"/>
      <c r="C28" s="5"/>
      <c r="D28" s="5"/>
      <c r="E28" s="5"/>
      <c r="F28" s="53">
        <v>2</v>
      </c>
      <c r="G28" s="212" t="s">
        <v>344</v>
      </c>
      <c r="H28" s="212"/>
      <c r="I28" s="212"/>
      <c r="J28" s="212"/>
      <c r="K28" s="213"/>
      <c r="L28" s="54">
        <f>B25+C25</f>
        <v>2259</v>
      </c>
      <c r="M28" s="2"/>
      <c r="O28" s="1"/>
      <c r="S28" s="30"/>
      <c r="T28" s="30"/>
      <c r="Z28" s="1"/>
      <c r="AA28" s="1"/>
    </row>
    <row r="29" spans="1:36" ht="21.9" customHeight="1" thickBot="1">
      <c r="A29" s="5"/>
      <c r="B29" s="5"/>
      <c r="C29" s="5"/>
      <c r="D29" s="5"/>
      <c r="E29" s="5"/>
      <c r="F29" s="53">
        <v>3</v>
      </c>
      <c r="G29" s="212" t="s">
        <v>352</v>
      </c>
      <c r="H29" s="212"/>
      <c r="I29" s="212"/>
      <c r="J29" s="212"/>
      <c r="K29" s="213"/>
      <c r="L29" s="54">
        <f>F25</f>
        <v>0</v>
      </c>
      <c r="M29" s="2"/>
      <c r="O29" s="1"/>
      <c r="S29" s="30"/>
      <c r="T29" s="30"/>
      <c r="Z29" s="1"/>
      <c r="AA29" s="1"/>
    </row>
    <row r="30" spans="1:36" ht="21.9" customHeight="1" thickBot="1">
      <c r="A30" s="5"/>
      <c r="B30" s="5"/>
      <c r="C30" s="5"/>
      <c r="D30" s="5"/>
      <c r="E30" s="5"/>
      <c r="F30" s="53">
        <v>4</v>
      </c>
      <c r="G30" s="212" t="s">
        <v>346</v>
      </c>
      <c r="H30" s="212"/>
      <c r="I30" s="212"/>
      <c r="J30" s="212"/>
      <c r="K30" s="213"/>
      <c r="L30" s="54">
        <f>L28+L29</f>
        <v>2259</v>
      </c>
      <c r="M30" s="2"/>
      <c r="O30" s="1"/>
      <c r="S30" s="30"/>
      <c r="T30" s="30"/>
      <c r="Z30" s="1"/>
      <c r="AA30" s="1"/>
    </row>
    <row r="31" spans="1:36" ht="21.9" customHeight="1" thickBot="1">
      <c r="A31" s="5"/>
      <c r="B31" s="5"/>
      <c r="C31" s="5"/>
      <c r="D31" s="5"/>
      <c r="E31" s="5"/>
      <c r="F31" s="53">
        <v>5</v>
      </c>
      <c r="G31" s="212" t="s">
        <v>349</v>
      </c>
      <c r="H31" s="212"/>
      <c r="I31" s="212"/>
      <c r="J31" s="212"/>
      <c r="K31" s="213"/>
      <c r="L31" s="54">
        <f>D25+E25</f>
        <v>2259</v>
      </c>
      <c r="M31" s="2"/>
      <c r="O31" s="1"/>
      <c r="S31" s="30"/>
      <c r="T31" s="30"/>
      <c r="Z31" s="1"/>
      <c r="AA31" s="1"/>
    </row>
    <row r="32" spans="1:36" ht="21.9" customHeight="1" thickBot="1">
      <c r="A32" s="5"/>
      <c r="B32" s="5"/>
      <c r="C32" s="5"/>
      <c r="D32" s="5"/>
      <c r="E32" s="5"/>
      <c r="F32" s="53">
        <v>6</v>
      </c>
      <c r="G32" s="212" t="s">
        <v>347</v>
      </c>
      <c r="H32" s="212"/>
      <c r="I32" s="212"/>
      <c r="J32" s="212"/>
      <c r="K32" s="213"/>
      <c r="L32" s="54">
        <f>L27+L30+L31</f>
        <v>4518</v>
      </c>
      <c r="M32" s="2"/>
      <c r="O32" s="1"/>
      <c r="S32" s="30"/>
      <c r="T32" s="30"/>
      <c r="Z32" s="1"/>
      <c r="AA32" s="1"/>
    </row>
    <row r="33" spans="1:27" ht="21.9" customHeight="1" thickBot="1">
      <c r="A33" s="251" t="s">
        <v>512</v>
      </c>
      <c r="B33" s="251"/>
      <c r="C33" s="251"/>
      <c r="D33" s="251"/>
      <c r="E33" s="5"/>
      <c r="F33" s="53">
        <v>7</v>
      </c>
      <c r="G33" s="212" t="s">
        <v>50</v>
      </c>
      <c r="H33" s="212"/>
      <c r="I33" s="212"/>
      <c r="J33" s="212"/>
      <c r="K33" s="213"/>
      <c r="L33" s="54">
        <f>H25</f>
        <v>0</v>
      </c>
      <c r="M33" s="2"/>
      <c r="O33" s="1"/>
      <c r="S33" s="30"/>
      <c r="T33" s="30"/>
      <c r="Z33" s="1"/>
      <c r="AA33" s="1"/>
    </row>
    <row r="34" spans="1:27" ht="21.9" customHeight="1" thickBot="1">
      <c r="A34" s="251"/>
      <c r="B34" s="251"/>
      <c r="C34" s="251"/>
      <c r="D34" s="251"/>
      <c r="E34" s="5"/>
      <c r="F34" s="53">
        <v>8</v>
      </c>
      <c r="G34" s="212" t="s">
        <v>340</v>
      </c>
      <c r="H34" s="212"/>
      <c r="I34" s="212"/>
      <c r="J34" s="212"/>
      <c r="K34" s="213"/>
      <c r="L34" s="54">
        <f>L25</f>
        <v>85</v>
      </c>
      <c r="M34" s="2"/>
      <c r="O34" s="1"/>
      <c r="S34" s="30"/>
      <c r="T34" s="30"/>
      <c r="Z34" s="1"/>
      <c r="AA34" s="1"/>
    </row>
    <row r="35" spans="1:27" ht="21.9" customHeight="1" thickBot="1">
      <c r="A35" s="251"/>
      <c r="B35" s="251"/>
      <c r="C35" s="251"/>
      <c r="D35" s="251"/>
      <c r="E35" s="5"/>
      <c r="F35" s="53">
        <v>9</v>
      </c>
      <c r="G35" s="212" t="s">
        <v>355</v>
      </c>
      <c r="H35" s="212"/>
      <c r="I35" s="212"/>
      <c r="J35" s="212"/>
      <c r="K35" s="213"/>
      <c r="L35" s="54">
        <f>M25</f>
        <v>85</v>
      </c>
      <c r="M35" s="2"/>
      <c r="O35" s="1"/>
      <c r="S35" s="30"/>
      <c r="T35" s="30"/>
      <c r="Z35" s="1"/>
      <c r="AA35" s="1"/>
    </row>
    <row r="36" spans="1:27" ht="21.9" customHeight="1" thickBot="1">
      <c r="A36" s="251"/>
      <c r="B36" s="251"/>
      <c r="C36" s="251"/>
      <c r="D36" s="251"/>
      <c r="E36" s="5"/>
      <c r="F36" s="53">
        <v>10</v>
      </c>
      <c r="G36" s="212" t="s">
        <v>348</v>
      </c>
      <c r="H36" s="212"/>
      <c r="I36" s="212"/>
      <c r="J36" s="212"/>
      <c r="K36" s="213"/>
      <c r="L36" s="54">
        <f>N25</f>
        <v>170</v>
      </c>
      <c r="M36" s="2"/>
      <c r="O36" s="1"/>
      <c r="S36" s="30"/>
      <c r="T36" s="30"/>
      <c r="Z36" s="1"/>
      <c r="AA36" s="1"/>
    </row>
    <row r="37" spans="1:27" ht="21.9" customHeight="1" thickBot="1">
      <c r="A37" s="251"/>
      <c r="B37" s="251"/>
      <c r="C37" s="251"/>
      <c r="D37" s="251"/>
      <c r="E37" s="5"/>
      <c r="F37" s="53">
        <v>11</v>
      </c>
      <c r="G37" s="212" t="s">
        <v>357</v>
      </c>
      <c r="H37" s="212"/>
      <c r="I37" s="212"/>
      <c r="J37" s="212"/>
      <c r="K37" s="213"/>
      <c r="L37" s="54">
        <f>L32-L33+L36</f>
        <v>4688</v>
      </c>
      <c r="M37" s="2"/>
      <c r="O37" s="1"/>
      <c r="S37" s="30"/>
      <c r="T37" s="30"/>
      <c r="Z37" s="1"/>
      <c r="AA37" s="1"/>
    </row>
    <row r="38" spans="1:27">
      <c r="A38" s="86"/>
      <c r="B38" s="86"/>
      <c r="C38" s="86"/>
      <c r="D38" s="86"/>
      <c r="E38" s="5"/>
      <c r="F38" s="5"/>
      <c r="G38" s="17"/>
      <c r="H38" s="17"/>
      <c r="I38" s="17"/>
      <c r="J38" s="17"/>
      <c r="K38" s="17"/>
      <c r="L38" s="17"/>
      <c r="M38" s="17"/>
      <c r="N38" s="6"/>
    </row>
    <row r="39" spans="1:27">
      <c r="A39" s="86"/>
      <c r="B39" s="86"/>
      <c r="C39" s="86"/>
      <c r="D39" s="86"/>
    </row>
    <row r="41" spans="1:27" ht="16.8">
      <c r="A41" s="249" t="s">
        <v>53</v>
      </c>
      <c r="B41" s="249"/>
      <c r="C41" s="18"/>
      <c r="D41" s="18"/>
      <c r="E41" s="249" t="s">
        <v>54</v>
      </c>
      <c r="F41" s="249"/>
      <c r="G41" s="249"/>
      <c r="H41" s="250" t="s">
        <v>55</v>
      </c>
      <c r="I41" s="250"/>
      <c r="J41" s="250"/>
      <c r="K41" s="250"/>
      <c r="L41" s="250"/>
      <c r="M41" s="250"/>
      <c r="N41" s="250"/>
    </row>
    <row r="42" spans="1:27" ht="27.75" customHeight="1">
      <c r="A42" s="261" t="s">
        <v>509</v>
      </c>
      <c r="B42" s="261"/>
      <c r="E42" s="261" t="s">
        <v>510</v>
      </c>
      <c r="F42" s="261"/>
      <c r="G42" s="261"/>
      <c r="H42" s="259" t="s">
        <v>511</v>
      </c>
      <c r="I42" s="259"/>
      <c r="J42" s="259"/>
      <c r="K42" s="259"/>
      <c r="L42" s="259"/>
      <c r="M42" s="259"/>
      <c r="N42" s="259"/>
      <c r="O42" s="85"/>
    </row>
    <row r="44" spans="1:27" ht="18.600000000000001">
      <c r="A44" s="224" t="s">
        <v>0</v>
      </c>
      <c r="B44" s="224"/>
      <c r="C44" s="224"/>
      <c r="D44" s="224"/>
      <c r="E44" s="224"/>
      <c r="F44" s="224"/>
      <c r="G44" s="224"/>
      <c r="H44" s="224"/>
      <c r="I44" s="224"/>
      <c r="J44" s="224"/>
      <c r="K44" s="224"/>
      <c r="L44" s="224"/>
      <c r="M44" s="224"/>
      <c r="N44" s="224"/>
      <c r="O44" s="224"/>
      <c r="P44" s="23"/>
    </row>
    <row r="45" spans="1:27" ht="18.600000000000001">
      <c r="A45" s="224" t="s">
        <v>1</v>
      </c>
      <c r="B45" s="224"/>
      <c r="C45" s="224"/>
      <c r="D45" s="224"/>
      <c r="E45" s="224"/>
      <c r="F45" s="224"/>
      <c r="G45" s="224"/>
      <c r="H45" s="224"/>
      <c r="I45" s="224"/>
      <c r="J45" s="224"/>
      <c r="K45" s="224"/>
      <c r="L45" s="224"/>
      <c r="M45" s="224"/>
      <c r="N45" s="224"/>
      <c r="O45" s="224"/>
      <c r="P45" s="23"/>
    </row>
    <row r="47" spans="1:27" ht="15" thickBot="1">
      <c r="A47" s="258" t="s">
        <v>85</v>
      </c>
      <c r="B47" s="258"/>
      <c r="C47" s="258"/>
      <c r="D47" s="258"/>
      <c r="E47" s="258"/>
      <c r="F47" s="258"/>
      <c r="G47" s="258"/>
      <c r="H47" s="258"/>
      <c r="I47" s="258"/>
      <c r="J47" s="258"/>
      <c r="K47" s="258"/>
      <c r="L47" s="258"/>
      <c r="M47" s="258"/>
      <c r="N47" s="258"/>
    </row>
    <row r="48" spans="1:27" ht="36" customHeight="1" thickBot="1">
      <c r="A48" s="55" t="s">
        <v>3</v>
      </c>
      <c r="B48" s="53">
        <f>B5</f>
        <v>9255</v>
      </c>
      <c r="C48" s="5"/>
      <c r="D48" s="5"/>
      <c r="E48" s="211" t="s">
        <v>4</v>
      </c>
      <c r="F48" s="213" t="str">
        <f>H5</f>
        <v>Mahajan Ganesh Trambak</v>
      </c>
      <c r="G48" s="5"/>
      <c r="H48" s="211" t="str">
        <f>H5</f>
        <v>Mahajan Ganesh Trambak</v>
      </c>
      <c r="I48" s="212"/>
      <c r="J48" s="212"/>
      <c r="K48" s="212"/>
      <c r="L48" s="212"/>
      <c r="M48" s="212"/>
      <c r="N48" s="212"/>
      <c r="O48" s="213"/>
    </row>
    <row r="49" spans="1:36" ht="15" thickBot="1">
      <c r="A49" s="5"/>
      <c r="E49" s="5"/>
      <c r="F49" s="5"/>
      <c r="G49" s="5"/>
      <c r="H49" s="5"/>
      <c r="I49" s="5"/>
      <c r="J49" s="5"/>
      <c r="K49" s="6"/>
      <c r="L49" s="6"/>
      <c r="M49" s="6"/>
      <c r="N49" s="5"/>
    </row>
    <row r="50" spans="1:36" ht="36" customHeight="1" thickBot="1">
      <c r="A50" s="55" t="s">
        <v>6</v>
      </c>
      <c r="B50" s="55" t="str">
        <f>B7</f>
        <v>06.06.2007</v>
      </c>
      <c r="C50" s="5"/>
      <c r="D50" s="5"/>
      <c r="E50" s="55" t="s">
        <v>7</v>
      </c>
      <c r="F50" s="55">
        <f>F7</f>
        <v>2301</v>
      </c>
      <c r="G50" s="5"/>
      <c r="H50" s="55" t="s">
        <v>8</v>
      </c>
      <c r="I50" s="211" t="str">
        <f>I7</f>
        <v>Asst. Jr. Engineer</v>
      </c>
      <c r="J50" s="212"/>
      <c r="K50" s="212" t="str">
        <f>I7</f>
        <v>Asst. Jr. Engineer</v>
      </c>
      <c r="L50" s="212"/>
      <c r="M50" s="212"/>
      <c r="N50" s="212"/>
      <c r="O50" s="213"/>
    </row>
    <row r="51" spans="1:36" ht="15" thickBot="1">
      <c r="A51" s="5"/>
      <c r="B51" s="5"/>
      <c r="C51" s="5"/>
      <c r="D51" s="5"/>
      <c r="E51" s="5"/>
      <c r="F51" s="5"/>
      <c r="G51" s="5"/>
      <c r="H51" s="5"/>
      <c r="I51" s="5"/>
      <c r="J51" s="5"/>
      <c r="K51" s="6"/>
      <c r="L51" s="6"/>
      <c r="M51" s="6"/>
      <c r="N51" s="5"/>
    </row>
    <row r="52" spans="1:36" ht="24" customHeight="1" thickBot="1">
      <c r="A52" s="55" t="s">
        <v>10</v>
      </c>
      <c r="B52" s="58">
        <v>0.08</v>
      </c>
      <c r="C52" s="5"/>
      <c r="D52" s="5"/>
      <c r="E52" s="55" t="s">
        <v>11</v>
      </c>
      <c r="F52" s="58">
        <v>0</v>
      </c>
      <c r="G52" s="5"/>
      <c r="H52" s="239" t="s">
        <v>12</v>
      </c>
      <c r="I52" s="240"/>
      <c r="J52" s="241"/>
      <c r="K52" s="242">
        <f>L37</f>
        <v>4688</v>
      </c>
      <c r="L52" s="243"/>
      <c r="M52" s="243"/>
      <c r="N52" s="243"/>
      <c r="O52" s="244"/>
    </row>
    <row r="53" spans="1:36" ht="15" thickBot="1">
      <c r="A53" s="5"/>
      <c r="B53" s="5"/>
      <c r="C53" s="5"/>
      <c r="D53" s="5"/>
      <c r="E53" s="5"/>
      <c r="F53" s="5"/>
      <c r="G53" s="5"/>
      <c r="H53" s="5"/>
      <c r="I53" s="5"/>
      <c r="J53" s="5"/>
      <c r="K53" s="6"/>
      <c r="L53" s="6"/>
      <c r="M53" s="6"/>
      <c r="N53" s="5"/>
    </row>
    <row r="54" spans="1:36" ht="39.9" customHeight="1" thickBot="1">
      <c r="A54" s="235" t="s">
        <v>13</v>
      </c>
      <c r="B54" s="256" t="s">
        <v>14</v>
      </c>
      <c r="C54" s="257"/>
      <c r="D54" s="256" t="s">
        <v>349</v>
      </c>
      <c r="E54" s="257"/>
      <c r="F54" s="235" t="s">
        <v>342</v>
      </c>
      <c r="G54" s="235" t="s">
        <v>16</v>
      </c>
      <c r="H54" s="235" t="s">
        <v>17</v>
      </c>
      <c r="I54" s="235" t="s">
        <v>341</v>
      </c>
      <c r="J54" s="235" t="s">
        <v>354</v>
      </c>
      <c r="K54" s="254" t="s">
        <v>353</v>
      </c>
      <c r="L54" s="254" t="s">
        <v>340</v>
      </c>
      <c r="M54" s="254" t="s">
        <v>355</v>
      </c>
      <c r="N54" s="254" t="s">
        <v>343</v>
      </c>
      <c r="O54" s="247" t="s">
        <v>20</v>
      </c>
      <c r="Q54" s="221" t="s">
        <v>27</v>
      </c>
      <c r="R54" s="219" t="s">
        <v>28</v>
      </c>
      <c r="S54" s="219" t="s">
        <v>29</v>
      </c>
      <c r="T54" s="219" t="s">
        <v>30</v>
      </c>
      <c r="U54" s="219" t="s">
        <v>21</v>
      </c>
      <c r="V54" s="219" t="s">
        <v>22</v>
      </c>
      <c r="W54" s="219" t="s">
        <v>23</v>
      </c>
      <c r="X54" s="219" t="s">
        <v>24</v>
      </c>
      <c r="Y54" s="219" t="s">
        <v>356</v>
      </c>
      <c r="Z54" s="219" t="s">
        <v>336</v>
      </c>
      <c r="AA54" s="219" t="s">
        <v>26</v>
      </c>
      <c r="AB54" s="219" t="s">
        <v>31</v>
      </c>
      <c r="AC54" s="219" t="s">
        <v>32</v>
      </c>
      <c r="AD54" s="219" t="s">
        <v>333</v>
      </c>
      <c r="AE54" s="202" t="s">
        <v>417</v>
      </c>
      <c r="AF54" s="202" t="s">
        <v>420</v>
      </c>
      <c r="AG54" s="12"/>
      <c r="AH54" s="12"/>
      <c r="AI54" s="12"/>
      <c r="AJ54" s="12"/>
    </row>
    <row r="55" spans="1:36" ht="39.9" customHeight="1" thickBot="1">
      <c r="A55" s="236"/>
      <c r="B55" s="55" t="s">
        <v>350</v>
      </c>
      <c r="C55" s="55" t="s">
        <v>351</v>
      </c>
      <c r="D55" s="55" t="s">
        <v>350</v>
      </c>
      <c r="E55" s="55" t="s">
        <v>351</v>
      </c>
      <c r="F55" s="236"/>
      <c r="G55" s="236"/>
      <c r="H55" s="236"/>
      <c r="I55" s="236"/>
      <c r="J55" s="236"/>
      <c r="K55" s="255"/>
      <c r="L55" s="255"/>
      <c r="M55" s="255"/>
      <c r="N55" s="255"/>
      <c r="O55" s="248"/>
      <c r="Q55" s="222"/>
      <c r="R55" s="220"/>
      <c r="S55" s="220"/>
      <c r="T55" s="220"/>
      <c r="U55" s="220"/>
      <c r="V55" s="220"/>
      <c r="W55" s="220"/>
      <c r="X55" s="220"/>
      <c r="Y55" s="220"/>
      <c r="Z55" s="220"/>
      <c r="AA55" s="220"/>
      <c r="AB55" s="220"/>
      <c r="AC55" s="220"/>
      <c r="AD55" s="220"/>
      <c r="AE55" s="203"/>
      <c r="AF55" s="203"/>
      <c r="AG55" s="12"/>
      <c r="AH55" s="12"/>
      <c r="AI55" s="12"/>
      <c r="AJ55" s="12"/>
    </row>
    <row r="56" spans="1:36" ht="18" customHeight="1">
      <c r="A56" s="42" t="s">
        <v>86</v>
      </c>
      <c r="B56" s="20">
        <v>0</v>
      </c>
      <c r="C56" s="20">
        <f t="shared" ref="C56:C66" si="19">Y56</f>
        <v>257</v>
      </c>
      <c r="D56" s="20">
        <f>B56</f>
        <v>0</v>
      </c>
      <c r="E56" s="20">
        <f>C56</f>
        <v>257</v>
      </c>
      <c r="F56" s="20">
        <v>0</v>
      </c>
      <c r="G56" s="20">
        <f t="shared" ref="G56:G67" si="20">(B56+C56+F56)+(D56+E56)</f>
        <v>514</v>
      </c>
      <c r="H56" s="20">
        <v>0</v>
      </c>
      <c r="I56" s="20">
        <f>(K52+B56+C56+F56)-H56</f>
        <v>4945</v>
      </c>
      <c r="J56" s="20">
        <f>(D56+E56)</f>
        <v>257</v>
      </c>
      <c r="K56" s="20">
        <f>(K52+G56)-H56</f>
        <v>5202</v>
      </c>
      <c r="L56" s="20">
        <f>ROUND((I56*8/100)/12,0)</f>
        <v>33</v>
      </c>
      <c r="M56" s="20">
        <f>ROUND((J56*8/100)/12,0)</f>
        <v>2</v>
      </c>
      <c r="N56" s="20">
        <f>L56+M56</f>
        <v>35</v>
      </c>
      <c r="O56" s="253" t="s">
        <v>34</v>
      </c>
      <c r="Q56" s="184">
        <v>11</v>
      </c>
      <c r="R56" s="185">
        <v>42</v>
      </c>
      <c r="S56" s="185">
        <v>3889</v>
      </c>
      <c r="T56" s="186">
        <v>39618</v>
      </c>
      <c r="U56" s="187">
        <v>2567</v>
      </c>
      <c r="V56" s="187">
        <v>0</v>
      </c>
      <c r="W56" s="187">
        <v>0</v>
      </c>
      <c r="X56" s="187">
        <f t="shared" ref="X56:X67" si="21">U56+V56+W56</f>
        <v>2567</v>
      </c>
      <c r="Y56" s="187">
        <f t="shared" ref="Y56:Y67" si="22">ROUND(X56*10%,0)</f>
        <v>257</v>
      </c>
      <c r="Z56" s="187">
        <v>0</v>
      </c>
      <c r="AA56" s="188">
        <f t="shared" ref="AA56:AA67" si="23">Z56-Y56</f>
        <v>-257</v>
      </c>
      <c r="AB56" s="189">
        <v>39539</v>
      </c>
      <c r="AC56" s="189">
        <v>39568</v>
      </c>
      <c r="AD56" s="150" t="s">
        <v>74</v>
      </c>
      <c r="AE56" s="148" t="s">
        <v>478</v>
      </c>
      <c r="AF56" s="148" t="s">
        <v>403</v>
      </c>
      <c r="AG56" s="2"/>
      <c r="AH56" s="2"/>
      <c r="AI56" s="2"/>
      <c r="AJ56" s="2"/>
    </row>
    <row r="57" spans="1:36" ht="18" customHeight="1">
      <c r="A57" s="42" t="s">
        <v>87</v>
      </c>
      <c r="B57" s="20">
        <v>0</v>
      </c>
      <c r="C57" s="20">
        <f t="shared" si="19"/>
        <v>350</v>
      </c>
      <c r="D57" s="20">
        <f t="shared" ref="D57:E67" si="24">B57</f>
        <v>0</v>
      </c>
      <c r="E57" s="20">
        <f t="shared" si="24"/>
        <v>350</v>
      </c>
      <c r="F57" s="20">
        <v>0</v>
      </c>
      <c r="G57" s="20">
        <f t="shared" si="20"/>
        <v>700</v>
      </c>
      <c r="H57" s="20">
        <v>0</v>
      </c>
      <c r="I57" s="20">
        <f>(I56+B57+C57+F57)-H57</f>
        <v>5295</v>
      </c>
      <c r="J57" s="20">
        <f>(J56+D57+E57)</f>
        <v>607</v>
      </c>
      <c r="K57" s="20">
        <f t="shared" ref="K57:K67" si="25">(K56+G57)-H57</f>
        <v>5902</v>
      </c>
      <c r="L57" s="20">
        <f t="shared" ref="L57:M67" si="26">ROUND((I57*8/100)/12,0)</f>
        <v>35</v>
      </c>
      <c r="M57" s="20">
        <f t="shared" si="26"/>
        <v>4</v>
      </c>
      <c r="N57" s="20">
        <f t="shared" ref="N57:N67" si="27">L57+M57</f>
        <v>39</v>
      </c>
      <c r="O57" s="260"/>
      <c r="Q57" s="184">
        <v>11</v>
      </c>
      <c r="R57" s="185">
        <v>42</v>
      </c>
      <c r="S57" s="185">
        <v>3889</v>
      </c>
      <c r="T57" s="186">
        <v>39618</v>
      </c>
      <c r="U57" s="187">
        <v>3500</v>
      </c>
      <c r="V57" s="187">
        <v>0</v>
      </c>
      <c r="W57" s="187">
        <v>0</v>
      </c>
      <c r="X57" s="187">
        <f t="shared" si="21"/>
        <v>3500</v>
      </c>
      <c r="Y57" s="187">
        <f t="shared" si="22"/>
        <v>350</v>
      </c>
      <c r="Z57" s="187">
        <v>0</v>
      </c>
      <c r="AA57" s="188">
        <f t="shared" si="23"/>
        <v>-350</v>
      </c>
      <c r="AB57" s="189">
        <v>39569</v>
      </c>
      <c r="AC57" s="189">
        <v>39599</v>
      </c>
      <c r="AD57" s="150" t="s">
        <v>74</v>
      </c>
      <c r="AE57" s="148" t="s">
        <v>479</v>
      </c>
      <c r="AF57" s="148" t="s">
        <v>403</v>
      </c>
      <c r="AG57" s="2"/>
      <c r="AH57" s="2"/>
      <c r="AI57" s="2"/>
      <c r="AJ57" s="2"/>
    </row>
    <row r="58" spans="1:36" ht="18" customHeight="1">
      <c r="A58" s="42" t="s">
        <v>88</v>
      </c>
      <c r="B58" s="20">
        <v>0</v>
      </c>
      <c r="C58" s="20">
        <f t="shared" si="19"/>
        <v>350</v>
      </c>
      <c r="D58" s="20">
        <f t="shared" si="24"/>
        <v>0</v>
      </c>
      <c r="E58" s="20">
        <f t="shared" si="24"/>
        <v>350</v>
      </c>
      <c r="F58" s="20">
        <v>0</v>
      </c>
      <c r="G58" s="20">
        <f t="shared" si="20"/>
        <v>700</v>
      </c>
      <c r="H58" s="20">
        <v>0</v>
      </c>
      <c r="I58" s="20">
        <f t="shared" ref="I58:I67" si="28">(I57+B58+C58+F58)-H58</f>
        <v>5645</v>
      </c>
      <c r="J58" s="20">
        <f t="shared" ref="J58:J67" si="29">(J57+D58+E58)</f>
        <v>957</v>
      </c>
      <c r="K58" s="20">
        <f t="shared" si="25"/>
        <v>6602</v>
      </c>
      <c r="L58" s="20">
        <f t="shared" si="26"/>
        <v>38</v>
      </c>
      <c r="M58" s="20">
        <f t="shared" si="26"/>
        <v>6</v>
      </c>
      <c r="N58" s="20">
        <f t="shared" si="27"/>
        <v>44</v>
      </c>
      <c r="O58" s="260"/>
      <c r="Q58" s="184">
        <v>15</v>
      </c>
      <c r="R58" s="185">
        <v>56</v>
      </c>
      <c r="S58" s="185">
        <v>5037</v>
      </c>
      <c r="T58" s="186">
        <v>39644</v>
      </c>
      <c r="U58" s="187">
        <v>3500</v>
      </c>
      <c r="V58" s="187">
        <v>0</v>
      </c>
      <c r="W58" s="187">
        <v>0</v>
      </c>
      <c r="X58" s="187">
        <f t="shared" si="21"/>
        <v>3500</v>
      </c>
      <c r="Y58" s="187">
        <f t="shared" si="22"/>
        <v>350</v>
      </c>
      <c r="Z58" s="187">
        <v>0</v>
      </c>
      <c r="AA58" s="188">
        <f t="shared" si="23"/>
        <v>-350</v>
      </c>
      <c r="AB58" s="189">
        <v>39600</v>
      </c>
      <c r="AC58" s="189">
        <v>39629</v>
      </c>
      <c r="AD58" s="150" t="s">
        <v>74</v>
      </c>
      <c r="AE58" s="148" t="s">
        <v>480</v>
      </c>
      <c r="AF58" s="148" t="s">
        <v>403</v>
      </c>
      <c r="AG58" s="2"/>
      <c r="AH58" s="2"/>
      <c r="AI58" s="2"/>
      <c r="AJ58" s="2"/>
    </row>
    <row r="59" spans="1:36" ht="18" customHeight="1">
      <c r="A59" s="42" t="s">
        <v>89</v>
      </c>
      <c r="B59" s="20">
        <v>0</v>
      </c>
      <c r="C59" s="20">
        <f t="shared" si="19"/>
        <v>350</v>
      </c>
      <c r="D59" s="20">
        <f t="shared" si="24"/>
        <v>0</v>
      </c>
      <c r="E59" s="20">
        <f t="shared" si="24"/>
        <v>350</v>
      </c>
      <c r="F59" s="20">
        <v>0</v>
      </c>
      <c r="G59" s="20">
        <f t="shared" si="20"/>
        <v>700</v>
      </c>
      <c r="H59" s="20">
        <v>0</v>
      </c>
      <c r="I59" s="20">
        <f t="shared" si="28"/>
        <v>5995</v>
      </c>
      <c r="J59" s="20">
        <f t="shared" si="29"/>
        <v>1307</v>
      </c>
      <c r="K59" s="20">
        <f t="shared" si="25"/>
        <v>7302</v>
      </c>
      <c r="L59" s="20">
        <f t="shared" si="26"/>
        <v>40</v>
      </c>
      <c r="M59" s="20">
        <f t="shared" si="26"/>
        <v>9</v>
      </c>
      <c r="N59" s="20">
        <f t="shared" si="27"/>
        <v>49</v>
      </c>
      <c r="O59" s="260"/>
      <c r="Q59" s="184">
        <v>19</v>
      </c>
      <c r="R59" s="185">
        <v>73</v>
      </c>
      <c r="S59" s="185">
        <v>6608</v>
      </c>
      <c r="T59" s="186">
        <v>39674</v>
      </c>
      <c r="U59" s="187">
        <v>3500</v>
      </c>
      <c r="V59" s="187">
        <v>0</v>
      </c>
      <c r="W59" s="187">
        <v>0</v>
      </c>
      <c r="X59" s="187">
        <f t="shared" si="21"/>
        <v>3500</v>
      </c>
      <c r="Y59" s="187">
        <f t="shared" si="22"/>
        <v>350</v>
      </c>
      <c r="Z59" s="187">
        <v>0</v>
      </c>
      <c r="AA59" s="188">
        <f t="shared" si="23"/>
        <v>-350</v>
      </c>
      <c r="AB59" s="189">
        <v>39630</v>
      </c>
      <c r="AC59" s="189">
        <v>39660</v>
      </c>
      <c r="AD59" s="150" t="s">
        <v>74</v>
      </c>
      <c r="AE59" s="148" t="s">
        <v>481</v>
      </c>
      <c r="AF59" s="148" t="s">
        <v>403</v>
      </c>
      <c r="AG59" s="2"/>
      <c r="AH59" s="2"/>
      <c r="AI59" s="2"/>
      <c r="AJ59" s="2"/>
    </row>
    <row r="60" spans="1:36" ht="18" customHeight="1">
      <c r="A60" s="42" t="s">
        <v>90</v>
      </c>
      <c r="B60" s="20">
        <v>0</v>
      </c>
      <c r="C60" s="20">
        <f t="shared" si="19"/>
        <v>350</v>
      </c>
      <c r="D60" s="20">
        <f t="shared" si="24"/>
        <v>0</v>
      </c>
      <c r="E60" s="20">
        <f t="shared" si="24"/>
        <v>350</v>
      </c>
      <c r="F60" s="20">
        <v>0</v>
      </c>
      <c r="G60" s="20">
        <f t="shared" si="20"/>
        <v>700</v>
      </c>
      <c r="H60" s="20">
        <v>0</v>
      </c>
      <c r="I60" s="20">
        <f t="shared" si="28"/>
        <v>6345</v>
      </c>
      <c r="J60" s="20">
        <f t="shared" si="29"/>
        <v>1657</v>
      </c>
      <c r="K60" s="20">
        <f t="shared" si="25"/>
        <v>8002</v>
      </c>
      <c r="L60" s="20">
        <f t="shared" si="26"/>
        <v>42</v>
      </c>
      <c r="M60" s="20">
        <f t="shared" si="26"/>
        <v>11</v>
      </c>
      <c r="N60" s="20">
        <f t="shared" si="27"/>
        <v>53</v>
      </c>
      <c r="O60" s="260"/>
      <c r="Q60" s="184">
        <v>23</v>
      </c>
      <c r="R60" s="185">
        <v>86</v>
      </c>
      <c r="S60" s="185">
        <v>7656</v>
      </c>
      <c r="T60" s="186">
        <v>39699</v>
      </c>
      <c r="U60" s="187">
        <v>3500</v>
      </c>
      <c r="V60" s="187">
        <v>0</v>
      </c>
      <c r="W60" s="187">
        <v>0</v>
      </c>
      <c r="X60" s="187">
        <f t="shared" si="21"/>
        <v>3500</v>
      </c>
      <c r="Y60" s="187">
        <f t="shared" si="22"/>
        <v>350</v>
      </c>
      <c r="Z60" s="187">
        <v>0</v>
      </c>
      <c r="AA60" s="188">
        <f t="shared" si="23"/>
        <v>-350</v>
      </c>
      <c r="AB60" s="189">
        <v>39661</v>
      </c>
      <c r="AC60" s="189">
        <v>39691</v>
      </c>
      <c r="AD60" s="150" t="s">
        <v>74</v>
      </c>
      <c r="AE60" s="148" t="s">
        <v>482</v>
      </c>
      <c r="AF60" s="148" t="s">
        <v>403</v>
      </c>
      <c r="AG60" s="2"/>
      <c r="AH60" s="2"/>
      <c r="AI60" s="2"/>
      <c r="AJ60" s="2"/>
    </row>
    <row r="61" spans="1:36" ht="18" customHeight="1">
      <c r="A61" s="42" t="s">
        <v>91</v>
      </c>
      <c r="B61" s="20">
        <v>0</v>
      </c>
      <c r="C61" s="20">
        <f t="shared" si="19"/>
        <v>350</v>
      </c>
      <c r="D61" s="20">
        <f t="shared" si="24"/>
        <v>0</v>
      </c>
      <c r="E61" s="20">
        <f t="shared" si="24"/>
        <v>350</v>
      </c>
      <c r="F61" s="20">
        <v>0</v>
      </c>
      <c r="G61" s="20">
        <f t="shared" si="20"/>
        <v>700</v>
      </c>
      <c r="H61" s="20">
        <v>0</v>
      </c>
      <c r="I61" s="20">
        <f t="shared" si="28"/>
        <v>6695</v>
      </c>
      <c r="J61" s="20">
        <f t="shared" si="29"/>
        <v>2007</v>
      </c>
      <c r="K61" s="20">
        <f t="shared" si="25"/>
        <v>8702</v>
      </c>
      <c r="L61" s="20">
        <f t="shared" si="26"/>
        <v>45</v>
      </c>
      <c r="M61" s="20">
        <f t="shared" si="26"/>
        <v>13</v>
      </c>
      <c r="N61" s="20">
        <f t="shared" si="27"/>
        <v>58</v>
      </c>
      <c r="O61" s="260"/>
      <c r="Q61" s="184">
        <v>27</v>
      </c>
      <c r="R61" s="185">
        <v>103</v>
      </c>
      <c r="S61" s="185">
        <v>8926</v>
      </c>
      <c r="T61" s="186">
        <v>39727</v>
      </c>
      <c r="U61" s="187">
        <v>3500</v>
      </c>
      <c r="V61" s="187">
        <v>0</v>
      </c>
      <c r="W61" s="187">
        <v>0</v>
      </c>
      <c r="X61" s="187">
        <f t="shared" si="21"/>
        <v>3500</v>
      </c>
      <c r="Y61" s="187">
        <f t="shared" si="22"/>
        <v>350</v>
      </c>
      <c r="Z61" s="187">
        <v>0</v>
      </c>
      <c r="AA61" s="188">
        <f t="shared" si="23"/>
        <v>-350</v>
      </c>
      <c r="AB61" s="189">
        <v>39692</v>
      </c>
      <c r="AC61" s="189">
        <v>39721</v>
      </c>
      <c r="AD61" s="150" t="s">
        <v>74</v>
      </c>
      <c r="AE61" s="148" t="s">
        <v>483</v>
      </c>
      <c r="AF61" s="148" t="s">
        <v>403</v>
      </c>
      <c r="AG61" s="2"/>
      <c r="AH61" s="2"/>
      <c r="AI61" s="2"/>
      <c r="AJ61" s="2"/>
    </row>
    <row r="62" spans="1:36" ht="18" customHeight="1">
      <c r="A62" s="42" t="s">
        <v>92</v>
      </c>
      <c r="B62" s="20">
        <v>0</v>
      </c>
      <c r="C62" s="20">
        <f t="shared" si="19"/>
        <v>350</v>
      </c>
      <c r="D62" s="20">
        <f t="shared" si="24"/>
        <v>0</v>
      </c>
      <c r="E62" s="20">
        <f t="shared" si="24"/>
        <v>350</v>
      </c>
      <c r="F62" s="20">
        <v>0</v>
      </c>
      <c r="G62" s="20">
        <f t="shared" si="20"/>
        <v>700</v>
      </c>
      <c r="H62" s="20">
        <v>0</v>
      </c>
      <c r="I62" s="20">
        <f t="shared" si="28"/>
        <v>7045</v>
      </c>
      <c r="J62" s="20">
        <f t="shared" si="29"/>
        <v>2357</v>
      </c>
      <c r="K62" s="20">
        <f t="shared" si="25"/>
        <v>9402</v>
      </c>
      <c r="L62" s="20">
        <f t="shared" si="26"/>
        <v>47</v>
      </c>
      <c r="M62" s="20">
        <f t="shared" si="26"/>
        <v>16</v>
      </c>
      <c r="N62" s="20">
        <f t="shared" si="27"/>
        <v>63</v>
      </c>
      <c r="O62" s="260"/>
      <c r="Q62" s="184">
        <v>33</v>
      </c>
      <c r="R62" s="185">
        <v>127</v>
      </c>
      <c r="S62" s="185">
        <v>11249</v>
      </c>
      <c r="T62" s="186">
        <v>39758</v>
      </c>
      <c r="U62" s="187">
        <v>3500</v>
      </c>
      <c r="V62" s="187">
        <v>0</v>
      </c>
      <c r="W62" s="187">
        <v>0</v>
      </c>
      <c r="X62" s="187">
        <f t="shared" si="21"/>
        <v>3500</v>
      </c>
      <c r="Y62" s="187">
        <f t="shared" si="22"/>
        <v>350</v>
      </c>
      <c r="Z62" s="187">
        <v>0</v>
      </c>
      <c r="AA62" s="188">
        <f t="shared" si="23"/>
        <v>-350</v>
      </c>
      <c r="AB62" s="189">
        <v>39722</v>
      </c>
      <c r="AC62" s="189">
        <v>39752</v>
      </c>
      <c r="AD62" s="150" t="s">
        <v>74</v>
      </c>
      <c r="AE62" s="148" t="s">
        <v>484</v>
      </c>
      <c r="AF62" s="148" t="s">
        <v>403</v>
      </c>
      <c r="AG62" s="2"/>
      <c r="AH62" s="2"/>
      <c r="AI62" s="2"/>
      <c r="AJ62" s="2"/>
    </row>
    <row r="63" spans="1:36" ht="18" customHeight="1">
      <c r="A63" s="42" t="s">
        <v>93</v>
      </c>
      <c r="B63" s="20">
        <v>0</v>
      </c>
      <c r="C63" s="20">
        <f t="shared" si="19"/>
        <v>350</v>
      </c>
      <c r="D63" s="20">
        <f t="shared" si="24"/>
        <v>0</v>
      </c>
      <c r="E63" s="20">
        <f t="shared" si="24"/>
        <v>350</v>
      </c>
      <c r="F63" s="20">
        <v>0</v>
      </c>
      <c r="G63" s="20">
        <f t="shared" si="20"/>
        <v>700</v>
      </c>
      <c r="H63" s="20">
        <v>0</v>
      </c>
      <c r="I63" s="20">
        <f t="shared" si="28"/>
        <v>7395</v>
      </c>
      <c r="J63" s="20">
        <f t="shared" si="29"/>
        <v>2707</v>
      </c>
      <c r="K63" s="20">
        <f t="shared" si="25"/>
        <v>10102</v>
      </c>
      <c r="L63" s="20">
        <f t="shared" si="26"/>
        <v>49</v>
      </c>
      <c r="M63" s="20">
        <f t="shared" si="26"/>
        <v>18</v>
      </c>
      <c r="N63" s="20">
        <f t="shared" si="27"/>
        <v>67</v>
      </c>
      <c r="O63" s="260"/>
      <c r="Q63" s="184">
        <v>37</v>
      </c>
      <c r="R63" s="185">
        <v>144</v>
      </c>
      <c r="S63" s="185">
        <v>12796</v>
      </c>
      <c r="T63" s="186">
        <v>39797</v>
      </c>
      <c r="U63" s="187">
        <v>3500</v>
      </c>
      <c r="V63" s="187">
        <v>0</v>
      </c>
      <c r="W63" s="187">
        <v>0</v>
      </c>
      <c r="X63" s="187">
        <f t="shared" si="21"/>
        <v>3500</v>
      </c>
      <c r="Y63" s="187">
        <f t="shared" si="22"/>
        <v>350</v>
      </c>
      <c r="Z63" s="187">
        <v>0</v>
      </c>
      <c r="AA63" s="188">
        <f t="shared" si="23"/>
        <v>-350</v>
      </c>
      <c r="AB63" s="189">
        <v>39753</v>
      </c>
      <c r="AC63" s="189">
        <v>39782</v>
      </c>
      <c r="AD63" s="150" t="s">
        <v>74</v>
      </c>
      <c r="AE63" s="148" t="s">
        <v>485</v>
      </c>
      <c r="AF63" s="148" t="s">
        <v>403</v>
      </c>
      <c r="AG63" s="2"/>
      <c r="AH63" s="2"/>
      <c r="AI63" s="2"/>
      <c r="AJ63" s="2"/>
    </row>
    <row r="64" spans="1:36" ht="18" customHeight="1">
      <c r="A64" s="42" t="s">
        <v>94</v>
      </c>
      <c r="B64" s="20">
        <v>0</v>
      </c>
      <c r="C64" s="20">
        <f t="shared" si="19"/>
        <v>350</v>
      </c>
      <c r="D64" s="20">
        <f t="shared" si="24"/>
        <v>0</v>
      </c>
      <c r="E64" s="20">
        <f t="shared" si="24"/>
        <v>350</v>
      </c>
      <c r="F64" s="20">
        <v>0</v>
      </c>
      <c r="G64" s="20">
        <f t="shared" si="20"/>
        <v>700</v>
      </c>
      <c r="H64" s="20">
        <v>0</v>
      </c>
      <c r="I64" s="20">
        <f t="shared" si="28"/>
        <v>7745</v>
      </c>
      <c r="J64" s="20">
        <f t="shared" si="29"/>
        <v>3057</v>
      </c>
      <c r="K64" s="20">
        <f t="shared" si="25"/>
        <v>10802</v>
      </c>
      <c r="L64" s="20">
        <f t="shared" si="26"/>
        <v>52</v>
      </c>
      <c r="M64" s="20">
        <f t="shared" si="26"/>
        <v>20</v>
      </c>
      <c r="N64" s="20">
        <f t="shared" si="27"/>
        <v>72</v>
      </c>
      <c r="O64" s="260"/>
      <c r="Q64" s="184">
        <v>40</v>
      </c>
      <c r="R64" s="185">
        <v>157</v>
      </c>
      <c r="S64" s="185">
        <v>13891</v>
      </c>
      <c r="T64" s="186">
        <v>39820</v>
      </c>
      <c r="U64" s="187">
        <v>3500</v>
      </c>
      <c r="V64" s="187">
        <v>0</v>
      </c>
      <c r="W64" s="187">
        <v>0</v>
      </c>
      <c r="X64" s="187">
        <f t="shared" si="21"/>
        <v>3500</v>
      </c>
      <c r="Y64" s="187">
        <f t="shared" si="22"/>
        <v>350</v>
      </c>
      <c r="Z64" s="187">
        <v>0</v>
      </c>
      <c r="AA64" s="188">
        <f t="shared" si="23"/>
        <v>-350</v>
      </c>
      <c r="AB64" s="189">
        <v>39783</v>
      </c>
      <c r="AC64" s="189">
        <v>39813</v>
      </c>
      <c r="AD64" s="150" t="s">
        <v>74</v>
      </c>
      <c r="AE64" s="148" t="s">
        <v>486</v>
      </c>
      <c r="AF64" s="148" t="s">
        <v>403</v>
      </c>
      <c r="AG64" s="2"/>
      <c r="AH64" s="2"/>
      <c r="AI64" s="2"/>
      <c r="AJ64" s="2"/>
    </row>
    <row r="65" spans="1:36" ht="18" customHeight="1">
      <c r="A65" s="42" t="s">
        <v>95</v>
      </c>
      <c r="B65" s="20">
        <v>0</v>
      </c>
      <c r="C65" s="20">
        <f t="shared" si="19"/>
        <v>350</v>
      </c>
      <c r="D65" s="20">
        <f t="shared" si="24"/>
        <v>0</v>
      </c>
      <c r="E65" s="20">
        <f t="shared" si="24"/>
        <v>350</v>
      </c>
      <c r="F65" s="20">
        <v>0</v>
      </c>
      <c r="G65" s="20">
        <f t="shared" si="20"/>
        <v>700</v>
      </c>
      <c r="H65" s="20">
        <v>0</v>
      </c>
      <c r="I65" s="20">
        <f t="shared" si="28"/>
        <v>8095</v>
      </c>
      <c r="J65" s="20">
        <f t="shared" si="29"/>
        <v>3407</v>
      </c>
      <c r="K65" s="20">
        <f t="shared" si="25"/>
        <v>11502</v>
      </c>
      <c r="L65" s="20">
        <f t="shared" si="26"/>
        <v>54</v>
      </c>
      <c r="M65" s="20">
        <f t="shared" si="26"/>
        <v>23</v>
      </c>
      <c r="N65" s="20">
        <f t="shared" si="27"/>
        <v>77</v>
      </c>
      <c r="O65" s="260"/>
      <c r="Q65" s="184">
        <v>44</v>
      </c>
      <c r="R65" s="185">
        <v>174</v>
      </c>
      <c r="S65" s="185">
        <v>15394</v>
      </c>
      <c r="T65" s="186">
        <v>39853</v>
      </c>
      <c r="U65" s="187">
        <v>3500</v>
      </c>
      <c r="V65" s="187">
        <v>0</v>
      </c>
      <c r="W65" s="187">
        <v>0</v>
      </c>
      <c r="X65" s="187">
        <f t="shared" si="21"/>
        <v>3500</v>
      </c>
      <c r="Y65" s="187">
        <f t="shared" si="22"/>
        <v>350</v>
      </c>
      <c r="Z65" s="187">
        <v>0</v>
      </c>
      <c r="AA65" s="188">
        <f t="shared" si="23"/>
        <v>-350</v>
      </c>
      <c r="AB65" s="189">
        <v>39814</v>
      </c>
      <c r="AC65" s="189">
        <v>39844</v>
      </c>
      <c r="AD65" s="150" t="s">
        <v>74</v>
      </c>
      <c r="AE65" s="148" t="s">
        <v>487</v>
      </c>
      <c r="AF65" s="148" t="s">
        <v>403</v>
      </c>
      <c r="AG65" s="2"/>
      <c r="AH65" s="2"/>
      <c r="AI65" s="2"/>
      <c r="AJ65" s="2"/>
    </row>
    <row r="66" spans="1:36" ht="18" customHeight="1">
      <c r="A66" s="42" t="s">
        <v>96</v>
      </c>
      <c r="B66" s="20">
        <v>0</v>
      </c>
      <c r="C66" s="20">
        <f t="shared" si="19"/>
        <v>1040</v>
      </c>
      <c r="D66" s="20">
        <f t="shared" si="24"/>
        <v>0</v>
      </c>
      <c r="E66" s="20">
        <f t="shared" si="24"/>
        <v>1040</v>
      </c>
      <c r="F66" s="20">
        <v>0</v>
      </c>
      <c r="G66" s="20">
        <f t="shared" si="20"/>
        <v>2080</v>
      </c>
      <c r="H66" s="20">
        <v>0</v>
      </c>
      <c r="I66" s="20">
        <f t="shared" si="28"/>
        <v>9135</v>
      </c>
      <c r="J66" s="20">
        <f t="shared" si="29"/>
        <v>4447</v>
      </c>
      <c r="K66" s="20">
        <f t="shared" si="25"/>
        <v>13582</v>
      </c>
      <c r="L66" s="20">
        <f t="shared" si="26"/>
        <v>61</v>
      </c>
      <c r="M66" s="20">
        <f t="shared" si="26"/>
        <v>30</v>
      </c>
      <c r="N66" s="20">
        <f t="shared" si="27"/>
        <v>91</v>
      </c>
      <c r="O66" s="260"/>
      <c r="Q66" s="184">
        <v>50</v>
      </c>
      <c r="R66" s="185">
        <v>193</v>
      </c>
      <c r="S66" s="185">
        <v>17102</v>
      </c>
      <c r="T66" s="186">
        <v>39892</v>
      </c>
      <c r="U66" s="187">
        <v>4500</v>
      </c>
      <c r="V66" s="187">
        <v>2250</v>
      </c>
      <c r="W66" s="187">
        <v>3645</v>
      </c>
      <c r="X66" s="187">
        <f t="shared" si="21"/>
        <v>10395</v>
      </c>
      <c r="Y66" s="187">
        <f t="shared" si="22"/>
        <v>1040</v>
      </c>
      <c r="Z66" s="187">
        <v>0</v>
      </c>
      <c r="AA66" s="188">
        <f t="shared" si="23"/>
        <v>-1040</v>
      </c>
      <c r="AB66" s="189">
        <v>39845</v>
      </c>
      <c r="AC66" s="189">
        <v>39872</v>
      </c>
      <c r="AD66" s="150" t="s">
        <v>74</v>
      </c>
      <c r="AE66" s="148" t="s">
        <v>431</v>
      </c>
      <c r="AF66" s="148" t="s">
        <v>403</v>
      </c>
      <c r="AG66" s="2"/>
      <c r="AH66" s="2"/>
      <c r="AI66" s="2"/>
      <c r="AJ66" s="2"/>
    </row>
    <row r="67" spans="1:36" ht="18" customHeight="1" thickBot="1">
      <c r="A67" s="50" t="s">
        <v>97</v>
      </c>
      <c r="B67" s="47">
        <f>Y67</f>
        <v>1040</v>
      </c>
      <c r="C67" s="47">
        <v>0</v>
      </c>
      <c r="D67" s="47">
        <f t="shared" si="24"/>
        <v>1040</v>
      </c>
      <c r="E67" s="47">
        <f t="shared" si="24"/>
        <v>0</v>
      </c>
      <c r="F67" s="47">
        <v>0</v>
      </c>
      <c r="G67" s="47">
        <f t="shared" si="20"/>
        <v>2080</v>
      </c>
      <c r="H67" s="47">
        <v>0</v>
      </c>
      <c r="I67" s="47">
        <f t="shared" si="28"/>
        <v>10175</v>
      </c>
      <c r="J67" s="47">
        <f t="shared" si="29"/>
        <v>5487</v>
      </c>
      <c r="K67" s="47">
        <f t="shared" si="25"/>
        <v>15662</v>
      </c>
      <c r="L67" s="47">
        <f t="shared" si="26"/>
        <v>68</v>
      </c>
      <c r="M67" s="47">
        <f t="shared" si="26"/>
        <v>37</v>
      </c>
      <c r="N67" s="47">
        <f t="shared" si="27"/>
        <v>105</v>
      </c>
      <c r="O67" s="260"/>
      <c r="Q67" s="184">
        <v>3</v>
      </c>
      <c r="R67" s="185">
        <v>3</v>
      </c>
      <c r="S67" s="185">
        <v>108</v>
      </c>
      <c r="T67" s="186">
        <v>39905</v>
      </c>
      <c r="U67" s="187">
        <v>4500</v>
      </c>
      <c r="V67" s="187">
        <v>2250</v>
      </c>
      <c r="W67" s="187">
        <v>3645</v>
      </c>
      <c r="X67" s="187">
        <f t="shared" si="21"/>
        <v>10395</v>
      </c>
      <c r="Y67" s="187">
        <f t="shared" si="22"/>
        <v>1040</v>
      </c>
      <c r="Z67" s="187">
        <v>0</v>
      </c>
      <c r="AA67" s="188">
        <f t="shared" si="23"/>
        <v>-1040</v>
      </c>
      <c r="AB67" s="189">
        <v>39873</v>
      </c>
      <c r="AC67" s="189">
        <v>39903</v>
      </c>
      <c r="AD67" s="150" t="s">
        <v>98</v>
      </c>
      <c r="AE67" s="148" t="s">
        <v>430</v>
      </c>
      <c r="AF67" s="148" t="s">
        <v>403</v>
      </c>
      <c r="AG67" s="2"/>
      <c r="AH67" s="2"/>
      <c r="AI67" s="2"/>
      <c r="AJ67" s="2"/>
    </row>
    <row r="68" spans="1:36" s="12" customFormat="1" ht="18" customHeight="1" thickBot="1">
      <c r="A68" s="55" t="s">
        <v>99</v>
      </c>
      <c r="B68" s="54">
        <f t="shared" ref="B68:N68" si="30">SUM(B56:B67)</f>
        <v>1040</v>
      </c>
      <c r="C68" s="54">
        <f t="shared" si="30"/>
        <v>4447</v>
      </c>
      <c r="D68" s="54">
        <f t="shared" si="30"/>
        <v>1040</v>
      </c>
      <c r="E68" s="54">
        <f t="shared" si="30"/>
        <v>4447</v>
      </c>
      <c r="F68" s="54">
        <f t="shared" si="30"/>
        <v>0</v>
      </c>
      <c r="G68" s="54">
        <f t="shared" si="30"/>
        <v>10974</v>
      </c>
      <c r="H68" s="54">
        <f t="shared" si="30"/>
        <v>0</v>
      </c>
      <c r="I68" s="54">
        <f t="shared" si="30"/>
        <v>84510</v>
      </c>
      <c r="J68" s="54">
        <f t="shared" si="30"/>
        <v>28254</v>
      </c>
      <c r="K68" s="54">
        <f>SUM(K56:K67)</f>
        <v>112764</v>
      </c>
      <c r="L68" s="54">
        <f t="shared" ref="L68:M68" si="31">SUM(L56:L67)</f>
        <v>564</v>
      </c>
      <c r="M68" s="54">
        <f t="shared" si="31"/>
        <v>189</v>
      </c>
      <c r="N68" s="54">
        <f t="shared" si="30"/>
        <v>753</v>
      </c>
      <c r="O68" s="76"/>
      <c r="Q68" s="138"/>
      <c r="R68" s="145"/>
      <c r="S68" s="145"/>
      <c r="T68" s="145" t="s">
        <v>24</v>
      </c>
      <c r="U68" s="146">
        <f t="shared" ref="U68:AA68" si="32">SUM(U56:U67)</f>
        <v>43067</v>
      </c>
      <c r="V68" s="146">
        <f t="shared" si="32"/>
        <v>4500</v>
      </c>
      <c r="W68" s="146">
        <f t="shared" si="32"/>
        <v>7290</v>
      </c>
      <c r="X68" s="146">
        <f t="shared" si="32"/>
        <v>54857</v>
      </c>
      <c r="Y68" s="146">
        <f t="shared" si="32"/>
        <v>5487</v>
      </c>
      <c r="Z68" s="146">
        <f t="shared" si="32"/>
        <v>0</v>
      </c>
      <c r="AA68" s="146">
        <f t="shared" si="32"/>
        <v>-5487</v>
      </c>
      <c r="AB68" s="145"/>
      <c r="AC68" s="145"/>
      <c r="AD68" s="145"/>
      <c r="AE68" s="77"/>
      <c r="AF68" s="77"/>
    </row>
    <row r="69" spans="1:36" ht="15" thickBot="1">
      <c r="A69" s="5"/>
      <c r="B69" s="5"/>
      <c r="C69" s="5"/>
      <c r="D69" s="5"/>
      <c r="E69" s="5"/>
      <c r="F69" s="5"/>
      <c r="G69" s="5"/>
      <c r="H69" s="5"/>
      <c r="I69" s="5"/>
      <c r="J69" s="5"/>
      <c r="K69" s="6"/>
      <c r="L69" s="6"/>
      <c r="M69" s="6"/>
      <c r="N69" s="6"/>
    </row>
    <row r="70" spans="1:36" ht="21.9" customHeight="1" thickBot="1">
      <c r="A70" s="5"/>
      <c r="B70" s="6"/>
      <c r="C70" s="6"/>
      <c r="D70" s="6"/>
      <c r="E70" s="5"/>
      <c r="F70" s="53">
        <v>1</v>
      </c>
      <c r="G70" s="212" t="s">
        <v>47</v>
      </c>
      <c r="H70" s="212"/>
      <c r="I70" s="212"/>
      <c r="J70" s="212"/>
      <c r="K70" s="213"/>
      <c r="L70" s="54">
        <f>K52</f>
        <v>4688</v>
      </c>
      <c r="M70" s="2"/>
      <c r="O70" s="1"/>
      <c r="S70" s="30"/>
      <c r="T70" s="30"/>
      <c r="Z70" s="1"/>
      <c r="AA70" s="1"/>
    </row>
    <row r="71" spans="1:36" ht="21.9" customHeight="1" thickBot="1">
      <c r="A71" s="5"/>
      <c r="B71" s="6"/>
      <c r="C71" s="6"/>
      <c r="D71" s="6"/>
      <c r="E71" s="5"/>
      <c r="F71" s="53">
        <v>2</v>
      </c>
      <c r="G71" s="212" t="s">
        <v>344</v>
      </c>
      <c r="H71" s="212"/>
      <c r="I71" s="212"/>
      <c r="J71" s="212"/>
      <c r="K71" s="213"/>
      <c r="L71" s="54">
        <f>B68+C68</f>
        <v>5487</v>
      </c>
      <c r="M71" s="2"/>
      <c r="O71" s="1"/>
      <c r="S71" s="30"/>
      <c r="T71" s="30"/>
      <c r="Z71" s="1"/>
      <c r="AA71" s="1"/>
    </row>
    <row r="72" spans="1:36" ht="21.9" customHeight="1" thickBot="1">
      <c r="A72" s="5"/>
      <c r="B72" s="6"/>
      <c r="C72" s="6"/>
      <c r="D72" s="6"/>
      <c r="E72" s="5"/>
      <c r="F72" s="53">
        <v>3</v>
      </c>
      <c r="G72" s="212" t="s">
        <v>345</v>
      </c>
      <c r="H72" s="212"/>
      <c r="I72" s="212"/>
      <c r="J72" s="212"/>
      <c r="K72" s="213"/>
      <c r="L72" s="54">
        <f>F68</f>
        <v>0</v>
      </c>
      <c r="M72" s="2"/>
      <c r="O72" s="1"/>
      <c r="S72" s="30"/>
      <c r="T72" s="30"/>
      <c r="Z72" s="1"/>
      <c r="AA72" s="1"/>
    </row>
    <row r="73" spans="1:36" ht="21.9" customHeight="1" thickBot="1">
      <c r="A73" s="5"/>
      <c r="B73" s="5"/>
      <c r="C73" s="5"/>
      <c r="D73" s="5"/>
      <c r="E73" s="5"/>
      <c r="F73" s="53">
        <v>4</v>
      </c>
      <c r="G73" s="212" t="s">
        <v>346</v>
      </c>
      <c r="H73" s="212"/>
      <c r="I73" s="212"/>
      <c r="J73" s="212"/>
      <c r="K73" s="213"/>
      <c r="L73" s="54">
        <f>L71+L72</f>
        <v>5487</v>
      </c>
      <c r="M73" s="2"/>
      <c r="O73" s="1"/>
      <c r="S73" s="30"/>
      <c r="T73" s="30"/>
      <c r="Z73" s="1"/>
      <c r="AA73" s="1"/>
    </row>
    <row r="74" spans="1:36" ht="21.9" customHeight="1" thickBot="1">
      <c r="A74" s="5"/>
      <c r="B74" s="5"/>
      <c r="C74" s="5"/>
      <c r="D74" s="5"/>
      <c r="E74" s="5"/>
      <c r="F74" s="53">
        <v>5</v>
      </c>
      <c r="G74" s="212" t="s">
        <v>349</v>
      </c>
      <c r="H74" s="212"/>
      <c r="I74" s="212"/>
      <c r="J74" s="212"/>
      <c r="K74" s="213"/>
      <c r="L74" s="54">
        <f>D68+E68</f>
        <v>5487</v>
      </c>
      <c r="M74" s="2"/>
      <c r="O74" s="1"/>
      <c r="S74" s="30"/>
      <c r="T74" s="30"/>
      <c r="Z74" s="1"/>
      <c r="AA74" s="1"/>
    </row>
    <row r="75" spans="1:36" ht="21.9" customHeight="1" thickBot="1">
      <c r="A75" s="86"/>
      <c r="B75" s="86"/>
      <c r="C75" s="86"/>
      <c r="D75" s="86"/>
      <c r="E75" s="5"/>
      <c r="F75" s="53">
        <v>6</v>
      </c>
      <c r="G75" s="212" t="s">
        <v>347</v>
      </c>
      <c r="H75" s="212"/>
      <c r="I75" s="212"/>
      <c r="J75" s="212"/>
      <c r="K75" s="213"/>
      <c r="L75" s="54">
        <f>L70+L73+L74</f>
        <v>15662</v>
      </c>
      <c r="M75" s="2"/>
      <c r="O75" s="1"/>
      <c r="S75" s="30"/>
      <c r="T75" s="30"/>
      <c r="Z75" s="1"/>
      <c r="AA75" s="1"/>
    </row>
    <row r="76" spans="1:36" ht="21.9" customHeight="1" thickBot="1">
      <c r="A76" s="251" t="s">
        <v>512</v>
      </c>
      <c r="B76" s="251"/>
      <c r="C76" s="251"/>
      <c r="D76" s="251"/>
      <c r="E76" s="5"/>
      <c r="F76" s="53">
        <v>7</v>
      </c>
      <c r="G76" s="212" t="s">
        <v>50</v>
      </c>
      <c r="H76" s="212"/>
      <c r="I76" s="212"/>
      <c r="J76" s="212"/>
      <c r="K76" s="213"/>
      <c r="L76" s="54">
        <f>H68</f>
        <v>0</v>
      </c>
      <c r="M76" s="2"/>
      <c r="O76" s="1"/>
      <c r="S76" s="30"/>
      <c r="T76" s="30"/>
      <c r="Z76" s="1"/>
      <c r="AA76" s="1"/>
    </row>
    <row r="77" spans="1:36" ht="21.9" customHeight="1" thickBot="1">
      <c r="A77" s="251"/>
      <c r="B77" s="251"/>
      <c r="C77" s="251"/>
      <c r="D77" s="251"/>
      <c r="E77" s="5"/>
      <c r="F77" s="53">
        <v>8</v>
      </c>
      <c r="G77" s="212" t="s">
        <v>340</v>
      </c>
      <c r="H77" s="212"/>
      <c r="I77" s="212"/>
      <c r="J77" s="212"/>
      <c r="K77" s="213"/>
      <c r="L77" s="54">
        <f>L68</f>
        <v>564</v>
      </c>
      <c r="M77" s="2"/>
      <c r="O77" s="1"/>
      <c r="S77" s="30"/>
      <c r="T77" s="30"/>
      <c r="Z77" s="1"/>
      <c r="AA77" s="1"/>
    </row>
    <row r="78" spans="1:36" ht="21.9" customHeight="1" thickBot="1">
      <c r="A78" s="251"/>
      <c r="B78" s="251"/>
      <c r="C78" s="251"/>
      <c r="D78" s="251"/>
      <c r="E78" s="5"/>
      <c r="F78" s="53">
        <v>9</v>
      </c>
      <c r="G78" s="212" t="s">
        <v>355</v>
      </c>
      <c r="H78" s="212"/>
      <c r="I78" s="212"/>
      <c r="J78" s="212"/>
      <c r="K78" s="213"/>
      <c r="L78" s="54">
        <f>M68</f>
        <v>189</v>
      </c>
      <c r="M78" s="2"/>
      <c r="O78" s="1"/>
      <c r="S78" s="30"/>
      <c r="T78" s="30"/>
      <c r="Z78" s="1"/>
      <c r="AA78" s="1"/>
    </row>
    <row r="79" spans="1:36" ht="21.9" customHeight="1" thickBot="1">
      <c r="A79" s="251"/>
      <c r="B79" s="251"/>
      <c r="C79" s="251"/>
      <c r="D79" s="251"/>
      <c r="E79" s="5"/>
      <c r="F79" s="53">
        <v>10</v>
      </c>
      <c r="G79" s="212" t="s">
        <v>348</v>
      </c>
      <c r="H79" s="212"/>
      <c r="I79" s="212"/>
      <c r="J79" s="212"/>
      <c r="K79" s="213"/>
      <c r="L79" s="54">
        <f>N68</f>
        <v>753</v>
      </c>
      <c r="M79" s="2"/>
      <c r="O79" s="1"/>
      <c r="S79" s="30"/>
      <c r="T79" s="30"/>
      <c r="Z79" s="1"/>
      <c r="AA79" s="1"/>
    </row>
    <row r="80" spans="1:36" ht="21.9" customHeight="1" thickBot="1">
      <c r="A80" s="251"/>
      <c r="B80" s="251"/>
      <c r="C80" s="251"/>
      <c r="D80" s="251"/>
      <c r="E80" s="5"/>
      <c r="F80" s="53">
        <v>11</v>
      </c>
      <c r="G80" s="212" t="s">
        <v>358</v>
      </c>
      <c r="H80" s="212"/>
      <c r="I80" s="212"/>
      <c r="J80" s="212"/>
      <c r="K80" s="213"/>
      <c r="L80" s="54">
        <f>L75-L76+L79</f>
        <v>16415</v>
      </c>
      <c r="M80" s="2"/>
      <c r="O80" s="1"/>
      <c r="S80" s="30"/>
      <c r="T80" s="30"/>
      <c r="Z80" s="1"/>
      <c r="AA80" s="1"/>
    </row>
    <row r="81" spans="1:15">
      <c r="A81" s="5"/>
      <c r="B81" s="5"/>
      <c r="C81" s="5"/>
      <c r="D81" s="5"/>
      <c r="E81" s="5"/>
      <c r="F81" s="5"/>
      <c r="G81" s="17"/>
      <c r="H81" s="17"/>
      <c r="I81" s="17"/>
      <c r="J81" s="17"/>
      <c r="K81" s="17"/>
      <c r="L81" s="17"/>
      <c r="M81" s="17"/>
      <c r="N81" s="6"/>
    </row>
    <row r="84" spans="1:15" ht="20.100000000000001" customHeight="1">
      <c r="A84" s="249" t="s">
        <v>53</v>
      </c>
      <c r="B84" s="249"/>
      <c r="C84" s="18"/>
      <c r="D84" s="18"/>
      <c r="E84" s="249" t="s">
        <v>54</v>
      </c>
      <c r="F84" s="249"/>
      <c r="G84" s="249"/>
      <c r="H84" s="250" t="s">
        <v>55</v>
      </c>
      <c r="I84" s="250"/>
      <c r="J84" s="250"/>
      <c r="K84" s="250"/>
      <c r="L84" s="250"/>
      <c r="M84" s="250"/>
      <c r="N84" s="250"/>
    </row>
    <row r="85" spans="1:15" ht="20.100000000000001" customHeight="1">
      <c r="A85" s="261" t="s">
        <v>509</v>
      </c>
      <c r="B85" s="261"/>
      <c r="E85" s="261" t="s">
        <v>510</v>
      </c>
      <c r="F85" s="261"/>
      <c r="G85" s="261"/>
      <c r="H85" s="259" t="s">
        <v>511</v>
      </c>
      <c r="I85" s="259"/>
      <c r="J85" s="259"/>
      <c r="K85" s="259"/>
      <c r="L85" s="259"/>
      <c r="M85" s="259"/>
      <c r="N85" s="259"/>
    </row>
    <row r="86" spans="1:15" ht="16.8">
      <c r="A86" s="18"/>
      <c r="B86" s="18"/>
      <c r="C86" s="18"/>
      <c r="D86" s="18"/>
      <c r="E86" s="18"/>
      <c r="F86" s="18"/>
      <c r="G86" s="19"/>
      <c r="H86" s="19"/>
      <c r="I86" s="19"/>
      <c r="J86" s="19"/>
    </row>
    <row r="87" spans="1:15" ht="18.600000000000001">
      <c r="A87" s="224" t="s">
        <v>0</v>
      </c>
      <c r="B87" s="224"/>
      <c r="C87" s="224"/>
      <c r="D87" s="224"/>
      <c r="E87" s="224"/>
      <c r="F87" s="224"/>
      <c r="G87" s="224"/>
      <c r="H87" s="224"/>
      <c r="I87" s="224"/>
      <c r="J87" s="224"/>
      <c r="K87" s="224"/>
      <c r="L87" s="224"/>
      <c r="M87" s="224"/>
      <c r="N87" s="224"/>
      <c r="O87" s="224"/>
    </row>
    <row r="88" spans="1:15" ht="18.600000000000001">
      <c r="A88" s="224" t="s">
        <v>1</v>
      </c>
      <c r="B88" s="224"/>
      <c r="C88" s="224"/>
      <c r="D88" s="224"/>
      <c r="E88" s="224"/>
      <c r="F88" s="224"/>
      <c r="G88" s="224"/>
      <c r="H88" s="224"/>
      <c r="I88" s="224"/>
      <c r="J88" s="224"/>
      <c r="K88" s="224"/>
      <c r="L88" s="224"/>
      <c r="M88" s="224"/>
      <c r="N88" s="224"/>
      <c r="O88" s="224"/>
    </row>
    <row r="90" spans="1:15" ht="15" thickBot="1">
      <c r="A90" s="225" t="s">
        <v>100</v>
      </c>
      <c r="B90" s="225"/>
      <c r="C90" s="225"/>
      <c r="D90" s="225"/>
      <c r="E90" s="225"/>
      <c r="F90" s="225"/>
      <c r="G90" s="225"/>
      <c r="H90" s="225"/>
      <c r="I90" s="225"/>
      <c r="J90" s="225"/>
      <c r="K90" s="225"/>
      <c r="L90" s="225"/>
      <c r="M90" s="225"/>
      <c r="N90" s="225"/>
    </row>
    <row r="91" spans="1:15" ht="36" customHeight="1" thickBot="1">
      <c r="A91" s="55" t="s">
        <v>3</v>
      </c>
      <c r="B91" s="53">
        <f>B48</f>
        <v>9255</v>
      </c>
      <c r="C91" s="5"/>
      <c r="D91" s="5"/>
      <c r="E91" s="211" t="s">
        <v>4</v>
      </c>
      <c r="F91" s="213" t="str">
        <f>F48</f>
        <v>Mahajan Ganesh Trambak</v>
      </c>
      <c r="G91" s="5"/>
      <c r="H91" s="211" t="str">
        <f>H48</f>
        <v>Mahajan Ganesh Trambak</v>
      </c>
      <c r="I91" s="212"/>
      <c r="J91" s="212"/>
      <c r="K91" s="212"/>
      <c r="L91" s="212"/>
      <c r="M91" s="212"/>
      <c r="N91" s="212"/>
      <c r="O91" s="213"/>
    </row>
    <row r="92" spans="1:15" ht="15" thickBot="1">
      <c r="A92" s="5"/>
      <c r="E92" s="5"/>
      <c r="F92" s="5"/>
      <c r="G92" s="5"/>
      <c r="H92" s="5"/>
      <c r="I92" s="5"/>
      <c r="J92" s="5"/>
      <c r="K92" s="6"/>
      <c r="L92" s="6"/>
      <c r="M92" s="6"/>
      <c r="N92" s="5"/>
    </row>
    <row r="93" spans="1:15" ht="36" customHeight="1" thickBot="1">
      <c r="A93" s="55" t="s">
        <v>6</v>
      </c>
      <c r="B93" s="55" t="str">
        <f>B50</f>
        <v>06.06.2007</v>
      </c>
      <c r="C93" s="5"/>
      <c r="D93" s="5"/>
      <c r="E93" s="55" t="s">
        <v>7</v>
      </c>
      <c r="F93" s="55">
        <f>F50</f>
        <v>2301</v>
      </c>
      <c r="G93" s="5"/>
      <c r="H93" s="55" t="s">
        <v>8</v>
      </c>
      <c r="I93" s="211" t="str">
        <f>I50</f>
        <v>Asst. Jr. Engineer</v>
      </c>
      <c r="J93" s="212"/>
      <c r="K93" s="212" t="str">
        <f>K50</f>
        <v>Asst. Jr. Engineer</v>
      </c>
      <c r="L93" s="212"/>
      <c r="M93" s="212"/>
      <c r="N93" s="212"/>
      <c r="O93" s="213"/>
    </row>
    <row r="94" spans="1:15" ht="15" thickBot="1">
      <c r="A94" s="5"/>
      <c r="B94" s="5"/>
      <c r="C94" s="5"/>
      <c r="D94" s="5"/>
      <c r="E94" s="5"/>
      <c r="F94" s="5"/>
      <c r="G94" s="5"/>
      <c r="H94" s="5"/>
      <c r="I94" s="5"/>
      <c r="J94" s="5"/>
      <c r="K94" s="6"/>
      <c r="L94" s="6"/>
      <c r="M94" s="6"/>
      <c r="N94" s="5"/>
    </row>
    <row r="95" spans="1:15" ht="24" customHeight="1" thickBot="1">
      <c r="A95" s="55" t="s">
        <v>10</v>
      </c>
      <c r="B95" s="58">
        <v>0.08</v>
      </c>
      <c r="C95" s="5"/>
      <c r="D95" s="5"/>
      <c r="E95" s="55" t="s">
        <v>11</v>
      </c>
      <c r="F95" s="58">
        <v>0</v>
      </c>
      <c r="G95" s="5"/>
      <c r="H95" s="239" t="s">
        <v>12</v>
      </c>
      <c r="I95" s="240"/>
      <c r="J95" s="241"/>
      <c r="K95" s="242">
        <f>L80</f>
        <v>16415</v>
      </c>
      <c r="L95" s="243"/>
      <c r="M95" s="243"/>
      <c r="N95" s="243"/>
      <c r="O95" s="244"/>
    </row>
    <row r="96" spans="1:15" ht="15" thickBot="1">
      <c r="A96" s="5"/>
      <c r="B96" s="5"/>
      <c r="C96" s="5"/>
      <c r="D96" s="5"/>
      <c r="E96" s="5"/>
      <c r="F96" s="5"/>
      <c r="G96" s="5"/>
      <c r="H96" s="5"/>
      <c r="I96" s="5"/>
      <c r="J96" s="5"/>
      <c r="K96" s="6"/>
      <c r="L96" s="6"/>
      <c r="M96" s="6"/>
      <c r="N96" s="5"/>
    </row>
    <row r="97" spans="1:36" ht="39.9" customHeight="1" thickBot="1">
      <c r="A97" s="235" t="s">
        <v>13</v>
      </c>
      <c r="B97" s="256" t="s">
        <v>14</v>
      </c>
      <c r="C97" s="257"/>
      <c r="D97" s="256" t="s">
        <v>349</v>
      </c>
      <c r="E97" s="257"/>
      <c r="F97" s="235" t="s">
        <v>342</v>
      </c>
      <c r="G97" s="235" t="s">
        <v>16</v>
      </c>
      <c r="H97" s="235" t="s">
        <v>17</v>
      </c>
      <c r="I97" s="235" t="s">
        <v>341</v>
      </c>
      <c r="J97" s="235" t="s">
        <v>354</v>
      </c>
      <c r="K97" s="254" t="s">
        <v>353</v>
      </c>
      <c r="L97" s="254" t="s">
        <v>340</v>
      </c>
      <c r="M97" s="254" t="s">
        <v>355</v>
      </c>
      <c r="N97" s="254" t="s">
        <v>343</v>
      </c>
      <c r="O97" s="247" t="s">
        <v>20</v>
      </c>
      <c r="Q97" s="221" t="s">
        <v>27</v>
      </c>
      <c r="R97" s="219" t="s">
        <v>28</v>
      </c>
      <c r="S97" s="219" t="s">
        <v>29</v>
      </c>
      <c r="T97" s="219" t="s">
        <v>30</v>
      </c>
      <c r="U97" s="219" t="s">
        <v>21</v>
      </c>
      <c r="V97" s="219" t="s">
        <v>22</v>
      </c>
      <c r="W97" s="219" t="s">
        <v>23</v>
      </c>
      <c r="X97" s="219" t="s">
        <v>24</v>
      </c>
      <c r="Y97" s="219" t="s">
        <v>356</v>
      </c>
      <c r="Z97" s="219" t="s">
        <v>336</v>
      </c>
      <c r="AA97" s="219" t="s">
        <v>26</v>
      </c>
      <c r="AB97" s="219" t="s">
        <v>31</v>
      </c>
      <c r="AC97" s="219" t="s">
        <v>32</v>
      </c>
      <c r="AD97" s="219" t="s">
        <v>333</v>
      </c>
      <c r="AE97" s="202" t="s">
        <v>417</v>
      </c>
      <c r="AF97" s="202" t="s">
        <v>420</v>
      </c>
      <c r="AG97" s="12"/>
      <c r="AH97" s="12"/>
      <c r="AI97" s="12"/>
      <c r="AJ97" s="12"/>
    </row>
    <row r="98" spans="1:36" ht="39.9" customHeight="1" thickBot="1">
      <c r="A98" s="236"/>
      <c r="B98" s="55" t="s">
        <v>350</v>
      </c>
      <c r="C98" s="55" t="s">
        <v>351</v>
      </c>
      <c r="D98" s="55" t="s">
        <v>350</v>
      </c>
      <c r="E98" s="55" t="s">
        <v>351</v>
      </c>
      <c r="F98" s="236"/>
      <c r="G98" s="236"/>
      <c r="H98" s="236"/>
      <c r="I98" s="236"/>
      <c r="J98" s="236"/>
      <c r="K98" s="255"/>
      <c r="L98" s="255"/>
      <c r="M98" s="255"/>
      <c r="N98" s="255"/>
      <c r="O98" s="248"/>
      <c r="Q98" s="222"/>
      <c r="R98" s="220"/>
      <c r="S98" s="220"/>
      <c r="T98" s="220"/>
      <c r="U98" s="220"/>
      <c r="V98" s="220"/>
      <c r="W98" s="220"/>
      <c r="X98" s="220"/>
      <c r="Y98" s="220"/>
      <c r="Z98" s="220"/>
      <c r="AA98" s="220"/>
      <c r="AB98" s="220"/>
      <c r="AC98" s="220"/>
      <c r="AD98" s="220"/>
      <c r="AE98" s="203"/>
      <c r="AF98" s="203"/>
      <c r="AG98" s="12"/>
      <c r="AH98" s="12"/>
      <c r="AI98" s="12"/>
      <c r="AJ98" s="12"/>
    </row>
    <row r="99" spans="1:36" ht="15.75" customHeight="1">
      <c r="A99" s="42" t="s">
        <v>101</v>
      </c>
      <c r="B99" s="20">
        <f>Y99</f>
        <v>1040</v>
      </c>
      <c r="C99" s="20">
        <v>0</v>
      </c>
      <c r="D99" s="20">
        <f>B99</f>
        <v>1040</v>
      </c>
      <c r="E99" s="20">
        <f>C99</f>
        <v>0</v>
      </c>
      <c r="F99" s="20">
        <v>0</v>
      </c>
      <c r="G99" s="20">
        <f t="shared" ref="G99:G110" si="33">(B99+C99+F99)+(D99+E99)</f>
        <v>2080</v>
      </c>
      <c r="H99" s="20">
        <v>0</v>
      </c>
      <c r="I99" s="20">
        <f>(K95+B99+C99+F99)-H99</f>
        <v>17455</v>
      </c>
      <c r="J99" s="20">
        <f>(D99+E99)</f>
        <v>1040</v>
      </c>
      <c r="K99" s="20">
        <f>(K95+G99)-H99</f>
        <v>18495</v>
      </c>
      <c r="L99" s="20">
        <f>ROUND((I99*8/100)/12,0)</f>
        <v>116</v>
      </c>
      <c r="M99" s="20">
        <f>ROUND((J99*8/100)/12,0)</f>
        <v>7</v>
      </c>
      <c r="N99" s="20">
        <f t="shared" ref="N99:N110" si="34">L99+M99</f>
        <v>123</v>
      </c>
      <c r="O99" s="210" t="s">
        <v>34</v>
      </c>
      <c r="Q99" s="184">
        <v>16</v>
      </c>
      <c r="R99" s="185">
        <v>16</v>
      </c>
      <c r="S99" s="185">
        <v>1332</v>
      </c>
      <c r="T99" s="186">
        <v>39933</v>
      </c>
      <c r="U99" s="187">
        <v>4500</v>
      </c>
      <c r="V99" s="187">
        <v>2250</v>
      </c>
      <c r="W99" s="187">
        <v>3645</v>
      </c>
      <c r="X99" s="187">
        <f t="shared" ref="X99:X110" si="35">U99+V99+W99</f>
        <v>10395</v>
      </c>
      <c r="Y99" s="187">
        <f t="shared" ref="Y99:Y110" si="36">ROUND(X99*10%,0)</f>
        <v>1040</v>
      </c>
      <c r="Z99" s="187">
        <v>1000</v>
      </c>
      <c r="AA99" s="188">
        <f t="shared" ref="AA99:AA110" si="37">Z99-Y99</f>
        <v>-40</v>
      </c>
      <c r="AB99" s="189">
        <v>39904</v>
      </c>
      <c r="AC99" s="189" t="s">
        <v>335</v>
      </c>
      <c r="AD99" s="150" t="s">
        <v>98</v>
      </c>
      <c r="AE99" s="148" t="s">
        <v>444</v>
      </c>
      <c r="AF99" s="148" t="s">
        <v>404</v>
      </c>
      <c r="AG99" s="2"/>
      <c r="AH99" s="2"/>
      <c r="AI99" s="2"/>
      <c r="AJ99" s="2"/>
    </row>
    <row r="100" spans="1:36" ht="15.75" customHeight="1">
      <c r="A100" s="42" t="s">
        <v>102</v>
      </c>
      <c r="B100" s="20">
        <f t="shared" ref="B100:B110" si="38">Y100</f>
        <v>1040</v>
      </c>
      <c r="C100" s="20">
        <v>0</v>
      </c>
      <c r="D100" s="20">
        <f t="shared" ref="D100:E110" si="39">B100</f>
        <v>1040</v>
      </c>
      <c r="E100" s="20">
        <f t="shared" si="39"/>
        <v>0</v>
      </c>
      <c r="F100" s="20">
        <v>0</v>
      </c>
      <c r="G100" s="20">
        <f t="shared" si="33"/>
        <v>2080</v>
      </c>
      <c r="H100" s="20">
        <v>0</v>
      </c>
      <c r="I100" s="20">
        <f>(I99+B100+C100+F100)-H100</f>
        <v>18495</v>
      </c>
      <c r="J100" s="20">
        <f>(J99+D100+E100)</f>
        <v>2080</v>
      </c>
      <c r="K100" s="20">
        <f t="shared" ref="K100:K110" si="40">(K99+G100)-H100</f>
        <v>20575</v>
      </c>
      <c r="L100" s="20">
        <f t="shared" ref="L100:M110" si="41">ROUND((I100*8/100)/12,0)</f>
        <v>123</v>
      </c>
      <c r="M100" s="20">
        <f t="shared" si="41"/>
        <v>14</v>
      </c>
      <c r="N100" s="20">
        <f t="shared" si="34"/>
        <v>137</v>
      </c>
      <c r="O100" s="210"/>
      <c r="Q100" s="184">
        <v>27</v>
      </c>
      <c r="R100" s="185">
        <v>27</v>
      </c>
      <c r="S100" s="185">
        <v>2533</v>
      </c>
      <c r="T100" s="186">
        <v>39963</v>
      </c>
      <c r="U100" s="187">
        <v>4500</v>
      </c>
      <c r="V100" s="187">
        <v>2250</v>
      </c>
      <c r="W100" s="187">
        <v>3645</v>
      </c>
      <c r="X100" s="187">
        <f t="shared" si="35"/>
        <v>10395</v>
      </c>
      <c r="Y100" s="187">
        <f t="shared" si="36"/>
        <v>1040</v>
      </c>
      <c r="Z100" s="187">
        <v>1000</v>
      </c>
      <c r="AA100" s="188">
        <f t="shared" si="37"/>
        <v>-40</v>
      </c>
      <c r="AB100" s="189">
        <v>39934</v>
      </c>
      <c r="AC100" s="189">
        <v>39963</v>
      </c>
      <c r="AD100" s="150" t="s">
        <v>98</v>
      </c>
      <c r="AE100" s="148" t="s">
        <v>445</v>
      </c>
      <c r="AF100" s="148" t="s">
        <v>404</v>
      </c>
      <c r="AG100" s="2"/>
      <c r="AH100" s="2"/>
      <c r="AI100" s="2"/>
      <c r="AJ100" s="2"/>
    </row>
    <row r="101" spans="1:36" ht="15.75" customHeight="1">
      <c r="A101" s="42" t="s">
        <v>103</v>
      </c>
      <c r="B101" s="20">
        <f t="shared" si="38"/>
        <v>1005</v>
      </c>
      <c r="C101" s="20">
        <v>0</v>
      </c>
      <c r="D101" s="20">
        <f t="shared" si="39"/>
        <v>1005</v>
      </c>
      <c r="E101" s="20">
        <f t="shared" si="39"/>
        <v>0</v>
      </c>
      <c r="F101" s="20">
        <v>0</v>
      </c>
      <c r="G101" s="20">
        <f t="shared" si="33"/>
        <v>2010</v>
      </c>
      <c r="H101" s="20">
        <v>0</v>
      </c>
      <c r="I101" s="20">
        <f t="shared" ref="I101:I110" si="42">(I100+B101+C101+F101)-H101</f>
        <v>19500</v>
      </c>
      <c r="J101" s="20">
        <f t="shared" ref="J101:J110" si="43">(J100+D101+E101)</f>
        <v>3085</v>
      </c>
      <c r="K101" s="20">
        <f t="shared" si="40"/>
        <v>22585</v>
      </c>
      <c r="L101" s="20">
        <f t="shared" si="41"/>
        <v>130</v>
      </c>
      <c r="M101" s="20">
        <f t="shared" si="41"/>
        <v>21</v>
      </c>
      <c r="N101" s="20">
        <f t="shared" si="34"/>
        <v>151</v>
      </c>
      <c r="O101" s="210"/>
      <c r="Q101" s="184">
        <v>41</v>
      </c>
      <c r="R101" s="185">
        <v>41</v>
      </c>
      <c r="S101" s="185">
        <v>3884</v>
      </c>
      <c r="T101" s="186">
        <v>39994</v>
      </c>
      <c r="U101" s="187">
        <v>4350</v>
      </c>
      <c r="V101" s="187">
        <v>2175</v>
      </c>
      <c r="W101" s="187">
        <v>3524</v>
      </c>
      <c r="X101" s="187">
        <f t="shared" si="35"/>
        <v>10049</v>
      </c>
      <c r="Y101" s="187">
        <f t="shared" si="36"/>
        <v>1005</v>
      </c>
      <c r="Z101" s="187">
        <v>1000</v>
      </c>
      <c r="AA101" s="188">
        <f t="shared" si="37"/>
        <v>-5</v>
      </c>
      <c r="AB101" s="189">
        <v>39965</v>
      </c>
      <c r="AC101" s="189">
        <v>39994</v>
      </c>
      <c r="AD101" s="150" t="s">
        <v>98</v>
      </c>
      <c r="AE101" s="148" t="s">
        <v>434</v>
      </c>
      <c r="AF101" s="148" t="s">
        <v>404</v>
      </c>
      <c r="AG101" s="2"/>
      <c r="AH101" s="2"/>
      <c r="AI101" s="2"/>
      <c r="AJ101" s="2"/>
    </row>
    <row r="102" spans="1:36" ht="15.75" customHeight="1">
      <c r="A102" s="42" t="s">
        <v>104</v>
      </c>
      <c r="B102" s="20">
        <f t="shared" si="38"/>
        <v>1040</v>
      </c>
      <c r="C102" s="20">
        <v>0</v>
      </c>
      <c r="D102" s="20">
        <f t="shared" si="39"/>
        <v>1040</v>
      </c>
      <c r="E102" s="20">
        <f t="shared" si="39"/>
        <v>0</v>
      </c>
      <c r="F102" s="20">
        <v>0</v>
      </c>
      <c r="G102" s="20">
        <f t="shared" si="33"/>
        <v>2080</v>
      </c>
      <c r="H102" s="20">
        <v>0</v>
      </c>
      <c r="I102" s="20">
        <f t="shared" si="42"/>
        <v>20540</v>
      </c>
      <c r="J102" s="20">
        <f t="shared" si="43"/>
        <v>4125</v>
      </c>
      <c r="K102" s="20">
        <f t="shared" si="40"/>
        <v>24665</v>
      </c>
      <c r="L102" s="20">
        <f t="shared" si="41"/>
        <v>137</v>
      </c>
      <c r="M102" s="20">
        <f t="shared" si="41"/>
        <v>28</v>
      </c>
      <c r="N102" s="20">
        <f t="shared" si="34"/>
        <v>165</v>
      </c>
      <c r="O102" s="210"/>
      <c r="Q102" s="184">
        <v>54</v>
      </c>
      <c r="R102" s="185">
        <v>54</v>
      </c>
      <c r="S102" s="185">
        <v>5107</v>
      </c>
      <c r="T102" s="186">
        <v>40024</v>
      </c>
      <c r="U102" s="187">
        <v>4500</v>
      </c>
      <c r="V102" s="187">
        <v>2250</v>
      </c>
      <c r="W102" s="187">
        <v>3645</v>
      </c>
      <c r="X102" s="187">
        <f t="shared" si="35"/>
        <v>10395</v>
      </c>
      <c r="Y102" s="187">
        <f t="shared" si="36"/>
        <v>1040</v>
      </c>
      <c r="Z102" s="187">
        <v>1000</v>
      </c>
      <c r="AA102" s="188">
        <f t="shared" si="37"/>
        <v>-40</v>
      </c>
      <c r="AB102" s="189">
        <v>39995</v>
      </c>
      <c r="AC102" s="189">
        <v>40025</v>
      </c>
      <c r="AD102" s="150" t="s">
        <v>98</v>
      </c>
      <c r="AE102" s="148" t="s">
        <v>435</v>
      </c>
      <c r="AF102" s="148" t="s">
        <v>404</v>
      </c>
      <c r="AG102" s="2"/>
      <c r="AH102" s="2"/>
      <c r="AI102" s="2"/>
      <c r="AJ102" s="2"/>
    </row>
    <row r="103" spans="1:36" ht="15.75" customHeight="1">
      <c r="A103" s="42" t="s">
        <v>105</v>
      </c>
      <c r="B103" s="20">
        <f t="shared" si="38"/>
        <v>1040</v>
      </c>
      <c r="C103" s="20">
        <v>0</v>
      </c>
      <c r="D103" s="20">
        <f t="shared" si="39"/>
        <v>1040</v>
      </c>
      <c r="E103" s="20">
        <f t="shared" si="39"/>
        <v>0</v>
      </c>
      <c r="F103" s="20">
        <v>0</v>
      </c>
      <c r="G103" s="20">
        <f t="shared" si="33"/>
        <v>2080</v>
      </c>
      <c r="H103" s="20">
        <v>0</v>
      </c>
      <c r="I103" s="20">
        <f t="shared" si="42"/>
        <v>21580</v>
      </c>
      <c r="J103" s="20">
        <f t="shared" si="43"/>
        <v>5165</v>
      </c>
      <c r="K103" s="20">
        <f t="shared" si="40"/>
        <v>26745</v>
      </c>
      <c r="L103" s="20">
        <f t="shared" si="41"/>
        <v>144</v>
      </c>
      <c r="M103" s="20">
        <f t="shared" si="41"/>
        <v>34</v>
      </c>
      <c r="N103" s="20">
        <f t="shared" si="34"/>
        <v>178</v>
      </c>
      <c r="O103" s="210"/>
      <c r="Q103" s="184">
        <v>66</v>
      </c>
      <c r="R103" s="185">
        <v>66</v>
      </c>
      <c r="S103" s="185">
        <v>6316</v>
      </c>
      <c r="T103" s="186">
        <v>40056</v>
      </c>
      <c r="U103" s="187">
        <v>4500</v>
      </c>
      <c r="V103" s="187">
        <v>2250</v>
      </c>
      <c r="W103" s="187">
        <v>3645</v>
      </c>
      <c r="X103" s="187">
        <f t="shared" si="35"/>
        <v>10395</v>
      </c>
      <c r="Y103" s="187">
        <f t="shared" si="36"/>
        <v>1040</v>
      </c>
      <c r="Z103" s="187">
        <v>1000</v>
      </c>
      <c r="AA103" s="188">
        <f t="shared" si="37"/>
        <v>-40</v>
      </c>
      <c r="AB103" s="189">
        <v>40026</v>
      </c>
      <c r="AC103" s="189">
        <v>40056</v>
      </c>
      <c r="AD103" s="150" t="s">
        <v>98</v>
      </c>
      <c r="AE103" s="148" t="s">
        <v>436</v>
      </c>
      <c r="AF103" s="148" t="s">
        <v>404</v>
      </c>
      <c r="AG103" s="2"/>
      <c r="AH103" s="2"/>
      <c r="AI103" s="2"/>
      <c r="AJ103" s="2"/>
    </row>
    <row r="104" spans="1:36" ht="15.75" customHeight="1">
      <c r="A104" s="42" t="s">
        <v>106</v>
      </c>
      <c r="B104" s="20">
        <f t="shared" si="38"/>
        <v>1040</v>
      </c>
      <c r="C104" s="20">
        <v>0</v>
      </c>
      <c r="D104" s="20">
        <f t="shared" si="39"/>
        <v>1040</v>
      </c>
      <c r="E104" s="20">
        <f t="shared" si="39"/>
        <v>0</v>
      </c>
      <c r="F104" s="20">
        <v>0</v>
      </c>
      <c r="G104" s="20">
        <f t="shared" si="33"/>
        <v>2080</v>
      </c>
      <c r="H104" s="20">
        <v>0</v>
      </c>
      <c r="I104" s="20">
        <f t="shared" si="42"/>
        <v>22620</v>
      </c>
      <c r="J104" s="20">
        <f t="shared" si="43"/>
        <v>6205</v>
      </c>
      <c r="K104" s="20">
        <f t="shared" si="40"/>
        <v>28825</v>
      </c>
      <c r="L104" s="20">
        <f t="shared" si="41"/>
        <v>151</v>
      </c>
      <c r="M104" s="20">
        <f t="shared" si="41"/>
        <v>41</v>
      </c>
      <c r="N104" s="20">
        <f t="shared" si="34"/>
        <v>192</v>
      </c>
      <c r="O104" s="210"/>
      <c r="Q104" s="184">
        <v>80</v>
      </c>
      <c r="R104" s="185">
        <v>80</v>
      </c>
      <c r="S104" s="185">
        <v>7971</v>
      </c>
      <c r="T104" s="186">
        <v>40086</v>
      </c>
      <c r="U104" s="187">
        <v>4500</v>
      </c>
      <c r="V104" s="187">
        <v>2250</v>
      </c>
      <c r="W104" s="187">
        <v>3645</v>
      </c>
      <c r="X104" s="187">
        <f t="shared" si="35"/>
        <v>10395</v>
      </c>
      <c r="Y104" s="187">
        <f t="shared" si="36"/>
        <v>1040</v>
      </c>
      <c r="Z104" s="187">
        <v>1000</v>
      </c>
      <c r="AA104" s="188">
        <f t="shared" si="37"/>
        <v>-40</v>
      </c>
      <c r="AB104" s="189">
        <v>40057</v>
      </c>
      <c r="AC104" s="189">
        <v>40086</v>
      </c>
      <c r="AD104" s="150" t="s">
        <v>98</v>
      </c>
      <c r="AE104" s="148" t="s">
        <v>437</v>
      </c>
      <c r="AF104" s="148" t="s">
        <v>404</v>
      </c>
      <c r="AG104" s="2"/>
      <c r="AH104" s="2"/>
      <c r="AI104" s="2"/>
      <c r="AJ104" s="2"/>
    </row>
    <row r="105" spans="1:36" ht="15.75" customHeight="1">
      <c r="A105" s="42" t="s">
        <v>107</v>
      </c>
      <c r="B105" s="20">
        <f t="shared" si="38"/>
        <v>1040</v>
      </c>
      <c r="C105" s="20">
        <v>0</v>
      </c>
      <c r="D105" s="20">
        <f t="shared" si="39"/>
        <v>1040</v>
      </c>
      <c r="E105" s="20">
        <f t="shared" si="39"/>
        <v>0</v>
      </c>
      <c r="F105" s="20">
        <v>0</v>
      </c>
      <c r="G105" s="20">
        <f t="shared" si="33"/>
        <v>2080</v>
      </c>
      <c r="H105" s="20">
        <v>0</v>
      </c>
      <c r="I105" s="20">
        <f t="shared" si="42"/>
        <v>23660</v>
      </c>
      <c r="J105" s="20">
        <f t="shared" si="43"/>
        <v>7245</v>
      </c>
      <c r="K105" s="20">
        <f t="shared" si="40"/>
        <v>30905</v>
      </c>
      <c r="L105" s="20">
        <f t="shared" si="41"/>
        <v>158</v>
      </c>
      <c r="M105" s="20">
        <f t="shared" si="41"/>
        <v>48</v>
      </c>
      <c r="N105" s="20">
        <f t="shared" si="34"/>
        <v>206</v>
      </c>
      <c r="O105" s="210"/>
      <c r="Q105" s="184">
        <v>94</v>
      </c>
      <c r="R105" s="185">
        <v>94</v>
      </c>
      <c r="S105" s="185">
        <v>9495</v>
      </c>
      <c r="T105" s="186">
        <v>40117</v>
      </c>
      <c r="U105" s="187">
        <v>4500</v>
      </c>
      <c r="V105" s="187">
        <v>2250</v>
      </c>
      <c r="W105" s="187">
        <v>3645</v>
      </c>
      <c r="X105" s="187">
        <f t="shared" si="35"/>
        <v>10395</v>
      </c>
      <c r="Y105" s="187">
        <f t="shared" si="36"/>
        <v>1040</v>
      </c>
      <c r="Z105" s="187">
        <v>1000</v>
      </c>
      <c r="AA105" s="188">
        <f t="shared" si="37"/>
        <v>-40</v>
      </c>
      <c r="AB105" s="189">
        <v>40087</v>
      </c>
      <c r="AC105" s="189">
        <v>40117</v>
      </c>
      <c r="AD105" s="150" t="s">
        <v>98</v>
      </c>
      <c r="AE105" s="148" t="s">
        <v>438</v>
      </c>
      <c r="AF105" s="148" t="s">
        <v>404</v>
      </c>
      <c r="AG105" s="2"/>
      <c r="AH105" s="2"/>
      <c r="AI105" s="2"/>
      <c r="AJ105" s="2"/>
    </row>
    <row r="106" spans="1:36" ht="15.75" customHeight="1">
      <c r="A106" s="42" t="s">
        <v>108</v>
      </c>
      <c r="B106" s="20">
        <f t="shared" si="38"/>
        <v>1040</v>
      </c>
      <c r="C106" s="20">
        <v>0</v>
      </c>
      <c r="D106" s="20">
        <f t="shared" si="39"/>
        <v>1040</v>
      </c>
      <c r="E106" s="20">
        <f t="shared" si="39"/>
        <v>0</v>
      </c>
      <c r="F106" s="20">
        <v>0</v>
      </c>
      <c r="G106" s="20">
        <f t="shared" si="33"/>
        <v>2080</v>
      </c>
      <c r="H106" s="20">
        <v>0</v>
      </c>
      <c r="I106" s="20">
        <f t="shared" si="42"/>
        <v>24700</v>
      </c>
      <c r="J106" s="20">
        <f t="shared" si="43"/>
        <v>8285</v>
      </c>
      <c r="K106" s="20">
        <f t="shared" si="40"/>
        <v>32985</v>
      </c>
      <c r="L106" s="20">
        <f t="shared" si="41"/>
        <v>165</v>
      </c>
      <c r="M106" s="20">
        <f t="shared" si="41"/>
        <v>55</v>
      </c>
      <c r="N106" s="20">
        <f t="shared" si="34"/>
        <v>220</v>
      </c>
      <c r="O106" s="210"/>
      <c r="Q106" s="184">
        <v>105</v>
      </c>
      <c r="R106" s="185">
        <v>105</v>
      </c>
      <c r="S106" s="185">
        <v>10642</v>
      </c>
      <c r="T106" s="186">
        <v>40147</v>
      </c>
      <c r="U106" s="187">
        <v>4500</v>
      </c>
      <c r="V106" s="187">
        <v>2250</v>
      </c>
      <c r="W106" s="187">
        <v>3645</v>
      </c>
      <c r="X106" s="187">
        <f t="shared" si="35"/>
        <v>10395</v>
      </c>
      <c r="Y106" s="187">
        <f t="shared" si="36"/>
        <v>1040</v>
      </c>
      <c r="Z106" s="187">
        <v>1000</v>
      </c>
      <c r="AA106" s="188">
        <f t="shared" si="37"/>
        <v>-40</v>
      </c>
      <c r="AB106" s="189">
        <v>40118</v>
      </c>
      <c r="AC106" s="189">
        <v>40147</v>
      </c>
      <c r="AD106" s="150" t="s">
        <v>98</v>
      </c>
      <c r="AE106" s="148" t="s">
        <v>439</v>
      </c>
      <c r="AF106" s="148" t="s">
        <v>404</v>
      </c>
      <c r="AG106" s="2"/>
      <c r="AH106" s="2"/>
      <c r="AI106" s="2"/>
      <c r="AJ106" s="2"/>
    </row>
    <row r="107" spans="1:36" ht="15.75" customHeight="1">
      <c r="A107" s="42" t="s">
        <v>109</v>
      </c>
      <c r="B107" s="20">
        <f t="shared" si="38"/>
        <v>1040</v>
      </c>
      <c r="C107" s="20">
        <v>0</v>
      </c>
      <c r="D107" s="20">
        <f t="shared" si="39"/>
        <v>1040</v>
      </c>
      <c r="E107" s="20">
        <f t="shared" si="39"/>
        <v>0</v>
      </c>
      <c r="F107" s="20">
        <v>0</v>
      </c>
      <c r="G107" s="20">
        <f t="shared" si="33"/>
        <v>2080</v>
      </c>
      <c r="H107" s="20">
        <v>0</v>
      </c>
      <c r="I107" s="20">
        <f t="shared" si="42"/>
        <v>25740</v>
      </c>
      <c r="J107" s="20">
        <f t="shared" si="43"/>
        <v>9325</v>
      </c>
      <c r="K107" s="20">
        <f t="shared" si="40"/>
        <v>35065</v>
      </c>
      <c r="L107" s="20">
        <f t="shared" si="41"/>
        <v>172</v>
      </c>
      <c r="M107" s="20">
        <f t="shared" si="41"/>
        <v>62</v>
      </c>
      <c r="N107" s="20">
        <f t="shared" si="34"/>
        <v>234</v>
      </c>
      <c r="O107" s="210"/>
      <c r="Q107" s="184">
        <v>114</v>
      </c>
      <c r="R107" s="185">
        <v>114</v>
      </c>
      <c r="S107" s="185">
        <v>11497</v>
      </c>
      <c r="T107" s="186">
        <v>40178</v>
      </c>
      <c r="U107" s="187">
        <v>4500</v>
      </c>
      <c r="V107" s="187">
        <v>2250</v>
      </c>
      <c r="W107" s="187">
        <v>3645</v>
      </c>
      <c r="X107" s="187">
        <f t="shared" si="35"/>
        <v>10395</v>
      </c>
      <c r="Y107" s="187">
        <f t="shared" si="36"/>
        <v>1040</v>
      </c>
      <c r="Z107" s="187">
        <v>1000</v>
      </c>
      <c r="AA107" s="188">
        <f t="shared" si="37"/>
        <v>-40</v>
      </c>
      <c r="AB107" s="189">
        <v>40148</v>
      </c>
      <c r="AC107" s="189">
        <v>40178</v>
      </c>
      <c r="AD107" s="150" t="s">
        <v>98</v>
      </c>
      <c r="AE107" s="148" t="s">
        <v>440</v>
      </c>
      <c r="AF107" s="148" t="s">
        <v>404</v>
      </c>
      <c r="AG107" s="2"/>
      <c r="AH107" s="2"/>
      <c r="AI107" s="2"/>
      <c r="AJ107" s="2"/>
    </row>
    <row r="108" spans="1:36" ht="15.75" customHeight="1">
      <c r="A108" s="42" t="s">
        <v>110</v>
      </c>
      <c r="B108" s="20">
        <f t="shared" si="38"/>
        <v>1040</v>
      </c>
      <c r="C108" s="20">
        <v>0</v>
      </c>
      <c r="D108" s="20">
        <f t="shared" si="39"/>
        <v>1040</v>
      </c>
      <c r="E108" s="20">
        <f t="shared" si="39"/>
        <v>0</v>
      </c>
      <c r="F108" s="20">
        <v>0</v>
      </c>
      <c r="G108" s="20">
        <f t="shared" si="33"/>
        <v>2080</v>
      </c>
      <c r="H108" s="20">
        <v>0</v>
      </c>
      <c r="I108" s="20">
        <f t="shared" si="42"/>
        <v>26780</v>
      </c>
      <c r="J108" s="20">
        <f t="shared" si="43"/>
        <v>10365</v>
      </c>
      <c r="K108" s="20">
        <f t="shared" si="40"/>
        <v>37145</v>
      </c>
      <c r="L108" s="20">
        <f t="shared" si="41"/>
        <v>179</v>
      </c>
      <c r="M108" s="20">
        <f t="shared" si="41"/>
        <v>69</v>
      </c>
      <c r="N108" s="20">
        <f t="shared" si="34"/>
        <v>248</v>
      </c>
      <c r="O108" s="210"/>
      <c r="Q108" s="184">
        <v>126</v>
      </c>
      <c r="R108" s="185">
        <v>126</v>
      </c>
      <c r="S108" s="185">
        <v>12695</v>
      </c>
      <c r="T108" s="186">
        <v>40208</v>
      </c>
      <c r="U108" s="187">
        <v>4500</v>
      </c>
      <c r="V108" s="187">
        <v>2250</v>
      </c>
      <c r="W108" s="187">
        <v>3645</v>
      </c>
      <c r="X108" s="187">
        <f t="shared" si="35"/>
        <v>10395</v>
      </c>
      <c r="Y108" s="187">
        <f t="shared" si="36"/>
        <v>1040</v>
      </c>
      <c r="Z108" s="187">
        <v>1000</v>
      </c>
      <c r="AA108" s="188">
        <f t="shared" si="37"/>
        <v>-40</v>
      </c>
      <c r="AB108" s="189">
        <v>40179</v>
      </c>
      <c r="AC108" s="189">
        <v>40209</v>
      </c>
      <c r="AD108" s="150" t="s">
        <v>98</v>
      </c>
      <c r="AE108" s="148" t="s">
        <v>441</v>
      </c>
      <c r="AF108" s="148" t="s">
        <v>404</v>
      </c>
      <c r="AG108" s="2"/>
      <c r="AH108" s="2"/>
      <c r="AI108" s="2"/>
      <c r="AJ108" s="2"/>
    </row>
    <row r="109" spans="1:36" ht="15.75" customHeight="1">
      <c r="A109" s="42" t="s">
        <v>111</v>
      </c>
      <c r="B109" s="20">
        <f t="shared" si="38"/>
        <v>1069</v>
      </c>
      <c r="C109" s="20">
        <v>0</v>
      </c>
      <c r="D109" s="20">
        <f t="shared" si="39"/>
        <v>1069</v>
      </c>
      <c r="E109" s="20">
        <f t="shared" si="39"/>
        <v>0</v>
      </c>
      <c r="F109" s="20">
        <v>0</v>
      </c>
      <c r="G109" s="20">
        <f t="shared" si="33"/>
        <v>2138</v>
      </c>
      <c r="H109" s="20">
        <v>0</v>
      </c>
      <c r="I109" s="20">
        <f t="shared" si="42"/>
        <v>27849</v>
      </c>
      <c r="J109" s="20">
        <f t="shared" si="43"/>
        <v>11434</v>
      </c>
      <c r="K109" s="20">
        <f t="shared" si="40"/>
        <v>39283</v>
      </c>
      <c r="L109" s="20">
        <f t="shared" si="41"/>
        <v>186</v>
      </c>
      <c r="M109" s="20">
        <f t="shared" si="41"/>
        <v>76</v>
      </c>
      <c r="N109" s="20">
        <f t="shared" si="34"/>
        <v>262</v>
      </c>
      <c r="O109" s="210"/>
      <c r="Q109" s="184">
        <v>135</v>
      </c>
      <c r="R109" s="185">
        <v>135</v>
      </c>
      <c r="S109" s="185">
        <v>13705</v>
      </c>
      <c r="T109" s="186">
        <v>40235</v>
      </c>
      <c r="U109" s="187">
        <v>4625</v>
      </c>
      <c r="V109" s="187">
        <v>2313</v>
      </c>
      <c r="W109" s="187">
        <v>3747</v>
      </c>
      <c r="X109" s="187">
        <f t="shared" si="35"/>
        <v>10685</v>
      </c>
      <c r="Y109" s="187">
        <f t="shared" si="36"/>
        <v>1069</v>
      </c>
      <c r="Z109" s="187">
        <v>1000</v>
      </c>
      <c r="AA109" s="188">
        <f t="shared" si="37"/>
        <v>-69</v>
      </c>
      <c r="AB109" s="189">
        <v>40210</v>
      </c>
      <c r="AC109" s="189">
        <v>40235</v>
      </c>
      <c r="AD109" s="150" t="s">
        <v>98</v>
      </c>
      <c r="AE109" s="148" t="s">
        <v>442</v>
      </c>
      <c r="AF109" s="148" t="s">
        <v>404</v>
      </c>
      <c r="AG109" s="2"/>
      <c r="AH109" s="2"/>
      <c r="AI109" s="2"/>
      <c r="AJ109" s="2"/>
    </row>
    <row r="110" spans="1:36" ht="15.75" customHeight="1" thickBot="1">
      <c r="A110" s="50" t="s">
        <v>112</v>
      </c>
      <c r="B110" s="47">
        <f t="shared" si="38"/>
        <v>1069</v>
      </c>
      <c r="C110" s="47">
        <v>0</v>
      </c>
      <c r="D110" s="47">
        <f t="shared" si="39"/>
        <v>1069</v>
      </c>
      <c r="E110" s="47">
        <f t="shared" si="39"/>
        <v>0</v>
      </c>
      <c r="F110" s="47">
        <v>0</v>
      </c>
      <c r="G110" s="47">
        <f t="shared" si="33"/>
        <v>2138</v>
      </c>
      <c r="H110" s="47">
        <v>0</v>
      </c>
      <c r="I110" s="47">
        <f t="shared" si="42"/>
        <v>28918</v>
      </c>
      <c r="J110" s="47">
        <f t="shared" si="43"/>
        <v>12503</v>
      </c>
      <c r="K110" s="47">
        <f t="shared" si="40"/>
        <v>41421</v>
      </c>
      <c r="L110" s="47">
        <f t="shared" si="41"/>
        <v>193</v>
      </c>
      <c r="M110" s="47">
        <f t="shared" si="41"/>
        <v>83</v>
      </c>
      <c r="N110" s="47">
        <f t="shared" si="34"/>
        <v>276</v>
      </c>
      <c r="O110" s="253"/>
      <c r="Q110" s="184">
        <v>3</v>
      </c>
      <c r="R110" s="185">
        <v>3</v>
      </c>
      <c r="S110" s="185">
        <v>108</v>
      </c>
      <c r="T110" s="186">
        <v>40271</v>
      </c>
      <c r="U110" s="187">
        <v>4625</v>
      </c>
      <c r="V110" s="187">
        <v>2313</v>
      </c>
      <c r="W110" s="187">
        <v>3747</v>
      </c>
      <c r="X110" s="187">
        <f t="shared" si="35"/>
        <v>10685</v>
      </c>
      <c r="Y110" s="187">
        <f t="shared" si="36"/>
        <v>1069</v>
      </c>
      <c r="Z110" s="187">
        <v>2000</v>
      </c>
      <c r="AA110" s="188">
        <f t="shared" si="37"/>
        <v>931</v>
      </c>
      <c r="AB110" s="189">
        <v>40238</v>
      </c>
      <c r="AC110" s="189">
        <v>40268</v>
      </c>
      <c r="AD110" s="150" t="s">
        <v>98</v>
      </c>
      <c r="AE110" s="148" t="s">
        <v>443</v>
      </c>
      <c r="AF110" s="148" t="s">
        <v>404</v>
      </c>
      <c r="AG110" s="2"/>
      <c r="AH110" s="2"/>
      <c r="AI110" s="2"/>
      <c r="AJ110" s="2"/>
    </row>
    <row r="111" spans="1:36" s="12" customFormat="1" ht="15" thickBot="1">
      <c r="A111" s="55" t="s">
        <v>113</v>
      </c>
      <c r="B111" s="54">
        <f t="shared" ref="B111:M111" si="44">SUM(B99:B110)</f>
        <v>12503</v>
      </c>
      <c r="C111" s="54">
        <f t="shared" si="44"/>
        <v>0</v>
      </c>
      <c r="D111" s="54">
        <f t="shared" si="44"/>
        <v>12503</v>
      </c>
      <c r="E111" s="54">
        <f t="shared" si="44"/>
        <v>0</v>
      </c>
      <c r="F111" s="54">
        <f t="shared" si="44"/>
        <v>0</v>
      </c>
      <c r="G111" s="54">
        <f t="shared" si="44"/>
        <v>25006</v>
      </c>
      <c r="H111" s="54">
        <f t="shared" si="44"/>
        <v>0</v>
      </c>
      <c r="I111" s="54">
        <f t="shared" si="44"/>
        <v>277837</v>
      </c>
      <c r="J111" s="54">
        <f t="shared" si="44"/>
        <v>80857</v>
      </c>
      <c r="K111" s="54">
        <f t="shared" si="44"/>
        <v>358694</v>
      </c>
      <c r="L111" s="54">
        <f t="shared" si="44"/>
        <v>1854</v>
      </c>
      <c r="M111" s="54">
        <f t="shared" si="44"/>
        <v>538</v>
      </c>
      <c r="N111" s="54">
        <f>SUM(N99:N110)</f>
        <v>2392</v>
      </c>
      <c r="O111" s="76"/>
      <c r="Q111" s="138"/>
      <c r="R111" s="145"/>
      <c r="S111" s="145"/>
      <c r="T111" s="145" t="s">
        <v>24</v>
      </c>
      <c r="U111" s="146">
        <f t="shared" ref="U111:AA111" si="45">SUM(U99:U110)</f>
        <v>54100</v>
      </c>
      <c r="V111" s="146">
        <f t="shared" si="45"/>
        <v>27051</v>
      </c>
      <c r="W111" s="146">
        <f t="shared" si="45"/>
        <v>43823</v>
      </c>
      <c r="X111" s="146">
        <f t="shared" si="45"/>
        <v>124974</v>
      </c>
      <c r="Y111" s="146">
        <f t="shared" si="45"/>
        <v>12503</v>
      </c>
      <c r="Z111" s="146">
        <f t="shared" si="45"/>
        <v>13000</v>
      </c>
      <c r="AA111" s="146">
        <f t="shared" si="45"/>
        <v>497</v>
      </c>
      <c r="AB111" s="145"/>
      <c r="AC111" s="145"/>
      <c r="AD111" s="145"/>
      <c r="AE111" s="77"/>
      <c r="AF111" s="77"/>
    </row>
    <row r="112" spans="1:36" ht="15" thickBot="1">
      <c r="A112" s="5"/>
      <c r="B112" s="5"/>
      <c r="C112" s="5"/>
      <c r="D112" s="5"/>
      <c r="E112" s="5"/>
      <c r="H112" s="21"/>
      <c r="I112" s="21"/>
      <c r="J112" s="21"/>
      <c r="K112" s="6"/>
      <c r="L112" s="6"/>
      <c r="M112" s="6"/>
      <c r="N112" s="5"/>
    </row>
    <row r="113" spans="1:27" ht="21.9" customHeight="1" thickBot="1">
      <c r="A113" s="5"/>
      <c r="B113" s="6"/>
      <c r="C113" s="6"/>
      <c r="D113" s="6"/>
      <c r="E113" s="5"/>
      <c r="F113" s="53">
        <v>1</v>
      </c>
      <c r="G113" s="211" t="s">
        <v>47</v>
      </c>
      <c r="H113" s="212"/>
      <c r="I113" s="212"/>
      <c r="J113" s="212"/>
      <c r="K113" s="213"/>
      <c r="L113" s="54">
        <f>K95</f>
        <v>16415</v>
      </c>
      <c r="M113" s="2"/>
      <c r="O113" s="1"/>
      <c r="S113" s="30"/>
      <c r="T113" s="30"/>
      <c r="Z113" s="1"/>
      <c r="AA113" s="1"/>
    </row>
    <row r="114" spans="1:27" ht="21.9" customHeight="1" thickBot="1">
      <c r="A114" s="5"/>
      <c r="B114" s="6"/>
      <c r="C114" s="6"/>
      <c r="D114" s="6"/>
      <c r="E114" s="5"/>
      <c r="F114" s="53">
        <v>2</v>
      </c>
      <c r="G114" s="211" t="s">
        <v>344</v>
      </c>
      <c r="H114" s="212"/>
      <c r="I114" s="212"/>
      <c r="J114" s="212"/>
      <c r="K114" s="213"/>
      <c r="L114" s="54">
        <f>B111+C111</f>
        <v>12503</v>
      </c>
      <c r="M114" s="2"/>
      <c r="O114" s="1"/>
      <c r="S114" s="30"/>
      <c r="T114" s="30"/>
      <c r="Z114" s="1"/>
      <c r="AA114" s="1"/>
    </row>
    <row r="115" spans="1:27" ht="21.9" customHeight="1" thickBot="1">
      <c r="A115" s="5"/>
      <c r="B115" s="6"/>
      <c r="C115" s="6"/>
      <c r="D115" s="6"/>
      <c r="E115" s="5"/>
      <c r="F115" s="53">
        <v>3</v>
      </c>
      <c r="G115" s="211" t="s">
        <v>345</v>
      </c>
      <c r="H115" s="212"/>
      <c r="I115" s="212"/>
      <c r="J115" s="212"/>
      <c r="K115" s="213"/>
      <c r="L115" s="54">
        <f>F111</f>
        <v>0</v>
      </c>
      <c r="M115" s="2"/>
      <c r="O115" s="1"/>
      <c r="S115" s="30"/>
      <c r="T115" s="30"/>
      <c r="Z115" s="1"/>
      <c r="AA115" s="1"/>
    </row>
    <row r="116" spans="1:27" ht="21.9" customHeight="1" thickBot="1">
      <c r="A116" s="5"/>
      <c r="B116" s="6"/>
      <c r="C116" s="6"/>
      <c r="D116" s="6"/>
      <c r="E116" s="5"/>
      <c r="F116" s="53">
        <v>4</v>
      </c>
      <c r="G116" s="211" t="s">
        <v>346</v>
      </c>
      <c r="H116" s="212"/>
      <c r="I116" s="212"/>
      <c r="J116" s="212"/>
      <c r="K116" s="213"/>
      <c r="L116" s="54">
        <f>L114+L115</f>
        <v>12503</v>
      </c>
      <c r="M116" s="2"/>
      <c r="O116" s="1"/>
      <c r="S116" s="30"/>
      <c r="T116" s="30"/>
      <c r="Z116" s="1"/>
      <c r="AA116" s="1"/>
    </row>
    <row r="117" spans="1:27" ht="21.9" customHeight="1" thickBot="1">
      <c r="A117" s="5"/>
      <c r="B117" s="6"/>
      <c r="C117" s="6"/>
      <c r="D117" s="6"/>
      <c r="E117" s="5"/>
      <c r="F117" s="53">
        <v>5</v>
      </c>
      <c r="G117" s="211" t="s">
        <v>349</v>
      </c>
      <c r="H117" s="212"/>
      <c r="I117" s="212"/>
      <c r="J117" s="212"/>
      <c r="K117" s="213"/>
      <c r="L117" s="54">
        <f>D111+E111</f>
        <v>12503</v>
      </c>
      <c r="M117" s="2"/>
      <c r="O117" s="1"/>
      <c r="S117" s="30"/>
      <c r="T117" s="30"/>
      <c r="Z117" s="1"/>
      <c r="AA117" s="1"/>
    </row>
    <row r="118" spans="1:27" ht="21.9" customHeight="1" thickBot="1">
      <c r="A118" s="5"/>
      <c r="B118" s="5"/>
      <c r="C118" s="5"/>
      <c r="D118" s="5"/>
      <c r="E118" s="5"/>
      <c r="F118" s="53">
        <v>6</v>
      </c>
      <c r="G118" s="211" t="s">
        <v>347</v>
      </c>
      <c r="H118" s="212"/>
      <c r="I118" s="212"/>
      <c r="J118" s="212"/>
      <c r="K118" s="213"/>
      <c r="L118" s="54">
        <f>L113+L116+L117</f>
        <v>41421</v>
      </c>
      <c r="M118" s="2"/>
      <c r="O118" s="1"/>
      <c r="S118" s="30"/>
      <c r="T118" s="30"/>
      <c r="Z118" s="1"/>
      <c r="AA118" s="1"/>
    </row>
    <row r="119" spans="1:27" ht="21.9" customHeight="1" thickBot="1">
      <c r="A119" s="251" t="s">
        <v>512</v>
      </c>
      <c r="B119" s="251"/>
      <c r="C119" s="251"/>
      <c r="D119" s="251"/>
      <c r="E119" s="5"/>
      <c r="F119" s="53">
        <v>7</v>
      </c>
      <c r="G119" s="211" t="s">
        <v>50</v>
      </c>
      <c r="H119" s="212"/>
      <c r="I119" s="212"/>
      <c r="J119" s="212"/>
      <c r="K119" s="213"/>
      <c r="L119" s="54">
        <f>H111</f>
        <v>0</v>
      </c>
      <c r="M119" s="2"/>
      <c r="O119" s="1"/>
      <c r="S119" s="30"/>
      <c r="T119" s="30"/>
      <c r="Z119" s="1"/>
      <c r="AA119" s="1"/>
    </row>
    <row r="120" spans="1:27" ht="21.9" customHeight="1" thickBot="1">
      <c r="A120" s="251"/>
      <c r="B120" s="251"/>
      <c r="C120" s="251"/>
      <c r="D120" s="251"/>
      <c r="E120" s="5"/>
      <c r="F120" s="53">
        <v>8</v>
      </c>
      <c r="G120" s="211" t="s">
        <v>340</v>
      </c>
      <c r="H120" s="212"/>
      <c r="I120" s="212"/>
      <c r="J120" s="212"/>
      <c r="K120" s="213"/>
      <c r="L120" s="54">
        <f>L111</f>
        <v>1854</v>
      </c>
      <c r="M120" s="2"/>
      <c r="O120" s="1"/>
      <c r="S120" s="30"/>
      <c r="T120" s="30"/>
      <c r="Z120" s="1"/>
      <c r="AA120" s="1"/>
    </row>
    <row r="121" spans="1:27" ht="21.9" customHeight="1" thickBot="1">
      <c r="A121" s="251"/>
      <c r="B121" s="251"/>
      <c r="C121" s="251"/>
      <c r="D121" s="251"/>
      <c r="E121" s="5"/>
      <c r="F121" s="53">
        <v>9</v>
      </c>
      <c r="G121" s="211" t="s">
        <v>355</v>
      </c>
      <c r="H121" s="212"/>
      <c r="I121" s="212"/>
      <c r="J121" s="212"/>
      <c r="K121" s="213"/>
      <c r="L121" s="54">
        <f>M111</f>
        <v>538</v>
      </c>
      <c r="M121" s="2"/>
      <c r="O121" s="1"/>
      <c r="S121" s="30"/>
      <c r="T121" s="30"/>
      <c r="Z121" s="1"/>
      <c r="AA121" s="1"/>
    </row>
    <row r="122" spans="1:27" ht="21.9" customHeight="1" thickBot="1">
      <c r="A122" s="251"/>
      <c r="B122" s="251"/>
      <c r="C122" s="251"/>
      <c r="D122" s="251"/>
      <c r="E122" s="5"/>
      <c r="F122" s="53">
        <v>10</v>
      </c>
      <c r="G122" s="211" t="s">
        <v>348</v>
      </c>
      <c r="H122" s="212"/>
      <c r="I122" s="212"/>
      <c r="J122" s="212"/>
      <c r="K122" s="213"/>
      <c r="L122" s="54">
        <f>N111</f>
        <v>2392</v>
      </c>
      <c r="M122" s="2"/>
      <c r="O122" s="1"/>
      <c r="S122" s="30"/>
      <c r="T122" s="30"/>
      <c r="Z122" s="1"/>
      <c r="AA122" s="1"/>
    </row>
    <row r="123" spans="1:27" ht="21.9" customHeight="1" thickBot="1">
      <c r="A123" s="251"/>
      <c r="B123" s="251"/>
      <c r="C123" s="251"/>
      <c r="D123" s="251"/>
      <c r="E123" s="5"/>
      <c r="F123" s="53">
        <v>11</v>
      </c>
      <c r="G123" s="212" t="s">
        <v>359</v>
      </c>
      <c r="H123" s="212"/>
      <c r="I123" s="212"/>
      <c r="J123" s="212"/>
      <c r="K123" s="213"/>
      <c r="L123" s="54">
        <f>L118-L119+L122</f>
        <v>43813</v>
      </c>
      <c r="M123" s="2"/>
      <c r="O123" s="1"/>
      <c r="S123" s="30"/>
      <c r="T123" s="30"/>
      <c r="Z123" s="1"/>
      <c r="AA123" s="1"/>
    </row>
    <row r="124" spans="1:27">
      <c r="A124" s="5"/>
      <c r="B124" s="5"/>
      <c r="C124" s="5"/>
      <c r="D124" s="5"/>
      <c r="E124" s="5"/>
      <c r="F124" s="5"/>
      <c r="G124" s="17"/>
      <c r="H124" s="17"/>
      <c r="I124" s="17"/>
      <c r="J124" s="17"/>
      <c r="K124" s="17"/>
      <c r="L124" s="17"/>
      <c r="M124" s="17"/>
      <c r="N124" s="6"/>
    </row>
    <row r="127" spans="1:27" ht="20.100000000000001" customHeight="1">
      <c r="A127" s="249" t="s">
        <v>53</v>
      </c>
      <c r="B127" s="249"/>
      <c r="C127" s="18"/>
      <c r="D127" s="18"/>
      <c r="E127" s="249" t="s">
        <v>54</v>
      </c>
      <c r="F127" s="249"/>
      <c r="G127" s="249"/>
      <c r="H127" s="250" t="s">
        <v>55</v>
      </c>
      <c r="I127" s="250"/>
      <c r="J127" s="250"/>
      <c r="K127" s="250"/>
      <c r="L127" s="250"/>
      <c r="M127" s="250"/>
      <c r="N127" s="250"/>
    </row>
    <row r="128" spans="1:27" ht="20.100000000000001" customHeight="1">
      <c r="A128" s="261" t="s">
        <v>509</v>
      </c>
      <c r="B128" s="261"/>
      <c r="E128" s="261" t="s">
        <v>510</v>
      </c>
      <c r="F128" s="261"/>
      <c r="G128" s="261"/>
      <c r="H128" s="259" t="s">
        <v>511</v>
      </c>
      <c r="I128" s="259"/>
      <c r="J128" s="259"/>
      <c r="K128" s="259"/>
      <c r="L128" s="259"/>
      <c r="M128" s="259"/>
      <c r="N128" s="259"/>
    </row>
    <row r="129" spans="1:39" ht="16.8">
      <c r="A129" s="18"/>
      <c r="B129" s="18"/>
      <c r="C129" s="18"/>
      <c r="D129" s="18"/>
      <c r="E129" s="18"/>
      <c r="F129" s="18"/>
      <c r="G129" s="19"/>
      <c r="H129" s="19"/>
      <c r="I129" s="19"/>
      <c r="J129" s="19"/>
    </row>
    <row r="130" spans="1:39" ht="18.600000000000001">
      <c r="A130" s="224" t="s">
        <v>0</v>
      </c>
      <c r="B130" s="224"/>
      <c r="C130" s="224"/>
      <c r="D130" s="224"/>
      <c r="E130" s="224"/>
      <c r="F130" s="224"/>
      <c r="G130" s="224"/>
      <c r="H130" s="224"/>
      <c r="I130" s="224"/>
      <c r="J130" s="224"/>
      <c r="K130" s="224"/>
      <c r="L130" s="224"/>
      <c r="M130" s="224"/>
      <c r="N130" s="224"/>
      <c r="O130" s="224"/>
    </row>
    <row r="131" spans="1:39" ht="18.600000000000001">
      <c r="A131" s="224" t="s">
        <v>1</v>
      </c>
      <c r="B131" s="224"/>
      <c r="C131" s="224"/>
      <c r="D131" s="224"/>
      <c r="E131" s="224"/>
      <c r="F131" s="224"/>
      <c r="G131" s="224"/>
      <c r="H131" s="224"/>
      <c r="I131" s="224"/>
      <c r="J131" s="224"/>
      <c r="K131" s="224"/>
      <c r="L131" s="224"/>
      <c r="M131" s="224"/>
      <c r="N131" s="224"/>
      <c r="O131" s="224"/>
    </row>
    <row r="133" spans="1:39" ht="15" thickBot="1">
      <c r="A133" s="225" t="s">
        <v>114</v>
      </c>
      <c r="B133" s="225"/>
      <c r="C133" s="225"/>
      <c r="D133" s="225"/>
      <c r="E133" s="225"/>
      <c r="F133" s="225"/>
      <c r="G133" s="225"/>
      <c r="H133" s="225"/>
      <c r="I133" s="225"/>
      <c r="J133" s="225"/>
      <c r="K133" s="225"/>
      <c r="L133" s="225"/>
      <c r="M133" s="225"/>
      <c r="N133" s="225"/>
    </row>
    <row r="134" spans="1:39" ht="36" customHeight="1" thickBot="1">
      <c r="A134" s="55" t="s">
        <v>3</v>
      </c>
      <c r="B134" s="53">
        <f>B91</f>
        <v>9255</v>
      </c>
      <c r="C134" s="5"/>
      <c r="D134" s="5"/>
      <c r="E134" s="211" t="s">
        <v>4</v>
      </c>
      <c r="F134" s="213" t="str">
        <f>F91</f>
        <v>Mahajan Ganesh Trambak</v>
      </c>
      <c r="G134" s="5"/>
      <c r="H134" s="211" t="str">
        <f>H91</f>
        <v>Mahajan Ganesh Trambak</v>
      </c>
      <c r="I134" s="212"/>
      <c r="J134" s="212"/>
      <c r="K134" s="212"/>
      <c r="L134" s="212"/>
      <c r="M134" s="212"/>
      <c r="N134" s="212"/>
      <c r="O134" s="213"/>
    </row>
    <row r="135" spans="1:39" ht="15" thickBot="1">
      <c r="A135" s="5"/>
      <c r="E135" s="5"/>
      <c r="F135" s="5"/>
      <c r="G135" s="5"/>
      <c r="H135" s="5"/>
      <c r="I135" s="5"/>
      <c r="J135" s="5"/>
      <c r="K135" s="6"/>
      <c r="L135" s="6"/>
      <c r="M135" s="6"/>
      <c r="N135" s="5"/>
      <c r="AM135" s="1" t="s">
        <v>384</v>
      </c>
    </row>
    <row r="136" spans="1:39" ht="36" customHeight="1" thickBot="1">
      <c r="A136" s="55" t="s">
        <v>6</v>
      </c>
      <c r="B136" s="55" t="str">
        <f>B93</f>
        <v>06.06.2007</v>
      </c>
      <c r="C136" s="5"/>
      <c r="D136" s="5"/>
      <c r="E136" s="55" t="s">
        <v>7</v>
      </c>
      <c r="F136" s="55">
        <f>F93</f>
        <v>2301</v>
      </c>
      <c r="G136" s="5"/>
      <c r="H136" s="55" t="s">
        <v>8</v>
      </c>
      <c r="I136" s="211" t="str">
        <f>I93</f>
        <v>Asst. Jr. Engineer</v>
      </c>
      <c r="J136" s="212"/>
      <c r="K136" s="212" t="str">
        <f>K93</f>
        <v>Asst. Jr. Engineer</v>
      </c>
      <c r="L136" s="212"/>
      <c r="M136" s="212"/>
      <c r="N136" s="212"/>
      <c r="O136" s="213"/>
    </row>
    <row r="137" spans="1:39" ht="15" thickBo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6"/>
      <c r="L137" s="6"/>
      <c r="M137" s="6"/>
      <c r="N137" s="5"/>
    </row>
    <row r="138" spans="1:39" ht="24" customHeight="1" thickBot="1">
      <c r="A138" s="55" t="s">
        <v>10</v>
      </c>
      <c r="B138" s="58">
        <v>0.08</v>
      </c>
      <c r="C138" s="5"/>
      <c r="D138" s="5"/>
      <c r="E138" s="55" t="s">
        <v>11</v>
      </c>
      <c r="F138" s="58">
        <v>0</v>
      </c>
      <c r="G138" s="5"/>
      <c r="H138" s="239" t="s">
        <v>12</v>
      </c>
      <c r="I138" s="240"/>
      <c r="J138" s="241"/>
      <c r="K138" s="242">
        <f>L123</f>
        <v>43813</v>
      </c>
      <c r="L138" s="243"/>
      <c r="M138" s="243"/>
      <c r="N138" s="243"/>
      <c r="O138" s="244"/>
    </row>
    <row r="139" spans="1:39" ht="15" thickBo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6"/>
      <c r="L139" s="6"/>
      <c r="M139" s="6"/>
      <c r="N139" s="5"/>
    </row>
    <row r="140" spans="1:39" ht="39.9" customHeight="1" thickBot="1">
      <c r="A140" s="235" t="s">
        <v>13</v>
      </c>
      <c r="B140" s="256" t="s">
        <v>14</v>
      </c>
      <c r="C140" s="257"/>
      <c r="D140" s="256" t="s">
        <v>349</v>
      </c>
      <c r="E140" s="257"/>
      <c r="F140" s="235" t="s">
        <v>342</v>
      </c>
      <c r="G140" s="235" t="s">
        <v>16</v>
      </c>
      <c r="H140" s="235" t="s">
        <v>17</v>
      </c>
      <c r="I140" s="235" t="s">
        <v>341</v>
      </c>
      <c r="J140" s="235" t="s">
        <v>354</v>
      </c>
      <c r="K140" s="254" t="s">
        <v>353</v>
      </c>
      <c r="L140" s="254" t="s">
        <v>340</v>
      </c>
      <c r="M140" s="254" t="s">
        <v>355</v>
      </c>
      <c r="N140" s="254" t="s">
        <v>343</v>
      </c>
      <c r="O140" s="247" t="s">
        <v>20</v>
      </c>
      <c r="Q140" s="221" t="s">
        <v>27</v>
      </c>
      <c r="R140" s="219" t="s">
        <v>28</v>
      </c>
      <c r="S140" s="219" t="s">
        <v>29</v>
      </c>
      <c r="T140" s="219" t="s">
        <v>30</v>
      </c>
      <c r="U140" s="219" t="s">
        <v>21</v>
      </c>
      <c r="V140" s="219" t="s">
        <v>22</v>
      </c>
      <c r="W140" s="219" t="s">
        <v>23</v>
      </c>
      <c r="X140" s="219" t="s">
        <v>24</v>
      </c>
      <c r="Y140" s="219" t="s">
        <v>356</v>
      </c>
      <c r="Z140" s="219" t="s">
        <v>336</v>
      </c>
      <c r="AA140" s="219" t="s">
        <v>26</v>
      </c>
      <c r="AB140" s="219" t="s">
        <v>31</v>
      </c>
      <c r="AC140" s="219" t="s">
        <v>32</v>
      </c>
      <c r="AD140" s="219" t="s">
        <v>333</v>
      </c>
      <c r="AE140" s="202" t="s">
        <v>417</v>
      </c>
      <c r="AF140" s="202" t="s">
        <v>420</v>
      </c>
      <c r="AG140" s="12"/>
      <c r="AH140" s="12"/>
      <c r="AI140" s="12"/>
      <c r="AJ140" s="12"/>
    </row>
    <row r="141" spans="1:39" ht="39.9" customHeight="1" thickBot="1">
      <c r="A141" s="236"/>
      <c r="B141" s="55" t="s">
        <v>350</v>
      </c>
      <c r="C141" s="55" t="s">
        <v>351</v>
      </c>
      <c r="D141" s="55" t="s">
        <v>350</v>
      </c>
      <c r="E141" s="55" t="s">
        <v>351</v>
      </c>
      <c r="F141" s="236"/>
      <c r="G141" s="236"/>
      <c r="H141" s="236"/>
      <c r="I141" s="236"/>
      <c r="J141" s="236"/>
      <c r="K141" s="255"/>
      <c r="L141" s="255"/>
      <c r="M141" s="255"/>
      <c r="N141" s="255"/>
      <c r="O141" s="248"/>
      <c r="Q141" s="222"/>
      <c r="R141" s="220"/>
      <c r="S141" s="220"/>
      <c r="T141" s="220"/>
      <c r="U141" s="220"/>
      <c r="V141" s="220"/>
      <c r="W141" s="220"/>
      <c r="X141" s="220"/>
      <c r="Y141" s="220"/>
      <c r="Z141" s="220"/>
      <c r="AA141" s="220"/>
      <c r="AB141" s="220"/>
      <c r="AC141" s="220"/>
      <c r="AD141" s="220"/>
      <c r="AE141" s="203"/>
      <c r="AF141" s="203"/>
      <c r="AG141" s="12"/>
      <c r="AH141" s="12"/>
      <c r="AI141" s="12"/>
      <c r="AJ141" s="12"/>
    </row>
    <row r="142" spans="1:39" ht="18" customHeight="1">
      <c r="A142" s="42" t="s">
        <v>115</v>
      </c>
      <c r="B142" s="20">
        <f>Y142</f>
        <v>1069</v>
      </c>
      <c r="C142" s="20">
        <v>0</v>
      </c>
      <c r="D142" s="20">
        <f>B142</f>
        <v>1069</v>
      </c>
      <c r="E142" s="20">
        <f>C142</f>
        <v>0</v>
      </c>
      <c r="F142" s="20">
        <v>0</v>
      </c>
      <c r="G142" s="20">
        <f t="shared" ref="G142:G154" si="46">(B142+C142+F142)+(D142+E142)</f>
        <v>2138</v>
      </c>
      <c r="H142" s="20">
        <v>0</v>
      </c>
      <c r="I142" s="20">
        <f>(K138+B142+C142+F142)-H142</f>
        <v>44882</v>
      </c>
      <c r="J142" s="20">
        <f>(D142+E142)</f>
        <v>1069</v>
      </c>
      <c r="K142" s="20">
        <f>(K138+G142)-H142</f>
        <v>45951</v>
      </c>
      <c r="L142" s="20">
        <f>ROUND((I142*8/100)/12,0)</f>
        <v>299</v>
      </c>
      <c r="M142" s="20">
        <f>ROUND((J142*8/100)/12,0)</f>
        <v>7</v>
      </c>
      <c r="N142" s="20">
        <f>L142+M142</f>
        <v>306</v>
      </c>
      <c r="O142" s="210" t="s">
        <v>34</v>
      </c>
      <c r="Q142" s="184">
        <v>11</v>
      </c>
      <c r="R142" s="185">
        <v>11</v>
      </c>
      <c r="S142" s="185">
        <v>1034</v>
      </c>
      <c r="T142" s="186">
        <v>40298</v>
      </c>
      <c r="U142" s="187">
        <v>4625</v>
      </c>
      <c r="V142" s="187">
        <v>2313</v>
      </c>
      <c r="W142" s="187">
        <v>3747</v>
      </c>
      <c r="X142" s="187">
        <f t="shared" ref="X142:X143" si="47">U142+V142+W142</f>
        <v>10685</v>
      </c>
      <c r="Y142" s="187">
        <f t="shared" ref="Y142:Y143" si="48">ROUND(X142*10%,0)</f>
        <v>1069</v>
      </c>
      <c r="Z142" s="187">
        <v>2000</v>
      </c>
      <c r="AA142" s="188">
        <f t="shared" ref="AA142:AA143" si="49">Z142-Y142</f>
        <v>931</v>
      </c>
      <c r="AB142" s="189">
        <v>40269</v>
      </c>
      <c r="AC142" s="189">
        <v>40298</v>
      </c>
      <c r="AD142" s="150" t="s">
        <v>98</v>
      </c>
      <c r="AE142" s="148" t="s">
        <v>449</v>
      </c>
      <c r="AF142" s="148" t="s">
        <v>404</v>
      </c>
      <c r="AG142" s="2"/>
      <c r="AH142" s="2"/>
      <c r="AI142" s="2"/>
      <c r="AJ142" s="2"/>
    </row>
    <row r="143" spans="1:39" ht="18" customHeight="1">
      <c r="A143" s="262" t="s">
        <v>116</v>
      </c>
      <c r="B143" s="208">
        <f>Y144</f>
        <v>1069</v>
      </c>
      <c r="C143" s="208">
        <f>Y143</f>
        <v>19959</v>
      </c>
      <c r="D143" s="208">
        <f t="shared" ref="D143:E154" si="50">B143</f>
        <v>1069</v>
      </c>
      <c r="E143" s="208">
        <f t="shared" si="50"/>
        <v>19959</v>
      </c>
      <c r="F143" s="208">
        <v>0</v>
      </c>
      <c r="G143" s="208">
        <f t="shared" si="46"/>
        <v>42056</v>
      </c>
      <c r="H143" s="208">
        <v>0</v>
      </c>
      <c r="I143" s="208">
        <f>(I142+B143+C143+F143)-H143</f>
        <v>65910</v>
      </c>
      <c r="J143" s="208">
        <f>(J142+D143+E143)</f>
        <v>22097</v>
      </c>
      <c r="K143" s="208">
        <f t="shared" ref="K143:K154" si="51">(K142+G143)-H143</f>
        <v>88007</v>
      </c>
      <c r="L143" s="208">
        <f t="shared" ref="L143:M154" si="52">ROUND((I143*8/100)/12,0)</f>
        <v>439</v>
      </c>
      <c r="M143" s="208">
        <f t="shared" si="52"/>
        <v>147</v>
      </c>
      <c r="N143" s="208">
        <f t="shared" ref="N143:N154" si="53">L143+M143</f>
        <v>586</v>
      </c>
      <c r="O143" s="210"/>
      <c r="Q143" s="184">
        <v>15</v>
      </c>
      <c r="R143" s="185">
        <v>15</v>
      </c>
      <c r="S143" s="185">
        <v>1377</v>
      </c>
      <c r="T143" s="186">
        <v>40309</v>
      </c>
      <c r="U143" s="187">
        <v>90350</v>
      </c>
      <c r="V143" s="187">
        <v>45180</v>
      </c>
      <c r="W143" s="187">
        <v>64057</v>
      </c>
      <c r="X143" s="187">
        <f t="shared" si="47"/>
        <v>199587</v>
      </c>
      <c r="Y143" s="187">
        <f t="shared" si="48"/>
        <v>19959</v>
      </c>
      <c r="Z143" s="187">
        <v>0</v>
      </c>
      <c r="AA143" s="188">
        <f t="shared" si="49"/>
        <v>-19959</v>
      </c>
      <c r="AB143" s="189">
        <v>39239</v>
      </c>
      <c r="AC143" s="189">
        <v>39903</v>
      </c>
      <c r="AD143" s="150" t="s">
        <v>74</v>
      </c>
      <c r="AE143" s="148" t="s">
        <v>458</v>
      </c>
      <c r="AF143" s="148" t="s">
        <v>403</v>
      </c>
      <c r="AG143" s="2"/>
      <c r="AH143" s="2"/>
      <c r="AI143" s="2"/>
      <c r="AJ143" s="2"/>
    </row>
    <row r="144" spans="1:39" ht="18" customHeight="1">
      <c r="A144" s="262"/>
      <c r="B144" s="214"/>
      <c r="C144" s="214"/>
      <c r="D144" s="214"/>
      <c r="E144" s="214"/>
      <c r="F144" s="214"/>
      <c r="G144" s="214"/>
      <c r="H144" s="214"/>
      <c r="I144" s="214"/>
      <c r="J144" s="214"/>
      <c r="K144" s="214"/>
      <c r="L144" s="214"/>
      <c r="M144" s="214"/>
      <c r="N144" s="214"/>
      <c r="O144" s="210"/>
      <c r="Q144" s="184">
        <v>20</v>
      </c>
      <c r="R144" s="185">
        <v>20</v>
      </c>
      <c r="S144" s="185">
        <v>1949</v>
      </c>
      <c r="T144" s="186">
        <v>40329</v>
      </c>
      <c r="U144" s="187">
        <v>4625</v>
      </c>
      <c r="V144" s="187">
        <v>2313</v>
      </c>
      <c r="W144" s="187">
        <v>3747</v>
      </c>
      <c r="X144" s="187">
        <v>10685</v>
      </c>
      <c r="Y144" s="187">
        <v>1069</v>
      </c>
      <c r="Z144" s="187">
        <v>2000</v>
      </c>
      <c r="AA144" s="188">
        <v>931</v>
      </c>
      <c r="AB144" s="189">
        <v>40299</v>
      </c>
      <c r="AC144" s="189">
        <v>40329</v>
      </c>
      <c r="AD144" s="150" t="s">
        <v>98</v>
      </c>
      <c r="AE144" s="148" t="s">
        <v>450</v>
      </c>
      <c r="AF144" s="148" t="s">
        <v>404</v>
      </c>
      <c r="AG144" s="2"/>
      <c r="AH144" s="2"/>
      <c r="AI144" s="2"/>
      <c r="AJ144" s="2"/>
    </row>
    <row r="145" spans="1:36" ht="18" customHeight="1">
      <c r="A145" s="42" t="s">
        <v>117</v>
      </c>
      <c r="B145" s="20">
        <f>Y145</f>
        <v>1069</v>
      </c>
      <c r="C145" s="20">
        <v>0</v>
      </c>
      <c r="D145" s="20">
        <f t="shared" si="50"/>
        <v>1069</v>
      </c>
      <c r="E145" s="20">
        <f t="shared" si="50"/>
        <v>0</v>
      </c>
      <c r="F145" s="20">
        <v>0</v>
      </c>
      <c r="G145" s="20">
        <f t="shared" si="46"/>
        <v>2138</v>
      </c>
      <c r="H145" s="20">
        <v>0</v>
      </c>
      <c r="I145" s="20">
        <f t="shared" ref="I145:I154" si="54">(I144+B145+C145+F145)-H145</f>
        <v>1069</v>
      </c>
      <c r="J145" s="20">
        <f t="shared" ref="J145:J154" si="55">(J144+D145+E145)</f>
        <v>1069</v>
      </c>
      <c r="K145" s="20">
        <f t="shared" si="51"/>
        <v>2138</v>
      </c>
      <c r="L145" s="20">
        <f t="shared" si="52"/>
        <v>7</v>
      </c>
      <c r="M145" s="20">
        <f t="shared" si="52"/>
        <v>7</v>
      </c>
      <c r="N145" s="20">
        <f t="shared" si="53"/>
        <v>14</v>
      </c>
      <c r="O145" s="210"/>
      <c r="Q145" s="184">
        <v>30</v>
      </c>
      <c r="R145" s="185">
        <v>30</v>
      </c>
      <c r="S145" s="185">
        <v>3147</v>
      </c>
      <c r="T145" s="186">
        <v>40359</v>
      </c>
      <c r="U145" s="187">
        <v>4625</v>
      </c>
      <c r="V145" s="187">
        <v>2313</v>
      </c>
      <c r="W145" s="187">
        <v>3747</v>
      </c>
      <c r="X145" s="187">
        <f t="shared" ref="X145:X154" si="56">U145+V145+W145</f>
        <v>10685</v>
      </c>
      <c r="Y145" s="187">
        <f t="shared" ref="Y145:Y154" si="57">ROUND(X145*10%,0)</f>
        <v>1069</v>
      </c>
      <c r="Z145" s="187">
        <v>2000</v>
      </c>
      <c r="AA145" s="188">
        <f t="shared" ref="AA145:AA154" si="58">Z145-Y145</f>
        <v>931</v>
      </c>
      <c r="AB145" s="189">
        <v>40330</v>
      </c>
      <c r="AC145" s="189">
        <v>40359</v>
      </c>
      <c r="AD145" s="150" t="s">
        <v>98</v>
      </c>
      <c r="AE145" s="148" t="s">
        <v>451</v>
      </c>
      <c r="AF145" s="148" t="s">
        <v>404</v>
      </c>
      <c r="AG145" s="2"/>
      <c r="AH145" s="2"/>
      <c r="AI145" s="2"/>
      <c r="AJ145" s="2"/>
    </row>
    <row r="146" spans="1:36" ht="18" customHeight="1">
      <c r="A146" s="42" t="s">
        <v>118</v>
      </c>
      <c r="B146" s="20">
        <f t="shared" ref="B146:B154" si="59">Y146</f>
        <v>1069</v>
      </c>
      <c r="C146" s="20">
        <v>0</v>
      </c>
      <c r="D146" s="20">
        <f t="shared" si="50"/>
        <v>1069</v>
      </c>
      <c r="E146" s="20">
        <f t="shared" si="50"/>
        <v>0</v>
      </c>
      <c r="F146" s="20">
        <v>0</v>
      </c>
      <c r="G146" s="20">
        <f t="shared" si="46"/>
        <v>2138</v>
      </c>
      <c r="H146" s="20">
        <v>0</v>
      </c>
      <c r="I146" s="20">
        <f t="shared" si="54"/>
        <v>2138</v>
      </c>
      <c r="J146" s="20">
        <f t="shared" si="55"/>
        <v>2138</v>
      </c>
      <c r="K146" s="20">
        <f t="shared" si="51"/>
        <v>4276</v>
      </c>
      <c r="L146" s="20">
        <f t="shared" si="52"/>
        <v>14</v>
      </c>
      <c r="M146" s="20">
        <f t="shared" si="52"/>
        <v>14</v>
      </c>
      <c r="N146" s="20">
        <f t="shared" si="53"/>
        <v>28</v>
      </c>
      <c r="O146" s="210"/>
      <c r="Q146" s="184">
        <v>43</v>
      </c>
      <c r="R146" s="185">
        <v>43</v>
      </c>
      <c r="S146" s="185">
        <v>4558</v>
      </c>
      <c r="T146" s="186">
        <v>40390</v>
      </c>
      <c r="U146" s="187">
        <v>4625</v>
      </c>
      <c r="V146" s="187">
        <v>2313</v>
      </c>
      <c r="W146" s="187">
        <v>3747</v>
      </c>
      <c r="X146" s="187">
        <f t="shared" si="56"/>
        <v>10685</v>
      </c>
      <c r="Y146" s="187">
        <f t="shared" si="57"/>
        <v>1069</v>
      </c>
      <c r="Z146" s="187">
        <v>2000</v>
      </c>
      <c r="AA146" s="188">
        <f t="shared" si="58"/>
        <v>931</v>
      </c>
      <c r="AB146" s="189">
        <v>40360</v>
      </c>
      <c r="AC146" s="189">
        <v>40390</v>
      </c>
      <c r="AD146" s="150" t="s">
        <v>98</v>
      </c>
      <c r="AE146" s="148" t="s">
        <v>452</v>
      </c>
      <c r="AF146" s="148" t="s">
        <v>404</v>
      </c>
      <c r="AG146" s="2"/>
      <c r="AH146" s="2"/>
      <c r="AI146" s="2"/>
      <c r="AJ146" s="2"/>
    </row>
    <row r="147" spans="1:36" ht="18" customHeight="1">
      <c r="A147" s="42" t="s">
        <v>119</v>
      </c>
      <c r="B147" s="20">
        <f t="shared" si="59"/>
        <v>1069</v>
      </c>
      <c r="C147" s="20">
        <v>0</v>
      </c>
      <c r="D147" s="20">
        <f t="shared" si="50"/>
        <v>1069</v>
      </c>
      <c r="E147" s="20">
        <f t="shared" si="50"/>
        <v>0</v>
      </c>
      <c r="F147" s="20">
        <v>0</v>
      </c>
      <c r="G147" s="20">
        <f t="shared" si="46"/>
        <v>2138</v>
      </c>
      <c r="H147" s="20">
        <v>0</v>
      </c>
      <c r="I147" s="20">
        <f t="shared" si="54"/>
        <v>3207</v>
      </c>
      <c r="J147" s="20">
        <f t="shared" si="55"/>
        <v>3207</v>
      </c>
      <c r="K147" s="20">
        <f t="shared" si="51"/>
        <v>6414</v>
      </c>
      <c r="L147" s="20">
        <f t="shared" si="52"/>
        <v>21</v>
      </c>
      <c r="M147" s="20">
        <f t="shared" si="52"/>
        <v>21</v>
      </c>
      <c r="N147" s="20">
        <f t="shared" si="53"/>
        <v>42</v>
      </c>
      <c r="O147" s="210"/>
      <c r="Q147" s="184">
        <v>53</v>
      </c>
      <c r="R147" s="185">
        <v>53</v>
      </c>
      <c r="S147" s="185">
        <v>5687</v>
      </c>
      <c r="T147" s="186">
        <v>40421</v>
      </c>
      <c r="U147" s="187">
        <v>4625</v>
      </c>
      <c r="V147" s="187">
        <v>2313</v>
      </c>
      <c r="W147" s="187">
        <v>3747</v>
      </c>
      <c r="X147" s="187">
        <f t="shared" si="56"/>
        <v>10685</v>
      </c>
      <c r="Y147" s="187">
        <f t="shared" si="57"/>
        <v>1069</v>
      </c>
      <c r="Z147" s="187">
        <v>2000</v>
      </c>
      <c r="AA147" s="188">
        <f t="shared" si="58"/>
        <v>931</v>
      </c>
      <c r="AB147" s="189">
        <v>40391</v>
      </c>
      <c r="AC147" s="189">
        <v>40421</v>
      </c>
      <c r="AD147" s="150" t="s">
        <v>98</v>
      </c>
      <c r="AE147" s="148" t="s">
        <v>453</v>
      </c>
      <c r="AF147" s="148" t="s">
        <v>404</v>
      </c>
      <c r="AG147" s="2"/>
      <c r="AH147" s="2"/>
      <c r="AI147" s="2"/>
      <c r="AJ147" s="2"/>
    </row>
    <row r="148" spans="1:36" ht="18" customHeight="1">
      <c r="A148" s="42" t="s">
        <v>120</v>
      </c>
      <c r="B148" s="20">
        <f t="shared" si="59"/>
        <v>1069</v>
      </c>
      <c r="C148" s="20">
        <v>0</v>
      </c>
      <c r="D148" s="20">
        <f t="shared" si="50"/>
        <v>1069</v>
      </c>
      <c r="E148" s="20">
        <f t="shared" si="50"/>
        <v>0</v>
      </c>
      <c r="F148" s="20">
        <v>0</v>
      </c>
      <c r="G148" s="20">
        <f t="shared" si="46"/>
        <v>2138</v>
      </c>
      <c r="H148" s="20">
        <v>0</v>
      </c>
      <c r="I148" s="20">
        <f t="shared" si="54"/>
        <v>4276</v>
      </c>
      <c r="J148" s="20">
        <f t="shared" si="55"/>
        <v>4276</v>
      </c>
      <c r="K148" s="20">
        <f t="shared" si="51"/>
        <v>8552</v>
      </c>
      <c r="L148" s="20">
        <f t="shared" si="52"/>
        <v>29</v>
      </c>
      <c r="M148" s="20">
        <f t="shared" si="52"/>
        <v>29</v>
      </c>
      <c r="N148" s="20">
        <f t="shared" si="53"/>
        <v>58</v>
      </c>
      <c r="O148" s="210"/>
      <c r="Q148" s="184">
        <v>64</v>
      </c>
      <c r="R148" s="185">
        <v>64</v>
      </c>
      <c r="S148" s="185">
        <v>6963</v>
      </c>
      <c r="T148" s="186">
        <v>40451</v>
      </c>
      <c r="U148" s="187">
        <v>4625</v>
      </c>
      <c r="V148" s="187">
        <v>2313</v>
      </c>
      <c r="W148" s="187">
        <v>3747</v>
      </c>
      <c r="X148" s="187">
        <f t="shared" si="56"/>
        <v>10685</v>
      </c>
      <c r="Y148" s="187">
        <f t="shared" si="57"/>
        <v>1069</v>
      </c>
      <c r="Z148" s="187">
        <v>2000</v>
      </c>
      <c r="AA148" s="188">
        <f t="shared" si="58"/>
        <v>931</v>
      </c>
      <c r="AB148" s="189">
        <v>40422</v>
      </c>
      <c r="AC148" s="189">
        <v>40451</v>
      </c>
      <c r="AD148" s="150" t="s">
        <v>98</v>
      </c>
      <c r="AE148" s="148" t="s">
        <v>454</v>
      </c>
      <c r="AF148" s="148" t="s">
        <v>404</v>
      </c>
      <c r="AG148" s="2"/>
      <c r="AH148" s="2"/>
      <c r="AI148" s="2"/>
      <c r="AJ148" s="2"/>
    </row>
    <row r="149" spans="1:36" ht="18" customHeight="1">
      <c r="A149" s="42" t="s">
        <v>121</v>
      </c>
      <c r="B149" s="20">
        <f t="shared" si="59"/>
        <v>1069</v>
      </c>
      <c r="C149" s="20">
        <v>0</v>
      </c>
      <c r="D149" s="20">
        <f t="shared" si="50"/>
        <v>1069</v>
      </c>
      <c r="E149" s="20">
        <f t="shared" si="50"/>
        <v>0</v>
      </c>
      <c r="F149" s="20">
        <v>0</v>
      </c>
      <c r="G149" s="20">
        <f t="shared" si="46"/>
        <v>2138</v>
      </c>
      <c r="H149" s="20">
        <v>0</v>
      </c>
      <c r="I149" s="20">
        <f t="shared" si="54"/>
        <v>5345</v>
      </c>
      <c r="J149" s="20">
        <f t="shared" si="55"/>
        <v>5345</v>
      </c>
      <c r="K149" s="20">
        <f t="shared" si="51"/>
        <v>10690</v>
      </c>
      <c r="L149" s="20">
        <f t="shared" si="52"/>
        <v>36</v>
      </c>
      <c r="M149" s="20">
        <f t="shared" si="52"/>
        <v>36</v>
      </c>
      <c r="N149" s="20">
        <f t="shared" si="53"/>
        <v>72</v>
      </c>
      <c r="O149" s="210"/>
      <c r="Q149" s="184">
        <v>80</v>
      </c>
      <c r="R149" s="185">
        <v>80</v>
      </c>
      <c r="S149" s="185">
        <v>8605</v>
      </c>
      <c r="T149" s="186">
        <v>40480</v>
      </c>
      <c r="U149" s="187">
        <v>4625</v>
      </c>
      <c r="V149" s="187">
        <v>2313</v>
      </c>
      <c r="W149" s="187">
        <v>3747</v>
      </c>
      <c r="X149" s="187">
        <f t="shared" si="56"/>
        <v>10685</v>
      </c>
      <c r="Y149" s="187">
        <f t="shared" si="57"/>
        <v>1069</v>
      </c>
      <c r="Z149" s="187">
        <v>2000</v>
      </c>
      <c r="AA149" s="188">
        <f t="shared" si="58"/>
        <v>931</v>
      </c>
      <c r="AB149" s="189">
        <v>40452</v>
      </c>
      <c r="AC149" s="189">
        <v>40482</v>
      </c>
      <c r="AD149" s="150" t="s">
        <v>98</v>
      </c>
      <c r="AE149" s="148" t="s">
        <v>455</v>
      </c>
      <c r="AF149" s="148" t="s">
        <v>404</v>
      </c>
      <c r="AG149" s="2"/>
      <c r="AH149" s="2"/>
      <c r="AI149" s="2"/>
      <c r="AJ149" s="2"/>
    </row>
    <row r="150" spans="1:36" ht="18" customHeight="1">
      <c r="A150" s="42" t="s">
        <v>122</v>
      </c>
      <c r="B150" s="20">
        <f t="shared" si="59"/>
        <v>1069</v>
      </c>
      <c r="C150" s="20">
        <v>0</v>
      </c>
      <c r="D150" s="20">
        <f t="shared" si="50"/>
        <v>1069</v>
      </c>
      <c r="E150" s="20">
        <f t="shared" si="50"/>
        <v>0</v>
      </c>
      <c r="F150" s="20">
        <v>0</v>
      </c>
      <c r="G150" s="20">
        <f t="shared" si="46"/>
        <v>2138</v>
      </c>
      <c r="H150" s="20">
        <v>0</v>
      </c>
      <c r="I150" s="20">
        <f t="shared" si="54"/>
        <v>6414</v>
      </c>
      <c r="J150" s="20">
        <f t="shared" si="55"/>
        <v>6414</v>
      </c>
      <c r="K150" s="20">
        <f t="shared" si="51"/>
        <v>12828</v>
      </c>
      <c r="L150" s="20">
        <f t="shared" si="52"/>
        <v>43</v>
      </c>
      <c r="M150" s="20">
        <f t="shared" si="52"/>
        <v>43</v>
      </c>
      <c r="N150" s="20">
        <f t="shared" si="53"/>
        <v>86</v>
      </c>
      <c r="O150" s="210"/>
      <c r="Q150" s="184">
        <v>93</v>
      </c>
      <c r="R150" s="185">
        <v>93</v>
      </c>
      <c r="S150" s="185">
        <v>10157</v>
      </c>
      <c r="T150" s="186">
        <v>40511</v>
      </c>
      <c r="U150" s="187">
        <v>4625</v>
      </c>
      <c r="V150" s="187">
        <v>2313</v>
      </c>
      <c r="W150" s="187">
        <v>3747</v>
      </c>
      <c r="X150" s="187">
        <f t="shared" si="56"/>
        <v>10685</v>
      </c>
      <c r="Y150" s="187">
        <f t="shared" si="57"/>
        <v>1069</v>
      </c>
      <c r="Z150" s="187">
        <v>2000</v>
      </c>
      <c r="AA150" s="188">
        <f t="shared" si="58"/>
        <v>931</v>
      </c>
      <c r="AB150" s="189">
        <v>40483</v>
      </c>
      <c r="AC150" s="189">
        <v>40512</v>
      </c>
      <c r="AD150" s="150" t="s">
        <v>98</v>
      </c>
      <c r="AE150" s="148" t="s">
        <v>456</v>
      </c>
      <c r="AF150" s="148" t="s">
        <v>404</v>
      </c>
      <c r="AG150" s="2"/>
      <c r="AH150" s="2"/>
      <c r="AI150" s="2"/>
      <c r="AJ150" s="2"/>
    </row>
    <row r="151" spans="1:36" ht="18" customHeight="1">
      <c r="A151" s="42" t="s">
        <v>123</v>
      </c>
      <c r="B151" s="20">
        <f t="shared" si="59"/>
        <v>1069</v>
      </c>
      <c r="C151" s="20">
        <v>0</v>
      </c>
      <c r="D151" s="20">
        <f t="shared" si="50"/>
        <v>1069</v>
      </c>
      <c r="E151" s="20">
        <f t="shared" si="50"/>
        <v>0</v>
      </c>
      <c r="F151" s="20">
        <v>0</v>
      </c>
      <c r="G151" s="20">
        <f t="shared" si="46"/>
        <v>2138</v>
      </c>
      <c r="H151" s="20">
        <v>0</v>
      </c>
      <c r="I151" s="20">
        <f t="shared" si="54"/>
        <v>7483</v>
      </c>
      <c r="J151" s="20">
        <f t="shared" si="55"/>
        <v>7483</v>
      </c>
      <c r="K151" s="20">
        <f t="shared" si="51"/>
        <v>14966</v>
      </c>
      <c r="L151" s="20">
        <f t="shared" si="52"/>
        <v>50</v>
      </c>
      <c r="M151" s="20">
        <f t="shared" si="52"/>
        <v>50</v>
      </c>
      <c r="N151" s="20">
        <f t="shared" si="53"/>
        <v>100</v>
      </c>
      <c r="O151" s="210"/>
      <c r="Q151" s="184">
        <v>105</v>
      </c>
      <c r="R151" s="185">
        <v>105</v>
      </c>
      <c r="S151" s="185">
        <v>11337</v>
      </c>
      <c r="T151" s="186">
        <v>40543</v>
      </c>
      <c r="U151" s="187">
        <v>4625</v>
      </c>
      <c r="V151" s="187">
        <v>2313</v>
      </c>
      <c r="W151" s="187">
        <v>3747</v>
      </c>
      <c r="X151" s="187">
        <f t="shared" si="56"/>
        <v>10685</v>
      </c>
      <c r="Y151" s="187">
        <f t="shared" si="57"/>
        <v>1069</v>
      </c>
      <c r="Z151" s="187">
        <v>2000</v>
      </c>
      <c r="AA151" s="188">
        <f t="shared" si="58"/>
        <v>931</v>
      </c>
      <c r="AB151" s="189">
        <v>40513</v>
      </c>
      <c r="AC151" s="189">
        <v>40543</v>
      </c>
      <c r="AD151" s="150" t="s">
        <v>98</v>
      </c>
      <c r="AE151" s="148" t="s">
        <v>457</v>
      </c>
      <c r="AF151" s="148" t="s">
        <v>404</v>
      </c>
      <c r="AG151" s="2"/>
      <c r="AH151" s="2"/>
      <c r="AI151" s="2"/>
      <c r="AJ151" s="2"/>
    </row>
    <row r="152" spans="1:36" ht="18" customHeight="1">
      <c r="A152" s="42" t="s">
        <v>124</v>
      </c>
      <c r="B152" s="20">
        <f t="shared" si="59"/>
        <v>1069</v>
      </c>
      <c r="C152" s="20">
        <v>0</v>
      </c>
      <c r="D152" s="20">
        <f t="shared" si="50"/>
        <v>1069</v>
      </c>
      <c r="E152" s="20">
        <f t="shared" si="50"/>
        <v>0</v>
      </c>
      <c r="F152" s="20">
        <v>0</v>
      </c>
      <c r="G152" s="20">
        <f t="shared" si="46"/>
        <v>2138</v>
      </c>
      <c r="H152" s="20">
        <v>0</v>
      </c>
      <c r="I152" s="20">
        <f t="shared" si="54"/>
        <v>8552</v>
      </c>
      <c r="J152" s="20">
        <f t="shared" si="55"/>
        <v>8552</v>
      </c>
      <c r="K152" s="20">
        <f t="shared" si="51"/>
        <v>17104</v>
      </c>
      <c r="L152" s="20">
        <f t="shared" si="52"/>
        <v>57</v>
      </c>
      <c r="M152" s="20">
        <f t="shared" si="52"/>
        <v>57</v>
      </c>
      <c r="N152" s="20">
        <f t="shared" si="53"/>
        <v>114</v>
      </c>
      <c r="O152" s="210"/>
      <c r="Q152" s="184">
        <v>116</v>
      </c>
      <c r="R152" s="185">
        <v>116</v>
      </c>
      <c r="S152" s="185">
        <v>12446</v>
      </c>
      <c r="T152" s="186">
        <v>40572</v>
      </c>
      <c r="U152" s="187">
        <v>4625</v>
      </c>
      <c r="V152" s="187">
        <v>2313</v>
      </c>
      <c r="W152" s="187">
        <v>3747</v>
      </c>
      <c r="X152" s="187">
        <f t="shared" si="56"/>
        <v>10685</v>
      </c>
      <c r="Y152" s="187">
        <f t="shared" si="57"/>
        <v>1069</v>
      </c>
      <c r="Z152" s="187">
        <v>2000</v>
      </c>
      <c r="AA152" s="188">
        <f t="shared" si="58"/>
        <v>931</v>
      </c>
      <c r="AB152" s="189">
        <v>40544</v>
      </c>
      <c r="AC152" s="189">
        <v>40574</v>
      </c>
      <c r="AD152" s="150" t="s">
        <v>98</v>
      </c>
      <c r="AE152" s="148" t="s">
        <v>446</v>
      </c>
      <c r="AF152" s="148" t="s">
        <v>404</v>
      </c>
      <c r="AG152" s="2"/>
      <c r="AH152" s="2"/>
      <c r="AI152" s="2"/>
      <c r="AJ152" s="2"/>
    </row>
    <row r="153" spans="1:36" ht="18" customHeight="1">
      <c r="A153" s="42" t="s">
        <v>125</v>
      </c>
      <c r="B153" s="20">
        <f t="shared" si="59"/>
        <v>1069</v>
      </c>
      <c r="C153" s="20">
        <v>0</v>
      </c>
      <c r="D153" s="20">
        <f t="shared" si="50"/>
        <v>1069</v>
      </c>
      <c r="E153" s="20">
        <f t="shared" si="50"/>
        <v>0</v>
      </c>
      <c r="F153" s="20">
        <v>0</v>
      </c>
      <c r="G153" s="20">
        <f t="shared" si="46"/>
        <v>2138</v>
      </c>
      <c r="H153" s="20">
        <v>0</v>
      </c>
      <c r="I153" s="20">
        <f t="shared" si="54"/>
        <v>9621</v>
      </c>
      <c r="J153" s="20">
        <f t="shared" si="55"/>
        <v>9621</v>
      </c>
      <c r="K153" s="20">
        <f t="shared" si="51"/>
        <v>19242</v>
      </c>
      <c r="L153" s="20">
        <f t="shared" si="52"/>
        <v>64</v>
      </c>
      <c r="M153" s="20">
        <f t="shared" si="52"/>
        <v>64</v>
      </c>
      <c r="N153" s="20">
        <f t="shared" si="53"/>
        <v>128</v>
      </c>
      <c r="O153" s="210"/>
      <c r="Q153" s="184">
        <v>126</v>
      </c>
      <c r="R153" s="185">
        <v>126</v>
      </c>
      <c r="S153" s="185">
        <v>13501</v>
      </c>
      <c r="T153" s="186">
        <v>40602</v>
      </c>
      <c r="U153" s="187">
        <v>4625</v>
      </c>
      <c r="V153" s="187">
        <v>2313</v>
      </c>
      <c r="W153" s="187">
        <v>3747</v>
      </c>
      <c r="X153" s="187">
        <f t="shared" si="56"/>
        <v>10685</v>
      </c>
      <c r="Y153" s="187">
        <f t="shared" si="57"/>
        <v>1069</v>
      </c>
      <c r="Z153" s="187">
        <v>2000</v>
      </c>
      <c r="AA153" s="188">
        <f t="shared" si="58"/>
        <v>931</v>
      </c>
      <c r="AB153" s="189">
        <v>40575</v>
      </c>
      <c r="AC153" s="189">
        <v>40602</v>
      </c>
      <c r="AD153" s="150" t="s">
        <v>98</v>
      </c>
      <c r="AE153" s="148" t="s">
        <v>447</v>
      </c>
      <c r="AF153" s="148" t="s">
        <v>404</v>
      </c>
      <c r="AG153" s="2"/>
      <c r="AH153" s="2"/>
      <c r="AI153" s="2"/>
      <c r="AJ153" s="2"/>
    </row>
    <row r="154" spans="1:36" ht="18" customHeight="1">
      <c r="A154" s="42" t="s">
        <v>126</v>
      </c>
      <c r="B154" s="20">
        <f t="shared" si="59"/>
        <v>1069</v>
      </c>
      <c r="C154" s="20">
        <v>0</v>
      </c>
      <c r="D154" s="20">
        <f t="shared" si="50"/>
        <v>1069</v>
      </c>
      <c r="E154" s="20">
        <f t="shared" si="50"/>
        <v>0</v>
      </c>
      <c r="F154" s="20">
        <v>0</v>
      </c>
      <c r="G154" s="20">
        <f t="shared" si="46"/>
        <v>2138</v>
      </c>
      <c r="H154" s="20">
        <v>0</v>
      </c>
      <c r="I154" s="20">
        <f t="shared" si="54"/>
        <v>10690</v>
      </c>
      <c r="J154" s="20">
        <f t="shared" si="55"/>
        <v>10690</v>
      </c>
      <c r="K154" s="20">
        <f t="shared" si="51"/>
        <v>21380</v>
      </c>
      <c r="L154" s="20">
        <f t="shared" si="52"/>
        <v>71</v>
      </c>
      <c r="M154" s="20">
        <f t="shared" si="52"/>
        <v>71</v>
      </c>
      <c r="N154" s="20">
        <f t="shared" si="53"/>
        <v>142</v>
      </c>
      <c r="O154" s="210"/>
      <c r="Q154" s="184">
        <v>3</v>
      </c>
      <c r="R154" s="185">
        <v>3</v>
      </c>
      <c r="S154" s="185">
        <v>105</v>
      </c>
      <c r="T154" s="186">
        <v>40635</v>
      </c>
      <c r="U154" s="187">
        <v>4625</v>
      </c>
      <c r="V154" s="187">
        <v>2313</v>
      </c>
      <c r="W154" s="187">
        <v>3747</v>
      </c>
      <c r="X154" s="187">
        <f t="shared" si="56"/>
        <v>10685</v>
      </c>
      <c r="Y154" s="187">
        <f t="shared" si="57"/>
        <v>1069</v>
      </c>
      <c r="Z154" s="187">
        <v>2000</v>
      </c>
      <c r="AA154" s="188">
        <f t="shared" si="58"/>
        <v>931</v>
      </c>
      <c r="AB154" s="189">
        <v>40603</v>
      </c>
      <c r="AC154" s="189">
        <v>40633</v>
      </c>
      <c r="AD154" s="150" t="s">
        <v>98</v>
      </c>
      <c r="AE154" s="148" t="s">
        <v>448</v>
      </c>
      <c r="AF154" s="148" t="s">
        <v>404</v>
      </c>
      <c r="AG154" s="2"/>
      <c r="AH154" s="2"/>
      <c r="AI154" s="2"/>
      <c r="AJ154" s="2"/>
    </row>
    <row r="155" spans="1:36" s="12" customFormat="1" ht="18" customHeight="1" thickBot="1">
      <c r="A155" s="43" t="s">
        <v>127</v>
      </c>
      <c r="B155" s="44">
        <f t="shared" ref="B155:M155" si="60">SUM(B142:B154)</f>
        <v>12828</v>
      </c>
      <c r="C155" s="44">
        <f t="shared" si="60"/>
        <v>19959</v>
      </c>
      <c r="D155" s="44">
        <f t="shared" si="60"/>
        <v>12828</v>
      </c>
      <c r="E155" s="44">
        <f t="shared" si="60"/>
        <v>19959</v>
      </c>
      <c r="F155" s="44">
        <f t="shared" si="60"/>
        <v>0</v>
      </c>
      <c r="G155" s="44">
        <f t="shared" si="60"/>
        <v>65574</v>
      </c>
      <c r="H155" s="44">
        <f t="shared" si="60"/>
        <v>0</v>
      </c>
      <c r="I155" s="44">
        <f t="shared" si="60"/>
        <v>169587</v>
      </c>
      <c r="J155" s="44">
        <f t="shared" si="60"/>
        <v>81961</v>
      </c>
      <c r="K155" s="44">
        <f t="shared" si="60"/>
        <v>251548</v>
      </c>
      <c r="L155" s="44">
        <f t="shared" si="60"/>
        <v>1130</v>
      </c>
      <c r="M155" s="44">
        <f t="shared" si="60"/>
        <v>546</v>
      </c>
      <c r="N155" s="44">
        <f>SUM(N142:N154)</f>
        <v>1676</v>
      </c>
      <c r="O155" s="223"/>
      <c r="Q155" s="138"/>
      <c r="R155" s="145"/>
      <c r="S155" s="145"/>
      <c r="T155" s="145" t="s">
        <v>24</v>
      </c>
      <c r="U155" s="146">
        <f t="shared" ref="U155:AA155" si="61">SUM(U142:U154)</f>
        <v>145850</v>
      </c>
      <c r="V155" s="146">
        <f t="shared" si="61"/>
        <v>72936</v>
      </c>
      <c r="W155" s="146">
        <f t="shared" si="61"/>
        <v>109021</v>
      </c>
      <c r="X155" s="146">
        <f t="shared" si="61"/>
        <v>327807</v>
      </c>
      <c r="Y155" s="146">
        <f t="shared" si="61"/>
        <v>32787</v>
      </c>
      <c r="Z155" s="146">
        <f t="shared" si="61"/>
        <v>24000</v>
      </c>
      <c r="AA155" s="146">
        <f t="shared" si="61"/>
        <v>-8787</v>
      </c>
      <c r="AB155" s="145"/>
      <c r="AC155" s="145"/>
      <c r="AD155" s="145"/>
      <c r="AE155" s="77"/>
      <c r="AF155" s="77"/>
    </row>
    <row r="156" spans="1:36" ht="15" thickBot="1">
      <c r="A156" s="5"/>
      <c r="B156" s="5"/>
      <c r="C156" s="5"/>
      <c r="D156" s="5"/>
      <c r="E156" s="5"/>
      <c r="G156" s="5"/>
      <c r="H156" s="5"/>
      <c r="I156" s="5"/>
      <c r="J156" s="5"/>
      <c r="N156" s="21"/>
    </row>
    <row r="157" spans="1:36" ht="21.9" customHeight="1" thickBot="1">
      <c r="A157" s="5"/>
      <c r="B157" s="6"/>
      <c r="C157" s="6"/>
      <c r="D157" s="6"/>
      <c r="E157" s="5"/>
      <c r="F157" s="53">
        <v>1</v>
      </c>
      <c r="G157" s="211" t="s">
        <v>47</v>
      </c>
      <c r="H157" s="212"/>
      <c r="I157" s="212"/>
      <c r="J157" s="212"/>
      <c r="K157" s="213"/>
      <c r="L157" s="54">
        <f>K138</f>
        <v>43813</v>
      </c>
      <c r="M157" s="2"/>
      <c r="O157" s="1"/>
      <c r="S157" s="30"/>
      <c r="T157" s="30"/>
      <c r="Z157" s="1"/>
      <c r="AA157" s="1"/>
    </row>
    <row r="158" spans="1:36" ht="21.9" customHeight="1" thickBot="1">
      <c r="A158" s="5"/>
      <c r="B158" s="6"/>
      <c r="C158" s="6"/>
      <c r="D158" s="6"/>
      <c r="E158" s="5"/>
      <c r="F158" s="53">
        <v>2</v>
      </c>
      <c r="G158" s="211" t="s">
        <v>344</v>
      </c>
      <c r="H158" s="212"/>
      <c r="I158" s="212"/>
      <c r="J158" s="212"/>
      <c r="K158" s="213"/>
      <c r="L158" s="54">
        <f>B155+C155</f>
        <v>32787</v>
      </c>
      <c r="M158" s="2"/>
      <c r="O158" s="1"/>
      <c r="S158" s="30"/>
      <c r="T158" s="30"/>
      <c r="Z158" s="1"/>
      <c r="AA158" s="1"/>
    </row>
    <row r="159" spans="1:36" ht="21.9" customHeight="1" thickBot="1">
      <c r="A159" s="5"/>
      <c r="B159" s="6"/>
      <c r="C159" s="6"/>
      <c r="D159" s="6"/>
      <c r="E159" s="5"/>
      <c r="F159" s="53">
        <v>3</v>
      </c>
      <c r="G159" s="211" t="s">
        <v>345</v>
      </c>
      <c r="H159" s="212"/>
      <c r="I159" s="212"/>
      <c r="J159" s="212"/>
      <c r="K159" s="213"/>
      <c r="L159" s="54">
        <f>F155</f>
        <v>0</v>
      </c>
      <c r="M159" s="2"/>
      <c r="O159" s="1"/>
      <c r="S159" s="30"/>
      <c r="T159" s="30"/>
      <c r="Z159" s="1"/>
      <c r="AA159" s="1"/>
    </row>
    <row r="160" spans="1:36" ht="21.9" customHeight="1" thickBot="1">
      <c r="A160" s="5"/>
      <c r="B160" s="6"/>
      <c r="C160" s="6"/>
      <c r="D160" s="6"/>
      <c r="E160" s="5"/>
      <c r="F160" s="53">
        <v>4</v>
      </c>
      <c r="G160" s="211" t="s">
        <v>346</v>
      </c>
      <c r="H160" s="212"/>
      <c r="I160" s="212"/>
      <c r="J160" s="212"/>
      <c r="K160" s="213"/>
      <c r="L160" s="54">
        <f>L158+L159</f>
        <v>32787</v>
      </c>
      <c r="M160" s="2"/>
      <c r="O160" s="1"/>
      <c r="S160" s="30"/>
      <c r="T160" s="30"/>
      <c r="Z160" s="1"/>
      <c r="AA160" s="1"/>
    </row>
    <row r="161" spans="1:39" ht="21.9" customHeight="1" thickBot="1">
      <c r="A161" s="5"/>
      <c r="B161" s="6"/>
      <c r="C161" s="6"/>
      <c r="D161" s="6"/>
      <c r="E161" s="5"/>
      <c r="F161" s="53">
        <v>5</v>
      </c>
      <c r="G161" s="211" t="s">
        <v>349</v>
      </c>
      <c r="H161" s="212"/>
      <c r="I161" s="212"/>
      <c r="J161" s="212"/>
      <c r="K161" s="213"/>
      <c r="L161" s="54">
        <f>D155+E155</f>
        <v>32787</v>
      </c>
      <c r="M161" s="2"/>
      <c r="O161" s="1"/>
      <c r="S161" s="30"/>
      <c r="T161" s="30"/>
      <c r="Z161" s="1"/>
      <c r="AA161" s="1"/>
    </row>
    <row r="162" spans="1:39" ht="21.9" customHeight="1" thickBot="1">
      <c r="A162" s="5"/>
      <c r="B162" s="5"/>
      <c r="C162" s="5"/>
      <c r="D162" s="5"/>
      <c r="E162" s="5"/>
      <c r="F162" s="53">
        <v>6</v>
      </c>
      <c r="G162" s="211" t="s">
        <v>347</v>
      </c>
      <c r="H162" s="212"/>
      <c r="I162" s="212"/>
      <c r="J162" s="212"/>
      <c r="K162" s="213"/>
      <c r="L162" s="54">
        <f>L157+L160+L161</f>
        <v>109387</v>
      </c>
      <c r="M162" s="2"/>
      <c r="O162" s="1"/>
      <c r="S162" s="30"/>
      <c r="T162" s="30"/>
      <c r="Z162" s="1"/>
      <c r="AA162" s="1"/>
    </row>
    <row r="163" spans="1:39" ht="21.9" customHeight="1" thickBot="1">
      <c r="A163" s="251" t="s">
        <v>512</v>
      </c>
      <c r="B163" s="251"/>
      <c r="C163" s="251"/>
      <c r="D163" s="251"/>
      <c r="E163" s="5"/>
      <c r="F163" s="53">
        <v>7</v>
      </c>
      <c r="G163" s="211" t="s">
        <v>50</v>
      </c>
      <c r="H163" s="212"/>
      <c r="I163" s="212"/>
      <c r="J163" s="212"/>
      <c r="K163" s="213"/>
      <c r="L163" s="54">
        <f>H155</f>
        <v>0</v>
      </c>
      <c r="M163" s="2"/>
      <c r="O163" s="1"/>
      <c r="S163" s="30"/>
      <c r="T163" s="30"/>
      <c r="Z163" s="1"/>
      <c r="AA163" s="1"/>
    </row>
    <row r="164" spans="1:39" ht="21.9" customHeight="1" thickBot="1">
      <c r="A164" s="251"/>
      <c r="B164" s="251"/>
      <c r="C164" s="251"/>
      <c r="D164" s="251"/>
      <c r="E164" s="5"/>
      <c r="F164" s="53">
        <v>8</v>
      </c>
      <c r="G164" s="211" t="s">
        <v>340</v>
      </c>
      <c r="H164" s="212"/>
      <c r="I164" s="212"/>
      <c r="J164" s="212"/>
      <c r="K164" s="213"/>
      <c r="L164" s="54">
        <f>L155</f>
        <v>1130</v>
      </c>
      <c r="M164" s="2"/>
      <c r="O164" s="1"/>
      <c r="S164" s="30"/>
      <c r="T164" s="30"/>
      <c r="Z164" s="1"/>
      <c r="AA164" s="1"/>
    </row>
    <row r="165" spans="1:39" ht="21.9" customHeight="1" thickBot="1">
      <c r="A165" s="251"/>
      <c r="B165" s="251"/>
      <c r="C165" s="251"/>
      <c r="D165" s="251"/>
      <c r="E165" s="5"/>
      <c r="F165" s="53">
        <v>9</v>
      </c>
      <c r="G165" s="211" t="s">
        <v>355</v>
      </c>
      <c r="H165" s="212"/>
      <c r="I165" s="212"/>
      <c r="J165" s="212"/>
      <c r="K165" s="213"/>
      <c r="L165" s="54">
        <f>M155</f>
        <v>546</v>
      </c>
      <c r="M165" s="2"/>
      <c r="O165" s="1"/>
      <c r="S165" s="30"/>
      <c r="T165" s="30"/>
      <c r="Z165" s="1"/>
      <c r="AA165" s="1"/>
    </row>
    <row r="166" spans="1:39" ht="21.9" customHeight="1" thickBot="1">
      <c r="A166" s="251"/>
      <c r="B166" s="251"/>
      <c r="C166" s="251"/>
      <c r="D166" s="251"/>
      <c r="E166" s="5"/>
      <c r="F166" s="53">
        <v>10</v>
      </c>
      <c r="G166" s="211" t="s">
        <v>348</v>
      </c>
      <c r="H166" s="212"/>
      <c r="I166" s="212"/>
      <c r="J166" s="212"/>
      <c r="K166" s="213"/>
      <c r="L166" s="54">
        <f>N155</f>
        <v>1676</v>
      </c>
      <c r="M166" s="2"/>
      <c r="O166" s="1"/>
      <c r="S166" s="30"/>
      <c r="T166" s="30"/>
      <c r="Z166" s="1"/>
      <c r="AA166" s="1"/>
    </row>
    <row r="167" spans="1:39" ht="21.9" customHeight="1" thickBot="1">
      <c r="A167" s="251"/>
      <c r="B167" s="251"/>
      <c r="C167" s="251"/>
      <c r="D167" s="251"/>
      <c r="E167" s="5"/>
      <c r="F167" s="53">
        <v>11</v>
      </c>
      <c r="G167" s="212" t="s">
        <v>474</v>
      </c>
      <c r="H167" s="212"/>
      <c r="I167" s="212"/>
      <c r="J167" s="212"/>
      <c r="K167" s="213"/>
      <c r="L167" s="54">
        <f>L162-L163+L166</f>
        <v>111063</v>
      </c>
      <c r="M167" s="2"/>
      <c r="O167" s="1"/>
      <c r="S167" s="30"/>
      <c r="T167" s="30"/>
      <c r="Z167" s="1"/>
      <c r="AA167" s="1"/>
    </row>
    <row r="168" spans="1:39">
      <c r="A168" s="5"/>
      <c r="B168" s="5"/>
      <c r="C168" s="5"/>
      <c r="D168" s="5"/>
      <c r="E168" s="5"/>
      <c r="F168" s="5"/>
      <c r="G168" s="17"/>
      <c r="H168" s="17"/>
      <c r="I168" s="17"/>
      <c r="J168" s="17"/>
      <c r="K168" s="17"/>
      <c r="L168" s="17"/>
      <c r="M168" s="17"/>
      <c r="N168" s="6"/>
    </row>
    <row r="171" spans="1:39" ht="20.100000000000001" customHeight="1">
      <c r="A171" s="249" t="s">
        <v>53</v>
      </c>
      <c r="B171" s="249"/>
      <c r="C171" s="18"/>
      <c r="D171" s="18"/>
      <c r="E171" s="249" t="s">
        <v>54</v>
      </c>
      <c r="F171" s="249"/>
      <c r="G171" s="249"/>
      <c r="H171" s="250" t="s">
        <v>55</v>
      </c>
      <c r="I171" s="250"/>
      <c r="J171" s="250"/>
      <c r="K171" s="250"/>
      <c r="L171" s="250"/>
      <c r="M171" s="250"/>
      <c r="N171" s="250"/>
    </row>
    <row r="172" spans="1:39" ht="20.100000000000001" customHeight="1">
      <c r="A172" s="261" t="s">
        <v>509</v>
      </c>
      <c r="B172" s="261"/>
      <c r="E172" s="261" t="s">
        <v>510</v>
      </c>
      <c r="F172" s="261"/>
      <c r="G172" s="261"/>
      <c r="H172" s="259" t="s">
        <v>511</v>
      </c>
      <c r="I172" s="259"/>
      <c r="J172" s="259"/>
      <c r="K172" s="259"/>
      <c r="L172" s="259"/>
      <c r="M172" s="259"/>
      <c r="N172" s="259"/>
    </row>
    <row r="173" spans="1:39" ht="16.8">
      <c r="A173" s="18"/>
      <c r="B173" s="18"/>
      <c r="C173" s="18"/>
      <c r="D173" s="18"/>
      <c r="E173" s="18"/>
      <c r="F173" s="18"/>
      <c r="G173" s="19"/>
      <c r="H173" s="19"/>
      <c r="I173" s="19"/>
      <c r="J173" s="19"/>
    </row>
    <row r="174" spans="1:39" ht="18.600000000000001">
      <c r="A174" s="224" t="s">
        <v>0</v>
      </c>
      <c r="B174" s="224"/>
      <c r="C174" s="224"/>
      <c r="D174" s="224"/>
      <c r="E174" s="224"/>
      <c r="F174" s="224"/>
      <c r="G174" s="224"/>
      <c r="H174" s="224"/>
      <c r="I174" s="224"/>
      <c r="J174" s="224"/>
      <c r="K174" s="224"/>
      <c r="L174" s="224"/>
      <c r="M174" s="224"/>
      <c r="N174" s="224"/>
      <c r="O174" s="224"/>
      <c r="AL174" s="22"/>
      <c r="AM174" s="22"/>
    </row>
    <row r="175" spans="1:39" ht="18.600000000000001">
      <c r="A175" s="224" t="s">
        <v>1</v>
      </c>
      <c r="B175" s="224"/>
      <c r="C175" s="224"/>
      <c r="D175" s="224"/>
      <c r="E175" s="224"/>
      <c r="F175" s="224"/>
      <c r="G175" s="224"/>
      <c r="H175" s="224"/>
      <c r="I175" s="224"/>
      <c r="J175" s="224"/>
      <c r="K175" s="224"/>
      <c r="L175" s="224"/>
      <c r="M175" s="224"/>
      <c r="N175" s="224"/>
      <c r="O175" s="224"/>
      <c r="AL175" s="22"/>
      <c r="AM175" s="22"/>
    </row>
    <row r="176" spans="1:39">
      <c r="AL176" s="22"/>
      <c r="AM176" s="22"/>
    </row>
    <row r="177" spans="1:36" ht="15" thickBot="1">
      <c r="A177" s="225" t="s">
        <v>128</v>
      </c>
      <c r="B177" s="225"/>
      <c r="C177" s="225"/>
      <c r="D177" s="225"/>
      <c r="E177" s="225"/>
      <c r="F177" s="225"/>
      <c r="G177" s="225"/>
      <c r="H177" s="225"/>
      <c r="I177" s="225"/>
      <c r="J177" s="225"/>
      <c r="K177" s="225"/>
      <c r="L177" s="225"/>
      <c r="M177" s="225"/>
      <c r="N177" s="225"/>
    </row>
    <row r="178" spans="1:36" ht="36" customHeight="1" thickBot="1">
      <c r="A178" s="55" t="s">
        <v>3</v>
      </c>
      <c r="B178" s="53">
        <f>B134</f>
        <v>9255</v>
      </c>
      <c r="C178" s="5"/>
      <c r="D178" s="5"/>
      <c r="E178" s="211" t="s">
        <v>4</v>
      </c>
      <c r="F178" s="213" t="str">
        <f>F134</f>
        <v>Mahajan Ganesh Trambak</v>
      </c>
      <c r="G178" s="5"/>
      <c r="H178" s="211" t="str">
        <f>H134</f>
        <v>Mahajan Ganesh Trambak</v>
      </c>
      <c r="I178" s="212"/>
      <c r="J178" s="212"/>
      <c r="K178" s="212"/>
      <c r="L178" s="212"/>
      <c r="M178" s="212"/>
      <c r="N178" s="212"/>
      <c r="O178" s="213"/>
    </row>
    <row r="179" spans="1:36" ht="15" thickBo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6"/>
      <c r="L179" s="6"/>
      <c r="M179" s="6"/>
      <c r="N179" s="5"/>
    </row>
    <row r="180" spans="1:36" ht="36" customHeight="1" thickBot="1">
      <c r="A180" s="55" t="s">
        <v>6</v>
      </c>
      <c r="B180" s="55" t="str">
        <f>B136</f>
        <v>06.06.2007</v>
      </c>
      <c r="C180" s="5"/>
      <c r="D180" s="5"/>
      <c r="E180" s="55" t="s">
        <v>7</v>
      </c>
      <c r="F180" s="55"/>
      <c r="G180" s="5"/>
      <c r="H180" s="55" t="s">
        <v>8</v>
      </c>
      <c r="I180" s="211" t="str">
        <f>I136</f>
        <v>Asst. Jr. Engineer</v>
      </c>
      <c r="J180" s="212"/>
      <c r="K180" s="212" t="str">
        <f>K136</f>
        <v>Asst. Jr. Engineer</v>
      </c>
      <c r="L180" s="212"/>
      <c r="M180" s="212"/>
      <c r="N180" s="212"/>
      <c r="O180" s="213"/>
    </row>
    <row r="181" spans="1:36" ht="15" thickBo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6"/>
      <c r="L181" s="6"/>
      <c r="M181" s="6"/>
      <c r="N181" s="5"/>
    </row>
    <row r="182" spans="1:36" ht="24" customHeight="1" thickBot="1">
      <c r="A182" s="55" t="s">
        <v>10</v>
      </c>
      <c r="B182" s="58">
        <v>0.08</v>
      </c>
      <c r="C182" s="5"/>
      <c r="D182" s="5"/>
      <c r="E182" s="55" t="s">
        <v>11</v>
      </c>
      <c r="F182" s="58">
        <v>8.5999999999999993E-2</v>
      </c>
      <c r="G182" s="5"/>
      <c r="H182" s="239" t="s">
        <v>12</v>
      </c>
      <c r="I182" s="240"/>
      <c r="J182" s="241"/>
      <c r="K182" s="242">
        <f>L167</f>
        <v>111063</v>
      </c>
      <c r="L182" s="243"/>
      <c r="M182" s="243"/>
      <c r="N182" s="243"/>
      <c r="O182" s="244"/>
    </row>
    <row r="183" spans="1:36" ht="15" thickBo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6"/>
      <c r="L183" s="6"/>
      <c r="M183" s="6"/>
      <c r="N183" s="5"/>
    </row>
    <row r="184" spans="1:36" ht="39.9" customHeight="1" thickBot="1">
      <c r="A184" s="235" t="s">
        <v>13</v>
      </c>
      <c r="B184" s="256" t="s">
        <v>14</v>
      </c>
      <c r="C184" s="257"/>
      <c r="D184" s="256" t="s">
        <v>349</v>
      </c>
      <c r="E184" s="257"/>
      <c r="F184" s="235" t="s">
        <v>342</v>
      </c>
      <c r="G184" s="235" t="s">
        <v>16</v>
      </c>
      <c r="H184" s="235" t="s">
        <v>17</v>
      </c>
      <c r="I184" s="235" t="s">
        <v>341</v>
      </c>
      <c r="J184" s="235" t="s">
        <v>354</v>
      </c>
      <c r="K184" s="254" t="s">
        <v>353</v>
      </c>
      <c r="L184" s="254" t="s">
        <v>340</v>
      </c>
      <c r="M184" s="254" t="s">
        <v>355</v>
      </c>
      <c r="N184" s="254" t="s">
        <v>343</v>
      </c>
      <c r="O184" s="247" t="s">
        <v>20</v>
      </c>
      <c r="Q184" s="221" t="s">
        <v>27</v>
      </c>
      <c r="R184" s="219" t="s">
        <v>28</v>
      </c>
      <c r="S184" s="219" t="s">
        <v>29</v>
      </c>
      <c r="T184" s="219" t="s">
        <v>30</v>
      </c>
      <c r="U184" s="219" t="s">
        <v>21</v>
      </c>
      <c r="V184" s="219" t="s">
        <v>22</v>
      </c>
      <c r="W184" s="219" t="s">
        <v>23</v>
      </c>
      <c r="X184" s="219" t="s">
        <v>24</v>
      </c>
      <c r="Y184" s="219" t="s">
        <v>356</v>
      </c>
      <c r="Z184" s="219" t="s">
        <v>336</v>
      </c>
      <c r="AA184" s="219" t="s">
        <v>26</v>
      </c>
      <c r="AB184" s="219" t="s">
        <v>31</v>
      </c>
      <c r="AC184" s="219" t="s">
        <v>32</v>
      </c>
      <c r="AD184" s="219" t="s">
        <v>333</v>
      </c>
      <c r="AE184" s="202" t="s">
        <v>417</v>
      </c>
      <c r="AF184" s="202" t="s">
        <v>420</v>
      </c>
      <c r="AG184" s="12"/>
      <c r="AH184" s="12"/>
      <c r="AI184" s="12"/>
      <c r="AJ184" s="12"/>
    </row>
    <row r="185" spans="1:36" ht="39.9" customHeight="1" thickBot="1">
      <c r="A185" s="236"/>
      <c r="B185" s="55" t="s">
        <v>350</v>
      </c>
      <c r="C185" s="55" t="s">
        <v>351</v>
      </c>
      <c r="D185" s="55" t="s">
        <v>350</v>
      </c>
      <c r="E185" s="55" t="s">
        <v>351</v>
      </c>
      <c r="F185" s="236"/>
      <c r="G185" s="236"/>
      <c r="H185" s="236"/>
      <c r="I185" s="236"/>
      <c r="J185" s="236"/>
      <c r="K185" s="255"/>
      <c r="L185" s="255"/>
      <c r="M185" s="255"/>
      <c r="N185" s="255"/>
      <c r="O185" s="248"/>
      <c r="Q185" s="222"/>
      <c r="R185" s="220"/>
      <c r="S185" s="220"/>
      <c r="T185" s="220"/>
      <c r="U185" s="220"/>
      <c r="V185" s="220"/>
      <c r="W185" s="220"/>
      <c r="X185" s="220"/>
      <c r="Y185" s="220"/>
      <c r="Z185" s="220"/>
      <c r="AA185" s="220"/>
      <c r="AB185" s="220"/>
      <c r="AC185" s="220"/>
      <c r="AD185" s="220"/>
      <c r="AE185" s="203"/>
      <c r="AF185" s="203"/>
      <c r="AG185" s="12"/>
      <c r="AH185" s="12"/>
      <c r="AI185" s="12"/>
      <c r="AJ185" s="12"/>
    </row>
    <row r="186" spans="1:36" ht="18" customHeight="1">
      <c r="A186" s="42" t="s">
        <v>129</v>
      </c>
      <c r="B186" s="20">
        <f>Y186</f>
        <v>1069</v>
      </c>
      <c r="C186" s="20">
        <v>0</v>
      </c>
      <c r="D186" s="20">
        <f>B186</f>
        <v>1069</v>
      </c>
      <c r="E186" s="20">
        <f>C186</f>
        <v>0</v>
      </c>
      <c r="F186" s="20">
        <v>0</v>
      </c>
      <c r="G186" s="20">
        <f t="shared" ref="G186:G202" si="62">(B186+C186+F186)+(D186+E186)</f>
        <v>2138</v>
      </c>
      <c r="H186" s="20">
        <v>0</v>
      </c>
      <c r="I186" s="20">
        <f>(K182+B186+C186+F186)-H186</f>
        <v>112132</v>
      </c>
      <c r="J186" s="20">
        <f>(D186+E186)</f>
        <v>1069</v>
      </c>
      <c r="K186" s="20">
        <f>(K182+G186)-H186</f>
        <v>113201</v>
      </c>
      <c r="L186" s="20">
        <f>ROUND((I186*8/100)/12,0)</f>
        <v>748</v>
      </c>
      <c r="M186" s="20">
        <f>ROUND((J186*8/100)/12,0)</f>
        <v>7</v>
      </c>
      <c r="N186" s="20">
        <f>L186+M186</f>
        <v>755</v>
      </c>
      <c r="O186" s="210" t="s">
        <v>34</v>
      </c>
      <c r="Q186" s="184">
        <v>14</v>
      </c>
      <c r="R186" s="185">
        <v>14</v>
      </c>
      <c r="S186" s="185">
        <v>962</v>
      </c>
      <c r="T186" s="186">
        <v>40663</v>
      </c>
      <c r="U186" s="187">
        <v>4625</v>
      </c>
      <c r="V186" s="187">
        <v>2313</v>
      </c>
      <c r="W186" s="187">
        <v>3747</v>
      </c>
      <c r="X186" s="187">
        <f t="shared" ref="X186:X202" si="63">U186+V186+W186</f>
        <v>10685</v>
      </c>
      <c r="Y186" s="187">
        <f t="shared" ref="Y186:Y202" si="64">ROUND(X186*10%,0)</f>
        <v>1069</v>
      </c>
      <c r="Z186" s="187">
        <v>2000</v>
      </c>
      <c r="AA186" s="188">
        <f t="shared" ref="AA186:AA202" si="65">Z186-Y186</f>
        <v>931</v>
      </c>
      <c r="AB186" s="189">
        <v>40634</v>
      </c>
      <c r="AC186" s="189">
        <v>40663</v>
      </c>
      <c r="AD186" s="150" t="s">
        <v>98</v>
      </c>
      <c r="AE186" s="148" t="s">
        <v>461</v>
      </c>
      <c r="AF186" s="148" t="s">
        <v>404</v>
      </c>
      <c r="AG186" s="2"/>
      <c r="AH186" s="2"/>
      <c r="AI186" s="2"/>
      <c r="AJ186" s="2"/>
    </row>
    <row r="187" spans="1:36" ht="18" customHeight="1">
      <c r="A187" s="42" t="s">
        <v>130</v>
      </c>
      <c r="B187" s="20">
        <f t="shared" ref="B187:B202" si="66">Y187</f>
        <v>1069</v>
      </c>
      <c r="C187" s="20">
        <v>0</v>
      </c>
      <c r="D187" s="20">
        <f t="shared" ref="D187:E202" si="67">B187</f>
        <v>1069</v>
      </c>
      <c r="E187" s="20">
        <f t="shared" si="67"/>
        <v>0</v>
      </c>
      <c r="F187" s="20">
        <v>0</v>
      </c>
      <c r="G187" s="20">
        <f t="shared" si="62"/>
        <v>2138</v>
      </c>
      <c r="H187" s="20">
        <v>0</v>
      </c>
      <c r="I187" s="20">
        <f>(I186+B187+C187+F187)-H187</f>
        <v>113201</v>
      </c>
      <c r="J187" s="20">
        <f>(J186+D187+E187)</f>
        <v>2138</v>
      </c>
      <c r="K187" s="20">
        <f>(K186+G187)-H187</f>
        <v>115339</v>
      </c>
      <c r="L187" s="20">
        <f t="shared" ref="L187:M198" si="68">ROUND((I187*8/100)/12,0)</f>
        <v>755</v>
      </c>
      <c r="M187" s="20">
        <f t="shared" si="68"/>
        <v>14</v>
      </c>
      <c r="N187" s="20">
        <f t="shared" ref="N187:N202" si="69">L187+M187</f>
        <v>769</v>
      </c>
      <c r="O187" s="210"/>
      <c r="Q187" s="184">
        <v>29</v>
      </c>
      <c r="R187" s="185">
        <v>29</v>
      </c>
      <c r="S187" s="185">
        <v>2568</v>
      </c>
      <c r="T187" s="186">
        <v>40693</v>
      </c>
      <c r="U187" s="187">
        <v>4625</v>
      </c>
      <c r="V187" s="187">
        <v>2313</v>
      </c>
      <c r="W187" s="187">
        <v>3747</v>
      </c>
      <c r="X187" s="187">
        <f t="shared" si="63"/>
        <v>10685</v>
      </c>
      <c r="Y187" s="187">
        <f t="shared" si="64"/>
        <v>1069</v>
      </c>
      <c r="Z187" s="187">
        <v>837</v>
      </c>
      <c r="AA187" s="188">
        <f t="shared" si="65"/>
        <v>-232</v>
      </c>
      <c r="AB187" s="189">
        <v>40664</v>
      </c>
      <c r="AC187" s="189">
        <v>40693</v>
      </c>
      <c r="AD187" s="150" t="s">
        <v>98</v>
      </c>
      <c r="AE187" s="148" t="s">
        <v>462</v>
      </c>
      <c r="AF187" s="148" t="s">
        <v>404</v>
      </c>
      <c r="AG187" s="2"/>
      <c r="AH187" s="2"/>
      <c r="AI187" s="2"/>
      <c r="AJ187" s="2"/>
    </row>
    <row r="188" spans="1:36" ht="18" customHeight="1">
      <c r="A188" s="42" t="s">
        <v>131</v>
      </c>
      <c r="B188" s="20">
        <f t="shared" si="66"/>
        <v>1069</v>
      </c>
      <c r="C188" s="20">
        <v>0</v>
      </c>
      <c r="D188" s="20">
        <f t="shared" si="67"/>
        <v>1069</v>
      </c>
      <c r="E188" s="20">
        <f t="shared" si="67"/>
        <v>0</v>
      </c>
      <c r="F188" s="20">
        <v>0</v>
      </c>
      <c r="G188" s="20">
        <f t="shared" si="62"/>
        <v>2138</v>
      </c>
      <c r="H188" s="20">
        <v>0</v>
      </c>
      <c r="I188" s="20">
        <f t="shared" ref="I188:I189" si="70">(I187+B188+C188+F188)-H188</f>
        <v>114270</v>
      </c>
      <c r="J188" s="20">
        <f t="shared" ref="J188" si="71">(J187+D188+E188)</f>
        <v>3207</v>
      </c>
      <c r="K188" s="20">
        <f>(K187+G188)-H188</f>
        <v>117477</v>
      </c>
      <c r="L188" s="20">
        <f t="shared" si="68"/>
        <v>762</v>
      </c>
      <c r="M188" s="20">
        <f t="shared" si="68"/>
        <v>21</v>
      </c>
      <c r="N188" s="20">
        <f t="shared" si="69"/>
        <v>783</v>
      </c>
      <c r="O188" s="210"/>
      <c r="Q188" s="184">
        <v>39</v>
      </c>
      <c r="R188" s="185">
        <v>39</v>
      </c>
      <c r="S188" s="185">
        <v>3682</v>
      </c>
      <c r="T188" s="186">
        <v>40723</v>
      </c>
      <c r="U188" s="187">
        <v>4625</v>
      </c>
      <c r="V188" s="187">
        <v>2313</v>
      </c>
      <c r="W188" s="187">
        <v>3747</v>
      </c>
      <c r="X188" s="187">
        <f t="shared" si="63"/>
        <v>10685</v>
      </c>
      <c r="Y188" s="187">
        <f t="shared" si="64"/>
        <v>1069</v>
      </c>
      <c r="Z188" s="187">
        <v>837</v>
      </c>
      <c r="AA188" s="188">
        <f t="shared" si="65"/>
        <v>-232</v>
      </c>
      <c r="AB188" s="189">
        <v>40695</v>
      </c>
      <c r="AC188" s="189">
        <v>40724</v>
      </c>
      <c r="AD188" s="150" t="s">
        <v>98</v>
      </c>
      <c r="AE188" s="148" t="s">
        <v>463</v>
      </c>
      <c r="AF188" s="148" t="s">
        <v>404</v>
      </c>
      <c r="AG188" s="2"/>
      <c r="AH188" s="2"/>
      <c r="AI188" s="2"/>
      <c r="AJ188" s="2"/>
    </row>
    <row r="189" spans="1:36" ht="18" customHeight="1">
      <c r="A189" s="42" t="s">
        <v>132</v>
      </c>
      <c r="B189" s="20">
        <f t="shared" si="66"/>
        <v>1069</v>
      </c>
      <c r="C189" s="20">
        <v>0</v>
      </c>
      <c r="D189" s="20">
        <f t="shared" si="67"/>
        <v>1069</v>
      </c>
      <c r="E189" s="20">
        <f t="shared" si="67"/>
        <v>0</v>
      </c>
      <c r="F189" s="20">
        <v>0</v>
      </c>
      <c r="G189" s="20">
        <f t="shared" si="62"/>
        <v>2138</v>
      </c>
      <c r="H189" s="20">
        <v>0</v>
      </c>
      <c r="I189" s="20">
        <f t="shared" si="70"/>
        <v>115339</v>
      </c>
      <c r="J189" s="20">
        <f>(J188+D189+E189)</f>
        <v>4276</v>
      </c>
      <c r="K189" s="20">
        <f>(K188+G189)-H189</f>
        <v>119615</v>
      </c>
      <c r="L189" s="20">
        <f t="shared" si="68"/>
        <v>769</v>
      </c>
      <c r="M189" s="20">
        <f t="shared" si="68"/>
        <v>29</v>
      </c>
      <c r="N189" s="20">
        <f t="shared" si="69"/>
        <v>798</v>
      </c>
      <c r="O189" s="210"/>
      <c r="Q189" s="184">
        <v>51</v>
      </c>
      <c r="R189" s="185">
        <v>51</v>
      </c>
      <c r="S189" s="185">
        <v>4827</v>
      </c>
      <c r="T189" s="186">
        <v>40754</v>
      </c>
      <c r="U189" s="187">
        <v>4625</v>
      </c>
      <c r="V189" s="187">
        <v>2313</v>
      </c>
      <c r="W189" s="187">
        <v>3747</v>
      </c>
      <c r="X189" s="187">
        <f t="shared" si="63"/>
        <v>10685</v>
      </c>
      <c r="Y189" s="187">
        <f t="shared" si="64"/>
        <v>1069</v>
      </c>
      <c r="Z189" s="187">
        <v>837</v>
      </c>
      <c r="AA189" s="188">
        <f t="shared" si="65"/>
        <v>-232</v>
      </c>
      <c r="AB189" s="189">
        <v>40725</v>
      </c>
      <c r="AC189" s="189">
        <v>40755</v>
      </c>
      <c r="AD189" s="150" t="s">
        <v>98</v>
      </c>
      <c r="AE189" s="148" t="s">
        <v>464</v>
      </c>
      <c r="AF189" s="148" t="s">
        <v>404</v>
      </c>
      <c r="AG189" s="2"/>
      <c r="AH189" s="2"/>
      <c r="AI189" s="2"/>
      <c r="AJ189" s="2"/>
    </row>
    <row r="190" spans="1:36" ht="18" customHeight="1">
      <c r="A190" s="263" t="s">
        <v>133</v>
      </c>
      <c r="B190" s="208">
        <f>Y193</f>
        <v>2439</v>
      </c>
      <c r="C190" s="208">
        <f>Y190+Y191+Y192</f>
        <v>24967</v>
      </c>
      <c r="D190" s="208">
        <f>B190</f>
        <v>2439</v>
      </c>
      <c r="E190" s="208">
        <f>C190</f>
        <v>24967</v>
      </c>
      <c r="F190" s="208">
        <v>0</v>
      </c>
      <c r="G190" s="208">
        <f t="shared" si="62"/>
        <v>54812</v>
      </c>
      <c r="H190" s="208">
        <v>0</v>
      </c>
      <c r="I190" s="208">
        <f>(I189+B190+C190+F190)-H190</f>
        <v>142745</v>
      </c>
      <c r="J190" s="208">
        <f>(J189+D190+E190)</f>
        <v>31682</v>
      </c>
      <c r="K190" s="208">
        <f>(K189+G190)-H190</f>
        <v>174427</v>
      </c>
      <c r="L190" s="208">
        <f>ROUND((I190*8/100)/12,0)</f>
        <v>952</v>
      </c>
      <c r="M190" s="208">
        <f>ROUND((J190*8/100)/12,0)</f>
        <v>211</v>
      </c>
      <c r="N190" s="208">
        <f>L190+M190</f>
        <v>1163</v>
      </c>
      <c r="O190" s="210"/>
      <c r="Q190" s="184">
        <v>60</v>
      </c>
      <c r="R190" s="185">
        <v>60</v>
      </c>
      <c r="S190" s="185">
        <v>5778</v>
      </c>
      <c r="T190" s="186">
        <v>40780</v>
      </c>
      <c r="U190" s="187">
        <v>21250</v>
      </c>
      <c r="V190" s="187">
        <v>10613</v>
      </c>
      <c r="W190" s="187">
        <v>16165</v>
      </c>
      <c r="X190" s="187">
        <f t="shared" si="63"/>
        <v>48028</v>
      </c>
      <c r="Y190" s="187">
        <f t="shared" si="64"/>
        <v>4803</v>
      </c>
      <c r="Z190" s="187">
        <v>0</v>
      </c>
      <c r="AA190" s="187">
        <f t="shared" si="65"/>
        <v>-4803</v>
      </c>
      <c r="AB190" s="189">
        <v>39239</v>
      </c>
      <c r="AC190" s="189">
        <v>40359</v>
      </c>
      <c r="AD190" s="150" t="s">
        <v>74</v>
      </c>
      <c r="AE190" s="148" t="s">
        <v>459</v>
      </c>
      <c r="AF190" s="148" t="s">
        <v>403</v>
      </c>
      <c r="AG190" s="2"/>
      <c r="AH190" s="2"/>
      <c r="AI190" s="2"/>
      <c r="AJ190" s="2"/>
    </row>
    <row r="191" spans="1:36" ht="18" customHeight="1">
      <c r="A191" s="264"/>
      <c r="B191" s="209"/>
      <c r="C191" s="209"/>
      <c r="D191" s="209"/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10"/>
      <c r="Q191" s="184">
        <v>60</v>
      </c>
      <c r="R191" s="185">
        <v>60</v>
      </c>
      <c r="S191" s="185">
        <v>5778</v>
      </c>
      <c r="T191" s="186">
        <v>40780</v>
      </c>
      <c r="U191" s="187">
        <v>32850</v>
      </c>
      <c r="V191" s="187">
        <v>11000</v>
      </c>
      <c r="W191" s="187">
        <v>-2651</v>
      </c>
      <c r="X191" s="187">
        <f t="shared" si="63"/>
        <v>41199</v>
      </c>
      <c r="Y191" s="187">
        <f t="shared" si="64"/>
        <v>4120</v>
      </c>
      <c r="Z191" s="187">
        <v>0</v>
      </c>
      <c r="AA191" s="187">
        <f t="shared" si="65"/>
        <v>-4120</v>
      </c>
      <c r="AB191" s="189">
        <v>39814</v>
      </c>
      <c r="AC191" s="189">
        <v>40117</v>
      </c>
      <c r="AD191" s="150" t="s">
        <v>74</v>
      </c>
      <c r="AE191" s="148" t="s">
        <v>460</v>
      </c>
      <c r="AF191" s="148" t="s">
        <v>403</v>
      </c>
      <c r="AG191" s="2"/>
      <c r="AH191" s="2"/>
      <c r="AI191" s="2"/>
      <c r="AJ191" s="2"/>
    </row>
    <row r="192" spans="1:36" ht="18" customHeight="1">
      <c r="A192" s="264"/>
      <c r="B192" s="209"/>
      <c r="C192" s="209"/>
      <c r="D192" s="209"/>
      <c r="E192" s="209"/>
      <c r="F192" s="209"/>
      <c r="G192" s="209"/>
      <c r="H192" s="209"/>
      <c r="I192" s="209"/>
      <c r="J192" s="209"/>
      <c r="K192" s="209"/>
      <c r="L192" s="209"/>
      <c r="M192" s="209"/>
      <c r="N192" s="209"/>
      <c r="O192" s="210"/>
      <c r="Q192" s="184">
        <v>60</v>
      </c>
      <c r="R192" s="185">
        <v>60</v>
      </c>
      <c r="S192" s="185">
        <v>5778</v>
      </c>
      <c r="T192" s="186">
        <v>40780</v>
      </c>
      <c r="U192" s="187">
        <v>105370</v>
      </c>
      <c r="V192" s="187">
        <v>31500</v>
      </c>
      <c r="W192" s="187">
        <v>23567</v>
      </c>
      <c r="X192" s="187">
        <f t="shared" si="63"/>
        <v>160437</v>
      </c>
      <c r="Y192" s="187">
        <f t="shared" si="64"/>
        <v>16044</v>
      </c>
      <c r="Z192" s="187">
        <v>0</v>
      </c>
      <c r="AA192" s="187">
        <f t="shared" si="65"/>
        <v>-16044</v>
      </c>
      <c r="AB192" s="189">
        <v>40118</v>
      </c>
      <c r="AC192" s="189">
        <v>40755</v>
      </c>
      <c r="AD192" s="150" t="s">
        <v>74</v>
      </c>
      <c r="AE192" s="148" t="s">
        <v>465</v>
      </c>
      <c r="AF192" s="148" t="s">
        <v>403</v>
      </c>
      <c r="AG192" s="2"/>
      <c r="AH192" s="2"/>
      <c r="AI192" s="2"/>
      <c r="AJ192" s="2"/>
    </row>
    <row r="193" spans="1:53" ht="18" customHeight="1">
      <c r="A193" s="265"/>
      <c r="B193" s="214"/>
      <c r="C193" s="214"/>
      <c r="D193" s="214"/>
      <c r="E193" s="214"/>
      <c r="F193" s="214"/>
      <c r="G193" s="214"/>
      <c r="H193" s="214"/>
      <c r="I193" s="214"/>
      <c r="J193" s="214"/>
      <c r="K193" s="214"/>
      <c r="L193" s="214"/>
      <c r="M193" s="214"/>
      <c r="N193" s="214"/>
      <c r="O193" s="210"/>
      <c r="Q193" s="184">
        <v>64</v>
      </c>
      <c r="R193" s="185">
        <v>64</v>
      </c>
      <c r="S193" s="185">
        <v>6096</v>
      </c>
      <c r="T193" s="186">
        <v>40785</v>
      </c>
      <c r="U193" s="187">
        <v>10560</v>
      </c>
      <c r="V193" s="187">
        <v>5280</v>
      </c>
      <c r="W193" s="187">
        <v>8554</v>
      </c>
      <c r="X193" s="187">
        <f t="shared" ref="X193" si="72">U193+V193+W193</f>
        <v>24394</v>
      </c>
      <c r="Y193" s="187">
        <f t="shared" ref="Y193" si="73">ROUND(X193*10%,0)</f>
        <v>2439</v>
      </c>
      <c r="Z193" s="187">
        <v>2331</v>
      </c>
      <c r="AA193" s="188">
        <f t="shared" ref="AA193" si="74">Z193-Y193</f>
        <v>-108</v>
      </c>
      <c r="AB193" s="189">
        <v>44409</v>
      </c>
      <c r="AC193" s="189">
        <v>40786</v>
      </c>
      <c r="AD193" s="150" t="s">
        <v>98</v>
      </c>
      <c r="AE193" s="148" t="s">
        <v>466</v>
      </c>
      <c r="AF193" s="148" t="s">
        <v>404</v>
      </c>
      <c r="AG193" s="2"/>
      <c r="AH193" s="2"/>
      <c r="AI193" s="2"/>
      <c r="AJ193" s="2"/>
    </row>
    <row r="194" spans="1:53" ht="18" customHeight="1">
      <c r="A194" s="42" t="s">
        <v>134</v>
      </c>
      <c r="B194" s="20">
        <f t="shared" si="66"/>
        <v>2439</v>
      </c>
      <c r="C194" s="20">
        <v>0</v>
      </c>
      <c r="D194" s="20">
        <f t="shared" si="67"/>
        <v>2439</v>
      </c>
      <c r="E194" s="20">
        <f t="shared" si="67"/>
        <v>0</v>
      </c>
      <c r="F194" s="20">
        <v>0</v>
      </c>
      <c r="G194" s="20">
        <f t="shared" si="62"/>
        <v>4878</v>
      </c>
      <c r="H194" s="20">
        <v>0</v>
      </c>
      <c r="I194" s="20">
        <f>(I190+B194+C194+F194)-H194</f>
        <v>145184</v>
      </c>
      <c r="J194" s="20">
        <f>(J190+D194+E194)</f>
        <v>34121</v>
      </c>
      <c r="K194" s="20">
        <f>(K190+G194)-H194</f>
        <v>179305</v>
      </c>
      <c r="L194" s="20">
        <f t="shared" si="68"/>
        <v>968</v>
      </c>
      <c r="M194" s="20">
        <f t="shared" si="68"/>
        <v>227</v>
      </c>
      <c r="N194" s="20">
        <f t="shared" si="69"/>
        <v>1195</v>
      </c>
      <c r="O194" s="210"/>
      <c r="Q194" s="130">
        <v>77</v>
      </c>
      <c r="R194" s="131">
        <v>77</v>
      </c>
      <c r="S194" s="131">
        <v>7357</v>
      </c>
      <c r="T194" s="142">
        <v>40816</v>
      </c>
      <c r="U194" s="143">
        <v>10560</v>
      </c>
      <c r="V194" s="143">
        <v>5280</v>
      </c>
      <c r="W194" s="143">
        <v>8554</v>
      </c>
      <c r="X194" s="143">
        <f t="shared" si="63"/>
        <v>24394</v>
      </c>
      <c r="Y194" s="143">
        <f t="shared" si="64"/>
        <v>2439</v>
      </c>
      <c r="Z194" s="143">
        <v>2331</v>
      </c>
      <c r="AA194" s="144">
        <f t="shared" si="65"/>
        <v>-108</v>
      </c>
      <c r="AB194" s="142">
        <v>40787</v>
      </c>
      <c r="AC194" s="142">
        <v>40816</v>
      </c>
      <c r="AD194" s="131" t="s">
        <v>98</v>
      </c>
      <c r="AE194" s="74" t="s">
        <v>467</v>
      </c>
      <c r="AF194" s="74" t="s">
        <v>404</v>
      </c>
      <c r="AG194" s="2"/>
      <c r="AH194" s="2"/>
      <c r="AI194" s="2"/>
      <c r="AJ194" s="2"/>
    </row>
    <row r="195" spans="1:53" ht="18" customHeight="1">
      <c r="A195" s="263" t="s">
        <v>135</v>
      </c>
      <c r="B195" s="208">
        <f>Y197</f>
        <v>2332</v>
      </c>
      <c r="C195" s="208">
        <f>Y195+Y196</f>
        <v>3624</v>
      </c>
      <c r="D195" s="208">
        <f t="shared" si="67"/>
        <v>2332</v>
      </c>
      <c r="E195" s="208">
        <f t="shared" si="67"/>
        <v>3624</v>
      </c>
      <c r="F195" s="208">
        <v>0</v>
      </c>
      <c r="G195" s="208">
        <f t="shared" si="62"/>
        <v>11912</v>
      </c>
      <c r="H195" s="208">
        <v>0</v>
      </c>
      <c r="I195" s="208">
        <f>(I194+B195+C195+F195)-H195</f>
        <v>151140</v>
      </c>
      <c r="J195" s="208">
        <f>(J194+D195+E195)</f>
        <v>40077</v>
      </c>
      <c r="K195" s="208">
        <f>(K194+G195)-H195</f>
        <v>191217</v>
      </c>
      <c r="L195" s="208">
        <f t="shared" si="68"/>
        <v>1008</v>
      </c>
      <c r="M195" s="208">
        <f t="shared" si="68"/>
        <v>267</v>
      </c>
      <c r="N195" s="208">
        <f t="shared" si="69"/>
        <v>1275</v>
      </c>
      <c r="O195" s="210"/>
      <c r="Q195" s="130">
        <v>82</v>
      </c>
      <c r="R195" s="131">
        <v>82</v>
      </c>
      <c r="S195" s="131">
        <v>7996</v>
      </c>
      <c r="T195" s="142">
        <v>40827</v>
      </c>
      <c r="U195" s="147">
        <v>19186</v>
      </c>
      <c r="V195" s="144">
        <v>7262</v>
      </c>
      <c r="W195" s="144">
        <v>-8332.4</v>
      </c>
      <c r="X195" s="144">
        <f t="shared" si="63"/>
        <v>18115.599999999999</v>
      </c>
      <c r="Y195" s="143">
        <f t="shared" si="64"/>
        <v>1812</v>
      </c>
      <c r="Z195" s="143">
        <v>0</v>
      </c>
      <c r="AA195" s="143">
        <f t="shared" si="65"/>
        <v>-1812</v>
      </c>
      <c r="AB195" s="142">
        <v>39904</v>
      </c>
      <c r="AC195" s="142">
        <v>40268</v>
      </c>
      <c r="AD195" s="131" t="s">
        <v>74</v>
      </c>
      <c r="AE195" s="74" t="s">
        <v>432</v>
      </c>
      <c r="AF195" s="74" t="s">
        <v>403</v>
      </c>
      <c r="AG195" s="2"/>
      <c r="AH195" s="2"/>
      <c r="AI195" s="2"/>
      <c r="AJ195" s="2"/>
    </row>
    <row r="196" spans="1:53" ht="18" customHeight="1">
      <c r="A196" s="264"/>
      <c r="B196" s="209"/>
      <c r="C196" s="209"/>
      <c r="D196" s="209"/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10"/>
      <c r="Q196" s="130">
        <v>82</v>
      </c>
      <c r="R196" s="131">
        <v>82</v>
      </c>
      <c r="S196" s="131">
        <v>7997</v>
      </c>
      <c r="T196" s="142">
        <v>40827</v>
      </c>
      <c r="U196" s="147">
        <v>19186</v>
      </c>
      <c r="V196" s="144">
        <v>7262</v>
      </c>
      <c r="W196" s="144">
        <v>-8332.4</v>
      </c>
      <c r="X196" s="144">
        <f t="shared" si="63"/>
        <v>18115.599999999999</v>
      </c>
      <c r="Y196" s="143">
        <f t="shared" si="64"/>
        <v>1812</v>
      </c>
      <c r="Z196" s="143">
        <v>0</v>
      </c>
      <c r="AA196" s="143">
        <f t="shared" si="65"/>
        <v>-1812</v>
      </c>
      <c r="AB196" s="142">
        <v>40269</v>
      </c>
      <c r="AC196" s="142">
        <v>40633</v>
      </c>
      <c r="AD196" s="131" t="s">
        <v>74</v>
      </c>
      <c r="AE196" s="74" t="s">
        <v>433</v>
      </c>
      <c r="AF196" s="74" t="s">
        <v>403</v>
      </c>
      <c r="AG196" s="2"/>
      <c r="AH196" s="2"/>
      <c r="AI196" s="2"/>
      <c r="AJ196" s="2"/>
      <c r="AM196" s="75">
        <v>82</v>
      </c>
      <c r="AN196" s="59">
        <v>82</v>
      </c>
      <c r="AO196" s="59">
        <v>8029</v>
      </c>
      <c r="AP196" s="60">
        <v>40827</v>
      </c>
      <c r="AQ196" s="73">
        <v>2400</v>
      </c>
      <c r="AR196" s="73">
        <v>0</v>
      </c>
      <c r="AS196" s="73">
        <v>0</v>
      </c>
      <c r="AT196" s="73">
        <f>AQ196+AR196+AS196</f>
        <v>2400</v>
      </c>
      <c r="AU196" s="73">
        <f>ROUND(AT196*10%,0)</f>
        <v>240</v>
      </c>
      <c r="AV196" s="73">
        <v>0</v>
      </c>
      <c r="AW196" s="73">
        <f>AV196-AU196</f>
        <v>-240</v>
      </c>
      <c r="AX196" s="60">
        <v>40817</v>
      </c>
      <c r="AY196" s="60">
        <v>40847</v>
      </c>
      <c r="AZ196" s="59" t="s">
        <v>74</v>
      </c>
      <c r="BA196" s="74" t="s">
        <v>419</v>
      </c>
    </row>
    <row r="197" spans="1:53" ht="18" customHeight="1">
      <c r="A197" s="264"/>
      <c r="B197" s="209"/>
      <c r="C197" s="209"/>
      <c r="D197" s="209"/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10"/>
      <c r="Q197" s="130">
        <v>89</v>
      </c>
      <c r="R197" s="131">
        <v>89</v>
      </c>
      <c r="S197" s="131">
        <v>8648</v>
      </c>
      <c r="T197" s="142">
        <v>40833</v>
      </c>
      <c r="U197" s="143">
        <v>10560</v>
      </c>
      <c r="V197" s="143">
        <v>4200</v>
      </c>
      <c r="W197" s="143">
        <v>8561</v>
      </c>
      <c r="X197" s="143">
        <f>U197+V197+W197</f>
        <v>23321</v>
      </c>
      <c r="Y197" s="143">
        <f>ROUND(X197*10%,0)</f>
        <v>2332</v>
      </c>
      <c r="Z197" s="143">
        <v>2332</v>
      </c>
      <c r="AA197" s="144">
        <f>Z197-Y197</f>
        <v>0</v>
      </c>
      <c r="AB197" s="142">
        <v>40817</v>
      </c>
      <c r="AC197" s="142">
        <v>40847</v>
      </c>
      <c r="AD197" s="131" t="s">
        <v>98</v>
      </c>
      <c r="AE197" s="74" t="s">
        <v>471</v>
      </c>
      <c r="AF197" s="74" t="s">
        <v>404</v>
      </c>
      <c r="AG197" s="2"/>
      <c r="AH197" s="2"/>
      <c r="AI197" s="2"/>
      <c r="AJ197" s="2"/>
    </row>
    <row r="198" spans="1:53" ht="18" customHeight="1">
      <c r="A198" s="42" t="s">
        <v>136</v>
      </c>
      <c r="B198" s="20">
        <f t="shared" si="66"/>
        <v>2332</v>
      </c>
      <c r="C198" s="20">
        <v>0</v>
      </c>
      <c r="D198" s="20">
        <f t="shared" si="67"/>
        <v>2332</v>
      </c>
      <c r="E198" s="20">
        <f t="shared" si="67"/>
        <v>0</v>
      </c>
      <c r="F198" s="20">
        <v>0</v>
      </c>
      <c r="G198" s="20">
        <f t="shared" si="62"/>
        <v>4664</v>
      </c>
      <c r="H198" s="20">
        <v>0</v>
      </c>
      <c r="I198" s="20">
        <f>(I195+B198+C198+F198)-H198</f>
        <v>153472</v>
      </c>
      <c r="J198" s="20">
        <f>(J195+D198+E198)</f>
        <v>42409</v>
      </c>
      <c r="K198" s="20">
        <f>(K195+G198)-H198</f>
        <v>195881</v>
      </c>
      <c r="L198" s="20">
        <f t="shared" si="68"/>
        <v>1023</v>
      </c>
      <c r="M198" s="20">
        <f t="shared" si="68"/>
        <v>283</v>
      </c>
      <c r="N198" s="20">
        <f t="shared" si="69"/>
        <v>1306</v>
      </c>
      <c r="O198" s="210"/>
      <c r="Q198" s="130">
        <v>107</v>
      </c>
      <c r="R198" s="131">
        <v>107</v>
      </c>
      <c r="S198" s="131">
        <v>10873</v>
      </c>
      <c r="T198" s="142">
        <v>40877</v>
      </c>
      <c r="U198" s="143">
        <v>10560</v>
      </c>
      <c r="V198" s="143">
        <v>4200</v>
      </c>
      <c r="W198" s="143">
        <v>8561</v>
      </c>
      <c r="X198" s="143">
        <f t="shared" si="63"/>
        <v>23321</v>
      </c>
      <c r="Y198" s="143">
        <f t="shared" si="64"/>
        <v>2332</v>
      </c>
      <c r="Z198" s="143">
        <v>2332</v>
      </c>
      <c r="AA198" s="144">
        <f t="shared" si="65"/>
        <v>0</v>
      </c>
      <c r="AB198" s="142">
        <v>40848</v>
      </c>
      <c r="AC198" s="142">
        <v>40877</v>
      </c>
      <c r="AD198" s="131" t="s">
        <v>98</v>
      </c>
      <c r="AE198" s="74" t="s">
        <v>472</v>
      </c>
      <c r="AF198" s="74" t="s">
        <v>404</v>
      </c>
      <c r="AG198" s="2"/>
      <c r="AH198" s="2"/>
      <c r="AI198" s="2"/>
      <c r="AJ198" s="2"/>
    </row>
    <row r="199" spans="1:53" ht="18" customHeight="1">
      <c r="A199" s="42" t="s">
        <v>137</v>
      </c>
      <c r="B199" s="20">
        <f t="shared" si="66"/>
        <v>2332</v>
      </c>
      <c r="C199" s="20">
        <v>0</v>
      </c>
      <c r="D199" s="20">
        <f t="shared" si="67"/>
        <v>2332</v>
      </c>
      <c r="E199" s="20">
        <f t="shared" si="67"/>
        <v>0</v>
      </c>
      <c r="F199" s="20">
        <v>0</v>
      </c>
      <c r="G199" s="20">
        <f t="shared" si="62"/>
        <v>4664</v>
      </c>
      <c r="H199" s="20">
        <v>0</v>
      </c>
      <c r="I199" s="20">
        <f>(I198+B199+C199+F199)-H199</f>
        <v>155804</v>
      </c>
      <c r="J199" s="20">
        <f>(J198+D199+E199)</f>
        <v>44741</v>
      </c>
      <c r="K199" s="20">
        <f>(K198+G199)-H199</f>
        <v>200545</v>
      </c>
      <c r="L199" s="20">
        <f>ROUND((I199*8.6/100)/12,0)</f>
        <v>1117</v>
      </c>
      <c r="M199" s="20">
        <f>ROUND((J199*8.6/100)/12,0)</f>
        <v>321</v>
      </c>
      <c r="N199" s="20">
        <f t="shared" si="69"/>
        <v>1438</v>
      </c>
      <c r="O199" s="210" t="s">
        <v>138</v>
      </c>
      <c r="Q199" s="130">
        <v>119</v>
      </c>
      <c r="R199" s="131">
        <v>119</v>
      </c>
      <c r="S199" s="131">
        <v>12224</v>
      </c>
      <c r="T199" s="142">
        <v>40907</v>
      </c>
      <c r="U199" s="143">
        <v>10560</v>
      </c>
      <c r="V199" s="143">
        <v>4200</v>
      </c>
      <c r="W199" s="143">
        <v>8561</v>
      </c>
      <c r="X199" s="143">
        <f t="shared" si="63"/>
        <v>23321</v>
      </c>
      <c r="Y199" s="143">
        <f t="shared" si="64"/>
        <v>2332</v>
      </c>
      <c r="Z199" s="143">
        <v>2332</v>
      </c>
      <c r="AA199" s="144">
        <f t="shared" si="65"/>
        <v>0</v>
      </c>
      <c r="AB199" s="142">
        <v>40878</v>
      </c>
      <c r="AC199" s="142">
        <v>40908</v>
      </c>
      <c r="AD199" s="131" t="s">
        <v>98</v>
      </c>
      <c r="AE199" s="74" t="s">
        <v>473</v>
      </c>
      <c r="AF199" s="74" t="s">
        <v>404</v>
      </c>
      <c r="AG199" s="2"/>
      <c r="AH199" s="2"/>
      <c r="AI199" s="2"/>
      <c r="AJ199" s="2"/>
    </row>
    <row r="200" spans="1:53" ht="18" customHeight="1">
      <c r="A200" s="42" t="s">
        <v>139</v>
      </c>
      <c r="B200" s="20">
        <f t="shared" si="66"/>
        <v>2332</v>
      </c>
      <c r="C200" s="20">
        <v>0</v>
      </c>
      <c r="D200" s="20">
        <f t="shared" si="67"/>
        <v>2332</v>
      </c>
      <c r="E200" s="20">
        <f t="shared" si="67"/>
        <v>0</v>
      </c>
      <c r="F200" s="20">
        <v>0</v>
      </c>
      <c r="G200" s="20">
        <f t="shared" si="62"/>
        <v>4664</v>
      </c>
      <c r="H200" s="20">
        <v>0</v>
      </c>
      <c r="I200" s="20">
        <f>(I199+B200+C200+F200)-H200</f>
        <v>158136</v>
      </c>
      <c r="J200" s="20">
        <f>(J199+D200+E200)</f>
        <v>47073</v>
      </c>
      <c r="K200" s="20">
        <f>(K199+G200)-H200</f>
        <v>205209</v>
      </c>
      <c r="L200" s="20">
        <f t="shared" ref="L200:M202" si="75">ROUND((I200*8.6/100)/12,0)</f>
        <v>1133</v>
      </c>
      <c r="M200" s="20">
        <f t="shared" si="75"/>
        <v>337</v>
      </c>
      <c r="N200" s="20">
        <f t="shared" si="69"/>
        <v>1470</v>
      </c>
      <c r="O200" s="210"/>
      <c r="Q200" s="130">
        <v>131</v>
      </c>
      <c r="R200" s="131">
        <v>131</v>
      </c>
      <c r="S200" s="131">
        <v>13549</v>
      </c>
      <c r="T200" s="142">
        <v>40939</v>
      </c>
      <c r="U200" s="143">
        <v>10560</v>
      </c>
      <c r="V200" s="143">
        <v>4200</v>
      </c>
      <c r="W200" s="143">
        <v>8561</v>
      </c>
      <c r="X200" s="143">
        <f t="shared" si="63"/>
        <v>23321</v>
      </c>
      <c r="Y200" s="143">
        <f t="shared" si="64"/>
        <v>2332</v>
      </c>
      <c r="Z200" s="143">
        <v>2332</v>
      </c>
      <c r="AA200" s="144">
        <f t="shared" si="65"/>
        <v>0</v>
      </c>
      <c r="AB200" s="142">
        <v>40909</v>
      </c>
      <c r="AC200" s="142">
        <v>40939</v>
      </c>
      <c r="AD200" s="131" t="s">
        <v>98</v>
      </c>
      <c r="AE200" s="74" t="s">
        <v>468</v>
      </c>
      <c r="AF200" s="74" t="s">
        <v>404</v>
      </c>
      <c r="AG200" s="2"/>
      <c r="AH200" s="2"/>
      <c r="AI200" s="2"/>
      <c r="AJ200" s="2"/>
    </row>
    <row r="201" spans="1:53" ht="18" customHeight="1">
      <c r="A201" s="42" t="s">
        <v>140</v>
      </c>
      <c r="B201" s="20">
        <f t="shared" si="66"/>
        <v>2332</v>
      </c>
      <c r="C201" s="20">
        <v>0</v>
      </c>
      <c r="D201" s="20">
        <f t="shared" si="67"/>
        <v>2332</v>
      </c>
      <c r="E201" s="20">
        <f t="shared" si="67"/>
        <v>0</v>
      </c>
      <c r="F201" s="20">
        <v>0</v>
      </c>
      <c r="G201" s="20">
        <f t="shared" si="62"/>
        <v>4664</v>
      </c>
      <c r="H201" s="20">
        <v>0</v>
      </c>
      <c r="I201" s="20">
        <f>(I200+B201+C201+F201)-H201</f>
        <v>160468</v>
      </c>
      <c r="J201" s="20">
        <f>(J200+D201+E201)</f>
        <v>49405</v>
      </c>
      <c r="K201" s="20">
        <f>(K200+G201)-H201</f>
        <v>209873</v>
      </c>
      <c r="L201" s="20">
        <f t="shared" si="75"/>
        <v>1150</v>
      </c>
      <c r="M201" s="20">
        <f t="shared" si="75"/>
        <v>354</v>
      </c>
      <c r="N201" s="20">
        <f t="shared" si="69"/>
        <v>1504</v>
      </c>
      <c r="O201" s="210"/>
      <c r="Q201" s="130">
        <v>140</v>
      </c>
      <c r="R201" s="131">
        <v>140</v>
      </c>
      <c r="S201" s="131">
        <v>14518</v>
      </c>
      <c r="T201" s="142">
        <v>40968</v>
      </c>
      <c r="U201" s="143">
        <v>10560</v>
      </c>
      <c r="V201" s="143">
        <v>4200</v>
      </c>
      <c r="W201" s="143">
        <v>8561</v>
      </c>
      <c r="X201" s="143">
        <f t="shared" si="63"/>
        <v>23321</v>
      </c>
      <c r="Y201" s="143">
        <f t="shared" si="64"/>
        <v>2332</v>
      </c>
      <c r="Z201" s="143">
        <v>2332</v>
      </c>
      <c r="AA201" s="144">
        <f t="shared" si="65"/>
        <v>0</v>
      </c>
      <c r="AB201" s="142">
        <v>40940</v>
      </c>
      <c r="AC201" s="142">
        <v>40968</v>
      </c>
      <c r="AD201" s="131" t="s">
        <v>98</v>
      </c>
      <c r="AE201" s="74" t="s">
        <v>469</v>
      </c>
      <c r="AF201" s="74" t="s">
        <v>404</v>
      </c>
      <c r="AG201" s="2"/>
      <c r="AH201" s="2"/>
      <c r="AI201" s="2"/>
      <c r="AJ201" s="2"/>
    </row>
    <row r="202" spans="1:53" ht="18" customHeight="1">
      <c r="A202" s="42" t="s">
        <v>141</v>
      </c>
      <c r="B202" s="20">
        <f t="shared" si="66"/>
        <v>2332</v>
      </c>
      <c r="C202" s="20">
        <v>0</v>
      </c>
      <c r="D202" s="20">
        <f t="shared" si="67"/>
        <v>2332</v>
      </c>
      <c r="E202" s="20">
        <f t="shared" si="67"/>
        <v>0</v>
      </c>
      <c r="F202" s="20">
        <v>0</v>
      </c>
      <c r="G202" s="20">
        <f t="shared" si="62"/>
        <v>4664</v>
      </c>
      <c r="H202" s="20">
        <v>0</v>
      </c>
      <c r="I202" s="20">
        <f>(I201+B202+C202+F202)-H202</f>
        <v>162800</v>
      </c>
      <c r="J202" s="20">
        <f>(J201+D202+E202)</f>
        <v>51737</v>
      </c>
      <c r="K202" s="20">
        <f>(K201+G202)-H202</f>
        <v>214537</v>
      </c>
      <c r="L202" s="20">
        <f t="shared" si="75"/>
        <v>1167</v>
      </c>
      <c r="M202" s="20">
        <f t="shared" si="75"/>
        <v>371</v>
      </c>
      <c r="N202" s="20">
        <f t="shared" si="69"/>
        <v>1538</v>
      </c>
      <c r="O202" s="210"/>
      <c r="Q202" s="130">
        <v>3</v>
      </c>
      <c r="R202" s="131">
        <v>3</v>
      </c>
      <c r="S202" s="131">
        <v>102</v>
      </c>
      <c r="T202" s="142">
        <v>41002</v>
      </c>
      <c r="U202" s="143">
        <v>10560</v>
      </c>
      <c r="V202" s="143">
        <v>4200</v>
      </c>
      <c r="W202" s="143">
        <v>8561</v>
      </c>
      <c r="X202" s="143">
        <f t="shared" si="63"/>
        <v>23321</v>
      </c>
      <c r="Y202" s="143">
        <f t="shared" si="64"/>
        <v>2332</v>
      </c>
      <c r="Z202" s="143">
        <v>2332</v>
      </c>
      <c r="AA202" s="144">
        <f t="shared" si="65"/>
        <v>0</v>
      </c>
      <c r="AB202" s="142">
        <v>40969</v>
      </c>
      <c r="AC202" s="142">
        <v>40999</v>
      </c>
      <c r="AD202" s="131" t="s">
        <v>98</v>
      </c>
      <c r="AE202" s="74" t="s">
        <v>470</v>
      </c>
      <c r="AF202" s="74" t="s">
        <v>404</v>
      </c>
      <c r="AG202" s="2"/>
      <c r="AH202" s="2"/>
      <c r="AI202" s="2"/>
      <c r="AJ202" s="2"/>
    </row>
    <row r="203" spans="1:53" s="12" customFormat="1" ht="18" customHeight="1" thickBot="1">
      <c r="A203" s="43" t="s">
        <v>142</v>
      </c>
      <c r="B203" s="44">
        <f t="shared" ref="B203:N203" si="76">SUM(B186:B202)</f>
        <v>23146</v>
      </c>
      <c r="C203" s="44">
        <f t="shared" si="76"/>
        <v>28591</v>
      </c>
      <c r="D203" s="44">
        <f t="shared" si="76"/>
        <v>23146</v>
      </c>
      <c r="E203" s="44">
        <f t="shared" si="76"/>
        <v>28591</v>
      </c>
      <c r="F203" s="44">
        <f t="shared" si="76"/>
        <v>0</v>
      </c>
      <c r="G203" s="44">
        <f t="shared" si="76"/>
        <v>103474</v>
      </c>
      <c r="H203" s="44">
        <f t="shared" si="76"/>
        <v>0</v>
      </c>
      <c r="I203" s="44">
        <f t="shared" si="76"/>
        <v>1684691</v>
      </c>
      <c r="J203" s="44">
        <f t="shared" si="76"/>
        <v>351935</v>
      </c>
      <c r="K203" s="44">
        <f t="shared" si="76"/>
        <v>2036626</v>
      </c>
      <c r="L203" s="44">
        <f t="shared" si="76"/>
        <v>11552</v>
      </c>
      <c r="M203" s="44">
        <f t="shared" si="76"/>
        <v>2442</v>
      </c>
      <c r="N203" s="44">
        <f t="shared" si="76"/>
        <v>13994</v>
      </c>
      <c r="O203" s="70"/>
      <c r="Q203" s="138"/>
      <c r="R203" s="145"/>
      <c r="S203" s="145"/>
      <c r="T203" s="145" t="s">
        <v>24</v>
      </c>
      <c r="U203" s="146">
        <f t="shared" ref="U203:AA203" si="77">SUM(U186:U202)</f>
        <v>300822</v>
      </c>
      <c r="V203" s="146">
        <f t="shared" si="77"/>
        <v>112649</v>
      </c>
      <c r="W203" s="146">
        <f t="shared" si="77"/>
        <v>103878.2</v>
      </c>
      <c r="X203" s="146">
        <f t="shared" si="77"/>
        <v>517349.19999999995</v>
      </c>
      <c r="Y203" s="146">
        <f t="shared" si="77"/>
        <v>51737</v>
      </c>
      <c r="Z203" s="146">
        <f t="shared" si="77"/>
        <v>23165</v>
      </c>
      <c r="AA203" s="146">
        <f t="shared" si="77"/>
        <v>-28572</v>
      </c>
      <c r="AB203" s="145"/>
      <c r="AC203" s="145"/>
      <c r="AD203" s="145"/>
      <c r="AE203" s="77"/>
      <c r="AF203" s="77"/>
    </row>
    <row r="204" spans="1:53" ht="15" thickBot="1">
      <c r="A204" s="5"/>
      <c r="B204" s="5"/>
      <c r="C204" s="5"/>
      <c r="D204" s="5"/>
      <c r="E204" s="5"/>
      <c r="F204" s="6"/>
      <c r="G204" s="5"/>
      <c r="H204" s="5"/>
      <c r="I204" s="5"/>
      <c r="J204" s="5"/>
      <c r="K204" s="6"/>
      <c r="L204" s="6"/>
      <c r="M204" s="6"/>
      <c r="N204" s="5"/>
    </row>
    <row r="205" spans="1:53" ht="21.9" customHeight="1" thickBot="1">
      <c r="A205" s="5"/>
      <c r="B205" s="6"/>
      <c r="C205" s="6"/>
      <c r="D205" s="6"/>
      <c r="E205" s="5"/>
      <c r="F205" s="53">
        <v>1</v>
      </c>
      <c r="G205" s="211" t="s">
        <v>47</v>
      </c>
      <c r="H205" s="212"/>
      <c r="I205" s="212"/>
      <c r="J205" s="212"/>
      <c r="K205" s="213"/>
      <c r="L205" s="54">
        <f>K182</f>
        <v>111063</v>
      </c>
      <c r="M205" s="2"/>
      <c r="O205" s="1"/>
      <c r="S205" s="30"/>
      <c r="T205" s="30"/>
      <c r="Z205" s="1"/>
      <c r="AA205" s="1"/>
    </row>
    <row r="206" spans="1:53" ht="21.9" customHeight="1" thickBot="1">
      <c r="A206" s="5"/>
      <c r="B206" s="5"/>
      <c r="C206" s="5"/>
      <c r="D206" s="5"/>
      <c r="E206" s="5"/>
      <c r="F206" s="53">
        <v>2</v>
      </c>
      <c r="G206" s="211" t="s">
        <v>344</v>
      </c>
      <c r="H206" s="212"/>
      <c r="I206" s="212"/>
      <c r="J206" s="212"/>
      <c r="K206" s="213"/>
      <c r="L206" s="54">
        <f>B203+C203</f>
        <v>51737</v>
      </c>
      <c r="M206" s="2"/>
      <c r="O206" s="1"/>
      <c r="S206" s="30"/>
      <c r="T206" s="30"/>
      <c r="Z206" s="1"/>
      <c r="AA206" s="1"/>
    </row>
    <row r="207" spans="1:53" ht="21.9" customHeight="1" thickBot="1">
      <c r="A207" s="5"/>
      <c r="B207" s="5"/>
      <c r="C207" s="5"/>
      <c r="D207" s="5"/>
      <c r="E207" s="5"/>
      <c r="F207" s="53">
        <v>3</v>
      </c>
      <c r="G207" s="211" t="s">
        <v>345</v>
      </c>
      <c r="H207" s="212"/>
      <c r="I207" s="212"/>
      <c r="J207" s="212"/>
      <c r="K207" s="213"/>
      <c r="L207" s="54">
        <f>F203</f>
        <v>0</v>
      </c>
      <c r="M207" s="2"/>
      <c r="O207" s="1"/>
      <c r="S207" s="30"/>
      <c r="T207" s="30"/>
      <c r="Z207" s="1"/>
      <c r="AA207" s="1"/>
    </row>
    <row r="208" spans="1:53" ht="21.9" customHeight="1" thickBot="1">
      <c r="A208" s="5"/>
      <c r="B208" s="5"/>
      <c r="C208" s="5"/>
      <c r="D208" s="5"/>
      <c r="E208" s="5"/>
      <c r="F208" s="53">
        <v>4</v>
      </c>
      <c r="G208" s="211" t="s">
        <v>346</v>
      </c>
      <c r="H208" s="212"/>
      <c r="I208" s="212"/>
      <c r="J208" s="212"/>
      <c r="K208" s="213"/>
      <c r="L208" s="54">
        <f>L206+L207</f>
        <v>51737</v>
      </c>
      <c r="M208" s="2"/>
      <c r="O208" s="1"/>
      <c r="S208" s="30"/>
      <c r="T208" s="30"/>
      <c r="Z208" s="1"/>
      <c r="AA208" s="1"/>
    </row>
    <row r="209" spans="1:27" ht="21.9" customHeight="1" thickBot="1">
      <c r="A209" s="5"/>
      <c r="B209" s="5"/>
      <c r="C209" s="5"/>
      <c r="D209" s="5"/>
      <c r="E209" s="5"/>
      <c r="F209" s="53">
        <v>5</v>
      </c>
      <c r="G209" s="211" t="s">
        <v>349</v>
      </c>
      <c r="H209" s="212"/>
      <c r="I209" s="212"/>
      <c r="J209" s="212"/>
      <c r="K209" s="213"/>
      <c r="L209" s="54">
        <f>D203+E203</f>
        <v>51737</v>
      </c>
      <c r="M209" s="2"/>
      <c r="O209" s="1"/>
      <c r="S209" s="30"/>
      <c r="T209" s="30"/>
      <c r="Z209" s="1"/>
      <c r="AA209" s="1"/>
    </row>
    <row r="210" spans="1:27" ht="21.9" customHeight="1" thickBot="1">
      <c r="A210" s="5"/>
      <c r="B210" s="5"/>
      <c r="C210" s="5"/>
      <c r="D210" s="5"/>
      <c r="E210" s="5"/>
      <c r="F210" s="53">
        <v>6</v>
      </c>
      <c r="G210" s="211" t="s">
        <v>347</v>
      </c>
      <c r="H210" s="212"/>
      <c r="I210" s="212"/>
      <c r="J210" s="212"/>
      <c r="K210" s="213"/>
      <c r="L210" s="54">
        <f>L205+L208+L209</f>
        <v>214537</v>
      </c>
      <c r="M210" s="2"/>
      <c r="O210" s="1"/>
      <c r="S210" s="30"/>
      <c r="T210" s="30"/>
      <c r="Z210" s="1"/>
      <c r="AA210" s="1"/>
    </row>
    <row r="211" spans="1:27" ht="21.9" customHeight="1" thickBot="1">
      <c r="A211" s="251" t="s">
        <v>512</v>
      </c>
      <c r="B211" s="251"/>
      <c r="C211" s="251"/>
      <c r="D211" s="251"/>
      <c r="E211" s="5"/>
      <c r="F211" s="53">
        <v>7</v>
      </c>
      <c r="G211" s="211" t="s">
        <v>50</v>
      </c>
      <c r="H211" s="212"/>
      <c r="I211" s="212"/>
      <c r="J211" s="212"/>
      <c r="K211" s="213"/>
      <c r="L211" s="54">
        <f>H203</f>
        <v>0</v>
      </c>
      <c r="M211" s="2"/>
      <c r="O211" s="1"/>
      <c r="S211" s="30"/>
      <c r="T211" s="30"/>
      <c r="Z211" s="1"/>
      <c r="AA211" s="1"/>
    </row>
    <row r="212" spans="1:27" ht="21.9" customHeight="1" thickBot="1">
      <c r="A212" s="251"/>
      <c r="B212" s="251"/>
      <c r="C212" s="251"/>
      <c r="D212" s="251"/>
      <c r="E212" s="5"/>
      <c r="F212" s="53">
        <v>8</v>
      </c>
      <c r="G212" s="211" t="s">
        <v>340</v>
      </c>
      <c r="H212" s="212"/>
      <c r="I212" s="212"/>
      <c r="J212" s="212"/>
      <c r="K212" s="213"/>
      <c r="L212" s="54">
        <f>L203</f>
        <v>11552</v>
      </c>
      <c r="M212" s="2"/>
      <c r="O212" s="1"/>
      <c r="S212" s="30"/>
      <c r="T212" s="30"/>
      <c r="Z212" s="1"/>
      <c r="AA212" s="1"/>
    </row>
    <row r="213" spans="1:27" ht="21.9" customHeight="1" thickBot="1">
      <c r="A213" s="251"/>
      <c r="B213" s="251"/>
      <c r="C213" s="251"/>
      <c r="D213" s="251"/>
      <c r="E213" s="5"/>
      <c r="F213" s="53">
        <v>9</v>
      </c>
      <c r="G213" s="211" t="s">
        <v>355</v>
      </c>
      <c r="H213" s="212"/>
      <c r="I213" s="212"/>
      <c r="J213" s="212"/>
      <c r="K213" s="213"/>
      <c r="L213" s="54">
        <f>M203</f>
        <v>2442</v>
      </c>
      <c r="M213" s="2"/>
      <c r="O213" s="1"/>
      <c r="S213" s="30"/>
      <c r="T213" s="30"/>
      <c r="Z213" s="1"/>
      <c r="AA213" s="1"/>
    </row>
    <row r="214" spans="1:27" ht="21.9" customHeight="1" thickBot="1">
      <c r="A214" s="251"/>
      <c r="B214" s="251"/>
      <c r="C214" s="251"/>
      <c r="D214" s="251"/>
      <c r="E214" s="5"/>
      <c r="F214" s="53">
        <v>10</v>
      </c>
      <c r="G214" s="211" t="s">
        <v>348</v>
      </c>
      <c r="H214" s="212"/>
      <c r="I214" s="212"/>
      <c r="J214" s="212"/>
      <c r="K214" s="213"/>
      <c r="L214" s="54">
        <f>N203</f>
        <v>13994</v>
      </c>
      <c r="M214" s="2"/>
      <c r="O214" s="1"/>
      <c r="S214" s="30"/>
      <c r="T214" s="30"/>
      <c r="Z214" s="1"/>
      <c r="AA214" s="1"/>
    </row>
    <row r="215" spans="1:27" ht="21.9" customHeight="1" thickBot="1">
      <c r="A215" s="251"/>
      <c r="B215" s="251"/>
      <c r="C215" s="251"/>
      <c r="D215" s="251"/>
      <c r="E215" s="5"/>
      <c r="F215" s="53">
        <v>11</v>
      </c>
      <c r="G215" s="212" t="s">
        <v>475</v>
      </c>
      <c r="H215" s="212"/>
      <c r="I215" s="212"/>
      <c r="J215" s="212"/>
      <c r="K215" s="213"/>
      <c r="L215" s="54">
        <f>L210-L211+L214</f>
        <v>228531</v>
      </c>
      <c r="M215" s="2"/>
      <c r="O215" s="1"/>
      <c r="S215" s="30"/>
      <c r="T215" s="30"/>
      <c r="Z215" s="1"/>
      <c r="AA215" s="1"/>
    </row>
    <row r="216" spans="1:27">
      <c r="A216" s="5"/>
      <c r="B216" s="5"/>
      <c r="C216" s="5"/>
      <c r="D216" s="5"/>
      <c r="E216" s="5"/>
      <c r="F216" s="5"/>
      <c r="G216" s="17"/>
      <c r="H216" s="17"/>
      <c r="I216" s="17"/>
      <c r="J216" s="17"/>
      <c r="K216" s="17"/>
      <c r="L216" s="17"/>
      <c r="M216" s="17"/>
      <c r="N216" s="6"/>
    </row>
    <row r="218" spans="1:27" ht="20.100000000000001" customHeight="1">
      <c r="A218" s="249" t="s">
        <v>53</v>
      </c>
      <c r="B218" s="249"/>
      <c r="C218" s="18"/>
      <c r="D218" s="18"/>
      <c r="E218" s="249" t="s">
        <v>54</v>
      </c>
      <c r="F218" s="249"/>
      <c r="G218" s="249"/>
      <c r="H218" s="250" t="s">
        <v>55</v>
      </c>
      <c r="I218" s="250"/>
      <c r="J218" s="250"/>
      <c r="K218" s="250"/>
      <c r="L218" s="250"/>
      <c r="M218" s="250"/>
      <c r="N218" s="250"/>
    </row>
    <row r="219" spans="1:27" ht="20.100000000000001" customHeight="1">
      <c r="A219" s="261" t="s">
        <v>509</v>
      </c>
      <c r="B219" s="261"/>
      <c r="E219" s="261" t="s">
        <v>510</v>
      </c>
      <c r="F219" s="261"/>
      <c r="G219" s="261"/>
      <c r="H219" s="259" t="s">
        <v>511</v>
      </c>
      <c r="I219" s="259"/>
      <c r="J219" s="259"/>
      <c r="K219" s="259"/>
      <c r="L219" s="259"/>
      <c r="M219" s="259"/>
      <c r="N219" s="259"/>
    </row>
    <row r="220" spans="1:27" ht="18.600000000000001">
      <c r="A220" s="224" t="s">
        <v>0</v>
      </c>
      <c r="B220" s="224"/>
      <c r="C220" s="224"/>
      <c r="D220" s="224"/>
      <c r="E220" s="224"/>
      <c r="F220" s="224"/>
      <c r="G220" s="224"/>
      <c r="H220" s="224"/>
      <c r="I220" s="224"/>
      <c r="J220" s="224"/>
      <c r="K220" s="224"/>
      <c r="L220" s="224"/>
      <c r="M220" s="224"/>
      <c r="N220" s="224"/>
      <c r="O220" s="224"/>
    </row>
    <row r="221" spans="1:27" ht="18.600000000000001">
      <c r="A221" s="224" t="s">
        <v>1</v>
      </c>
      <c r="B221" s="224"/>
      <c r="C221" s="224"/>
      <c r="D221" s="224"/>
      <c r="E221" s="224"/>
      <c r="F221" s="224"/>
      <c r="G221" s="224"/>
      <c r="H221" s="224"/>
      <c r="I221" s="224"/>
      <c r="J221" s="224"/>
      <c r="K221" s="224"/>
      <c r="L221" s="224"/>
      <c r="M221" s="224"/>
      <c r="N221" s="224"/>
      <c r="O221" s="224"/>
    </row>
    <row r="223" spans="1:27">
      <c r="A223" s="225" t="s">
        <v>143</v>
      </c>
      <c r="B223" s="225"/>
      <c r="C223" s="225"/>
      <c r="D223" s="225"/>
      <c r="E223" s="225"/>
      <c r="F223" s="225"/>
      <c r="G223" s="225"/>
      <c r="H223" s="225"/>
      <c r="I223" s="225"/>
      <c r="J223" s="225"/>
      <c r="K223" s="225"/>
      <c r="L223" s="225"/>
      <c r="M223" s="225"/>
      <c r="N223" s="225"/>
    </row>
    <row r="224" spans="1:27" s="12" customFormat="1" ht="36" customHeight="1">
      <c r="A224" s="3" t="s">
        <v>3</v>
      </c>
      <c r="B224" s="3">
        <f>B190</f>
        <v>2439</v>
      </c>
      <c r="C224" s="3"/>
      <c r="D224" s="3"/>
      <c r="E224" s="3" t="s">
        <v>4</v>
      </c>
      <c r="F224" s="215" t="str">
        <f>F178</f>
        <v>Mahajan Ganesh Trambak</v>
      </c>
      <c r="G224" s="215"/>
      <c r="H224" s="215"/>
      <c r="I224" s="215"/>
      <c r="J224" s="215"/>
      <c r="K224" s="215"/>
      <c r="L224" s="215"/>
      <c r="M224" s="215"/>
      <c r="N224" s="215"/>
      <c r="O224" s="62"/>
      <c r="U224" s="31"/>
      <c r="V224" s="31"/>
      <c r="W224" s="31"/>
      <c r="X224" s="31"/>
      <c r="Y224" s="31"/>
      <c r="Z224" s="31"/>
      <c r="AA224" s="31"/>
    </row>
    <row r="225" spans="1:36" s="12" customForma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63"/>
      <c r="L225" s="63"/>
      <c r="M225" s="63"/>
      <c r="N225" s="17"/>
      <c r="O225" s="62"/>
      <c r="U225" s="31"/>
      <c r="V225" s="31"/>
      <c r="W225" s="31"/>
      <c r="X225" s="31"/>
      <c r="Y225" s="31"/>
      <c r="Z225" s="31"/>
      <c r="AA225" s="31"/>
    </row>
    <row r="226" spans="1:36" s="12" customFormat="1" ht="36" customHeight="1">
      <c r="A226" s="3" t="s">
        <v>6</v>
      </c>
      <c r="B226" s="3">
        <f>B194</f>
        <v>2439</v>
      </c>
      <c r="C226" s="3"/>
      <c r="D226" s="3"/>
      <c r="E226" s="3" t="s">
        <v>7</v>
      </c>
      <c r="F226" s="216"/>
      <c r="G226" s="217"/>
      <c r="H226" s="3" t="s">
        <v>8</v>
      </c>
      <c r="I226" s="3"/>
      <c r="J226" s="3"/>
      <c r="K226" s="218" t="str">
        <f>I180</f>
        <v>Asst. Jr. Engineer</v>
      </c>
      <c r="L226" s="218"/>
      <c r="M226" s="218"/>
      <c r="N226" s="218"/>
      <c r="O226" s="62"/>
      <c r="U226" s="31"/>
      <c r="V226" s="31"/>
      <c r="W226" s="31"/>
      <c r="X226" s="31"/>
      <c r="Y226" s="31"/>
      <c r="Z226" s="31"/>
      <c r="AA226" s="31"/>
    </row>
    <row r="227" spans="1:36" s="12" customForma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63"/>
      <c r="L227" s="63"/>
      <c r="M227" s="63"/>
      <c r="N227" s="17"/>
      <c r="O227" s="62"/>
      <c r="U227" s="31"/>
      <c r="V227" s="31"/>
      <c r="W227" s="31"/>
      <c r="X227" s="31"/>
      <c r="Y227" s="31"/>
      <c r="Z227" s="31"/>
      <c r="AA227" s="31"/>
    </row>
    <row r="228" spans="1:36" s="12" customFormat="1" ht="24" customHeight="1">
      <c r="A228" s="3" t="s">
        <v>10</v>
      </c>
      <c r="B228" s="7">
        <v>0.08</v>
      </c>
      <c r="C228" s="7"/>
      <c r="D228" s="7"/>
      <c r="E228" s="3"/>
      <c r="F228" s="7"/>
      <c r="G228" s="216" t="s">
        <v>12</v>
      </c>
      <c r="H228" s="217"/>
      <c r="I228" s="29"/>
      <c r="J228" s="29"/>
      <c r="K228" s="266">
        <f>L215</f>
        <v>228531</v>
      </c>
      <c r="L228" s="267"/>
      <c r="M228" s="267"/>
      <c r="N228" s="217"/>
      <c r="O228" s="62"/>
      <c r="U228" s="31"/>
      <c r="V228" s="31"/>
      <c r="W228" s="31"/>
      <c r="X228" s="31"/>
      <c r="Y228" s="31"/>
      <c r="Z228" s="31"/>
      <c r="AA228" s="31"/>
    </row>
    <row r="229" spans="1:36" ht="15" thickBo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6"/>
      <c r="L229" s="6"/>
      <c r="M229" s="6"/>
      <c r="N229" s="5"/>
    </row>
    <row r="230" spans="1:36" ht="39.9" customHeight="1" thickBot="1">
      <c r="A230" s="235" t="s">
        <v>13</v>
      </c>
      <c r="B230" s="256" t="s">
        <v>14</v>
      </c>
      <c r="C230" s="257"/>
      <c r="D230" s="256" t="s">
        <v>349</v>
      </c>
      <c r="E230" s="257"/>
      <c r="F230" s="235" t="s">
        <v>342</v>
      </c>
      <c r="G230" s="235" t="s">
        <v>16</v>
      </c>
      <c r="H230" s="235" t="s">
        <v>17</v>
      </c>
      <c r="I230" s="235" t="s">
        <v>341</v>
      </c>
      <c r="J230" s="235" t="s">
        <v>354</v>
      </c>
      <c r="K230" s="254" t="s">
        <v>353</v>
      </c>
      <c r="L230" s="254" t="s">
        <v>340</v>
      </c>
      <c r="M230" s="254" t="s">
        <v>355</v>
      </c>
      <c r="N230" s="254" t="s">
        <v>343</v>
      </c>
      <c r="O230" s="247" t="s">
        <v>20</v>
      </c>
      <c r="Q230" s="221" t="s">
        <v>27</v>
      </c>
      <c r="R230" s="219" t="s">
        <v>28</v>
      </c>
      <c r="S230" s="219" t="s">
        <v>29</v>
      </c>
      <c r="T230" s="219" t="s">
        <v>30</v>
      </c>
      <c r="U230" s="219" t="s">
        <v>21</v>
      </c>
      <c r="V230" s="219" t="s">
        <v>22</v>
      </c>
      <c r="W230" s="219" t="s">
        <v>23</v>
      </c>
      <c r="X230" s="219" t="s">
        <v>24</v>
      </c>
      <c r="Y230" s="219" t="s">
        <v>356</v>
      </c>
      <c r="Z230" s="219" t="s">
        <v>336</v>
      </c>
      <c r="AA230" s="219" t="s">
        <v>26</v>
      </c>
      <c r="AB230" s="219" t="s">
        <v>31</v>
      </c>
      <c r="AC230" s="219" t="s">
        <v>32</v>
      </c>
      <c r="AD230" s="219" t="s">
        <v>333</v>
      </c>
      <c r="AE230" s="202" t="s">
        <v>417</v>
      </c>
      <c r="AF230" s="202" t="s">
        <v>420</v>
      </c>
      <c r="AG230" s="12"/>
      <c r="AH230" s="12"/>
      <c r="AI230" s="12"/>
      <c r="AJ230" s="12"/>
    </row>
    <row r="231" spans="1:36" ht="39.9" customHeight="1" thickBot="1">
      <c r="A231" s="236"/>
      <c r="B231" s="55" t="s">
        <v>350</v>
      </c>
      <c r="C231" s="55" t="s">
        <v>351</v>
      </c>
      <c r="D231" s="55" t="s">
        <v>350</v>
      </c>
      <c r="E231" s="55" t="s">
        <v>351</v>
      </c>
      <c r="F231" s="236"/>
      <c r="G231" s="236"/>
      <c r="H231" s="236"/>
      <c r="I231" s="236"/>
      <c r="J231" s="236"/>
      <c r="K231" s="255"/>
      <c r="L231" s="255"/>
      <c r="M231" s="255"/>
      <c r="N231" s="255"/>
      <c r="O231" s="248"/>
      <c r="Q231" s="222"/>
      <c r="R231" s="220"/>
      <c r="S231" s="220"/>
      <c r="T231" s="220"/>
      <c r="U231" s="220"/>
      <c r="V231" s="220"/>
      <c r="W231" s="220"/>
      <c r="X231" s="220"/>
      <c r="Y231" s="220"/>
      <c r="Z231" s="220"/>
      <c r="AA231" s="220"/>
      <c r="AB231" s="220"/>
      <c r="AC231" s="220"/>
      <c r="AD231" s="220"/>
      <c r="AE231" s="203"/>
      <c r="AF231" s="203"/>
      <c r="AG231" s="12"/>
      <c r="AH231" s="12"/>
      <c r="AI231" s="12"/>
      <c r="AJ231" s="12"/>
    </row>
    <row r="232" spans="1:36" ht="18" customHeight="1">
      <c r="A232" s="46" t="s">
        <v>144</v>
      </c>
      <c r="B232" s="20">
        <f>Y232</f>
        <v>2435</v>
      </c>
      <c r="C232" s="20">
        <v>0</v>
      </c>
      <c r="D232" s="20">
        <f>B232</f>
        <v>2435</v>
      </c>
      <c r="E232" s="20">
        <f>C232</f>
        <v>0</v>
      </c>
      <c r="F232" s="20">
        <v>0</v>
      </c>
      <c r="G232" s="20">
        <f t="shared" ref="G232:G243" si="78">(B232+C232+F232)+(D232+E232)</f>
        <v>4870</v>
      </c>
      <c r="H232" s="20">
        <v>0</v>
      </c>
      <c r="I232" s="20">
        <f>(K228+B232+C232+F232)-H232</f>
        <v>230966</v>
      </c>
      <c r="J232" s="20">
        <f>(D232+E232)</f>
        <v>2435</v>
      </c>
      <c r="K232" s="20">
        <f>(K228+G232)-H232</f>
        <v>233401</v>
      </c>
      <c r="L232" s="20">
        <f>ROUND((I232*8.8/100)/12,0)</f>
        <v>1694</v>
      </c>
      <c r="M232" s="20">
        <f>ROUND((J232*8.8/100)/12,0)</f>
        <v>18</v>
      </c>
      <c r="N232" s="20">
        <f>L232+M232</f>
        <v>1712</v>
      </c>
      <c r="O232" s="210" t="s">
        <v>145</v>
      </c>
      <c r="Q232" s="130">
        <v>10</v>
      </c>
      <c r="R232" s="131">
        <v>10</v>
      </c>
      <c r="S232" s="131">
        <v>722</v>
      </c>
      <c r="T232" s="142">
        <v>41029</v>
      </c>
      <c r="U232" s="143">
        <v>10560</v>
      </c>
      <c r="V232" s="143">
        <v>4200</v>
      </c>
      <c r="W232" s="143">
        <v>9594</v>
      </c>
      <c r="X232" s="143">
        <f t="shared" ref="X232:X241" si="79">U232+V232+W232</f>
        <v>24354</v>
      </c>
      <c r="Y232" s="143">
        <f t="shared" ref="Y232:Y241" si="80">ROUND(X232*10%,0)</f>
        <v>2435</v>
      </c>
      <c r="Z232" s="143">
        <v>2435</v>
      </c>
      <c r="AA232" s="144">
        <f t="shared" ref="AA232:AA241" si="81">Z232-Y232</f>
        <v>0</v>
      </c>
      <c r="AB232" s="142">
        <v>41000</v>
      </c>
      <c r="AC232" s="142">
        <v>41029</v>
      </c>
      <c r="AD232" s="131" t="s">
        <v>98</v>
      </c>
      <c r="AE232" s="74" t="s">
        <v>488</v>
      </c>
      <c r="AF232" s="74" t="s">
        <v>404</v>
      </c>
      <c r="AG232" s="2"/>
      <c r="AH232" s="2"/>
      <c r="AI232" s="2"/>
      <c r="AJ232" s="2"/>
    </row>
    <row r="233" spans="1:36" ht="18" customHeight="1">
      <c r="A233" s="46" t="s">
        <v>146</v>
      </c>
      <c r="B233" s="20">
        <f t="shared" ref="B233:B241" si="82">Y233</f>
        <v>2435</v>
      </c>
      <c r="C233" s="20">
        <v>0</v>
      </c>
      <c r="D233" s="20">
        <f t="shared" ref="D233:E243" si="83">B233</f>
        <v>2435</v>
      </c>
      <c r="E233" s="20">
        <f t="shared" si="83"/>
        <v>0</v>
      </c>
      <c r="F233" s="20">
        <v>0</v>
      </c>
      <c r="G233" s="20">
        <f t="shared" si="78"/>
        <v>4870</v>
      </c>
      <c r="H233" s="20">
        <v>0</v>
      </c>
      <c r="I233" s="20">
        <f>(I232+B233+C233+F233)-H233</f>
        <v>233401</v>
      </c>
      <c r="J233" s="20">
        <f>(J232+D233+E233)</f>
        <v>4870</v>
      </c>
      <c r="K233" s="20">
        <f>(K232+G233)-H233</f>
        <v>238271</v>
      </c>
      <c r="L233" s="20">
        <f>ROUND((I233*8.8/100)/12,0)</f>
        <v>1712</v>
      </c>
      <c r="M233" s="20">
        <f>ROUND((J233*8.8/100)/12,0)</f>
        <v>36</v>
      </c>
      <c r="N233" s="20">
        <f t="shared" ref="N233:N243" si="84">L233+M233</f>
        <v>1748</v>
      </c>
      <c r="O233" s="210"/>
      <c r="Q233" s="130">
        <v>22</v>
      </c>
      <c r="R233" s="131">
        <v>22</v>
      </c>
      <c r="S233" s="131">
        <v>1899</v>
      </c>
      <c r="T233" s="142">
        <v>41060</v>
      </c>
      <c r="U233" s="143">
        <v>10560</v>
      </c>
      <c r="V233" s="143">
        <v>4200</v>
      </c>
      <c r="W233" s="143">
        <v>9594</v>
      </c>
      <c r="X233" s="143">
        <f t="shared" si="79"/>
        <v>24354</v>
      </c>
      <c r="Y233" s="143">
        <f t="shared" si="80"/>
        <v>2435</v>
      </c>
      <c r="Z233" s="143">
        <v>2435</v>
      </c>
      <c r="AA233" s="144">
        <f t="shared" si="81"/>
        <v>0</v>
      </c>
      <c r="AB233" s="142">
        <v>41030</v>
      </c>
      <c r="AC233" s="142">
        <v>41060</v>
      </c>
      <c r="AD233" s="131" t="s">
        <v>98</v>
      </c>
      <c r="AE233" s="74" t="s">
        <v>489</v>
      </c>
      <c r="AF233" s="74" t="s">
        <v>404</v>
      </c>
      <c r="AG233" s="2"/>
      <c r="AH233" s="2"/>
      <c r="AI233" s="2"/>
      <c r="AJ233" s="2"/>
    </row>
    <row r="234" spans="1:36" ht="18" customHeight="1">
      <c r="A234" s="46" t="s">
        <v>147</v>
      </c>
      <c r="B234" s="20">
        <f t="shared" si="82"/>
        <v>2435</v>
      </c>
      <c r="C234" s="20">
        <v>0</v>
      </c>
      <c r="D234" s="20">
        <f t="shared" si="83"/>
        <v>2435</v>
      </c>
      <c r="E234" s="20">
        <f t="shared" si="83"/>
        <v>0</v>
      </c>
      <c r="F234" s="20">
        <v>0</v>
      </c>
      <c r="G234" s="20">
        <f t="shared" si="78"/>
        <v>4870</v>
      </c>
      <c r="H234" s="20">
        <v>0</v>
      </c>
      <c r="I234" s="20">
        <f t="shared" ref="I234:I243" si="85">(I233+B234+C234+F234)-H234</f>
        <v>235836</v>
      </c>
      <c r="J234" s="20">
        <f t="shared" ref="J234:J243" si="86">(J233+D234+E234)</f>
        <v>7305</v>
      </c>
      <c r="K234" s="20">
        <f t="shared" ref="K234:K243" si="87">(K233+G234)-H234</f>
        <v>243141</v>
      </c>
      <c r="L234" s="20">
        <f t="shared" ref="L234:M243" si="88">ROUND((I234*8.8/100)/12,0)</f>
        <v>1729</v>
      </c>
      <c r="M234" s="20">
        <f t="shared" si="88"/>
        <v>54</v>
      </c>
      <c r="N234" s="20">
        <f t="shared" si="84"/>
        <v>1783</v>
      </c>
      <c r="O234" s="210"/>
      <c r="Q234" s="130">
        <v>33</v>
      </c>
      <c r="R234" s="131">
        <v>33</v>
      </c>
      <c r="S234" s="131">
        <v>2982</v>
      </c>
      <c r="T234" s="142">
        <v>41089</v>
      </c>
      <c r="U234" s="143">
        <v>10560</v>
      </c>
      <c r="V234" s="143">
        <v>4200</v>
      </c>
      <c r="W234" s="143">
        <v>9594</v>
      </c>
      <c r="X234" s="143">
        <f t="shared" si="79"/>
        <v>24354</v>
      </c>
      <c r="Y234" s="143">
        <f t="shared" si="80"/>
        <v>2435</v>
      </c>
      <c r="Z234" s="143">
        <v>2435</v>
      </c>
      <c r="AA234" s="144">
        <f t="shared" si="81"/>
        <v>0</v>
      </c>
      <c r="AB234" s="142">
        <v>41061</v>
      </c>
      <c r="AC234" s="142">
        <v>41090</v>
      </c>
      <c r="AD234" s="131" t="s">
        <v>98</v>
      </c>
      <c r="AE234" s="74" t="s">
        <v>490</v>
      </c>
      <c r="AF234" s="74" t="s">
        <v>404</v>
      </c>
      <c r="AG234" s="2"/>
      <c r="AH234" s="2"/>
      <c r="AI234" s="2"/>
      <c r="AJ234" s="2"/>
    </row>
    <row r="235" spans="1:36" ht="18" customHeight="1">
      <c r="A235" s="46" t="s">
        <v>148</v>
      </c>
      <c r="B235" s="20">
        <f t="shared" si="82"/>
        <v>2510</v>
      </c>
      <c r="C235" s="20">
        <v>0</v>
      </c>
      <c r="D235" s="20">
        <f t="shared" si="83"/>
        <v>2510</v>
      </c>
      <c r="E235" s="20">
        <f t="shared" si="83"/>
        <v>0</v>
      </c>
      <c r="F235" s="20">
        <v>0</v>
      </c>
      <c r="G235" s="20">
        <f t="shared" si="78"/>
        <v>5020</v>
      </c>
      <c r="H235" s="20">
        <v>0</v>
      </c>
      <c r="I235" s="20">
        <f t="shared" si="85"/>
        <v>238346</v>
      </c>
      <c r="J235" s="20">
        <f t="shared" si="86"/>
        <v>9815</v>
      </c>
      <c r="K235" s="20">
        <f t="shared" si="87"/>
        <v>248161</v>
      </c>
      <c r="L235" s="20">
        <f t="shared" si="88"/>
        <v>1748</v>
      </c>
      <c r="M235" s="20">
        <f t="shared" si="88"/>
        <v>72</v>
      </c>
      <c r="N235" s="20">
        <f t="shared" si="84"/>
        <v>1820</v>
      </c>
      <c r="O235" s="210"/>
      <c r="Q235" s="130">
        <v>45</v>
      </c>
      <c r="R235" s="131">
        <v>45</v>
      </c>
      <c r="S235" s="131">
        <v>4223</v>
      </c>
      <c r="T235" s="142">
        <v>41121</v>
      </c>
      <c r="U235" s="143">
        <v>11010</v>
      </c>
      <c r="V235" s="143">
        <v>4200</v>
      </c>
      <c r="W235" s="143">
        <v>9887</v>
      </c>
      <c r="X235" s="143">
        <f t="shared" si="79"/>
        <v>25097</v>
      </c>
      <c r="Y235" s="143">
        <f t="shared" si="80"/>
        <v>2510</v>
      </c>
      <c r="Z235" s="143">
        <v>2509</v>
      </c>
      <c r="AA235" s="144">
        <f t="shared" si="81"/>
        <v>-1</v>
      </c>
      <c r="AB235" s="142">
        <v>41091</v>
      </c>
      <c r="AC235" s="142">
        <v>41121</v>
      </c>
      <c r="AD235" s="131" t="s">
        <v>98</v>
      </c>
      <c r="AE235" s="74" t="s">
        <v>491</v>
      </c>
      <c r="AF235" s="74" t="s">
        <v>404</v>
      </c>
      <c r="AG235" s="2"/>
      <c r="AH235" s="2"/>
      <c r="AI235" s="2"/>
      <c r="AJ235" s="2"/>
    </row>
    <row r="236" spans="1:36" ht="18" customHeight="1">
      <c r="A236" s="46" t="s">
        <v>149</v>
      </c>
      <c r="B236" s="20">
        <f t="shared" si="82"/>
        <v>2510</v>
      </c>
      <c r="C236" s="20">
        <v>0</v>
      </c>
      <c r="D236" s="20">
        <f t="shared" si="83"/>
        <v>2510</v>
      </c>
      <c r="E236" s="20">
        <f t="shared" si="83"/>
        <v>0</v>
      </c>
      <c r="F236" s="20">
        <v>0</v>
      </c>
      <c r="G236" s="20">
        <f t="shared" si="78"/>
        <v>5020</v>
      </c>
      <c r="H236" s="20">
        <v>0</v>
      </c>
      <c r="I236" s="20">
        <f t="shared" si="85"/>
        <v>240856</v>
      </c>
      <c r="J236" s="20">
        <f t="shared" si="86"/>
        <v>12325</v>
      </c>
      <c r="K236" s="20">
        <f t="shared" si="87"/>
        <v>253181</v>
      </c>
      <c r="L236" s="20">
        <f t="shared" si="88"/>
        <v>1766</v>
      </c>
      <c r="M236" s="20">
        <f t="shared" si="88"/>
        <v>90</v>
      </c>
      <c r="N236" s="20">
        <f t="shared" si="84"/>
        <v>1856</v>
      </c>
      <c r="O236" s="210"/>
      <c r="Q236" s="130">
        <v>56</v>
      </c>
      <c r="R236" s="131">
        <v>56</v>
      </c>
      <c r="S236" s="131">
        <v>5376</v>
      </c>
      <c r="T236" s="142">
        <v>41152</v>
      </c>
      <c r="U236" s="143">
        <v>11010</v>
      </c>
      <c r="V236" s="143">
        <v>4200</v>
      </c>
      <c r="W236" s="143">
        <v>9887</v>
      </c>
      <c r="X236" s="143">
        <f t="shared" si="79"/>
        <v>25097</v>
      </c>
      <c r="Y236" s="143">
        <f t="shared" si="80"/>
        <v>2510</v>
      </c>
      <c r="Z236" s="143">
        <v>2509</v>
      </c>
      <c r="AA236" s="144">
        <f t="shared" si="81"/>
        <v>-1</v>
      </c>
      <c r="AB236" s="142">
        <v>41122</v>
      </c>
      <c r="AC236" s="142">
        <v>41152</v>
      </c>
      <c r="AD236" s="131" t="s">
        <v>98</v>
      </c>
      <c r="AE236" s="74" t="s">
        <v>492</v>
      </c>
      <c r="AF236" s="74" t="s">
        <v>404</v>
      </c>
      <c r="AG236" s="2"/>
      <c r="AH236" s="2"/>
      <c r="AI236" s="2"/>
      <c r="AJ236" s="2"/>
    </row>
    <row r="237" spans="1:36" ht="18" customHeight="1">
      <c r="A237" s="46" t="s">
        <v>150</v>
      </c>
      <c r="B237" s="20">
        <f t="shared" si="82"/>
        <v>2510</v>
      </c>
      <c r="C237" s="20">
        <v>0</v>
      </c>
      <c r="D237" s="20">
        <f t="shared" si="83"/>
        <v>2510</v>
      </c>
      <c r="E237" s="20">
        <f t="shared" si="83"/>
        <v>0</v>
      </c>
      <c r="F237" s="20">
        <v>0</v>
      </c>
      <c r="G237" s="20">
        <f t="shared" si="78"/>
        <v>5020</v>
      </c>
      <c r="H237" s="20">
        <v>0</v>
      </c>
      <c r="I237" s="20">
        <f t="shared" si="85"/>
        <v>243366</v>
      </c>
      <c r="J237" s="20">
        <f t="shared" si="86"/>
        <v>14835</v>
      </c>
      <c r="K237" s="20">
        <f t="shared" si="87"/>
        <v>258201</v>
      </c>
      <c r="L237" s="20">
        <f t="shared" si="88"/>
        <v>1785</v>
      </c>
      <c r="M237" s="20">
        <f t="shared" si="88"/>
        <v>109</v>
      </c>
      <c r="N237" s="20">
        <f t="shared" si="84"/>
        <v>1894</v>
      </c>
      <c r="O237" s="210"/>
      <c r="Q237" s="130">
        <v>71</v>
      </c>
      <c r="R237" s="131">
        <v>71</v>
      </c>
      <c r="S237" s="131">
        <v>6900</v>
      </c>
      <c r="T237" s="142">
        <v>41180</v>
      </c>
      <c r="U237" s="143">
        <v>11010</v>
      </c>
      <c r="V237" s="143">
        <v>4200</v>
      </c>
      <c r="W237" s="143">
        <v>9887</v>
      </c>
      <c r="X237" s="143">
        <f t="shared" si="79"/>
        <v>25097</v>
      </c>
      <c r="Y237" s="143">
        <f t="shared" si="80"/>
        <v>2510</v>
      </c>
      <c r="Z237" s="143">
        <v>2509</v>
      </c>
      <c r="AA237" s="144">
        <f t="shared" si="81"/>
        <v>-1</v>
      </c>
      <c r="AB237" s="142">
        <v>41153</v>
      </c>
      <c r="AC237" s="142">
        <v>41182</v>
      </c>
      <c r="AD237" s="131" t="s">
        <v>98</v>
      </c>
      <c r="AE237" s="74" t="s">
        <v>493</v>
      </c>
      <c r="AF237" s="74" t="s">
        <v>404</v>
      </c>
      <c r="AG237" s="2"/>
      <c r="AH237" s="2"/>
      <c r="AI237" s="2"/>
      <c r="AJ237" s="2"/>
    </row>
    <row r="238" spans="1:36" ht="18" customHeight="1">
      <c r="A238" s="46" t="s">
        <v>151</v>
      </c>
      <c r="B238" s="20">
        <f t="shared" si="82"/>
        <v>2510</v>
      </c>
      <c r="C238" s="20">
        <v>0</v>
      </c>
      <c r="D238" s="20">
        <f t="shared" si="83"/>
        <v>2510</v>
      </c>
      <c r="E238" s="20">
        <f t="shared" si="83"/>
        <v>0</v>
      </c>
      <c r="F238" s="20">
        <v>0</v>
      </c>
      <c r="G238" s="20">
        <f t="shared" si="78"/>
        <v>5020</v>
      </c>
      <c r="H238" s="20">
        <v>0</v>
      </c>
      <c r="I238" s="20">
        <f t="shared" si="85"/>
        <v>245876</v>
      </c>
      <c r="J238" s="20">
        <f t="shared" si="86"/>
        <v>17345</v>
      </c>
      <c r="K238" s="20">
        <f t="shared" si="87"/>
        <v>263221</v>
      </c>
      <c r="L238" s="20">
        <f t="shared" si="88"/>
        <v>1803</v>
      </c>
      <c r="M238" s="20">
        <f t="shared" si="88"/>
        <v>127</v>
      </c>
      <c r="N238" s="20">
        <f t="shared" si="84"/>
        <v>1930</v>
      </c>
      <c r="O238" s="210"/>
      <c r="Q238" s="130">
        <v>84</v>
      </c>
      <c r="R238" s="131">
        <v>84</v>
      </c>
      <c r="S238" s="131">
        <v>8159</v>
      </c>
      <c r="T238" s="142">
        <v>41213</v>
      </c>
      <c r="U238" s="143">
        <v>11010</v>
      </c>
      <c r="V238" s="143">
        <v>4200</v>
      </c>
      <c r="W238" s="143">
        <v>9887</v>
      </c>
      <c r="X238" s="143">
        <f t="shared" si="79"/>
        <v>25097</v>
      </c>
      <c r="Y238" s="143">
        <f t="shared" si="80"/>
        <v>2510</v>
      </c>
      <c r="Z238" s="143">
        <v>2509</v>
      </c>
      <c r="AA238" s="144">
        <f t="shared" si="81"/>
        <v>-1</v>
      </c>
      <c r="AB238" s="142">
        <v>41183</v>
      </c>
      <c r="AC238" s="142">
        <v>41213</v>
      </c>
      <c r="AD238" s="131" t="s">
        <v>98</v>
      </c>
      <c r="AE238" s="74" t="s">
        <v>494</v>
      </c>
      <c r="AF238" s="74" t="s">
        <v>404</v>
      </c>
      <c r="AG238" s="2"/>
      <c r="AH238" s="2"/>
      <c r="AI238" s="2"/>
      <c r="AJ238" s="2"/>
    </row>
    <row r="239" spans="1:36" ht="18" customHeight="1">
      <c r="A239" s="46" t="s">
        <v>152</v>
      </c>
      <c r="B239" s="20">
        <f t="shared" si="82"/>
        <v>2616</v>
      </c>
      <c r="C239" s="20">
        <v>0</v>
      </c>
      <c r="D239" s="20">
        <f t="shared" si="83"/>
        <v>2616</v>
      </c>
      <c r="E239" s="20">
        <f t="shared" si="83"/>
        <v>0</v>
      </c>
      <c r="F239" s="20">
        <v>0</v>
      </c>
      <c r="G239" s="20">
        <f t="shared" si="78"/>
        <v>5232</v>
      </c>
      <c r="H239" s="20">
        <v>0</v>
      </c>
      <c r="I239" s="20">
        <f t="shared" si="85"/>
        <v>248492</v>
      </c>
      <c r="J239" s="20">
        <f t="shared" si="86"/>
        <v>19961</v>
      </c>
      <c r="K239" s="20">
        <f t="shared" si="87"/>
        <v>268453</v>
      </c>
      <c r="L239" s="20">
        <f t="shared" si="88"/>
        <v>1822</v>
      </c>
      <c r="M239" s="20">
        <f t="shared" si="88"/>
        <v>146</v>
      </c>
      <c r="N239" s="20">
        <f t="shared" si="84"/>
        <v>1968</v>
      </c>
      <c r="O239" s="210"/>
      <c r="Q239" s="130">
        <v>102</v>
      </c>
      <c r="R239" s="131">
        <v>102</v>
      </c>
      <c r="S239" s="131">
        <v>10227</v>
      </c>
      <c r="T239" s="142" t="s">
        <v>339</v>
      </c>
      <c r="U239" s="143">
        <v>11010</v>
      </c>
      <c r="V239" s="143">
        <v>4200</v>
      </c>
      <c r="W239" s="143">
        <v>10951</v>
      </c>
      <c r="X239" s="143">
        <f t="shared" si="79"/>
        <v>26161</v>
      </c>
      <c r="Y239" s="143">
        <f t="shared" si="80"/>
        <v>2616</v>
      </c>
      <c r="Z239" s="143">
        <v>2616</v>
      </c>
      <c r="AA239" s="144">
        <f t="shared" si="81"/>
        <v>0</v>
      </c>
      <c r="AB239" s="142">
        <v>41214</v>
      </c>
      <c r="AC239" s="142">
        <v>41243</v>
      </c>
      <c r="AD239" s="131" t="s">
        <v>98</v>
      </c>
      <c r="AE239" s="74" t="s">
        <v>495</v>
      </c>
      <c r="AF239" s="74" t="s">
        <v>404</v>
      </c>
      <c r="AG239" s="2"/>
      <c r="AH239" s="2"/>
      <c r="AI239" s="2"/>
      <c r="AJ239" s="2"/>
    </row>
    <row r="240" spans="1:36" ht="18" customHeight="1">
      <c r="A240" s="46" t="s">
        <v>153</v>
      </c>
      <c r="B240" s="20">
        <f t="shared" si="82"/>
        <v>2616</v>
      </c>
      <c r="C240" s="20">
        <v>0</v>
      </c>
      <c r="D240" s="20">
        <f t="shared" si="83"/>
        <v>2616</v>
      </c>
      <c r="E240" s="20">
        <f t="shared" si="83"/>
        <v>0</v>
      </c>
      <c r="F240" s="20">
        <v>0</v>
      </c>
      <c r="G240" s="20">
        <f t="shared" si="78"/>
        <v>5232</v>
      </c>
      <c r="H240" s="20">
        <v>0</v>
      </c>
      <c r="I240" s="20">
        <f t="shared" si="85"/>
        <v>251108</v>
      </c>
      <c r="J240" s="20">
        <f t="shared" si="86"/>
        <v>22577</v>
      </c>
      <c r="K240" s="20">
        <f t="shared" si="87"/>
        <v>273685</v>
      </c>
      <c r="L240" s="20">
        <f t="shared" si="88"/>
        <v>1841</v>
      </c>
      <c r="M240" s="20">
        <f t="shared" si="88"/>
        <v>166</v>
      </c>
      <c r="N240" s="20">
        <f t="shared" si="84"/>
        <v>2007</v>
      </c>
      <c r="O240" s="210"/>
      <c r="Q240" s="130">
        <v>112</v>
      </c>
      <c r="R240" s="131">
        <v>112</v>
      </c>
      <c r="S240" s="131">
        <v>11282</v>
      </c>
      <c r="T240" s="142">
        <v>41274</v>
      </c>
      <c r="U240" s="143">
        <v>11010</v>
      </c>
      <c r="V240" s="143">
        <v>4200</v>
      </c>
      <c r="W240" s="143">
        <v>10951</v>
      </c>
      <c r="X240" s="143">
        <f t="shared" si="79"/>
        <v>26161</v>
      </c>
      <c r="Y240" s="143">
        <f t="shared" si="80"/>
        <v>2616</v>
      </c>
      <c r="Z240" s="143">
        <v>2616</v>
      </c>
      <c r="AA240" s="144">
        <f t="shared" si="81"/>
        <v>0</v>
      </c>
      <c r="AB240" s="142">
        <v>41244</v>
      </c>
      <c r="AC240" s="142">
        <v>41274</v>
      </c>
      <c r="AD240" s="131" t="s">
        <v>98</v>
      </c>
      <c r="AE240" s="74" t="s">
        <v>496</v>
      </c>
      <c r="AF240" s="74" t="s">
        <v>404</v>
      </c>
      <c r="AG240" s="2"/>
      <c r="AH240" s="2"/>
      <c r="AI240" s="2"/>
      <c r="AJ240" s="2"/>
    </row>
    <row r="241" spans="1:36" ht="18" customHeight="1">
      <c r="A241" s="46" t="s">
        <v>154</v>
      </c>
      <c r="B241" s="20">
        <f t="shared" si="82"/>
        <v>84</v>
      </c>
      <c r="C241" s="20">
        <v>0</v>
      </c>
      <c r="D241" s="20">
        <f t="shared" si="83"/>
        <v>84</v>
      </c>
      <c r="E241" s="20">
        <f t="shared" si="83"/>
        <v>0</v>
      </c>
      <c r="F241" s="20">
        <v>0</v>
      </c>
      <c r="G241" s="20">
        <f t="shared" si="78"/>
        <v>168</v>
      </c>
      <c r="H241" s="20">
        <v>0</v>
      </c>
      <c r="I241" s="20">
        <f t="shared" si="85"/>
        <v>251192</v>
      </c>
      <c r="J241" s="20">
        <f t="shared" si="86"/>
        <v>22661</v>
      </c>
      <c r="K241" s="20">
        <f t="shared" si="87"/>
        <v>273853</v>
      </c>
      <c r="L241" s="20">
        <f t="shared" si="88"/>
        <v>1842</v>
      </c>
      <c r="M241" s="20">
        <f t="shared" si="88"/>
        <v>166</v>
      </c>
      <c r="N241" s="20">
        <f t="shared" si="84"/>
        <v>2008</v>
      </c>
      <c r="O241" s="210"/>
      <c r="Q241" s="130">
        <v>124</v>
      </c>
      <c r="R241" s="131">
        <v>124</v>
      </c>
      <c r="S241" s="131">
        <v>12589</v>
      </c>
      <c r="T241" s="142">
        <v>41305</v>
      </c>
      <c r="U241" s="143">
        <v>355</v>
      </c>
      <c r="V241" s="143">
        <v>135</v>
      </c>
      <c r="W241" s="143">
        <v>353</v>
      </c>
      <c r="X241" s="143">
        <f t="shared" si="79"/>
        <v>843</v>
      </c>
      <c r="Y241" s="143">
        <f t="shared" si="80"/>
        <v>84</v>
      </c>
      <c r="Z241" s="143">
        <v>2616</v>
      </c>
      <c r="AA241" s="144">
        <f t="shared" si="81"/>
        <v>2532</v>
      </c>
      <c r="AB241" s="142">
        <v>41275</v>
      </c>
      <c r="AC241" s="142">
        <v>41305</v>
      </c>
      <c r="AD241" s="131" t="s">
        <v>98</v>
      </c>
      <c r="AE241" s="74" t="s">
        <v>497</v>
      </c>
      <c r="AF241" s="74" t="s">
        <v>404</v>
      </c>
      <c r="AG241" s="2"/>
      <c r="AH241" s="2"/>
      <c r="AI241" s="2"/>
      <c r="AJ241" s="2"/>
    </row>
    <row r="242" spans="1:36" ht="18" customHeight="1">
      <c r="A242" s="46" t="s">
        <v>155</v>
      </c>
      <c r="B242" s="20">
        <v>0</v>
      </c>
      <c r="C242" s="20">
        <v>0</v>
      </c>
      <c r="D242" s="20">
        <f t="shared" si="83"/>
        <v>0</v>
      </c>
      <c r="E242" s="20">
        <f t="shared" si="83"/>
        <v>0</v>
      </c>
      <c r="F242" s="20">
        <v>0</v>
      </c>
      <c r="G242" s="20">
        <f t="shared" si="78"/>
        <v>0</v>
      </c>
      <c r="H242" s="20">
        <v>0</v>
      </c>
      <c r="I242" s="20">
        <f t="shared" si="85"/>
        <v>251192</v>
      </c>
      <c r="J242" s="20">
        <f t="shared" si="86"/>
        <v>22661</v>
      </c>
      <c r="K242" s="20">
        <f t="shared" si="87"/>
        <v>273853</v>
      </c>
      <c r="L242" s="20">
        <f t="shared" si="88"/>
        <v>1842</v>
      </c>
      <c r="M242" s="20">
        <f t="shared" si="88"/>
        <v>166</v>
      </c>
      <c r="N242" s="20">
        <f t="shared" si="84"/>
        <v>2008</v>
      </c>
      <c r="O242" s="210"/>
      <c r="Q242" s="130" t="s">
        <v>334</v>
      </c>
      <c r="R242" s="131" t="s">
        <v>334</v>
      </c>
      <c r="S242" s="131" t="s">
        <v>334</v>
      </c>
      <c r="T242" s="131" t="s">
        <v>334</v>
      </c>
      <c r="U242" s="143" t="s">
        <v>334</v>
      </c>
      <c r="V242" s="143" t="s">
        <v>334</v>
      </c>
      <c r="W242" s="143" t="s">
        <v>334</v>
      </c>
      <c r="X242" s="143" t="s">
        <v>334</v>
      </c>
      <c r="Y242" s="143" t="s">
        <v>334</v>
      </c>
      <c r="Z242" s="143" t="s">
        <v>334</v>
      </c>
      <c r="AA242" s="143" t="s">
        <v>334</v>
      </c>
      <c r="AB242" s="131" t="s">
        <v>334</v>
      </c>
      <c r="AC242" s="131" t="s">
        <v>334</v>
      </c>
      <c r="AD242" s="131" t="s">
        <v>334</v>
      </c>
      <c r="AE242" s="74"/>
      <c r="AF242" s="71"/>
    </row>
    <row r="243" spans="1:36" ht="18" customHeight="1">
      <c r="A243" s="46" t="s">
        <v>156</v>
      </c>
      <c r="B243" s="20">
        <v>0</v>
      </c>
      <c r="C243" s="20">
        <v>0</v>
      </c>
      <c r="D243" s="20">
        <f t="shared" si="83"/>
        <v>0</v>
      </c>
      <c r="E243" s="20">
        <f t="shared" si="83"/>
        <v>0</v>
      </c>
      <c r="F243" s="20">
        <v>0</v>
      </c>
      <c r="G243" s="20">
        <f t="shared" si="78"/>
        <v>0</v>
      </c>
      <c r="H243" s="20">
        <v>0</v>
      </c>
      <c r="I243" s="20">
        <f t="shared" si="85"/>
        <v>251192</v>
      </c>
      <c r="J243" s="20">
        <f t="shared" si="86"/>
        <v>22661</v>
      </c>
      <c r="K243" s="20">
        <f t="shared" si="87"/>
        <v>273853</v>
      </c>
      <c r="L243" s="20">
        <f t="shared" si="88"/>
        <v>1842</v>
      </c>
      <c r="M243" s="20">
        <f t="shared" si="88"/>
        <v>166</v>
      </c>
      <c r="N243" s="20">
        <f t="shared" si="84"/>
        <v>2008</v>
      </c>
      <c r="O243" s="210"/>
      <c r="Q243" s="130" t="s">
        <v>334</v>
      </c>
      <c r="R243" s="131" t="s">
        <v>334</v>
      </c>
      <c r="S243" s="131" t="s">
        <v>334</v>
      </c>
      <c r="T243" s="131" t="s">
        <v>334</v>
      </c>
      <c r="U243" s="143" t="s">
        <v>334</v>
      </c>
      <c r="V243" s="143" t="s">
        <v>334</v>
      </c>
      <c r="W243" s="143" t="s">
        <v>334</v>
      </c>
      <c r="X243" s="143" t="s">
        <v>334</v>
      </c>
      <c r="Y243" s="143" t="s">
        <v>334</v>
      </c>
      <c r="Z243" s="143" t="s">
        <v>334</v>
      </c>
      <c r="AA243" s="143" t="s">
        <v>334</v>
      </c>
      <c r="AB243" s="131" t="s">
        <v>334</v>
      </c>
      <c r="AC243" s="131" t="s">
        <v>334</v>
      </c>
      <c r="AD243" s="131" t="s">
        <v>334</v>
      </c>
      <c r="AE243" s="74"/>
      <c r="AF243" s="71"/>
    </row>
    <row r="244" spans="1:36" s="12" customFormat="1" ht="18" customHeight="1" thickBot="1">
      <c r="A244" s="43" t="s">
        <v>157</v>
      </c>
      <c r="B244" s="44">
        <f t="shared" ref="B244:N244" si="89">SUM(B232:B243)</f>
        <v>22661</v>
      </c>
      <c r="C244" s="44">
        <f t="shared" si="89"/>
        <v>0</v>
      </c>
      <c r="D244" s="44">
        <f t="shared" si="89"/>
        <v>22661</v>
      </c>
      <c r="E244" s="44">
        <f t="shared" si="89"/>
        <v>0</v>
      </c>
      <c r="F244" s="44">
        <f t="shared" si="89"/>
        <v>0</v>
      </c>
      <c r="G244" s="44">
        <f t="shared" si="89"/>
        <v>45322</v>
      </c>
      <c r="H244" s="44">
        <f t="shared" si="89"/>
        <v>0</v>
      </c>
      <c r="I244" s="44">
        <f t="shared" si="89"/>
        <v>2921823</v>
      </c>
      <c r="J244" s="44">
        <f t="shared" si="89"/>
        <v>179451</v>
      </c>
      <c r="K244" s="44">
        <f t="shared" si="89"/>
        <v>3101274</v>
      </c>
      <c r="L244" s="44">
        <f t="shared" si="89"/>
        <v>21426</v>
      </c>
      <c r="M244" s="44">
        <f t="shared" si="89"/>
        <v>1316</v>
      </c>
      <c r="N244" s="44">
        <f t="shared" si="89"/>
        <v>22742</v>
      </c>
      <c r="O244" s="70"/>
      <c r="Q244" s="138"/>
      <c r="R244" s="145"/>
      <c r="S244" s="145"/>
      <c r="T244" s="145" t="s">
        <v>24</v>
      </c>
      <c r="U244" s="146">
        <f t="shared" ref="U244:AA244" si="90">SUM(U232:U243)</f>
        <v>98095</v>
      </c>
      <c r="V244" s="146">
        <f t="shared" si="90"/>
        <v>37935</v>
      </c>
      <c r="W244" s="146">
        <f t="shared" si="90"/>
        <v>90585</v>
      </c>
      <c r="X244" s="146">
        <f t="shared" si="90"/>
        <v>226615</v>
      </c>
      <c r="Y244" s="146">
        <f t="shared" si="90"/>
        <v>22661</v>
      </c>
      <c r="Z244" s="146">
        <f t="shared" si="90"/>
        <v>25189</v>
      </c>
      <c r="AA244" s="146">
        <f t="shared" si="90"/>
        <v>2528</v>
      </c>
      <c r="AB244" s="145"/>
      <c r="AC244" s="145"/>
      <c r="AD244" s="145"/>
      <c r="AE244" s="77"/>
      <c r="AF244" s="77"/>
    </row>
    <row r="245" spans="1:36" ht="15" thickBo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6"/>
      <c r="L245" s="6"/>
      <c r="M245" s="6"/>
      <c r="N245" s="5"/>
    </row>
    <row r="246" spans="1:36" ht="21.9" customHeight="1" thickBot="1">
      <c r="A246" s="5"/>
      <c r="B246" s="6"/>
      <c r="C246" s="6"/>
      <c r="D246" s="6"/>
      <c r="E246" s="5"/>
      <c r="F246" s="53">
        <v>1</v>
      </c>
      <c r="G246" s="211" t="s">
        <v>47</v>
      </c>
      <c r="H246" s="212"/>
      <c r="I246" s="212"/>
      <c r="J246" s="212"/>
      <c r="K246" s="213"/>
      <c r="L246" s="54">
        <f>K228</f>
        <v>228531</v>
      </c>
      <c r="M246" s="2"/>
      <c r="O246" s="1"/>
      <c r="S246" s="30"/>
      <c r="T246" s="30"/>
      <c r="Z246" s="1"/>
      <c r="AA246" s="1"/>
    </row>
    <row r="247" spans="1:36" ht="21.9" customHeight="1" thickBot="1">
      <c r="A247" s="5"/>
      <c r="B247" s="5"/>
      <c r="C247" s="5"/>
      <c r="D247" s="5"/>
      <c r="E247" s="5"/>
      <c r="F247" s="53">
        <v>2</v>
      </c>
      <c r="G247" s="211" t="s">
        <v>344</v>
      </c>
      <c r="H247" s="212"/>
      <c r="I247" s="212"/>
      <c r="J247" s="212"/>
      <c r="K247" s="213"/>
      <c r="L247" s="54">
        <f>B244+C244</f>
        <v>22661</v>
      </c>
      <c r="M247" s="2"/>
      <c r="O247" s="1"/>
      <c r="S247" s="30"/>
      <c r="T247" s="30"/>
      <c r="Z247" s="1"/>
      <c r="AA247" s="1"/>
    </row>
    <row r="248" spans="1:36" ht="21.9" customHeight="1" thickBot="1">
      <c r="A248" s="5"/>
      <c r="B248" s="5"/>
      <c r="C248" s="5"/>
      <c r="D248" s="5"/>
      <c r="E248" s="5"/>
      <c r="F248" s="53">
        <v>3</v>
      </c>
      <c r="G248" s="211" t="s">
        <v>345</v>
      </c>
      <c r="H248" s="212"/>
      <c r="I248" s="212"/>
      <c r="J248" s="212"/>
      <c r="K248" s="213"/>
      <c r="L248" s="54">
        <f>F244</f>
        <v>0</v>
      </c>
      <c r="M248" s="2"/>
      <c r="O248" s="1"/>
      <c r="S248" s="30"/>
      <c r="T248" s="30"/>
      <c r="Z248" s="1"/>
      <c r="AA248" s="1"/>
    </row>
    <row r="249" spans="1:36" ht="21.9" customHeight="1" thickBot="1">
      <c r="A249" s="5"/>
      <c r="B249" s="5"/>
      <c r="C249" s="5"/>
      <c r="D249" s="5"/>
      <c r="E249" s="5"/>
      <c r="F249" s="53">
        <v>4</v>
      </c>
      <c r="G249" s="211" t="s">
        <v>346</v>
      </c>
      <c r="H249" s="212"/>
      <c r="I249" s="212"/>
      <c r="J249" s="212"/>
      <c r="K249" s="213"/>
      <c r="L249" s="54">
        <f>L247+L248</f>
        <v>22661</v>
      </c>
      <c r="M249" s="2"/>
      <c r="O249" s="1"/>
      <c r="S249" s="30"/>
      <c r="T249" s="30"/>
      <c r="Z249" s="1"/>
      <c r="AA249" s="1"/>
    </row>
    <row r="250" spans="1:36" ht="21.9" customHeight="1" thickBot="1">
      <c r="A250" s="5"/>
      <c r="B250" s="5"/>
      <c r="C250" s="5"/>
      <c r="D250" s="5"/>
      <c r="E250" s="5"/>
      <c r="F250" s="53">
        <v>5</v>
      </c>
      <c r="G250" s="211" t="s">
        <v>349</v>
      </c>
      <c r="H250" s="212"/>
      <c r="I250" s="212"/>
      <c r="J250" s="212"/>
      <c r="K250" s="213"/>
      <c r="L250" s="54">
        <f>D244+E244</f>
        <v>22661</v>
      </c>
      <c r="M250" s="2"/>
      <c r="O250" s="1"/>
      <c r="S250" s="30"/>
      <c r="T250" s="30"/>
      <c r="Z250" s="1"/>
      <c r="AA250" s="1"/>
    </row>
    <row r="251" spans="1:36" ht="21.9" customHeight="1" thickBot="1">
      <c r="A251" s="5"/>
      <c r="B251" s="5"/>
      <c r="C251" s="5"/>
      <c r="D251" s="5"/>
      <c r="E251" s="5"/>
      <c r="F251" s="53">
        <v>6</v>
      </c>
      <c r="G251" s="211" t="s">
        <v>347</v>
      </c>
      <c r="H251" s="212"/>
      <c r="I251" s="212"/>
      <c r="J251" s="212"/>
      <c r="K251" s="213"/>
      <c r="L251" s="54">
        <f>L246+L249+L250</f>
        <v>273853</v>
      </c>
      <c r="M251" s="2"/>
      <c r="O251" s="1"/>
      <c r="S251" s="30"/>
      <c r="T251" s="30"/>
      <c r="Z251" s="1"/>
      <c r="AA251" s="1"/>
    </row>
    <row r="252" spans="1:36" ht="21.9" customHeight="1" thickBot="1">
      <c r="A252" s="251" t="s">
        <v>512</v>
      </c>
      <c r="B252" s="251"/>
      <c r="C252" s="251"/>
      <c r="D252" s="251"/>
      <c r="E252" s="5"/>
      <c r="F252" s="53">
        <v>7</v>
      </c>
      <c r="G252" s="211" t="s">
        <v>50</v>
      </c>
      <c r="H252" s="212"/>
      <c r="I252" s="212"/>
      <c r="J252" s="212"/>
      <c r="K252" s="213"/>
      <c r="L252" s="54">
        <f>H244</f>
        <v>0</v>
      </c>
      <c r="M252" s="2"/>
      <c r="O252" s="1"/>
      <c r="S252" s="30"/>
      <c r="T252" s="30"/>
      <c r="Z252" s="1"/>
      <c r="AA252" s="1"/>
    </row>
    <row r="253" spans="1:36" ht="21.9" customHeight="1" thickBot="1">
      <c r="A253" s="251"/>
      <c r="B253" s="251"/>
      <c r="C253" s="251"/>
      <c r="D253" s="251"/>
      <c r="E253" s="5"/>
      <c r="F253" s="53">
        <v>8</v>
      </c>
      <c r="G253" s="211" t="s">
        <v>340</v>
      </c>
      <c r="H253" s="212"/>
      <c r="I253" s="212"/>
      <c r="J253" s="212"/>
      <c r="K253" s="213"/>
      <c r="L253" s="54">
        <f>L244</f>
        <v>21426</v>
      </c>
      <c r="M253" s="17"/>
      <c r="N253" s="6"/>
    </row>
    <row r="254" spans="1:36" ht="21.9" customHeight="1" thickBot="1">
      <c r="A254" s="251"/>
      <c r="B254" s="251"/>
      <c r="C254" s="251"/>
      <c r="D254" s="251"/>
      <c r="E254" s="5"/>
      <c r="F254" s="53">
        <v>9</v>
      </c>
      <c r="G254" s="211" t="s">
        <v>355</v>
      </c>
      <c r="H254" s="212"/>
      <c r="I254" s="212"/>
      <c r="J254" s="212"/>
      <c r="K254" s="213"/>
      <c r="L254" s="54">
        <f>M244</f>
        <v>1316</v>
      </c>
      <c r="M254" s="17"/>
      <c r="N254" s="6"/>
    </row>
    <row r="255" spans="1:36" ht="21.9" customHeight="1" thickBot="1">
      <c r="A255" s="251"/>
      <c r="B255" s="251"/>
      <c r="C255" s="251"/>
      <c r="D255" s="251"/>
      <c r="E255" s="5"/>
      <c r="F255" s="53">
        <v>10</v>
      </c>
      <c r="G255" s="211" t="s">
        <v>348</v>
      </c>
      <c r="H255" s="212"/>
      <c r="I255" s="212"/>
      <c r="J255" s="212"/>
      <c r="K255" s="213"/>
      <c r="L255" s="54">
        <f>N244</f>
        <v>22742</v>
      </c>
      <c r="M255" s="17"/>
      <c r="N255" s="6"/>
    </row>
    <row r="256" spans="1:36" ht="21.9" customHeight="1" thickBot="1">
      <c r="A256" s="251"/>
      <c r="B256" s="251"/>
      <c r="C256" s="251"/>
      <c r="D256" s="251"/>
      <c r="E256" s="5"/>
      <c r="F256" s="53">
        <v>11</v>
      </c>
      <c r="G256" s="212" t="s">
        <v>476</v>
      </c>
      <c r="H256" s="212"/>
      <c r="I256" s="212"/>
      <c r="J256" s="212"/>
      <c r="K256" s="213"/>
      <c r="L256" s="54">
        <f>L251-L252+L255</f>
        <v>296595</v>
      </c>
      <c r="M256" s="17"/>
      <c r="N256" s="6"/>
      <c r="O256" s="78"/>
      <c r="P256" s="21"/>
    </row>
    <row r="257" spans="1:15">
      <c r="A257" s="5"/>
      <c r="B257" s="5"/>
      <c r="C257" s="5"/>
      <c r="D257" s="5"/>
      <c r="E257" s="5"/>
      <c r="F257" s="5"/>
      <c r="G257" s="17"/>
      <c r="H257" s="17"/>
      <c r="I257" s="17"/>
      <c r="J257" s="17"/>
      <c r="K257" s="17"/>
      <c r="L257" s="17"/>
      <c r="M257" s="17"/>
      <c r="N257" s="6"/>
    </row>
    <row r="260" spans="1:15" ht="20.100000000000001" customHeight="1">
      <c r="A260" s="249" t="s">
        <v>53</v>
      </c>
      <c r="B260" s="249"/>
      <c r="C260" s="18"/>
      <c r="D260" s="18"/>
      <c r="E260" s="249" t="s">
        <v>54</v>
      </c>
      <c r="F260" s="249"/>
      <c r="G260" s="249"/>
      <c r="H260" s="250" t="s">
        <v>55</v>
      </c>
      <c r="I260" s="250"/>
      <c r="J260" s="250"/>
      <c r="K260" s="250"/>
      <c r="L260" s="250"/>
      <c r="M260" s="250"/>
      <c r="N260" s="250"/>
    </row>
    <row r="261" spans="1:15" ht="20.100000000000001" customHeight="1">
      <c r="A261" s="261" t="s">
        <v>509</v>
      </c>
      <c r="B261" s="261"/>
      <c r="E261" s="261" t="s">
        <v>510</v>
      </c>
      <c r="F261" s="261"/>
      <c r="G261" s="261"/>
      <c r="H261" s="259" t="s">
        <v>511</v>
      </c>
      <c r="I261" s="259"/>
      <c r="J261" s="259"/>
      <c r="K261" s="259"/>
      <c r="L261" s="259"/>
      <c r="M261" s="259"/>
      <c r="N261" s="259"/>
    </row>
    <row r="262" spans="1:15" ht="16.8">
      <c r="A262" s="18"/>
      <c r="B262" s="18"/>
      <c r="C262" s="18"/>
      <c r="D262" s="18"/>
      <c r="E262" s="18"/>
      <c r="F262" s="18"/>
      <c r="G262" s="19"/>
      <c r="H262" s="19"/>
      <c r="I262" s="19"/>
      <c r="J262" s="19"/>
    </row>
    <row r="263" spans="1:15" ht="18.600000000000001" hidden="1">
      <c r="A263" s="224" t="s">
        <v>0</v>
      </c>
      <c r="B263" s="224"/>
      <c r="C263" s="224"/>
      <c r="D263" s="224"/>
      <c r="E263" s="224"/>
      <c r="F263" s="224"/>
      <c r="G263" s="224"/>
      <c r="H263" s="224"/>
      <c r="I263" s="224"/>
      <c r="J263" s="224"/>
      <c r="K263" s="224"/>
      <c r="L263" s="224"/>
      <c r="M263" s="224"/>
      <c r="N263" s="224"/>
      <c r="O263" s="224"/>
    </row>
    <row r="264" spans="1:15" ht="18.600000000000001" hidden="1">
      <c r="A264" s="224" t="s">
        <v>1</v>
      </c>
      <c r="B264" s="224"/>
      <c r="C264" s="224"/>
      <c r="D264" s="224"/>
      <c r="E264" s="224"/>
      <c r="F264" s="224"/>
      <c r="G264" s="224"/>
      <c r="H264" s="224"/>
      <c r="I264" s="224"/>
      <c r="J264" s="224"/>
      <c r="K264" s="224"/>
      <c r="L264" s="224"/>
      <c r="M264" s="224"/>
      <c r="N264" s="224"/>
      <c r="O264" s="224"/>
    </row>
    <row r="265" spans="1:15" hidden="1"/>
    <row r="266" spans="1:15" hidden="1">
      <c r="A266" s="225" t="s">
        <v>158</v>
      </c>
      <c r="B266" s="225"/>
      <c r="C266" s="225"/>
      <c r="D266" s="225"/>
      <c r="E266" s="225"/>
      <c r="F266" s="225"/>
      <c r="G266" s="225"/>
      <c r="H266" s="225"/>
      <c r="I266" s="225"/>
      <c r="J266" s="225"/>
      <c r="K266" s="225"/>
      <c r="L266" s="225"/>
      <c r="M266" s="225"/>
      <c r="N266" s="225"/>
    </row>
    <row r="267" spans="1:15" hidden="1">
      <c r="A267" s="3" t="s">
        <v>3</v>
      </c>
      <c r="B267" s="4">
        <f>B224</f>
        <v>2439</v>
      </c>
      <c r="C267" s="4"/>
      <c r="D267" s="4"/>
      <c r="E267" s="3" t="s">
        <v>4</v>
      </c>
      <c r="F267" s="215" t="str">
        <f>F224</f>
        <v>Mahajan Ganesh Trambak</v>
      </c>
      <c r="G267" s="215"/>
      <c r="H267" s="215"/>
      <c r="I267" s="215"/>
      <c r="J267" s="215"/>
      <c r="K267" s="215"/>
      <c r="L267" s="215"/>
      <c r="M267" s="215"/>
      <c r="N267" s="215"/>
    </row>
    <row r="268" spans="1:15" hidden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6"/>
      <c r="L268" s="6"/>
      <c r="M268" s="6"/>
      <c r="N268" s="5"/>
    </row>
    <row r="269" spans="1:15" ht="20.399999999999999" hidden="1">
      <c r="A269" s="3" t="s">
        <v>6</v>
      </c>
      <c r="B269" s="4">
        <f>B226</f>
        <v>2439</v>
      </c>
      <c r="C269" s="4"/>
      <c r="D269" s="4"/>
      <c r="E269" s="3" t="s">
        <v>7</v>
      </c>
      <c r="F269" s="268"/>
      <c r="G269" s="269"/>
      <c r="H269" s="3" t="s">
        <v>8</v>
      </c>
      <c r="I269" s="3"/>
      <c r="J269" s="3"/>
      <c r="K269" s="270" t="str">
        <f>K226</f>
        <v>Asst. Jr. Engineer</v>
      </c>
      <c r="L269" s="270"/>
      <c r="M269" s="270"/>
      <c r="N269" s="270"/>
    </row>
    <row r="270" spans="1:15" hidden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6"/>
      <c r="L270" s="6"/>
      <c r="M270" s="6"/>
      <c r="N270" s="5"/>
    </row>
    <row r="271" spans="1:15" hidden="1">
      <c r="A271" s="3" t="s">
        <v>10</v>
      </c>
      <c r="B271" s="7">
        <v>8.6999999999999994E-2</v>
      </c>
      <c r="C271" s="7"/>
      <c r="D271" s="7"/>
      <c r="E271" s="3" t="s">
        <v>11</v>
      </c>
      <c r="F271" s="7">
        <v>0</v>
      </c>
      <c r="G271" s="216" t="s">
        <v>12</v>
      </c>
      <c r="H271" s="217"/>
      <c r="I271" s="29"/>
      <c r="J271" s="29"/>
      <c r="K271" s="266">
        <f>L252</f>
        <v>0</v>
      </c>
      <c r="L271" s="267"/>
      <c r="M271" s="267"/>
      <c r="N271" s="271"/>
    </row>
    <row r="272" spans="1:15" hidden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6"/>
      <c r="L272" s="6"/>
      <c r="M272" s="6"/>
      <c r="N272" s="5"/>
    </row>
    <row r="273" spans="1:15" ht="30.6" hidden="1">
      <c r="A273" s="39" t="s">
        <v>13</v>
      </c>
      <c r="B273" s="40" t="s">
        <v>14</v>
      </c>
      <c r="C273" s="40"/>
      <c r="D273" s="40"/>
      <c r="E273" s="40" t="s">
        <v>349</v>
      </c>
      <c r="F273" s="40" t="s">
        <v>15</v>
      </c>
      <c r="G273" s="40" t="s">
        <v>16</v>
      </c>
      <c r="H273" s="40" t="s">
        <v>17</v>
      </c>
      <c r="I273" s="40"/>
      <c r="J273" s="40"/>
      <c r="K273" s="38" t="s">
        <v>18</v>
      </c>
      <c r="L273" s="38"/>
      <c r="M273" s="38"/>
      <c r="N273" s="38" t="s">
        <v>19</v>
      </c>
      <c r="O273" s="41" t="s">
        <v>20</v>
      </c>
    </row>
    <row r="274" spans="1:15" hidden="1">
      <c r="A274" s="42" t="s">
        <v>159</v>
      </c>
      <c r="B274" s="20">
        <v>0</v>
      </c>
      <c r="C274" s="20"/>
      <c r="D274" s="20"/>
      <c r="E274" s="20">
        <f>B274</f>
        <v>0</v>
      </c>
      <c r="F274" s="20">
        <v>0</v>
      </c>
      <c r="G274" s="20">
        <f t="shared" ref="G274:G285" si="91">(E274+B274)+F274</f>
        <v>0</v>
      </c>
      <c r="H274" s="20">
        <v>0</v>
      </c>
      <c r="I274" s="20"/>
      <c r="J274" s="20"/>
      <c r="K274" s="20">
        <f>(K271+G274)-H274</f>
        <v>0</v>
      </c>
      <c r="L274" s="20"/>
      <c r="M274" s="20"/>
      <c r="N274" s="20">
        <f t="shared" ref="N274:N285" si="92">ROUND((K274*8.7/100)/12,0)</f>
        <v>0</v>
      </c>
      <c r="O274" s="210" t="s">
        <v>160</v>
      </c>
    </row>
    <row r="275" spans="1:15" hidden="1">
      <c r="A275" s="42" t="s">
        <v>161</v>
      </c>
      <c r="B275" s="20">
        <v>0</v>
      </c>
      <c r="C275" s="20"/>
      <c r="D275" s="20"/>
      <c r="E275" s="20">
        <f t="shared" ref="E275:E285" si="93">B275</f>
        <v>0</v>
      </c>
      <c r="F275" s="20">
        <v>0</v>
      </c>
      <c r="G275" s="20">
        <f t="shared" si="91"/>
        <v>0</v>
      </c>
      <c r="H275" s="20">
        <v>0</v>
      </c>
      <c r="I275" s="20"/>
      <c r="J275" s="20"/>
      <c r="K275" s="20">
        <f t="shared" ref="K275:K285" si="94">(K274+G275)-H275</f>
        <v>0</v>
      </c>
      <c r="L275" s="20"/>
      <c r="M275" s="20"/>
      <c r="N275" s="20">
        <f t="shared" si="92"/>
        <v>0</v>
      </c>
      <c r="O275" s="210"/>
    </row>
    <row r="276" spans="1:15" hidden="1">
      <c r="A276" s="42" t="s">
        <v>162</v>
      </c>
      <c r="B276" s="20">
        <v>0</v>
      </c>
      <c r="C276" s="20"/>
      <c r="D276" s="20"/>
      <c r="E276" s="20">
        <f t="shared" si="93"/>
        <v>0</v>
      </c>
      <c r="F276" s="20">
        <v>0</v>
      </c>
      <c r="G276" s="20">
        <f t="shared" si="91"/>
        <v>0</v>
      </c>
      <c r="H276" s="20">
        <v>0</v>
      </c>
      <c r="I276" s="20"/>
      <c r="J276" s="20"/>
      <c r="K276" s="20">
        <f t="shared" si="94"/>
        <v>0</v>
      </c>
      <c r="L276" s="20"/>
      <c r="M276" s="20"/>
      <c r="N276" s="20">
        <f t="shared" si="92"/>
        <v>0</v>
      </c>
      <c r="O276" s="210"/>
    </row>
    <row r="277" spans="1:15" hidden="1">
      <c r="A277" s="42" t="s">
        <v>163</v>
      </c>
      <c r="B277" s="20">
        <v>0</v>
      </c>
      <c r="C277" s="20"/>
      <c r="D277" s="20"/>
      <c r="E277" s="20">
        <f t="shared" si="93"/>
        <v>0</v>
      </c>
      <c r="F277" s="20">
        <v>0</v>
      </c>
      <c r="G277" s="20">
        <f t="shared" si="91"/>
        <v>0</v>
      </c>
      <c r="H277" s="20">
        <v>0</v>
      </c>
      <c r="I277" s="20"/>
      <c r="J277" s="20"/>
      <c r="K277" s="20">
        <f t="shared" si="94"/>
        <v>0</v>
      </c>
      <c r="L277" s="20"/>
      <c r="M277" s="20"/>
      <c r="N277" s="20">
        <f t="shared" si="92"/>
        <v>0</v>
      </c>
      <c r="O277" s="210"/>
    </row>
    <row r="278" spans="1:15" hidden="1">
      <c r="A278" s="42" t="s">
        <v>164</v>
      </c>
      <c r="B278" s="20">
        <v>0</v>
      </c>
      <c r="C278" s="20"/>
      <c r="D278" s="20"/>
      <c r="E278" s="20">
        <f t="shared" si="93"/>
        <v>0</v>
      </c>
      <c r="F278" s="20">
        <v>0</v>
      </c>
      <c r="G278" s="20">
        <f t="shared" si="91"/>
        <v>0</v>
      </c>
      <c r="H278" s="20">
        <v>0</v>
      </c>
      <c r="I278" s="20"/>
      <c r="J278" s="20"/>
      <c r="K278" s="20">
        <f t="shared" si="94"/>
        <v>0</v>
      </c>
      <c r="L278" s="20"/>
      <c r="M278" s="20"/>
      <c r="N278" s="20">
        <f t="shared" si="92"/>
        <v>0</v>
      </c>
      <c r="O278" s="210"/>
    </row>
    <row r="279" spans="1:15" hidden="1">
      <c r="A279" s="42" t="s">
        <v>165</v>
      </c>
      <c r="B279" s="20">
        <v>0</v>
      </c>
      <c r="C279" s="20"/>
      <c r="D279" s="20"/>
      <c r="E279" s="20">
        <f t="shared" si="93"/>
        <v>0</v>
      </c>
      <c r="F279" s="20">
        <v>0</v>
      </c>
      <c r="G279" s="20">
        <f t="shared" si="91"/>
        <v>0</v>
      </c>
      <c r="H279" s="20">
        <v>0</v>
      </c>
      <c r="I279" s="20"/>
      <c r="J279" s="20"/>
      <c r="K279" s="20">
        <f t="shared" si="94"/>
        <v>0</v>
      </c>
      <c r="L279" s="20"/>
      <c r="M279" s="20"/>
      <c r="N279" s="20">
        <f t="shared" si="92"/>
        <v>0</v>
      </c>
      <c r="O279" s="210"/>
    </row>
    <row r="280" spans="1:15" hidden="1">
      <c r="A280" s="42" t="s">
        <v>166</v>
      </c>
      <c r="B280" s="20">
        <v>0</v>
      </c>
      <c r="C280" s="20"/>
      <c r="D280" s="20"/>
      <c r="E280" s="20">
        <f t="shared" si="93"/>
        <v>0</v>
      </c>
      <c r="F280" s="20">
        <v>0</v>
      </c>
      <c r="G280" s="20">
        <f t="shared" si="91"/>
        <v>0</v>
      </c>
      <c r="H280" s="20">
        <v>0</v>
      </c>
      <c r="I280" s="20"/>
      <c r="J280" s="20"/>
      <c r="K280" s="20">
        <f t="shared" si="94"/>
        <v>0</v>
      </c>
      <c r="L280" s="20"/>
      <c r="M280" s="20"/>
      <c r="N280" s="20">
        <f t="shared" si="92"/>
        <v>0</v>
      </c>
      <c r="O280" s="210"/>
    </row>
    <row r="281" spans="1:15" hidden="1">
      <c r="A281" s="42" t="s">
        <v>167</v>
      </c>
      <c r="B281" s="20">
        <v>0</v>
      </c>
      <c r="C281" s="20"/>
      <c r="D281" s="20"/>
      <c r="E281" s="20">
        <f t="shared" si="93"/>
        <v>0</v>
      </c>
      <c r="F281" s="20">
        <v>0</v>
      </c>
      <c r="G281" s="20">
        <f t="shared" si="91"/>
        <v>0</v>
      </c>
      <c r="H281" s="20">
        <v>0</v>
      </c>
      <c r="I281" s="20"/>
      <c r="J281" s="20"/>
      <c r="K281" s="20">
        <f t="shared" si="94"/>
        <v>0</v>
      </c>
      <c r="L281" s="20"/>
      <c r="M281" s="20"/>
      <c r="N281" s="20">
        <f t="shared" si="92"/>
        <v>0</v>
      </c>
      <c r="O281" s="210"/>
    </row>
    <row r="282" spans="1:15" hidden="1">
      <c r="A282" s="42" t="s">
        <v>168</v>
      </c>
      <c r="B282" s="20">
        <v>0</v>
      </c>
      <c r="C282" s="20"/>
      <c r="D282" s="20"/>
      <c r="E282" s="20">
        <f t="shared" si="93"/>
        <v>0</v>
      </c>
      <c r="F282" s="20">
        <v>0</v>
      </c>
      <c r="G282" s="20">
        <f t="shared" si="91"/>
        <v>0</v>
      </c>
      <c r="H282" s="20">
        <v>0</v>
      </c>
      <c r="I282" s="20"/>
      <c r="J282" s="20"/>
      <c r="K282" s="20">
        <f t="shared" si="94"/>
        <v>0</v>
      </c>
      <c r="L282" s="20"/>
      <c r="M282" s="20"/>
      <c r="N282" s="20">
        <f t="shared" si="92"/>
        <v>0</v>
      </c>
      <c r="O282" s="210"/>
    </row>
    <row r="283" spans="1:15" hidden="1">
      <c r="A283" s="42" t="s">
        <v>169</v>
      </c>
      <c r="B283" s="20">
        <v>0</v>
      </c>
      <c r="C283" s="20"/>
      <c r="D283" s="20"/>
      <c r="E283" s="20">
        <f t="shared" si="93"/>
        <v>0</v>
      </c>
      <c r="F283" s="20">
        <v>0</v>
      </c>
      <c r="G283" s="20">
        <f t="shared" si="91"/>
        <v>0</v>
      </c>
      <c r="H283" s="20">
        <v>0</v>
      </c>
      <c r="I283" s="20"/>
      <c r="J283" s="20"/>
      <c r="K283" s="20">
        <f t="shared" si="94"/>
        <v>0</v>
      </c>
      <c r="L283" s="20"/>
      <c r="M283" s="20"/>
      <c r="N283" s="20">
        <f t="shared" si="92"/>
        <v>0</v>
      </c>
      <c r="O283" s="210"/>
    </row>
    <row r="284" spans="1:15" hidden="1">
      <c r="A284" s="42" t="s">
        <v>170</v>
      </c>
      <c r="B284" s="20">
        <v>0</v>
      </c>
      <c r="C284" s="20"/>
      <c r="D284" s="20"/>
      <c r="E284" s="20">
        <f t="shared" si="93"/>
        <v>0</v>
      </c>
      <c r="F284" s="20">
        <v>0</v>
      </c>
      <c r="G284" s="20">
        <f t="shared" si="91"/>
        <v>0</v>
      </c>
      <c r="H284" s="20">
        <v>0</v>
      </c>
      <c r="I284" s="20"/>
      <c r="J284" s="20"/>
      <c r="K284" s="20">
        <f t="shared" si="94"/>
        <v>0</v>
      </c>
      <c r="L284" s="20"/>
      <c r="M284" s="20"/>
      <c r="N284" s="20">
        <f t="shared" si="92"/>
        <v>0</v>
      </c>
      <c r="O284" s="210"/>
    </row>
    <row r="285" spans="1:15" hidden="1">
      <c r="A285" s="42" t="s">
        <v>171</v>
      </c>
      <c r="B285" s="20">
        <v>0</v>
      </c>
      <c r="C285" s="20"/>
      <c r="D285" s="20"/>
      <c r="E285" s="20">
        <f t="shared" si="93"/>
        <v>0</v>
      </c>
      <c r="F285" s="20">
        <v>0</v>
      </c>
      <c r="G285" s="20">
        <f t="shared" si="91"/>
        <v>0</v>
      </c>
      <c r="H285" s="20">
        <v>0</v>
      </c>
      <c r="I285" s="20"/>
      <c r="J285" s="20"/>
      <c r="K285" s="20">
        <f t="shared" si="94"/>
        <v>0</v>
      </c>
      <c r="L285" s="20"/>
      <c r="M285" s="20"/>
      <c r="N285" s="20">
        <f t="shared" si="92"/>
        <v>0</v>
      </c>
      <c r="O285" s="210"/>
    </row>
    <row r="286" spans="1:15" ht="15" hidden="1" thickBot="1">
      <c r="A286" s="43" t="s">
        <v>172</v>
      </c>
      <c r="B286" s="44">
        <f t="shared" ref="B286:N286" si="95">SUM(B274:B285)</f>
        <v>0</v>
      </c>
      <c r="C286" s="44"/>
      <c r="D286" s="44"/>
      <c r="E286" s="44">
        <f t="shared" si="95"/>
        <v>0</v>
      </c>
      <c r="F286" s="44">
        <f t="shared" si="95"/>
        <v>0</v>
      </c>
      <c r="G286" s="44">
        <f t="shared" si="95"/>
        <v>0</v>
      </c>
      <c r="H286" s="44">
        <f t="shared" si="95"/>
        <v>0</v>
      </c>
      <c r="I286" s="44"/>
      <c r="J286" s="44"/>
      <c r="K286" s="44">
        <f>SUM(K274:K285)</f>
        <v>0</v>
      </c>
      <c r="L286" s="44"/>
      <c r="M286" s="44"/>
      <c r="N286" s="44">
        <f t="shared" si="95"/>
        <v>0</v>
      </c>
      <c r="O286" s="45"/>
    </row>
    <row r="287" spans="1:15" hidden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6"/>
      <c r="L287" s="6"/>
      <c r="M287" s="6"/>
      <c r="N287" s="5"/>
    </row>
    <row r="288" spans="1:15" ht="15" hidden="1" thickBot="1">
      <c r="A288" s="5"/>
      <c r="B288" s="6"/>
      <c r="C288" s="6"/>
      <c r="D288" s="6"/>
      <c r="E288" s="5"/>
      <c r="F288" s="5"/>
      <c r="G288" s="211" t="s">
        <v>47</v>
      </c>
      <c r="H288" s="212"/>
      <c r="I288" s="212"/>
      <c r="J288" s="212"/>
      <c r="K288" s="213"/>
      <c r="L288" s="26"/>
      <c r="M288" s="26"/>
      <c r="N288" s="16">
        <f>K271</f>
        <v>0</v>
      </c>
    </row>
    <row r="289" spans="1:15" ht="15" hidden="1" thickBot="1">
      <c r="A289" s="5"/>
      <c r="B289" s="5"/>
      <c r="C289" s="5"/>
      <c r="D289" s="5"/>
      <c r="E289" s="5"/>
      <c r="F289" s="5"/>
      <c r="G289" s="211" t="s">
        <v>48</v>
      </c>
      <c r="H289" s="212"/>
      <c r="I289" s="212"/>
      <c r="J289" s="212"/>
      <c r="K289" s="213"/>
      <c r="L289" s="26"/>
      <c r="M289" s="26"/>
      <c r="N289" s="16">
        <f>B286+F286</f>
        <v>0</v>
      </c>
    </row>
    <row r="290" spans="1:15" ht="15" hidden="1" thickBot="1">
      <c r="A290" s="5"/>
      <c r="B290" s="5"/>
      <c r="C290" s="5"/>
      <c r="D290" s="5"/>
      <c r="E290" s="5"/>
      <c r="F290" s="5"/>
      <c r="G290" s="211" t="s">
        <v>349</v>
      </c>
      <c r="H290" s="212"/>
      <c r="I290" s="212"/>
      <c r="J290" s="212"/>
      <c r="K290" s="213"/>
      <c r="L290" s="26"/>
      <c r="M290" s="26"/>
      <c r="N290" s="16">
        <f>E286</f>
        <v>0</v>
      </c>
    </row>
    <row r="291" spans="1:15" ht="15" hidden="1" thickBot="1">
      <c r="A291" s="5"/>
      <c r="B291" s="5"/>
      <c r="C291" s="5"/>
      <c r="D291" s="5"/>
      <c r="E291" s="5"/>
      <c r="F291" s="5"/>
      <c r="G291" s="211" t="s">
        <v>49</v>
      </c>
      <c r="H291" s="212"/>
      <c r="I291" s="212"/>
      <c r="J291" s="212"/>
      <c r="K291" s="213"/>
      <c r="L291" s="26"/>
      <c r="M291" s="26"/>
      <c r="N291" s="16">
        <f>SUM(N288:N290)</f>
        <v>0</v>
      </c>
    </row>
    <row r="292" spans="1:15" ht="15" hidden="1" thickBot="1">
      <c r="A292" s="5"/>
      <c r="B292" s="5"/>
      <c r="C292" s="5"/>
      <c r="D292" s="5"/>
      <c r="E292" s="5"/>
      <c r="F292" s="5"/>
      <c r="G292" s="211" t="s">
        <v>50</v>
      </c>
      <c r="H292" s="212"/>
      <c r="I292" s="212"/>
      <c r="J292" s="212"/>
      <c r="K292" s="213"/>
      <c r="L292" s="26"/>
      <c r="M292" s="26"/>
      <c r="N292" s="16">
        <f>H286</f>
        <v>0</v>
      </c>
    </row>
    <row r="293" spans="1:15" ht="15" hidden="1" thickBot="1">
      <c r="A293" s="5"/>
      <c r="B293" s="5"/>
      <c r="C293" s="5"/>
      <c r="D293" s="5"/>
      <c r="E293" s="5"/>
      <c r="F293" s="5"/>
      <c r="G293" s="211" t="s">
        <v>51</v>
      </c>
      <c r="H293" s="212"/>
      <c r="I293" s="212"/>
      <c r="J293" s="212"/>
      <c r="K293" s="213"/>
      <c r="L293" s="26"/>
      <c r="M293" s="26"/>
      <c r="N293" s="16">
        <f>N286</f>
        <v>0</v>
      </c>
    </row>
    <row r="294" spans="1:15" ht="15" hidden="1" thickBot="1">
      <c r="A294" s="5"/>
      <c r="B294" s="5"/>
      <c r="C294" s="5"/>
      <c r="D294" s="5"/>
      <c r="E294" s="5"/>
      <c r="F294" s="5"/>
      <c r="G294" s="211" t="s">
        <v>52</v>
      </c>
      <c r="H294" s="212"/>
      <c r="I294" s="212"/>
      <c r="J294" s="212"/>
      <c r="K294" s="213"/>
      <c r="L294" s="26"/>
      <c r="M294" s="26"/>
      <c r="N294" s="16">
        <f>(N291-N292)+N293</f>
        <v>0</v>
      </c>
    </row>
    <row r="295" spans="1:15" hidden="1">
      <c r="A295" s="5"/>
      <c r="B295" s="5"/>
      <c r="C295" s="5"/>
      <c r="D295" s="5"/>
      <c r="E295" s="5"/>
      <c r="F295" s="5"/>
      <c r="G295" s="17"/>
      <c r="H295" s="17"/>
      <c r="I295" s="17"/>
      <c r="J295" s="17"/>
      <c r="K295" s="17"/>
      <c r="L295" s="17"/>
      <c r="M295" s="17"/>
      <c r="N295" s="6"/>
    </row>
    <row r="296" spans="1:15" hidden="1"/>
    <row r="297" spans="1:15" hidden="1"/>
    <row r="298" spans="1:15" ht="16.8" hidden="1">
      <c r="A298" s="249" t="s">
        <v>53</v>
      </c>
      <c r="B298" s="249"/>
      <c r="C298" s="18"/>
      <c r="D298" s="18"/>
      <c r="E298" s="249" t="s">
        <v>54</v>
      </c>
      <c r="F298" s="249"/>
      <c r="G298" s="249"/>
      <c r="H298" s="250" t="s">
        <v>55</v>
      </c>
      <c r="I298" s="250"/>
      <c r="J298" s="250"/>
      <c r="K298" s="250"/>
      <c r="L298" s="250"/>
      <c r="M298" s="250"/>
      <c r="N298" s="250"/>
    </row>
    <row r="299" spans="1:15" ht="16.8" hidden="1">
      <c r="A299" s="18"/>
      <c r="B299" s="18"/>
      <c r="C299" s="18"/>
      <c r="D299" s="18"/>
      <c r="E299" s="18"/>
      <c r="F299" s="18"/>
      <c r="G299" s="19"/>
      <c r="H299" s="19"/>
      <c r="I299" s="19"/>
      <c r="J299" s="19"/>
    </row>
    <row r="300" spans="1:15" ht="16.8" hidden="1">
      <c r="A300" s="18"/>
      <c r="B300" s="18"/>
      <c r="C300" s="18"/>
      <c r="D300" s="18"/>
      <c r="E300" s="18"/>
      <c r="F300" s="18"/>
      <c r="G300" s="19"/>
      <c r="H300" s="19"/>
      <c r="I300" s="19"/>
      <c r="J300" s="19"/>
    </row>
    <row r="301" spans="1:15" ht="18.600000000000001" hidden="1">
      <c r="A301" s="224" t="s">
        <v>0</v>
      </c>
      <c r="B301" s="224"/>
      <c r="C301" s="224"/>
      <c r="D301" s="224"/>
      <c r="E301" s="224"/>
      <c r="F301" s="224"/>
      <c r="G301" s="224"/>
      <c r="H301" s="224"/>
      <c r="I301" s="224"/>
      <c r="J301" s="224"/>
      <c r="K301" s="224"/>
      <c r="L301" s="224"/>
      <c r="M301" s="224"/>
      <c r="N301" s="224"/>
      <c r="O301" s="224"/>
    </row>
    <row r="302" spans="1:15" ht="18.600000000000001" hidden="1">
      <c r="A302" s="224" t="s">
        <v>1</v>
      </c>
      <c r="B302" s="224"/>
      <c r="C302" s="224"/>
      <c r="D302" s="224"/>
      <c r="E302" s="224"/>
      <c r="F302" s="224"/>
      <c r="G302" s="224"/>
      <c r="H302" s="224"/>
      <c r="I302" s="224"/>
      <c r="J302" s="224"/>
      <c r="K302" s="224"/>
      <c r="L302" s="224"/>
      <c r="M302" s="224"/>
      <c r="N302" s="224"/>
      <c r="O302" s="224"/>
    </row>
    <row r="303" spans="1:15" hidden="1"/>
    <row r="304" spans="1:15" hidden="1">
      <c r="A304" s="258" t="s">
        <v>173</v>
      </c>
      <c r="B304" s="258"/>
      <c r="C304" s="258"/>
      <c r="D304" s="258"/>
      <c r="E304" s="258"/>
      <c r="F304" s="258"/>
      <c r="G304" s="258"/>
      <c r="H304" s="258"/>
      <c r="I304" s="258"/>
      <c r="J304" s="258"/>
      <c r="K304" s="258"/>
      <c r="L304" s="258"/>
      <c r="M304" s="258"/>
      <c r="N304" s="258"/>
    </row>
    <row r="305" spans="1:15" hidden="1">
      <c r="A305" s="3" t="s">
        <v>3</v>
      </c>
      <c r="B305" s="4">
        <f>B267</f>
        <v>2439</v>
      </c>
      <c r="C305" s="4"/>
      <c r="D305" s="4"/>
      <c r="E305" s="3" t="s">
        <v>4</v>
      </c>
      <c r="F305" s="216" t="str">
        <f>F267</f>
        <v>Mahajan Ganesh Trambak</v>
      </c>
      <c r="G305" s="278"/>
      <c r="H305" s="278"/>
      <c r="I305" s="278"/>
      <c r="J305" s="278"/>
      <c r="K305" s="278"/>
      <c r="L305" s="278"/>
      <c r="M305" s="278"/>
      <c r="N305" s="217"/>
    </row>
    <row r="306" spans="1:15" hidden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6"/>
      <c r="L306" s="6"/>
      <c r="M306" s="6"/>
      <c r="N306" s="5"/>
    </row>
    <row r="307" spans="1:15" ht="20.399999999999999" hidden="1">
      <c r="A307" s="3" t="s">
        <v>6</v>
      </c>
      <c r="B307" s="4">
        <f>B269</f>
        <v>2439</v>
      </c>
      <c r="C307" s="4"/>
      <c r="D307" s="4"/>
      <c r="E307" s="3" t="s">
        <v>7</v>
      </c>
      <c r="F307" s="268"/>
      <c r="G307" s="269"/>
      <c r="H307" s="3" t="s">
        <v>8</v>
      </c>
      <c r="I307" s="27"/>
      <c r="J307" s="27"/>
      <c r="K307" s="279" t="str">
        <f>K269</f>
        <v>Asst. Jr. Engineer</v>
      </c>
      <c r="L307" s="280"/>
      <c r="M307" s="280"/>
      <c r="N307" s="281"/>
    </row>
    <row r="308" spans="1:15" hidden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6"/>
      <c r="L308" s="6"/>
      <c r="M308" s="6"/>
      <c r="N308" s="5"/>
    </row>
    <row r="309" spans="1:15" hidden="1">
      <c r="A309" s="3" t="s">
        <v>10</v>
      </c>
      <c r="B309" s="7">
        <v>8.6999999999999994E-2</v>
      </c>
      <c r="C309" s="7"/>
      <c r="D309" s="7"/>
      <c r="E309" s="3" t="s">
        <v>11</v>
      </c>
      <c r="F309" s="7">
        <v>0</v>
      </c>
      <c r="G309" s="216" t="s">
        <v>12</v>
      </c>
      <c r="H309" s="217"/>
      <c r="I309" s="29"/>
      <c r="J309" s="29"/>
      <c r="K309" s="266">
        <f>N294</f>
        <v>0</v>
      </c>
      <c r="L309" s="267"/>
      <c r="M309" s="267"/>
      <c r="N309" s="271"/>
    </row>
    <row r="310" spans="1:15" hidden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6"/>
      <c r="L310" s="6"/>
      <c r="M310" s="6"/>
      <c r="N310" s="5"/>
    </row>
    <row r="311" spans="1:15" ht="30.6" hidden="1">
      <c r="A311" s="9" t="s">
        <v>13</v>
      </c>
      <c r="B311" s="9" t="s">
        <v>14</v>
      </c>
      <c r="C311" s="9"/>
      <c r="D311" s="9"/>
      <c r="E311" s="9" t="s">
        <v>349</v>
      </c>
      <c r="F311" s="9" t="s">
        <v>15</v>
      </c>
      <c r="G311" s="9" t="s">
        <v>16</v>
      </c>
      <c r="H311" s="9" t="s">
        <v>17</v>
      </c>
      <c r="I311" s="9"/>
      <c r="J311" s="9"/>
      <c r="K311" s="10" t="s">
        <v>18</v>
      </c>
      <c r="L311" s="10"/>
      <c r="M311" s="10"/>
      <c r="N311" s="10" t="s">
        <v>19</v>
      </c>
      <c r="O311" s="11" t="s">
        <v>20</v>
      </c>
    </row>
    <row r="312" spans="1:15" hidden="1">
      <c r="A312" s="3" t="s">
        <v>174</v>
      </c>
      <c r="B312" s="13">
        <v>0</v>
      </c>
      <c r="C312" s="13"/>
      <c r="D312" s="13"/>
      <c r="E312" s="13">
        <f>B312</f>
        <v>0</v>
      </c>
      <c r="F312" s="13">
        <v>0</v>
      </c>
      <c r="G312" s="13">
        <f t="shared" ref="G312:G323" si="96">(E312+B312)+F312</f>
        <v>0</v>
      </c>
      <c r="H312" s="13">
        <v>0</v>
      </c>
      <c r="I312" s="13"/>
      <c r="J312" s="13"/>
      <c r="K312" s="13">
        <f>(K309+G312)-H312</f>
        <v>0</v>
      </c>
      <c r="L312" s="14"/>
      <c r="M312" s="14"/>
      <c r="N312" s="14">
        <f>ROUND((K312*8.7/100)/12,0)</f>
        <v>0</v>
      </c>
      <c r="O312" s="272" t="s">
        <v>160</v>
      </c>
    </row>
    <row r="313" spans="1:15" hidden="1">
      <c r="A313" s="3" t="s">
        <v>175</v>
      </c>
      <c r="B313" s="13">
        <v>0</v>
      </c>
      <c r="C313" s="13"/>
      <c r="D313" s="13"/>
      <c r="E313" s="13">
        <f t="shared" ref="E313:E323" si="97">B313</f>
        <v>0</v>
      </c>
      <c r="F313" s="13">
        <v>0</v>
      </c>
      <c r="G313" s="13">
        <f t="shared" si="96"/>
        <v>0</v>
      </c>
      <c r="H313" s="13">
        <v>0</v>
      </c>
      <c r="I313" s="48"/>
      <c r="J313" s="48"/>
      <c r="K313" s="20">
        <f t="shared" ref="K313:K323" si="98">(K312+G313)-H313</f>
        <v>0</v>
      </c>
      <c r="L313" s="52"/>
      <c r="M313" s="52"/>
      <c r="N313" s="14">
        <f t="shared" ref="N313:N322" si="99">ROUND((K313*8.7/100)/12,0)</f>
        <v>0</v>
      </c>
      <c r="O313" s="273"/>
    </row>
    <row r="314" spans="1:15" hidden="1">
      <c r="A314" s="3" t="s">
        <v>176</v>
      </c>
      <c r="B314" s="13">
        <v>0</v>
      </c>
      <c r="C314" s="13"/>
      <c r="D314" s="13"/>
      <c r="E314" s="13">
        <f t="shared" si="97"/>
        <v>0</v>
      </c>
      <c r="F314" s="13">
        <v>0</v>
      </c>
      <c r="G314" s="13">
        <f t="shared" si="96"/>
        <v>0</v>
      </c>
      <c r="H314" s="13">
        <v>0</v>
      </c>
      <c r="I314" s="48"/>
      <c r="J314" s="48"/>
      <c r="K314" s="20">
        <f t="shared" si="98"/>
        <v>0</v>
      </c>
      <c r="L314" s="52"/>
      <c r="M314" s="52"/>
      <c r="N314" s="14">
        <f t="shared" si="99"/>
        <v>0</v>
      </c>
      <c r="O314" s="273"/>
    </row>
    <row r="315" spans="1:15" hidden="1">
      <c r="A315" s="3" t="s">
        <v>177</v>
      </c>
      <c r="B315" s="13">
        <v>0</v>
      </c>
      <c r="C315" s="13"/>
      <c r="D315" s="13"/>
      <c r="E315" s="13">
        <f t="shared" si="97"/>
        <v>0</v>
      </c>
      <c r="F315" s="13">
        <v>0</v>
      </c>
      <c r="G315" s="13">
        <f t="shared" si="96"/>
        <v>0</v>
      </c>
      <c r="H315" s="13">
        <v>0</v>
      </c>
      <c r="I315" s="48"/>
      <c r="J315" s="48"/>
      <c r="K315" s="20">
        <f t="shared" si="98"/>
        <v>0</v>
      </c>
      <c r="L315" s="52"/>
      <c r="M315" s="52"/>
      <c r="N315" s="14">
        <f t="shared" si="99"/>
        <v>0</v>
      </c>
      <c r="O315" s="273"/>
    </row>
    <row r="316" spans="1:15" hidden="1">
      <c r="A316" s="3" t="s">
        <v>178</v>
      </c>
      <c r="B316" s="13">
        <v>0</v>
      </c>
      <c r="C316" s="13"/>
      <c r="D316" s="13"/>
      <c r="E316" s="13">
        <f t="shared" si="97"/>
        <v>0</v>
      </c>
      <c r="F316" s="13">
        <v>0</v>
      </c>
      <c r="G316" s="13">
        <f t="shared" si="96"/>
        <v>0</v>
      </c>
      <c r="H316" s="13">
        <v>0</v>
      </c>
      <c r="I316" s="48"/>
      <c r="J316" s="48"/>
      <c r="K316" s="20">
        <f t="shared" si="98"/>
        <v>0</v>
      </c>
      <c r="L316" s="52"/>
      <c r="M316" s="52"/>
      <c r="N316" s="14">
        <f t="shared" si="99"/>
        <v>0</v>
      </c>
      <c r="O316" s="273"/>
    </row>
    <row r="317" spans="1:15" hidden="1">
      <c r="A317" s="3" t="s">
        <v>179</v>
      </c>
      <c r="B317" s="13">
        <v>0</v>
      </c>
      <c r="C317" s="13"/>
      <c r="D317" s="13"/>
      <c r="E317" s="13">
        <f t="shared" si="97"/>
        <v>0</v>
      </c>
      <c r="F317" s="13">
        <v>0</v>
      </c>
      <c r="G317" s="13">
        <f t="shared" si="96"/>
        <v>0</v>
      </c>
      <c r="H317" s="13">
        <v>0</v>
      </c>
      <c r="I317" s="48"/>
      <c r="J317" s="48"/>
      <c r="K317" s="20">
        <f t="shared" si="98"/>
        <v>0</v>
      </c>
      <c r="L317" s="52"/>
      <c r="M317" s="52"/>
      <c r="N317" s="14">
        <f t="shared" si="99"/>
        <v>0</v>
      </c>
      <c r="O317" s="273"/>
    </row>
    <row r="318" spans="1:15" hidden="1">
      <c r="A318" s="3" t="s">
        <v>180</v>
      </c>
      <c r="B318" s="13">
        <v>0</v>
      </c>
      <c r="C318" s="13"/>
      <c r="D318" s="13"/>
      <c r="E318" s="13">
        <f t="shared" si="97"/>
        <v>0</v>
      </c>
      <c r="F318" s="13">
        <v>0</v>
      </c>
      <c r="G318" s="13">
        <f t="shared" si="96"/>
        <v>0</v>
      </c>
      <c r="H318" s="13">
        <v>0</v>
      </c>
      <c r="I318" s="48"/>
      <c r="J318" s="48"/>
      <c r="K318" s="20">
        <f t="shared" si="98"/>
        <v>0</v>
      </c>
      <c r="L318" s="52"/>
      <c r="M318" s="52"/>
      <c r="N318" s="14">
        <f t="shared" si="99"/>
        <v>0</v>
      </c>
      <c r="O318" s="273"/>
    </row>
    <row r="319" spans="1:15" hidden="1">
      <c r="A319" s="3" t="s">
        <v>181</v>
      </c>
      <c r="B319" s="13">
        <v>0</v>
      </c>
      <c r="C319" s="13"/>
      <c r="D319" s="13"/>
      <c r="E319" s="13">
        <f t="shared" si="97"/>
        <v>0</v>
      </c>
      <c r="F319" s="13">
        <v>0</v>
      </c>
      <c r="G319" s="13">
        <f t="shared" si="96"/>
        <v>0</v>
      </c>
      <c r="H319" s="13">
        <v>0</v>
      </c>
      <c r="I319" s="48"/>
      <c r="J319" s="48"/>
      <c r="K319" s="20">
        <f t="shared" si="98"/>
        <v>0</v>
      </c>
      <c r="L319" s="52"/>
      <c r="M319" s="52"/>
      <c r="N319" s="14">
        <f t="shared" si="99"/>
        <v>0</v>
      </c>
      <c r="O319" s="273"/>
    </row>
    <row r="320" spans="1:15" hidden="1">
      <c r="A320" s="3" t="s">
        <v>182</v>
      </c>
      <c r="B320" s="13">
        <v>0</v>
      </c>
      <c r="C320" s="13"/>
      <c r="D320" s="13"/>
      <c r="E320" s="13">
        <f t="shared" si="97"/>
        <v>0</v>
      </c>
      <c r="F320" s="13">
        <v>0</v>
      </c>
      <c r="G320" s="13">
        <f t="shared" si="96"/>
        <v>0</v>
      </c>
      <c r="H320" s="13">
        <v>0</v>
      </c>
      <c r="I320" s="48"/>
      <c r="J320" s="48"/>
      <c r="K320" s="20">
        <f t="shared" si="98"/>
        <v>0</v>
      </c>
      <c r="L320" s="52"/>
      <c r="M320" s="52"/>
      <c r="N320" s="14">
        <f t="shared" si="99"/>
        <v>0</v>
      </c>
      <c r="O320" s="273"/>
    </row>
    <row r="321" spans="1:15" hidden="1">
      <c r="A321" s="3" t="s">
        <v>183</v>
      </c>
      <c r="B321" s="13">
        <v>0</v>
      </c>
      <c r="C321" s="13"/>
      <c r="D321" s="13"/>
      <c r="E321" s="13">
        <f t="shared" si="97"/>
        <v>0</v>
      </c>
      <c r="F321" s="13">
        <v>0</v>
      </c>
      <c r="G321" s="13">
        <f t="shared" si="96"/>
        <v>0</v>
      </c>
      <c r="H321" s="13">
        <v>0</v>
      </c>
      <c r="I321" s="48"/>
      <c r="J321" s="48"/>
      <c r="K321" s="20">
        <f t="shared" si="98"/>
        <v>0</v>
      </c>
      <c r="L321" s="52"/>
      <c r="M321" s="52"/>
      <c r="N321" s="14">
        <f t="shared" si="99"/>
        <v>0</v>
      </c>
      <c r="O321" s="273"/>
    </row>
    <row r="322" spans="1:15" hidden="1">
      <c r="A322" s="3" t="s">
        <v>184</v>
      </c>
      <c r="B322" s="13">
        <v>0</v>
      </c>
      <c r="C322" s="13"/>
      <c r="D322" s="13"/>
      <c r="E322" s="13">
        <f t="shared" si="97"/>
        <v>0</v>
      </c>
      <c r="F322" s="13">
        <v>0</v>
      </c>
      <c r="G322" s="13">
        <f t="shared" si="96"/>
        <v>0</v>
      </c>
      <c r="H322" s="13">
        <v>0</v>
      </c>
      <c r="I322" s="48"/>
      <c r="J322" s="48"/>
      <c r="K322" s="20">
        <f t="shared" si="98"/>
        <v>0</v>
      </c>
      <c r="L322" s="52"/>
      <c r="M322" s="52"/>
      <c r="N322" s="14">
        <f t="shared" si="99"/>
        <v>0</v>
      </c>
      <c r="O322" s="273"/>
    </row>
    <row r="323" spans="1:15" hidden="1">
      <c r="A323" s="3" t="s">
        <v>185</v>
      </c>
      <c r="B323" s="13">
        <v>0</v>
      </c>
      <c r="C323" s="13"/>
      <c r="D323" s="13"/>
      <c r="E323" s="13">
        <f t="shared" si="97"/>
        <v>0</v>
      </c>
      <c r="F323" s="13">
        <v>0</v>
      </c>
      <c r="G323" s="13">
        <f t="shared" si="96"/>
        <v>0</v>
      </c>
      <c r="H323" s="13">
        <v>0</v>
      </c>
      <c r="I323" s="48"/>
      <c r="J323" s="48"/>
      <c r="K323" s="20">
        <f t="shared" si="98"/>
        <v>0</v>
      </c>
      <c r="L323" s="52"/>
      <c r="M323" s="52"/>
      <c r="N323" s="14">
        <f>ROUND((K323*8.7/100)/12,0)</f>
        <v>0</v>
      </c>
      <c r="O323" s="274"/>
    </row>
    <row r="324" spans="1:15" hidden="1">
      <c r="A324" s="3" t="s">
        <v>186</v>
      </c>
      <c r="B324" s="15">
        <f t="shared" ref="B324:N324" si="100">SUM(B312:B323)</f>
        <v>0</v>
      </c>
      <c r="C324" s="15"/>
      <c r="D324" s="15"/>
      <c r="E324" s="15">
        <f t="shared" si="100"/>
        <v>0</v>
      </c>
      <c r="F324" s="15">
        <f t="shared" si="100"/>
        <v>0</v>
      </c>
      <c r="G324" s="15">
        <f t="shared" si="100"/>
        <v>0</v>
      </c>
      <c r="H324" s="15">
        <f t="shared" si="100"/>
        <v>0</v>
      </c>
      <c r="I324" s="15"/>
      <c r="J324" s="15"/>
      <c r="K324" s="15">
        <f>SUM(K312:K323)</f>
        <v>0</v>
      </c>
      <c r="L324" s="15"/>
      <c r="M324" s="15"/>
      <c r="N324" s="15">
        <f t="shared" si="100"/>
        <v>0</v>
      </c>
    </row>
    <row r="325" spans="1:15" hidden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6"/>
      <c r="L325" s="6"/>
      <c r="M325" s="6"/>
      <c r="N325" s="5"/>
    </row>
    <row r="326" spans="1:15" ht="15" hidden="1" thickBot="1">
      <c r="A326" s="5"/>
      <c r="B326" s="6"/>
      <c r="C326" s="6"/>
      <c r="D326" s="6"/>
      <c r="E326" s="5"/>
      <c r="F326" s="5"/>
      <c r="G326" s="275" t="s">
        <v>47</v>
      </c>
      <c r="H326" s="276"/>
      <c r="I326" s="276"/>
      <c r="J326" s="276"/>
      <c r="K326" s="277"/>
      <c r="L326" s="28"/>
      <c r="M326" s="28"/>
      <c r="N326" s="16">
        <f>K309</f>
        <v>0</v>
      </c>
    </row>
    <row r="327" spans="1:15" ht="15" hidden="1" thickBot="1">
      <c r="A327" s="5"/>
      <c r="B327" s="5"/>
      <c r="C327" s="5"/>
      <c r="D327" s="5"/>
      <c r="E327" s="5"/>
      <c r="F327" s="5"/>
      <c r="G327" s="275" t="s">
        <v>48</v>
      </c>
      <c r="H327" s="276"/>
      <c r="I327" s="276"/>
      <c r="J327" s="276"/>
      <c r="K327" s="277"/>
      <c r="L327" s="28"/>
      <c r="M327" s="28"/>
      <c r="N327" s="16">
        <f>B324+F324</f>
        <v>0</v>
      </c>
    </row>
    <row r="328" spans="1:15" ht="15" hidden="1" thickBot="1">
      <c r="A328" s="5"/>
      <c r="B328" s="5"/>
      <c r="C328" s="5"/>
      <c r="D328" s="5"/>
      <c r="E328" s="5"/>
      <c r="F328" s="5"/>
      <c r="G328" s="275" t="s">
        <v>349</v>
      </c>
      <c r="H328" s="276"/>
      <c r="I328" s="276"/>
      <c r="J328" s="276"/>
      <c r="K328" s="277"/>
      <c r="L328" s="28"/>
      <c r="M328" s="28"/>
      <c r="N328" s="16">
        <f>E324</f>
        <v>0</v>
      </c>
    </row>
    <row r="329" spans="1:15" ht="15" hidden="1" thickBot="1">
      <c r="A329" s="5"/>
      <c r="B329" s="5"/>
      <c r="C329" s="5"/>
      <c r="D329" s="5"/>
      <c r="E329" s="5"/>
      <c r="F329" s="5"/>
      <c r="G329" s="275" t="s">
        <v>49</v>
      </c>
      <c r="H329" s="276"/>
      <c r="I329" s="276"/>
      <c r="J329" s="276"/>
      <c r="K329" s="277"/>
      <c r="L329" s="28"/>
      <c r="M329" s="28"/>
      <c r="N329" s="16">
        <f>SUM(N326:N328)</f>
        <v>0</v>
      </c>
    </row>
    <row r="330" spans="1:15" ht="15" hidden="1" thickBot="1">
      <c r="A330" s="5"/>
      <c r="B330" s="5"/>
      <c r="C330" s="5"/>
      <c r="D330" s="5"/>
      <c r="E330" s="5"/>
      <c r="F330" s="5"/>
      <c r="G330" s="275" t="s">
        <v>50</v>
      </c>
      <c r="H330" s="276"/>
      <c r="I330" s="276"/>
      <c r="J330" s="276"/>
      <c r="K330" s="277"/>
      <c r="L330" s="28"/>
      <c r="M330" s="28"/>
      <c r="N330" s="16">
        <f>H324</f>
        <v>0</v>
      </c>
    </row>
    <row r="331" spans="1:15" ht="15" hidden="1" thickBot="1">
      <c r="A331" s="5"/>
      <c r="B331" s="5"/>
      <c r="C331" s="5"/>
      <c r="D331" s="5"/>
      <c r="E331" s="5"/>
      <c r="F331" s="5"/>
      <c r="G331" s="275" t="s">
        <v>51</v>
      </c>
      <c r="H331" s="276"/>
      <c r="I331" s="276"/>
      <c r="J331" s="276"/>
      <c r="K331" s="277"/>
      <c r="L331" s="28"/>
      <c r="M331" s="28"/>
      <c r="N331" s="16">
        <f>N324</f>
        <v>0</v>
      </c>
    </row>
    <row r="332" spans="1:15" ht="15" hidden="1" thickBot="1">
      <c r="A332" s="5"/>
      <c r="B332" s="5"/>
      <c r="C332" s="5"/>
      <c r="D332" s="5"/>
      <c r="E332" s="5"/>
      <c r="F332" s="5"/>
      <c r="G332" s="275" t="s">
        <v>52</v>
      </c>
      <c r="H332" s="276"/>
      <c r="I332" s="276"/>
      <c r="J332" s="276"/>
      <c r="K332" s="277"/>
      <c r="L332" s="28"/>
      <c r="M332" s="28"/>
      <c r="N332" s="16">
        <f>(N329-N330)+N331</f>
        <v>0</v>
      </c>
    </row>
    <row r="333" spans="1:15" hidden="1">
      <c r="A333" s="5"/>
      <c r="B333" s="5"/>
      <c r="C333" s="5"/>
      <c r="D333" s="5"/>
      <c r="E333" s="5"/>
      <c r="F333" s="5"/>
      <c r="G333" s="17"/>
      <c r="H333" s="17"/>
      <c r="I333" s="17"/>
      <c r="J333" s="17"/>
      <c r="K333" s="17"/>
      <c r="L333" s="17"/>
      <c r="M333" s="17"/>
      <c r="N333" s="6"/>
    </row>
    <row r="334" spans="1:15" hidden="1"/>
    <row r="335" spans="1:15" hidden="1"/>
    <row r="336" spans="1:15" ht="16.8" hidden="1">
      <c r="A336" s="249" t="s">
        <v>53</v>
      </c>
      <c r="B336" s="249"/>
      <c r="C336" s="18"/>
      <c r="D336" s="18"/>
      <c r="E336" s="249" t="s">
        <v>54</v>
      </c>
      <c r="F336" s="249"/>
      <c r="G336" s="249"/>
      <c r="H336" s="250" t="s">
        <v>55</v>
      </c>
      <c r="I336" s="250"/>
      <c r="J336" s="250"/>
      <c r="K336" s="250"/>
      <c r="L336" s="250"/>
      <c r="M336" s="250"/>
      <c r="N336" s="250"/>
    </row>
    <row r="337" spans="1:15" ht="16.8" hidden="1">
      <c r="A337" s="18"/>
      <c r="B337" s="18"/>
      <c r="C337" s="18"/>
      <c r="D337" s="18"/>
      <c r="E337" s="18"/>
      <c r="F337" s="18"/>
      <c r="G337" s="19"/>
      <c r="H337" s="19"/>
      <c r="I337" s="19"/>
      <c r="J337" s="19"/>
    </row>
    <row r="338" spans="1:15" ht="16.8" hidden="1">
      <c r="A338" s="18"/>
      <c r="B338" s="18"/>
      <c r="C338" s="18"/>
      <c r="D338" s="18"/>
      <c r="E338" s="18"/>
      <c r="F338" s="18"/>
      <c r="G338" s="19"/>
      <c r="H338" s="19"/>
      <c r="I338" s="19"/>
      <c r="J338" s="19"/>
    </row>
    <row r="339" spans="1:15" ht="18.600000000000001" hidden="1">
      <c r="A339" s="224" t="s">
        <v>0</v>
      </c>
      <c r="B339" s="224"/>
      <c r="C339" s="224"/>
      <c r="D339" s="224"/>
      <c r="E339" s="224"/>
      <c r="F339" s="224"/>
      <c r="G339" s="224"/>
      <c r="H339" s="224"/>
      <c r="I339" s="224"/>
      <c r="J339" s="224"/>
      <c r="K339" s="224"/>
      <c r="L339" s="224"/>
      <c r="M339" s="224"/>
      <c r="N339" s="224"/>
      <c r="O339" s="224"/>
    </row>
    <row r="340" spans="1:15" ht="18.600000000000001" hidden="1">
      <c r="A340" s="224" t="s">
        <v>1</v>
      </c>
      <c r="B340" s="224"/>
      <c r="C340" s="224"/>
      <c r="D340" s="224"/>
      <c r="E340" s="224"/>
      <c r="F340" s="224"/>
      <c r="G340" s="224"/>
      <c r="H340" s="224"/>
      <c r="I340" s="224"/>
      <c r="J340" s="224"/>
      <c r="K340" s="224"/>
      <c r="L340" s="224"/>
      <c r="M340" s="224"/>
      <c r="N340" s="224"/>
      <c r="O340" s="224"/>
    </row>
    <row r="341" spans="1:15" hidden="1"/>
    <row r="342" spans="1:15" hidden="1">
      <c r="A342" s="225" t="s">
        <v>187</v>
      </c>
      <c r="B342" s="225"/>
      <c r="C342" s="225"/>
      <c r="D342" s="225"/>
      <c r="E342" s="225"/>
      <c r="F342" s="225"/>
      <c r="G342" s="225"/>
      <c r="H342" s="225"/>
      <c r="I342" s="225"/>
      <c r="J342" s="225"/>
      <c r="K342" s="225"/>
      <c r="L342" s="225"/>
      <c r="M342" s="225"/>
      <c r="N342" s="225"/>
    </row>
    <row r="343" spans="1:15" hidden="1">
      <c r="A343" s="3" t="s">
        <v>3</v>
      </c>
      <c r="B343" s="4">
        <f>B305</f>
        <v>2439</v>
      </c>
      <c r="C343" s="4"/>
      <c r="D343" s="4"/>
      <c r="E343" s="3" t="s">
        <v>4</v>
      </c>
      <c r="F343" s="215" t="str">
        <f>F305</f>
        <v>Mahajan Ganesh Trambak</v>
      </c>
      <c r="G343" s="215"/>
      <c r="H343" s="215"/>
      <c r="I343" s="215"/>
      <c r="J343" s="215"/>
      <c r="K343" s="215"/>
      <c r="L343" s="215"/>
      <c r="M343" s="215"/>
      <c r="N343" s="215"/>
    </row>
    <row r="344" spans="1:15" hidden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6"/>
      <c r="L344" s="6"/>
      <c r="M344" s="6"/>
      <c r="N344" s="5"/>
    </row>
    <row r="345" spans="1:15" ht="20.399999999999999" hidden="1">
      <c r="A345" s="3" t="s">
        <v>6</v>
      </c>
      <c r="B345" s="4">
        <f>B307</f>
        <v>2439</v>
      </c>
      <c r="C345" s="4"/>
      <c r="D345" s="4"/>
      <c r="E345" s="3" t="s">
        <v>7</v>
      </c>
      <c r="F345" s="268"/>
      <c r="G345" s="269"/>
      <c r="H345" s="3" t="s">
        <v>8</v>
      </c>
      <c r="I345" s="3"/>
      <c r="J345" s="3"/>
      <c r="K345" s="270" t="str">
        <f>K307</f>
        <v>Asst. Jr. Engineer</v>
      </c>
      <c r="L345" s="270"/>
      <c r="M345" s="270"/>
      <c r="N345" s="270"/>
    </row>
    <row r="346" spans="1:15" hidden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6"/>
      <c r="L346" s="6"/>
      <c r="M346" s="6"/>
      <c r="N346" s="5"/>
    </row>
    <row r="347" spans="1:15" hidden="1">
      <c r="A347" s="3" t="s">
        <v>10</v>
      </c>
      <c r="B347" s="7">
        <v>8.6999999999999994E-2</v>
      </c>
      <c r="C347" s="7"/>
      <c r="D347" s="7"/>
      <c r="E347" s="3" t="s">
        <v>11</v>
      </c>
      <c r="F347" s="7">
        <v>0</v>
      </c>
      <c r="G347" s="216" t="s">
        <v>12</v>
      </c>
      <c r="H347" s="217"/>
      <c r="I347" s="29"/>
      <c r="J347" s="29"/>
      <c r="K347" s="266">
        <f>N332</f>
        <v>0</v>
      </c>
      <c r="L347" s="267"/>
      <c r="M347" s="267"/>
      <c r="N347" s="271"/>
    </row>
    <row r="348" spans="1:15" hidden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6"/>
      <c r="L348" s="6"/>
      <c r="M348" s="6"/>
      <c r="N348" s="5"/>
    </row>
    <row r="349" spans="1:15" ht="30.6" hidden="1">
      <c r="A349" s="9" t="s">
        <v>13</v>
      </c>
      <c r="B349" s="9" t="s">
        <v>14</v>
      </c>
      <c r="C349" s="9"/>
      <c r="D349" s="9"/>
      <c r="E349" s="9" t="s">
        <v>349</v>
      </c>
      <c r="F349" s="9" t="s">
        <v>15</v>
      </c>
      <c r="G349" s="9" t="s">
        <v>16</v>
      </c>
      <c r="H349" s="9" t="s">
        <v>17</v>
      </c>
      <c r="I349" s="9"/>
      <c r="J349" s="9"/>
      <c r="K349" s="10" t="s">
        <v>18</v>
      </c>
      <c r="L349" s="10"/>
      <c r="M349" s="10"/>
      <c r="N349" s="10" t="s">
        <v>19</v>
      </c>
      <c r="O349" s="11" t="s">
        <v>20</v>
      </c>
    </row>
    <row r="350" spans="1:15" hidden="1">
      <c r="A350" s="3" t="s">
        <v>188</v>
      </c>
      <c r="B350" s="13">
        <v>300</v>
      </c>
      <c r="C350" s="13"/>
      <c r="D350" s="13"/>
      <c r="E350" s="13">
        <f>B350</f>
        <v>300</v>
      </c>
      <c r="F350" s="13">
        <v>0</v>
      </c>
      <c r="G350" s="13">
        <f t="shared" ref="G350:G361" si="101">(E350+B350)+F350</f>
        <v>600</v>
      </c>
      <c r="H350" s="13">
        <v>0</v>
      </c>
      <c r="I350" s="13"/>
      <c r="J350" s="13"/>
      <c r="K350" s="13">
        <f>(K347+G350)-H350</f>
        <v>600</v>
      </c>
      <c r="L350" s="14"/>
      <c r="M350" s="14"/>
      <c r="N350" s="14">
        <f>ROUND((K350*8.7/100)/12,0)</f>
        <v>4</v>
      </c>
      <c r="O350" s="272" t="s">
        <v>160</v>
      </c>
    </row>
    <row r="351" spans="1:15" hidden="1">
      <c r="A351" s="3" t="s">
        <v>189</v>
      </c>
      <c r="B351" s="13">
        <v>300</v>
      </c>
      <c r="C351" s="13"/>
      <c r="D351" s="13"/>
      <c r="E351" s="13">
        <f t="shared" ref="E351:E361" si="102">B351</f>
        <v>300</v>
      </c>
      <c r="F351" s="13">
        <v>0</v>
      </c>
      <c r="G351" s="13">
        <f t="shared" si="101"/>
        <v>600</v>
      </c>
      <c r="H351" s="13">
        <v>0</v>
      </c>
      <c r="I351" s="48"/>
      <c r="J351" s="48"/>
      <c r="K351" s="20">
        <f t="shared" ref="K351:K361" si="103">(K350+G351)-H351</f>
        <v>1200</v>
      </c>
      <c r="L351" s="52"/>
      <c r="M351" s="52"/>
      <c r="N351" s="14">
        <f t="shared" ref="N351:N361" si="104">ROUND((K351*8.7/100)/12,0)</f>
        <v>9</v>
      </c>
      <c r="O351" s="273"/>
    </row>
    <row r="352" spans="1:15" hidden="1">
      <c r="A352" s="3" t="s">
        <v>190</v>
      </c>
      <c r="B352" s="13">
        <v>300</v>
      </c>
      <c r="C352" s="13"/>
      <c r="D352" s="13"/>
      <c r="E352" s="13">
        <f t="shared" si="102"/>
        <v>300</v>
      </c>
      <c r="F352" s="13">
        <v>0</v>
      </c>
      <c r="G352" s="13">
        <f t="shared" si="101"/>
        <v>600</v>
      </c>
      <c r="H352" s="13">
        <v>0</v>
      </c>
      <c r="I352" s="48"/>
      <c r="J352" s="48"/>
      <c r="K352" s="20">
        <f t="shared" si="103"/>
        <v>1800</v>
      </c>
      <c r="L352" s="52"/>
      <c r="M352" s="52"/>
      <c r="N352" s="14">
        <f t="shared" si="104"/>
        <v>13</v>
      </c>
      <c r="O352" s="273"/>
    </row>
    <row r="353" spans="1:15" hidden="1">
      <c r="A353" s="3" t="s">
        <v>191</v>
      </c>
      <c r="B353" s="13">
        <v>300</v>
      </c>
      <c r="C353" s="13"/>
      <c r="D353" s="13"/>
      <c r="E353" s="13">
        <f t="shared" si="102"/>
        <v>300</v>
      </c>
      <c r="F353" s="13">
        <v>0</v>
      </c>
      <c r="G353" s="13">
        <f t="shared" si="101"/>
        <v>600</v>
      </c>
      <c r="H353" s="13">
        <v>0</v>
      </c>
      <c r="I353" s="48"/>
      <c r="J353" s="48"/>
      <c r="K353" s="20">
        <f t="shared" si="103"/>
        <v>2400</v>
      </c>
      <c r="L353" s="52"/>
      <c r="M353" s="52"/>
      <c r="N353" s="14">
        <f t="shared" si="104"/>
        <v>17</v>
      </c>
      <c r="O353" s="273"/>
    </row>
    <row r="354" spans="1:15" hidden="1">
      <c r="A354" s="3" t="s">
        <v>192</v>
      </c>
      <c r="B354" s="13">
        <v>300</v>
      </c>
      <c r="C354" s="13"/>
      <c r="D354" s="13"/>
      <c r="E354" s="13">
        <f t="shared" si="102"/>
        <v>300</v>
      </c>
      <c r="F354" s="13">
        <v>0</v>
      </c>
      <c r="G354" s="13">
        <f t="shared" si="101"/>
        <v>600</v>
      </c>
      <c r="H354" s="13">
        <v>0</v>
      </c>
      <c r="I354" s="48"/>
      <c r="J354" s="48"/>
      <c r="K354" s="20">
        <f t="shared" si="103"/>
        <v>3000</v>
      </c>
      <c r="L354" s="52"/>
      <c r="M354" s="52"/>
      <c r="N354" s="14">
        <f t="shared" si="104"/>
        <v>22</v>
      </c>
      <c r="O354" s="273"/>
    </row>
    <row r="355" spans="1:15" hidden="1">
      <c r="A355" s="3" t="s">
        <v>193</v>
      </c>
      <c r="B355" s="13">
        <v>300</v>
      </c>
      <c r="C355" s="13"/>
      <c r="D355" s="13"/>
      <c r="E355" s="13">
        <f t="shared" si="102"/>
        <v>300</v>
      </c>
      <c r="F355" s="13">
        <v>0</v>
      </c>
      <c r="G355" s="13">
        <f t="shared" si="101"/>
        <v>600</v>
      </c>
      <c r="H355" s="13">
        <v>0</v>
      </c>
      <c r="I355" s="48"/>
      <c r="J355" s="48"/>
      <c r="K355" s="20">
        <f t="shared" si="103"/>
        <v>3600</v>
      </c>
      <c r="L355" s="52"/>
      <c r="M355" s="52"/>
      <c r="N355" s="14">
        <f t="shared" si="104"/>
        <v>26</v>
      </c>
      <c r="O355" s="273"/>
    </row>
    <row r="356" spans="1:15" hidden="1">
      <c r="A356" s="3" t="s">
        <v>194</v>
      </c>
      <c r="B356" s="13">
        <v>300</v>
      </c>
      <c r="C356" s="13"/>
      <c r="D356" s="13"/>
      <c r="E356" s="13">
        <f t="shared" si="102"/>
        <v>300</v>
      </c>
      <c r="F356" s="13">
        <v>0</v>
      </c>
      <c r="G356" s="13">
        <f t="shared" si="101"/>
        <v>600</v>
      </c>
      <c r="H356" s="13">
        <v>0</v>
      </c>
      <c r="I356" s="48"/>
      <c r="J356" s="48"/>
      <c r="K356" s="20">
        <f t="shared" si="103"/>
        <v>4200</v>
      </c>
      <c r="L356" s="52"/>
      <c r="M356" s="52"/>
      <c r="N356" s="14">
        <f t="shared" si="104"/>
        <v>30</v>
      </c>
      <c r="O356" s="273"/>
    </row>
    <row r="357" spans="1:15" hidden="1">
      <c r="A357" s="3" t="s">
        <v>195</v>
      </c>
      <c r="B357" s="13">
        <v>300</v>
      </c>
      <c r="C357" s="13"/>
      <c r="D357" s="13"/>
      <c r="E357" s="13">
        <f t="shared" si="102"/>
        <v>300</v>
      </c>
      <c r="F357" s="13">
        <v>0</v>
      </c>
      <c r="G357" s="13">
        <f t="shared" si="101"/>
        <v>600</v>
      </c>
      <c r="H357" s="13">
        <v>0</v>
      </c>
      <c r="I357" s="48"/>
      <c r="J357" s="48"/>
      <c r="K357" s="20">
        <f t="shared" si="103"/>
        <v>4800</v>
      </c>
      <c r="L357" s="52"/>
      <c r="M357" s="52"/>
      <c r="N357" s="14">
        <f t="shared" si="104"/>
        <v>35</v>
      </c>
      <c r="O357" s="273"/>
    </row>
    <row r="358" spans="1:15" hidden="1">
      <c r="A358" s="3" t="s">
        <v>196</v>
      </c>
      <c r="B358" s="13">
        <v>300</v>
      </c>
      <c r="C358" s="13"/>
      <c r="D358" s="13"/>
      <c r="E358" s="13">
        <f t="shared" si="102"/>
        <v>300</v>
      </c>
      <c r="F358" s="13">
        <v>0</v>
      </c>
      <c r="G358" s="13">
        <f t="shared" si="101"/>
        <v>600</v>
      </c>
      <c r="H358" s="13">
        <v>0</v>
      </c>
      <c r="I358" s="48"/>
      <c r="J358" s="48"/>
      <c r="K358" s="20">
        <f t="shared" si="103"/>
        <v>5400</v>
      </c>
      <c r="L358" s="52"/>
      <c r="M358" s="52"/>
      <c r="N358" s="14">
        <f t="shared" si="104"/>
        <v>39</v>
      </c>
      <c r="O358" s="273"/>
    </row>
    <row r="359" spans="1:15" hidden="1">
      <c r="A359" s="3" t="s">
        <v>197</v>
      </c>
      <c r="B359" s="13">
        <v>300</v>
      </c>
      <c r="C359" s="13"/>
      <c r="D359" s="13"/>
      <c r="E359" s="13">
        <f t="shared" si="102"/>
        <v>300</v>
      </c>
      <c r="F359" s="13">
        <v>0</v>
      </c>
      <c r="G359" s="13">
        <f t="shared" si="101"/>
        <v>600</v>
      </c>
      <c r="H359" s="13">
        <v>0</v>
      </c>
      <c r="I359" s="48"/>
      <c r="J359" s="48"/>
      <c r="K359" s="20">
        <f t="shared" si="103"/>
        <v>6000</v>
      </c>
      <c r="L359" s="52"/>
      <c r="M359" s="52"/>
      <c r="N359" s="14">
        <f t="shared" si="104"/>
        <v>44</v>
      </c>
      <c r="O359" s="273"/>
    </row>
    <row r="360" spans="1:15" hidden="1">
      <c r="A360" s="3" t="s">
        <v>198</v>
      </c>
      <c r="B360" s="13">
        <v>300</v>
      </c>
      <c r="C360" s="13"/>
      <c r="D360" s="13"/>
      <c r="E360" s="13">
        <f t="shared" si="102"/>
        <v>300</v>
      </c>
      <c r="F360" s="13">
        <v>0</v>
      </c>
      <c r="G360" s="13">
        <f t="shared" si="101"/>
        <v>600</v>
      </c>
      <c r="H360" s="13">
        <v>0</v>
      </c>
      <c r="I360" s="48"/>
      <c r="J360" s="48"/>
      <c r="K360" s="20">
        <f t="shared" si="103"/>
        <v>6600</v>
      </c>
      <c r="L360" s="52"/>
      <c r="M360" s="52"/>
      <c r="N360" s="14">
        <f t="shared" si="104"/>
        <v>48</v>
      </c>
      <c r="O360" s="273"/>
    </row>
    <row r="361" spans="1:15" hidden="1">
      <c r="A361" s="3" t="s">
        <v>199</v>
      </c>
      <c r="B361" s="13">
        <v>300</v>
      </c>
      <c r="C361" s="13"/>
      <c r="D361" s="13"/>
      <c r="E361" s="13">
        <f t="shared" si="102"/>
        <v>300</v>
      </c>
      <c r="F361" s="13">
        <v>0</v>
      </c>
      <c r="G361" s="13">
        <f t="shared" si="101"/>
        <v>600</v>
      </c>
      <c r="H361" s="13">
        <v>0</v>
      </c>
      <c r="I361" s="48"/>
      <c r="J361" s="48"/>
      <c r="K361" s="20">
        <f t="shared" si="103"/>
        <v>7200</v>
      </c>
      <c r="L361" s="52"/>
      <c r="M361" s="52"/>
      <c r="N361" s="14">
        <f t="shared" si="104"/>
        <v>52</v>
      </c>
      <c r="O361" s="274"/>
    </row>
    <row r="362" spans="1:15" hidden="1">
      <c r="A362" s="3" t="s">
        <v>200</v>
      </c>
      <c r="B362" s="15">
        <f t="shared" ref="B362:N362" si="105">SUM(B350:B361)</f>
        <v>3600</v>
      </c>
      <c r="C362" s="15"/>
      <c r="D362" s="15"/>
      <c r="E362" s="15">
        <f t="shared" si="105"/>
        <v>3600</v>
      </c>
      <c r="F362" s="15">
        <f t="shared" si="105"/>
        <v>0</v>
      </c>
      <c r="G362" s="15">
        <f t="shared" si="105"/>
        <v>7200</v>
      </c>
      <c r="H362" s="15">
        <f t="shared" si="105"/>
        <v>0</v>
      </c>
      <c r="I362" s="15"/>
      <c r="J362" s="15"/>
      <c r="K362" s="15">
        <f>SUM(K350:K361)</f>
        <v>46800</v>
      </c>
      <c r="L362" s="15"/>
      <c r="M362" s="15"/>
      <c r="N362" s="15">
        <f t="shared" si="105"/>
        <v>339</v>
      </c>
    </row>
    <row r="363" spans="1:15" hidden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6"/>
      <c r="L363" s="6"/>
      <c r="M363" s="6"/>
      <c r="N363" s="5"/>
    </row>
    <row r="364" spans="1:15" ht="15" hidden="1" thickBot="1">
      <c r="A364" s="5"/>
      <c r="B364" s="6"/>
      <c r="C364" s="6"/>
      <c r="D364" s="6"/>
      <c r="E364" s="5"/>
      <c r="F364" s="5"/>
      <c r="G364" s="211" t="s">
        <v>47</v>
      </c>
      <c r="H364" s="212"/>
      <c r="I364" s="212"/>
      <c r="J364" s="212"/>
      <c r="K364" s="213"/>
      <c r="L364" s="26"/>
      <c r="M364" s="26"/>
      <c r="N364" s="16">
        <f>K347</f>
        <v>0</v>
      </c>
    </row>
    <row r="365" spans="1:15" ht="15" hidden="1" thickBot="1">
      <c r="A365" s="5"/>
      <c r="B365" s="5"/>
      <c r="C365" s="5"/>
      <c r="D365" s="5"/>
      <c r="E365" s="5"/>
      <c r="F365" s="5"/>
      <c r="G365" s="211" t="s">
        <v>48</v>
      </c>
      <c r="H365" s="212"/>
      <c r="I365" s="212"/>
      <c r="J365" s="212"/>
      <c r="K365" s="213"/>
      <c r="L365" s="26"/>
      <c r="M365" s="26"/>
      <c r="N365" s="16">
        <f>B362+F362</f>
        <v>3600</v>
      </c>
    </row>
    <row r="366" spans="1:15" ht="15" hidden="1" thickBot="1">
      <c r="A366" s="5"/>
      <c r="B366" s="5"/>
      <c r="C366" s="5"/>
      <c r="D366" s="5"/>
      <c r="E366" s="5"/>
      <c r="F366" s="5"/>
      <c r="G366" s="211" t="s">
        <v>349</v>
      </c>
      <c r="H366" s="212"/>
      <c r="I366" s="212"/>
      <c r="J366" s="212"/>
      <c r="K366" s="213"/>
      <c r="L366" s="26"/>
      <c r="M366" s="26"/>
      <c r="N366" s="16">
        <f>E362</f>
        <v>3600</v>
      </c>
    </row>
    <row r="367" spans="1:15" ht="15" hidden="1" thickBot="1">
      <c r="A367" s="5"/>
      <c r="B367" s="5"/>
      <c r="C367" s="5"/>
      <c r="D367" s="5"/>
      <c r="E367" s="5"/>
      <c r="F367" s="5"/>
      <c r="G367" s="211" t="s">
        <v>49</v>
      </c>
      <c r="H367" s="212"/>
      <c r="I367" s="212"/>
      <c r="J367" s="212"/>
      <c r="K367" s="213"/>
      <c r="L367" s="26"/>
      <c r="M367" s="26"/>
      <c r="N367" s="16">
        <f>SUM(N364:N366)</f>
        <v>7200</v>
      </c>
    </row>
    <row r="368" spans="1:15" ht="15" hidden="1" thickBot="1">
      <c r="A368" s="5"/>
      <c r="B368" s="5"/>
      <c r="C368" s="5"/>
      <c r="D368" s="5"/>
      <c r="E368" s="5"/>
      <c r="F368" s="5"/>
      <c r="G368" s="211" t="s">
        <v>50</v>
      </c>
      <c r="H368" s="212"/>
      <c r="I368" s="212"/>
      <c r="J368" s="212"/>
      <c r="K368" s="213"/>
      <c r="L368" s="26"/>
      <c r="M368" s="26"/>
      <c r="N368" s="16">
        <f>H362</f>
        <v>0</v>
      </c>
    </row>
    <row r="369" spans="1:15" ht="15" hidden="1" thickBot="1">
      <c r="A369" s="5"/>
      <c r="B369" s="5"/>
      <c r="C369" s="5"/>
      <c r="D369" s="5"/>
      <c r="E369" s="5"/>
      <c r="F369" s="5"/>
      <c r="G369" s="211" t="s">
        <v>51</v>
      </c>
      <c r="H369" s="212"/>
      <c r="I369" s="212"/>
      <c r="J369" s="212"/>
      <c r="K369" s="213"/>
      <c r="L369" s="26"/>
      <c r="M369" s="26"/>
      <c r="N369" s="16">
        <f>N362</f>
        <v>339</v>
      </c>
    </row>
    <row r="370" spans="1:15" ht="15" hidden="1" thickBot="1">
      <c r="A370" s="5"/>
      <c r="B370" s="5"/>
      <c r="C370" s="5"/>
      <c r="D370" s="5"/>
      <c r="E370" s="5"/>
      <c r="F370" s="5"/>
      <c r="G370" s="211" t="s">
        <v>52</v>
      </c>
      <c r="H370" s="212"/>
      <c r="I370" s="212"/>
      <c r="J370" s="212"/>
      <c r="K370" s="213"/>
      <c r="L370" s="26"/>
      <c r="M370" s="26"/>
      <c r="N370" s="16">
        <f>(N367-N368)+N369</f>
        <v>7539</v>
      </c>
    </row>
    <row r="371" spans="1:15" hidden="1">
      <c r="A371" s="5"/>
      <c r="B371" s="5"/>
      <c r="C371" s="5"/>
      <c r="D371" s="5"/>
      <c r="E371" s="5"/>
      <c r="F371" s="5"/>
      <c r="G371" s="17"/>
      <c r="H371" s="17"/>
      <c r="I371" s="17"/>
      <c r="J371" s="17"/>
      <c r="K371" s="17"/>
      <c r="L371" s="17"/>
      <c r="M371" s="17"/>
      <c r="N371" s="6"/>
    </row>
    <row r="372" spans="1:15" hidden="1"/>
    <row r="373" spans="1:15" hidden="1"/>
    <row r="374" spans="1:15" ht="16.8" hidden="1">
      <c r="A374" s="249" t="s">
        <v>53</v>
      </c>
      <c r="B374" s="249"/>
      <c r="C374" s="18"/>
      <c r="D374" s="18"/>
      <c r="E374" s="249" t="s">
        <v>54</v>
      </c>
      <c r="F374" s="249"/>
      <c r="G374" s="249"/>
      <c r="H374" s="250" t="s">
        <v>55</v>
      </c>
      <c r="I374" s="250"/>
      <c r="J374" s="250"/>
      <c r="K374" s="250"/>
      <c r="L374" s="250"/>
      <c r="M374" s="250"/>
      <c r="N374" s="250"/>
    </row>
    <row r="375" spans="1:15" ht="16.8" hidden="1">
      <c r="A375" s="18"/>
      <c r="B375" s="18"/>
      <c r="C375" s="18"/>
      <c r="D375" s="18"/>
      <c r="E375" s="18"/>
      <c r="F375" s="18"/>
      <c r="G375" s="19"/>
      <c r="H375" s="19"/>
      <c r="I375" s="19"/>
      <c r="J375" s="19"/>
    </row>
    <row r="376" spans="1:15" ht="16.8" hidden="1">
      <c r="A376" s="18"/>
      <c r="B376" s="18"/>
      <c r="C376" s="18"/>
      <c r="D376" s="18"/>
      <c r="E376" s="18"/>
      <c r="F376" s="18"/>
      <c r="G376" s="19"/>
      <c r="H376" s="19"/>
      <c r="I376" s="19"/>
      <c r="J376" s="19"/>
    </row>
    <row r="377" spans="1:15" ht="18.600000000000001" hidden="1">
      <c r="A377" s="224" t="s">
        <v>0</v>
      </c>
      <c r="B377" s="224"/>
      <c r="C377" s="224"/>
      <c r="D377" s="224"/>
      <c r="E377" s="224"/>
      <c r="F377" s="224"/>
      <c r="G377" s="224"/>
      <c r="H377" s="224"/>
      <c r="I377" s="224"/>
      <c r="J377" s="224"/>
      <c r="K377" s="224"/>
      <c r="L377" s="224"/>
      <c r="M377" s="224"/>
      <c r="N377" s="224"/>
      <c r="O377" s="224"/>
    </row>
    <row r="378" spans="1:15" ht="18.600000000000001" hidden="1">
      <c r="A378" s="224" t="s">
        <v>1</v>
      </c>
      <c r="B378" s="224"/>
      <c r="C378" s="224"/>
      <c r="D378" s="224"/>
      <c r="E378" s="224"/>
      <c r="F378" s="224"/>
      <c r="G378" s="224"/>
      <c r="H378" s="224"/>
      <c r="I378" s="224"/>
      <c r="J378" s="224"/>
      <c r="K378" s="224"/>
      <c r="L378" s="224"/>
      <c r="M378" s="224"/>
      <c r="N378" s="224"/>
      <c r="O378" s="224"/>
    </row>
    <row r="379" spans="1:15" hidden="1"/>
    <row r="380" spans="1:15" hidden="1">
      <c r="A380" s="258" t="s">
        <v>201</v>
      </c>
      <c r="B380" s="258"/>
      <c r="C380" s="258"/>
      <c r="D380" s="258"/>
      <c r="E380" s="258"/>
      <c r="F380" s="258"/>
      <c r="G380" s="258"/>
      <c r="H380" s="258"/>
      <c r="I380" s="258"/>
      <c r="J380" s="258"/>
      <c r="K380" s="258"/>
      <c r="L380" s="258"/>
      <c r="M380" s="258"/>
      <c r="N380" s="258"/>
    </row>
    <row r="381" spans="1:15" hidden="1">
      <c r="A381" s="3" t="s">
        <v>3</v>
      </c>
      <c r="B381" s="4">
        <f>B343</f>
        <v>2439</v>
      </c>
      <c r="C381" s="4"/>
      <c r="D381" s="4"/>
      <c r="E381" s="3" t="s">
        <v>4</v>
      </c>
      <c r="F381" s="215" t="str">
        <f>F343</f>
        <v>Mahajan Ganesh Trambak</v>
      </c>
      <c r="G381" s="215"/>
      <c r="H381" s="215"/>
      <c r="I381" s="215"/>
      <c r="J381" s="215"/>
      <c r="K381" s="215"/>
      <c r="L381" s="215"/>
      <c r="M381" s="215"/>
      <c r="N381" s="215"/>
    </row>
    <row r="382" spans="1:15" hidden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6"/>
      <c r="L382" s="6"/>
      <c r="M382" s="6"/>
      <c r="N382" s="5"/>
    </row>
    <row r="383" spans="1:15" ht="20.399999999999999" hidden="1">
      <c r="A383" s="3" t="s">
        <v>6</v>
      </c>
      <c r="B383" s="4">
        <f>B345</f>
        <v>2439</v>
      </c>
      <c r="C383" s="4"/>
      <c r="D383" s="4"/>
      <c r="E383" s="3" t="s">
        <v>7</v>
      </c>
      <c r="F383" s="268"/>
      <c r="G383" s="269"/>
      <c r="H383" s="3" t="s">
        <v>8</v>
      </c>
      <c r="I383" s="3"/>
      <c r="J383" s="3"/>
      <c r="K383" s="270" t="str">
        <f>K345</f>
        <v>Asst. Jr. Engineer</v>
      </c>
      <c r="L383" s="270"/>
      <c r="M383" s="270"/>
      <c r="N383" s="270"/>
    </row>
    <row r="384" spans="1:15" hidden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6"/>
      <c r="L384" s="6"/>
      <c r="M384" s="6"/>
      <c r="N384" s="5"/>
    </row>
    <row r="385" spans="1:15" hidden="1">
      <c r="A385" s="3" t="s">
        <v>10</v>
      </c>
      <c r="B385" s="7">
        <v>8.1000000000000003E-2</v>
      </c>
      <c r="C385" s="7"/>
      <c r="D385" s="7"/>
      <c r="E385" s="3" t="s">
        <v>11</v>
      </c>
      <c r="F385" s="7">
        <v>0.08</v>
      </c>
      <c r="G385" s="216" t="s">
        <v>12</v>
      </c>
      <c r="H385" s="217"/>
      <c r="I385" s="29"/>
      <c r="J385" s="29"/>
      <c r="K385" s="266">
        <f>N370</f>
        <v>7539</v>
      </c>
      <c r="L385" s="267"/>
      <c r="M385" s="267"/>
      <c r="N385" s="271"/>
    </row>
    <row r="386" spans="1:15" hidden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6"/>
      <c r="L386" s="6"/>
      <c r="M386" s="6"/>
      <c r="N386" s="5"/>
    </row>
    <row r="387" spans="1:15" ht="30.6" hidden="1">
      <c r="A387" s="9" t="s">
        <v>13</v>
      </c>
      <c r="B387" s="9" t="s">
        <v>14</v>
      </c>
      <c r="C387" s="9"/>
      <c r="D387" s="9"/>
      <c r="E387" s="9" t="s">
        <v>349</v>
      </c>
      <c r="F387" s="9" t="s">
        <v>15</v>
      </c>
      <c r="G387" s="9" t="s">
        <v>16</v>
      </c>
      <c r="H387" s="9" t="s">
        <v>17</v>
      </c>
      <c r="I387" s="9"/>
      <c r="J387" s="9"/>
      <c r="K387" s="10" t="s">
        <v>18</v>
      </c>
      <c r="L387" s="10"/>
      <c r="M387" s="10"/>
      <c r="N387" s="10" t="s">
        <v>19</v>
      </c>
      <c r="O387" s="11" t="s">
        <v>20</v>
      </c>
    </row>
    <row r="388" spans="1:15" hidden="1">
      <c r="A388" s="3" t="s">
        <v>202</v>
      </c>
      <c r="B388" s="13">
        <v>0</v>
      </c>
      <c r="C388" s="13"/>
      <c r="D388" s="13"/>
      <c r="E388" s="13">
        <f t="shared" ref="E388:E399" si="106">B388</f>
        <v>0</v>
      </c>
      <c r="F388" s="13">
        <v>0</v>
      </c>
      <c r="G388" s="13">
        <f t="shared" ref="G388:G399" si="107">(E388+B388)+F388</f>
        <v>0</v>
      </c>
      <c r="H388" s="13">
        <v>0</v>
      </c>
      <c r="I388" s="13"/>
      <c r="J388" s="13"/>
      <c r="K388" s="13">
        <f>(K385+G388)-H388</f>
        <v>7539</v>
      </c>
      <c r="L388" s="14"/>
      <c r="M388" s="14"/>
      <c r="N388" s="14">
        <f t="shared" ref="N388:N393" si="108">ROUND((K388*8.1/100)/12,0)</f>
        <v>51</v>
      </c>
      <c r="O388" s="272" t="s">
        <v>203</v>
      </c>
    </row>
    <row r="389" spans="1:15" hidden="1">
      <c r="A389" s="3" t="s">
        <v>204</v>
      </c>
      <c r="B389" s="13">
        <v>300</v>
      </c>
      <c r="C389" s="13"/>
      <c r="D389" s="13"/>
      <c r="E389" s="13">
        <f t="shared" si="106"/>
        <v>300</v>
      </c>
      <c r="F389" s="13">
        <v>0</v>
      </c>
      <c r="G389" s="13">
        <f t="shared" si="107"/>
        <v>600</v>
      </c>
      <c r="H389" s="13">
        <v>0</v>
      </c>
      <c r="I389" s="48"/>
      <c r="J389" s="48"/>
      <c r="K389" s="20">
        <f t="shared" ref="K389:K399" si="109">(K388+G389)-H389</f>
        <v>8139</v>
      </c>
      <c r="L389" s="52"/>
      <c r="M389" s="52"/>
      <c r="N389" s="14">
        <f t="shared" si="108"/>
        <v>55</v>
      </c>
      <c r="O389" s="273"/>
    </row>
    <row r="390" spans="1:15" hidden="1">
      <c r="A390" s="3" t="s">
        <v>205</v>
      </c>
      <c r="B390" s="13">
        <v>600</v>
      </c>
      <c r="C390" s="13"/>
      <c r="D390" s="13"/>
      <c r="E390" s="13">
        <f t="shared" si="106"/>
        <v>600</v>
      </c>
      <c r="F390" s="13">
        <v>0</v>
      </c>
      <c r="G390" s="13">
        <f t="shared" si="107"/>
        <v>1200</v>
      </c>
      <c r="H390" s="13">
        <v>0</v>
      </c>
      <c r="I390" s="48"/>
      <c r="J390" s="48"/>
      <c r="K390" s="20">
        <f t="shared" si="109"/>
        <v>9339</v>
      </c>
      <c r="L390" s="52"/>
      <c r="M390" s="52"/>
      <c r="N390" s="14">
        <f t="shared" si="108"/>
        <v>63</v>
      </c>
      <c r="O390" s="273"/>
    </row>
    <row r="391" spans="1:15" hidden="1">
      <c r="A391" s="3" t="s">
        <v>206</v>
      </c>
      <c r="B391" s="13">
        <v>300</v>
      </c>
      <c r="C391" s="13"/>
      <c r="D391" s="13"/>
      <c r="E391" s="13">
        <f t="shared" si="106"/>
        <v>300</v>
      </c>
      <c r="F391" s="13">
        <v>0</v>
      </c>
      <c r="G391" s="13">
        <f t="shared" si="107"/>
        <v>600</v>
      </c>
      <c r="H391" s="13">
        <v>0</v>
      </c>
      <c r="I391" s="48"/>
      <c r="J391" s="48"/>
      <c r="K391" s="20">
        <f t="shared" si="109"/>
        <v>9939</v>
      </c>
      <c r="L391" s="52"/>
      <c r="M391" s="52"/>
      <c r="N391" s="14">
        <f t="shared" si="108"/>
        <v>67</v>
      </c>
      <c r="O391" s="273"/>
    </row>
    <row r="392" spans="1:15" hidden="1">
      <c r="A392" s="3" t="s">
        <v>207</v>
      </c>
      <c r="B392" s="13">
        <v>0</v>
      </c>
      <c r="C392" s="13"/>
      <c r="D392" s="13"/>
      <c r="E392" s="13">
        <f t="shared" si="106"/>
        <v>0</v>
      </c>
      <c r="F392" s="13">
        <v>0</v>
      </c>
      <c r="G392" s="13">
        <f t="shared" si="107"/>
        <v>0</v>
      </c>
      <c r="H392" s="13">
        <v>0</v>
      </c>
      <c r="I392" s="48"/>
      <c r="J392" s="48"/>
      <c r="K392" s="20">
        <f t="shared" si="109"/>
        <v>9939</v>
      </c>
      <c r="L392" s="52"/>
      <c r="M392" s="52"/>
      <c r="N392" s="14">
        <f t="shared" si="108"/>
        <v>67</v>
      </c>
      <c r="O392" s="273"/>
    </row>
    <row r="393" spans="1:15" hidden="1">
      <c r="A393" s="3" t="s">
        <v>208</v>
      </c>
      <c r="B393" s="13">
        <v>300</v>
      </c>
      <c r="C393" s="13"/>
      <c r="D393" s="13"/>
      <c r="E393" s="13">
        <f t="shared" si="106"/>
        <v>300</v>
      </c>
      <c r="F393" s="13">
        <v>0</v>
      </c>
      <c r="G393" s="13">
        <f t="shared" si="107"/>
        <v>600</v>
      </c>
      <c r="H393" s="13">
        <v>0</v>
      </c>
      <c r="I393" s="48"/>
      <c r="J393" s="48"/>
      <c r="K393" s="20">
        <f t="shared" si="109"/>
        <v>10539</v>
      </c>
      <c r="L393" s="52"/>
      <c r="M393" s="52"/>
      <c r="N393" s="14">
        <f t="shared" si="108"/>
        <v>71</v>
      </c>
      <c r="O393" s="274"/>
    </row>
    <row r="394" spans="1:15" hidden="1">
      <c r="A394" s="3" t="s">
        <v>209</v>
      </c>
      <c r="B394" s="13">
        <v>600</v>
      </c>
      <c r="C394" s="13"/>
      <c r="D394" s="13"/>
      <c r="E394" s="13">
        <f t="shared" si="106"/>
        <v>600</v>
      </c>
      <c r="F394" s="13">
        <v>0</v>
      </c>
      <c r="G394" s="13">
        <f t="shared" si="107"/>
        <v>1200</v>
      </c>
      <c r="H394" s="13">
        <v>0</v>
      </c>
      <c r="I394" s="48"/>
      <c r="J394" s="48"/>
      <c r="K394" s="20">
        <f t="shared" si="109"/>
        <v>11739</v>
      </c>
      <c r="L394" s="52"/>
      <c r="M394" s="52"/>
      <c r="N394" s="14">
        <f t="shared" ref="N394:N399" si="110">ROUND((K394*8/100)/12,0)</f>
        <v>78</v>
      </c>
      <c r="O394" s="272" t="s">
        <v>34</v>
      </c>
    </row>
    <row r="395" spans="1:15" hidden="1">
      <c r="A395" s="3" t="s">
        <v>210</v>
      </c>
      <c r="B395" s="13">
        <v>300</v>
      </c>
      <c r="C395" s="13"/>
      <c r="D395" s="13"/>
      <c r="E395" s="13">
        <f t="shared" si="106"/>
        <v>300</v>
      </c>
      <c r="F395" s="13">
        <v>0</v>
      </c>
      <c r="G395" s="13">
        <f t="shared" si="107"/>
        <v>600</v>
      </c>
      <c r="H395" s="13">
        <v>0</v>
      </c>
      <c r="I395" s="48"/>
      <c r="J395" s="48"/>
      <c r="K395" s="20">
        <f t="shared" si="109"/>
        <v>12339</v>
      </c>
      <c r="L395" s="52"/>
      <c r="M395" s="52"/>
      <c r="N395" s="14">
        <f t="shared" si="110"/>
        <v>82</v>
      </c>
      <c r="O395" s="273"/>
    </row>
    <row r="396" spans="1:15" hidden="1">
      <c r="A396" s="3" t="s">
        <v>211</v>
      </c>
      <c r="B396" s="13">
        <v>300</v>
      </c>
      <c r="C396" s="13"/>
      <c r="D396" s="13"/>
      <c r="E396" s="13">
        <f t="shared" si="106"/>
        <v>300</v>
      </c>
      <c r="F396" s="13">
        <v>0</v>
      </c>
      <c r="G396" s="13">
        <f t="shared" si="107"/>
        <v>600</v>
      </c>
      <c r="H396" s="13">
        <v>0</v>
      </c>
      <c r="I396" s="48"/>
      <c r="J396" s="48"/>
      <c r="K396" s="20">
        <f t="shared" si="109"/>
        <v>12939</v>
      </c>
      <c r="L396" s="52"/>
      <c r="M396" s="52"/>
      <c r="N396" s="14">
        <f t="shared" si="110"/>
        <v>86</v>
      </c>
      <c r="O396" s="273"/>
    </row>
    <row r="397" spans="1:15" hidden="1">
      <c r="A397" s="3" t="s">
        <v>212</v>
      </c>
      <c r="B397" s="13">
        <v>600</v>
      </c>
      <c r="C397" s="13"/>
      <c r="D397" s="13"/>
      <c r="E397" s="13">
        <f t="shared" si="106"/>
        <v>600</v>
      </c>
      <c r="F397" s="13">
        <v>0</v>
      </c>
      <c r="G397" s="13">
        <f t="shared" si="107"/>
        <v>1200</v>
      </c>
      <c r="H397" s="13">
        <v>0</v>
      </c>
      <c r="I397" s="48"/>
      <c r="J397" s="48"/>
      <c r="K397" s="20">
        <f t="shared" si="109"/>
        <v>14139</v>
      </c>
      <c r="L397" s="52"/>
      <c r="M397" s="52"/>
      <c r="N397" s="14">
        <f t="shared" si="110"/>
        <v>94</v>
      </c>
      <c r="O397" s="273"/>
    </row>
    <row r="398" spans="1:15" hidden="1">
      <c r="A398" s="3" t="s">
        <v>213</v>
      </c>
      <c r="B398" s="13">
        <v>0</v>
      </c>
      <c r="C398" s="13"/>
      <c r="D398" s="13"/>
      <c r="E398" s="13">
        <f t="shared" si="106"/>
        <v>0</v>
      </c>
      <c r="F398" s="13">
        <v>0</v>
      </c>
      <c r="G398" s="13">
        <f t="shared" si="107"/>
        <v>0</v>
      </c>
      <c r="H398" s="13">
        <v>0</v>
      </c>
      <c r="I398" s="48"/>
      <c r="J398" s="48"/>
      <c r="K398" s="20">
        <f t="shared" si="109"/>
        <v>14139</v>
      </c>
      <c r="L398" s="52"/>
      <c r="M398" s="52"/>
      <c r="N398" s="14">
        <f t="shared" si="110"/>
        <v>94</v>
      </c>
      <c r="O398" s="273"/>
    </row>
    <row r="399" spans="1:15" hidden="1">
      <c r="A399" s="3" t="s">
        <v>214</v>
      </c>
      <c r="B399" s="13">
        <v>300</v>
      </c>
      <c r="C399" s="13"/>
      <c r="D399" s="13"/>
      <c r="E399" s="13">
        <f t="shared" si="106"/>
        <v>300</v>
      </c>
      <c r="F399" s="13">
        <v>0</v>
      </c>
      <c r="G399" s="13">
        <f t="shared" si="107"/>
        <v>600</v>
      </c>
      <c r="H399" s="13">
        <v>0</v>
      </c>
      <c r="I399" s="48"/>
      <c r="J399" s="48"/>
      <c r="K399" s="20">
        <f t="shared" si="109"/>
        <v>14739</v>
      </c>
      <c r="L399" s="52"/>
      <c r="M399" s="52"/>
      <c r="N399" s="14">
        <f t="shared" si="110"/>
        <v>98</v>
      </c>
      <c r="O399" s="274"/>
    </row>
    <row r="400" spans="1:15" hidden="1">
      <c r="A400" s="3" t="s">
        <v>215</v>
      </c>
      <c r="B400" s="15">
        <f t="shared" ref="B400:N400" si="111">SUM(B388:B399)</f>
        <v>3600</v>
      </c>
      <c r="C400" s="15"/>
      <c r="D400" s="15"/>
      <c r="E400" s="15">
        <f t="shared" si="111"/>
        <v>3600</v>
      </c>
      <c r="F400" s="15">
        <f t="shared" si="111"/>
        <v>0</v>
      </c>
      <c r="G400" s="15">
        <f t="shared" si="111"/>
        <v>7200</v>
      </c>
      <c r="H400" s="15">
        <f t="shared" si="111"/>
        <v>0</v>
      </c>
      <c r="I400" s="15"/>
      <c r="J400" s="15"/>
      <c r="K400" s="15">
        <f>SUM(K388:K399)</f>
        <v>135468</v>
      </c>
      <c r="L400" s="15"/>
      <c r="M400" s="15"/>
      <c r="N400" s="15">
        <f t="shared" si="111"/>
        <v>906</v>
      </c>
    </row>
    <row r="401" spans="1:15" hidden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6"/>
      <c r="L401" s="6"/>
      <c r="M401" s="6"/>
      <c r="N401" s="5"/>
    </row>
    <row r="402" spans="1:15" ht="15" hidden="1" thickBot="1">
      <c r="A402" s="5"/>
      <c r="B402" s="6"/>
      <c r="C402" s="6"/>
      <c r="D402" s="6"/>
      <c r="E402" s="5"/>
      <c r="F402" s="5"/>
      <c r="G402" s="211" t="s">
        <v>47</v>
      </c>
      <c r="H402" s="212"/>
      <c r="I402" s="212"/>
      <c r="J402" s="212"/>
      <c r="K402" s="213"/>
      <c r="L402" s="26"/>
      <c r="M402" s="26"/>
      <c r="N402" s="16">
        <f>K385</f>
        <v>7539</v>
      </c>
    </row>
    <row r="403" spans="1:15" ht="15" hidden="1" thickBot="1">
      <c r="A403" s="5"/>
      <c r="B403" s="5"/>
      <c r="C403" s="5"/>
      <c r="D403" s="5"/>
      <c r="E403" s="5"/>
      <c r="F403" s="5"/>
      <c r="G403" s="211" t="s">
        <v>48</v>
      </c>
      <c r="H403" s="212"/>
      <c r="I403" s="212"/>
      <c r="J403" s="212"/>
      <c r="K403" s="213"/>
      <c r="L403" s="26"/>
      <c r="M403" s="26"/>
      <c r="N403" s="16">
        <f>B400+F400</f>
        <v>3600</v>
      </c>
    </row>
    <row r="404" spans="1:15" ht="15" hidden="1" thickBot="1">
      <c r="A404" s="5"/>
      <c r="B404" s="5"/>
      <c r="C404" s="5"/>
      <c r="D404" s="5"/>
      <c r="E404" s="5"/>
      <c r="F404" s="5"/>
      <c r="G404" s="211" t="s">
        <v>349</v>
      </c>
      <c r="H404" s="212"/>
      <c r="I404" s="212"/>
      <c r="J404" s="212"/>
      <c r="K404" s="213"/>
      <c r="L404" s="26"/>
      <c r="M404" s="26"/>
      <c r="N404" s="16">
        <f>E400</f>
        <v>3600</v>
      </c>
    </row>
    <row r="405" spans="1:15" ht="15" hidden="1" thickBot="1">
      <c r="A405" s="5"/>
      <c r="B405" s="5"/>
      <c r="C405" s="5"/>
      <c r="D405" s="5"/>
      <c r="E405" s="5"/>
      <c r="F405" s="5"/>
      <c r="G405" s="211" t="s">
        <v>49</v>
      </c>
      <c r="H405" s="212"/>
      <c r="I405" s="212"/>
      <c r="J405" s="212"/>
      <c r="K405" s="213"/>
      <c r="L405" s="26"/>
      <c r="M405" s="26"/>
      <c r="N405" s="16">
        <f>SUM(N402:N404)</f>
        <v>14739</v>
      </c>
    </row>
    <row r="406" spans="1:15" ht="15" hidden="1" thickBot="1">
      <c r="A406" s="5"/>
      <c r="B406" s="5"/>
      <c r="C406" s="5"/>
      <c r="D406" s="5"/>
      <c r="E406" s="5"/>
      <c r="F406" s="5"/>
      <c r="G406" s="211" t="s">
        <v>50</v>
      </c>
      <c r="H406" s="212"/>
      <c r="I406" s="212"/>
      <c r="J406" s="212"/>
      <c r="K406" s="213"/>
      <c r="L406" s="26"/>
      <c r="M406" s="26"/>
      <c r="N406" s="16">
        <f>H400</f>
        <v>0</v>
      </c>
    </row>
    <row r="407" spans="1:15" ht="15" hidden="1" thickBot="1">
      <c r="A407" s="5"/>
      <c r="B407" s="5"/>
      <c r="C407" s="5"/>
      <c r="D407" s="5"/>
      <c r="E407" s="5"/>
      <c r="F407" s="5"/>
      <c r="G407" s="211" t="s">
        <v>51</v>
      </c>
      <c r="H407" s="212"/>
      <c r="I407" s="212"/>
      <c r="J407" s="212"/>
      <c r="K407" s="213"/>
      <c r="L407" s="26"/>
      <c r="M407" s="26"/>
      <c r="N407" s="16">
        <f>N400</f>
        <v>906</v>
      </c>
    </row>
    <row r="408" spans="1:15" ht="15" hidden="1" thickBot="1">
      <c r="A408" s="5"/>
      <c r="B408" s="5"/>
      <c r="C408" s="5"/>
      <c r="D408" s="5"/>
      <c r="E408" s="5"/>
      <c r="F408" s="5"/>
      <c r="G408" s="211" t="s">
        <v>52</v>
      </c>
      <c r="H408" s="212"/>
      <c r="I408" s="212"/>
      <c r="J408" s="212"/>
      <c r="K408" s="213"/>
      <c r="L408" s="26"/>
      <c r="M408" s="26"/>
      <c r="N408" s="16">
        <f>(N405-N406)+N407</f>
        <v>15645</v>
      </c>
    </row>
    <row r="409" spans="1:15" hidden="1">
      <c r="A409" s="5"/>
      <c r="B409" s="5"/>
      <c r="C409" s="5"/>
      <c r="D409" s="5"/>
      <c r="E409" s="5"/>
      <c r="F409" s="5"/>
      <c r="G409" s="17"/>
      <c r="H409" s="17"/>
      <c r="I409" s="17"/>
      <c r="J409" s="17"/>
      <c r="K409" s="17"/>
      <c r="L409" s="17"/>
      <c r="M409" s="17"/>
      <c r="N409" s="6"/>
    </row>
    <row r="410" spans="1:15" hidden="1"/>
    <row r="411" spans="1:15" hidden="1"/>
    <row r="412" spans="1:15" ht="16.8" hidden="1">
      <c r="A412" s="249" t="s">
        <v>53</v>
      </c>
      <c r="B412" s="249"/>
      <c r="C412" s="18"/>
      <c r="D412" s="18"/>
      <c r="E412" s="249" t="s">
        <v>54</v>
      </c>
      <c r="F412" s="249"/>
      <c r="G412" s="249"/>
      <c r="H412" s="250" t="s">
        <v>55</v>
      </c>
      <c r="I412" s="250"/>
      <c r="J412" s="250"/>
      <c r="K412" s="250"/>
      <c r="L412" s="250"/>
      <c r="M412" s="250"/>
      <c r="N412" s="250"/>
    </row>
    <row r="413" spans="1:15" ht="16.8" hidden="1">
      <c r="A413" s="18"/>
      <c r="B413" s="18"/>
      <c r="C413" s="18"/>
      <c r="D413" s="18"/>
      <c r="E413" s="18"/>
      <c r="F413" s="18"/>
      <c r="G413" s="19"/>
      <c r="H413" s="19"/>
      <c r="I413" s="19"/>
      <c r="J413" s="19"/>
    </row>
    <row r="414" spans="1:15" ht="16.8" hidden="1">
      <c r="A414" s="18"/>
      <c r="B414" s="18"/>
      <c r="C414" s="18"/>
      <c r="D414" s="18"/>
      <c r="E414" s="18"/>
      <c r="F414" s="18"/>
      <c r="G414" s="19"/>
      <c r="H414" s="19"/>
      <c r="I414" s="19"/>
      <c r="J414" s="19"/>
    </row>
    <row r="415" spans="1:15" ht="18.600000000000001" hidden="1">
      <c r="A415" s="224" t="s">
        <v>0</v>
      </c>
      <c r="B415" s="224"/>
      <c r="C415" s="224"/>
      <c r="D415" s="224"/>
      <c r="E415" s="224"/>
      <c r="F415" s="224"/>
      <c r="G415" s="224"/>
      <c r="H415" s="224"/>
      <c r="I415" s="224"/>
      <c r="J415" s="224"/>
      <c r="K415" s="224"/>
      <c r="L415" s="224"/>
      <c r="M415" s="224"/>
      <c r="N415" s="224"/>
      <c r="O415" s="224"/>
    </row>
    <row r="416" spans="1:15" ht="18.600000000000001" hidden="1">
      <c r="A416" s="224" t="s">
        <v>1</v>
      </c>
      <c r="B416" s="224"/>
      <c r="C416" s="224"/>
      <c r="D416" s="224"/>
      <c r="E416" s="224"/>
      <c r="F416" s="224"/>
      <c r="G416" s="224"/>
      <c r="H416" s="224"/>
      <c r="I416" s="224"/>
      <c r="J416" s="224"/>
      <c r="K416" s="224"/>
      <c r="L416" s="224"/>
      <c r="M416" s="224"/>
      <c r="N416" s="224"/>
      <c r="O416" s="224"/>
    </row>
    <row r="417" spans="1:15" hidden="1"/>
    <row r="418" spans="1:15" hidden="1">
      <c r="A418" s="258" t="s">
        <v>216</v>
      </c>
      <c r="B418" s="258"/>
      <c r="C418" s="258"/>
      <c r="D418" s="258"/>
      <c r="E418" s="258"/>
      <c r="F418" s="258"/>
      <c r="G418" s="258"/>
      <c r="H418" s="258"/>
      <c r="I418" s="258"/>
      <c r="J418" s="258"/>
      <c r="K418" s="258"/>
      <c r="L418" s="258"/>
      <c r="M418" s="258"/>
      <c r="N418" s="258"/>
    </row>
    <row r="419" spans="1:15" hidden="1">
      <c r="A419" s="3" t="s">
        <v>3</v>
      </c>
      <c r="B419" s="4">
        <f>B381</f>
        <v>2439</v>
      </c>
      <c r="C419" s="4"/>
      <c r="D419" s="4"/>
      <c r="E419" s="3" t="s">
        <v>4</v>
      </c>
      <c r="F419" s="215" t="str">
        <f>F381</f>
        <v>Mahajan Ganesh Trambak</v>
      </c>
      <c r="G419" s="215"/>
      <c r="H419" s="215"/>
      <c r="I419" s="215"/>
      <c r="J419" s="215"/>
      <c r="K419" s="215"/>
      <c r="L419" s="215"/>
      <c r="M419" s="215"/>
      <c r="N419" s="215"/>
    </row>
    <row r="420" spans="1:15" hidden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6"/>
      <c r="L420" s="6"/>
      <c r="M420" s="6"/>
      <c r="N420" s="5"/>
    </row>
    <row r="421" spans="1:15" ht="20.399999999999999" hidden="1">
      <c r="A421" s="3" t="s">
        <v>6</v>
      </c>
      <c r="B421" s="4">
        <f>B383</f>
        <v>2439</v>
      </c>
      <c r="C421" s="4"/>
      <c r="D421" s="4"/>
      <c r="E421" s="3" t="s">
        <v>7</v>
      </c>
      <c r="F421" s="268"/>
      <c r="G421" s="269"/>
      <c r="H421" s="3" t="s">
        <v>8</v>
      </c>
      <c r="I421" s="3"/>
      <c r="J421" s="3"/>
      <c r="K421" s="270" t="str">
        <f>K383</f>
        <v>Asst. Jr. Engineer</v>
      </c>
      <c r="L421" s="270"/>
      <c r="M421" s="270"/>
      <c r="N421" s="270"/>
    </row>
    <row r="422" spans="1:15" hidden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6"/>
      <c r="L422" s="6"/>
      <c r="M422" s="6"/>
      <c r="N422" s="5"/>
    </row>
    <row r="423" spans="1:15" hidden="1">
      <c r="A423" s="3" t="s">
        <v>10</v>
      </c>
      <c r="B423" s="7">
        <v>7.9000000000000001E-2</v>
      </c>
      <c r="C423" s="7"/>
      <c r="D423" s="7"/>
      <c r="E423" s="3" t="s">
        <v>11</v>
      </c>
      <c r="F423" s="7" t="s">
        <v>217</v>
      </c>
      <c r="G423" s="216" t="s">
        <v>12</v>
      </c>
      <c r="H423" s="217"/>
      <c r="I423" s="29"/>
      <c r="J423" s="29"/>
      <c r="K423" s="266">
        <f>N408</f>
        <v>15645</v>
      </c>
      <c r="L423" s="267"/>
      <c r="M423" s="267"/>
      <c r="N423" s="271"/>
    </row>
    <row r="424" spans="1:15" hidden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6"/>
      <c r="L424" s="6"/>
      <c r="M424" s="6"/>
      <c r="N424" s="5"/>
    </row>
    <row r="425" spans="1:15" ht="30.6" hidden="1">
      <c r="A425" s="9" t="s">
        <v>13</v>
      </c>
      <c r="B425" s="9" t="s">
        <v>14</v>
      </c>
      <c r="C425" s="9"/>
      <c r="D425" s="9"/>
      <c r="E425" s="9" t="s">
        <v>349</v>
      </c>
      <c r="F425" s="9" t="s">
        <v>15</v>
      </c>
      <c r="G425" s="9" t="s">
        <v>16</v>
      </c>
      <c r="H425" s="9" t="s">
        <v>17</v>
      </c>
      <c r="I425" s="9"/>
      <c r="J425" s="9"/>
      <c r="K425" s="10" t="s">
        <v>18</v>
      </c>
      <c r="L425" s="10"/>
      <c r="M425" s="10"/>
      <c r="N425" s="10" t="s">
        <v>19</v>
      </c>
      <c r="O425" s="11" t="s">
        <v>20</v>
      </c>
    </row>
    <row r="426" spans="1:15" hidden="1">
      <c r="A426" s="3" t="s">
        <v>218</v>
      </c>
      <c r="B426" s="13">
        <v>300</v>
      </c>
      <c r="C426" s="13"/>
      <c r="D426" s="13"/>
      <c r="E426" s="13">
        <f>B426</f>
        <v>300</v>
      </c>
      <c r="F426" s="13">
        <v>0</v>
      </c>
      <c r="G426" s="13">
        <f t="shared" ref="G426:G437" si="112">(E426+B426)+F426</f>
        <v>600</v>
      </c>
      <c r="H426" s="13">
        <v>0</v>
      </c>
      <c r="I426" s="13"/>
      <c r="J426" s="13"/>
      <c r="K426" s="13">
        <f>(K423+G426)-H426</f>
        <v>16245</v>
      </c>
      <c r="L426" s="14"/>
      <c r="M426" s="14"/>
      <c r="N426" s="14">
        <f>ROUND((K426*7.9/100)/12,0)</f>
        <v>107</v>
      </c>
      <c r="O426" s="282" t="s">
        <v>219</v>
      </c>
    </row>
    <row r="427" spans="1:15" hidden="1">
      <c r="A427" s="3" t="s">
        <v>220</v>
      </c>
      <c r="B427" s="13">
        <v>300</v>
      </c>
      <c r="C427" s="13"/>
      <c r="D427" s="13"/>
      <c r="E427" s="13">
        <f t="shared" ref="E427:E437" si="113">B427</f>
        <v>300</v>
      </c>
      <c r="F427" s="13">
        <v>0</v>
      </c>
      <c r="G427" s="13">
        <f t="shared" si="112"/>
        <v>600</v>
      </c>
      <c r="H427" s="13">
        <v>0</v>
      </c>
      <c r="I427" s="48"/>
      <c r="J427" s="48"/>
      <c r="K427" s="20">
        <f t="shared" ref="K427:K437" si="114">(K426+G427)-H427</f>
        <v>16845</v>
      </c>
      <c r="L427" s="52"/>
      <c r="M427" s="52"/>
      <c r="N427" s="14">
        <f>ROUND((K427*7.9/100)/12,0)</f>
        <v>111</v>
      </c>
      <c r="O427" s="282"/>
    </row>
    <row r="428" spans="1:15" hidden="1">
      <c r="A428" s="3" t="s">
        <v>221</v>
      </c>
      <c r="B428" s="13">
        <v>0</v>
      </c>
      <c r="C428" s="13"/>
      <c r="D428" s="13"/>
      <c r="E428" s="13">
        <f t="shared" si="113"/>
        <v>0</v>
      </c>
      <c r="F428" s="13">
        <v>0</v>
      </c>
      <c r="G428" s="13">
        <f t="shared" si="112"/>
        <v>0</v>
      </c>
      <c r="H428" s="13">
        <v>0</v>
      </c>
      <c r="I428" s="48"/>
      <c r="J428" s="48"/>
      <c r="K428" s="20">
        <f t="shared" si="114"/>
        <v>16845</v>
      </c>
      <c r="L428" s="52"/>
      <c r="M428" s="52"/>
      <c r="N428" s="14">
        <f>ROUND((K428*7.9/100)/12,0)</f>
        <v>111</v>
      </c>
      <c r="O428" s="282"/>
    </row>
    <row r="429" spans="1:15" hidden="1">
      <c r="A429" s="3" t="s">
        <v>222</v>
      </c>
      <c r="B429" s="13">
        <v>300</v>
      </c>
      <c r="C429" s="13"/>
      <c r="D429" s="13"/>
      <c r="E429" s="13">
        <f t="shared" si="113"/>
        <v>300</v>
      </c>
      <c r="F429" s="13">
        <v>0</v>
      </c>
      <c r="G429" s="13">
        <f t="shared" si="112"/>
        <v>600</v>
      </c>
      <c r="H429" s="13">
        <v>0</v>
      </c>
      <c r="I429" s="48"/>
      <c r="J429" s="48"/>
      <c r="K429" s="20">
        <f t="shared" si="114"/>
        <v>17445</v>
      </c>
      <c r="L429" s="52"/>
      <c r="M429" s="52"/>
      <c r="N429" s="14">
        <f t="shared" ref="N429:N434" si="115">ROUND((K429*7.8/100)/12,0)</f>
        <v>113</v>
      </c>
      <c r="O429" s="272" t="s">
        <v>223</v>
      </c>
    </row>
    <row r="430" spans="1:15" hidden="1">
      <c r="A430" s="3" t="s">
        <v>224</v>
      </c>
      <c r="B430" s="13">
        <v>300</v>
      </c>
      <c r="C430" s="13"/>
      <c r="D430" s="13"/>
      <c r="E430" s="13">
        <f t="shared" si="113"/>
        <v>300</v>
      </c>
      <c r="F430" s="13">
        <v>0</v>
      </c>
      <c r="G430" s="13">
        <f t="shared" si="112"/>
        <v>600</v>
      </c>
      <c r="H430" s="13">
        <v>0</v>
      </c>
      <c r="I430" s="48"/>
      <c r="J430" s="48"/>
      <c r="K430" s="20">
        <f t="shared" si="114"/>
        <v>18045</v>
      </c>
      <c r="L430" s="52"/>
      <c r="M430" s="52"/>
      <c r="N430" s="14">
        <f t="shared" si="115"/>
        <v>117</v>
      </c>
      <c r="O430" s="273"/>
    </row>
    <row r="431" spans="1:15" hidden="1">
      <c r="A431" s="3" t="s">
        <v>225</v>
      </c>
      <c r="B431" s="13">
        <v>600</v>
      </c>
      <c r="C431" s="13"/>
      <c r="D431" s="13"/>
      <c r="E431" s="13">
        <f t="shared" si="113"/>
        <v>600</v>
      </c>
      <c r="F431" s="13">
        <v>0</v>
      </c>
      <c r="G431" s="13">
        <f t="shared" si="112"/>
        <v>1200</v>
      </c>
      <c r="H431" s="13">
        <v>0</v>
      </c>
      <c r="I431" s="48"/>
      <c r="J431" s="48"/>
      <c r="K431" s="20">
        <f t="shared" si="114"/>
        <v>19245</v>
      </c>
      <c r="L431" s="52"/>
      <c r="M431" s="52"/>
      <c r="N431" s="14">
        <f t="shared" si="115"/>
        <v>125</v>
      </c>
      <c r="O431" s="273"/>
    </row>
    <row r="432" spans="1:15" hidden="1">
      <c r="A432" s="3" t="s">
        <v>226</v>
      </c>
      <c r="B432" s="13">
        <v>0</v>
      </c>
      <c r="C432" s="13"/>
      <c r="D432" s="13"/>
      <c r="E432" s="13">
        <f t="shared" si="113"/>
        <v>0</v>
      </c>
      <c r="F432" s="13">
        <v>0</v>
      </c>
      <c r="G432" s="13">
        <f t="shared" si="112"/>
        <v>0</v>
      </c>
      <c r="H432" s="13">
        <v>0</v>
      </c>
      <c r="I432" s="48"/>
      <c r="J432" s="48"/>
      <c r="K432" s="20">
        <f t="shared" si="114"/>
        <v>19245</v>
      </c>
      <c r="L432" s="52"/>
      <c r="M432" s="52"/>
      <c r="N432" s="14">
        <f t="shared" si="115"/>
        <v>125</v>
      </c>
      <c r="O432" s="273"/>
    </row>
    <row r="433" spans="1:15" hidden="1">
      <c r="A433" s="3" t="s">
        <v>227</v>
      </c>
      <c r="B433" s="13">
        <v>300</v>
      </c>
      <c r="C433" s="13"/>
      <c r="D433" s="13"/>
      <c r="E433" s="13">
        <f t="shared" si="113"/>
        <v>300</v>
      </c>
      <c r="F433" s="13">
        <v>0</v>
      </c>
      <c r="G433" s="13">
        <f t="shared" si="112"/>
        <v>600</v>
      </c>
      <c r="H433" s="13">
        <v>0</v>
      </c>
      <c r="I433" s="48"/>
      <c r="J433" s="48"/>
      <c r="K433" s="20">
        <f t="shared" si="114"/>
        <v>19845</v>
      </c>
      <c r="L433" s="52"/>
      <c r="M433" s="52"/>
      <c r="N433" s="14">
        <f t="shared" si="115"/>
        <v>129</v>
      </c>
      <c r="O433" s="273"/>
    </row>
    <row r="434" spans="1:15" hidden="1">
      <c r="A434" s="3" t="s">
        <v>228</v>
      </c>
      <c r="B434" s="13">
        <v>300</v>
      </c>
      <c r="C434" s="13"/>
      <c r="D434" s="13"/>
      <c r="E434" s="13">
        <f t="shared" si="113"/>
        <v>300</v>
      </c>
      <c r="F434" s="13">
        <v>0</v>
      </c>
      <c r="G434" s="13">
        <f t="shared" si="112"/>
        <v>600</v>
      </c>
      <c r="H434" s="13">
        <v>0</v>
      </c>
      <c r="I434" s="48"/>
      <c r="J434" s="48"/>
      <c r="K434" s="20">
        <f t="shared" si="114"/>
        <v>20445</v>
      </c>
      <c r="L434" s="52"/>
      <c r="M434" s="52"/>
      <c r="N434" s="14">
        <f t="shared" si="115"/>
        <v>133</v>
      </c>
      <c r="O434" s="274"/>
    </row>
    <row r="435" spans="1:15" hidden="1">
      <c r="A435" s="3" t="s">
        <v>229</v>
      </c>
      <c r="B435" s="13">
        <v>300</v>
      </c>
      <c r="C435" s="13"/>
      <c r="D435" s="13"/>
      <c r="E435" s="13">
        <f t="shared" si="113"/>
        <v>300</v>
      </c>
      <c r="F435" s="13">
        <v>0</v>
      </c>
      <c r="G435" s="13">
        <f t="shared" si="112"/>
        <v>600</v>
      </c>
      <c r="H435" s="13">
        <v>0</v>
      </c>
      <c r="I435" s="48"/>
      <c r="J435" s="48"/>
      <c r="K435" s="20">
        <f t="shared" si="114"/>
        <v>21045</v>
      </c>
      <c r="L435" s="52"/>
      <c r="M435" s="52"/>
      <c r="N435" s="14">
        <f>ROUND((K435*7.6/100)/12,0)</f>
        <v>133</v>
      </c>
      <c r="O435" s="282" t="s">
        <v>230</v>
      </c>
    </row>
    <row r="436" spans="1:15" hidden="1">
      <c r="A436" s="3" t="s">
        <v>231</v>
      </c>
      <c r="B436" s="13">
        <v>0</v>
      </c>
      <c r="C436" s="13"/>
      <c r="D436" s="13"/>
      <c r="E436" s="13">
        <f t="shared" si="113"/>
        <v>0</v>
      </c>
      <c r="F436" s="13">
        <v>0</v>
      </c>
      <c r="G436" s="13">
        <f t="shared" si="112"/>
        <v>0</v>
      </c>
      <c r="H436" s="13">
        <v>0</v>
      </c>
      <c r="I436" s="48"/>
      <c r="J436" s="48"/>
      <c r="K436" s="20">
        <f t="shared" si="114"/>
        <v>21045</v>
      </c>
      <c r="L436" s="52"/>
      <c r="M436" s="52"/>
      <c r="N436" s="14">
        <f>ROUND((K436*7.6/100)/12,0)</f>
        <v>133</v>
      </c>
      <c r="O436" s="282"/>
    </row>
    <row r="437" spans="1:15" hidden="1">
      <c r="A437" s="3" t="s">
        <v>232</v>
      </c>
      <c r="B437" s="13">
        <v>0</v>
      </c>
      <c r="C437" s="13"/>
      <c r="D437" s="13"/>
      <c r="E437" s="13">
        <f t="shared" si="113"/>
        <v>0</v>
      </c>
      <c r="F437" s="13">
        <v>0</v>
      </c>
      <c r="G437" s="13">
        <f t="shared" si="112"/>
        <v>0</v>
      </c>
      <c r="H437" s="13">
        <v>0</v>
      </c>
      <c r="I437" s="48"/>
      <c r="J437" s="48"/>
      <c r="K437" s="20">
        <f t="shared" si="114"/>
        <v>21045</v>
      </c>
      <c r="L437" s="52"/>
      <c r="M437" s="52"/>
      <c r="N437" s="14">
        <f>ROUND((K437*7.6/100)/12,0)</f>
        <v>133</v>
      </c>
      <c r="O437" s="282"/>
    </row>
    <row r="438" spans="1:15" hidden="1">
      <c r="A438" s="3" t="s">
        <v>233</v>
      </c>
      <c r="B438" s="15">
        <f t="shared" ref="B438:N438" si="116">SUM(B426:B437)</f>
        <v>2700</v>
      </c>
      <c r="C438" s="15"/>
      <c r="D438" s="15"/>
      <c r="E438" s="15">
        <f t="shared" si="116"/>
        <v>2700</v>
      </c>
      <c r="F438" s="15">
        <f t="shared" si="116"/>
        <v>0</v>
      </c>
      <c r="G438" s="15">
        <f t="shared" si="116"/>
        <v>5400</v>
      </c>
      <c r="H438" s="15">
        <f t="shared" si="116"/>
        <v>0</v>
      </c>
      <c r="I438" s="15"/>
      <c r="J438" s="15"/>
      <c r="K438" s="15">
        <f>SUM(K426:K437)</f>
        <v>227340</v>
      </c>
      <c r="L438" s="15"/>
      <c r="M438" s="15"/>
      <c r="N438" s="15">
        <f t="shared" si="116"/>
        <v>1470</v>
      </c>
    </row>
    <row r="439" spans="1:15" hidden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6"/>
      <c r="L439" s="6"/>
      <c r="M439" s="6"/>
      <c r="N439" s="5"/>
    </row>
    <row r="440" spans="1:15" ht="15" hidden="1" thickBot="1">
      <c r="A440" s="5"/>
      <c r="B440" s="6"/>
      <c r="C440" s="6"/>
      <c r="D440" s="6"/>
      <c r="E440" s="5"/>
      <c r="F440" s="5"/>
      <c r="G440" s="211" t="s">
        <v>47</v>
      </c>
      <c r="H440" s="212"/>
      <c r="I440" s="212"/>
      <c r="J440" s="212"/>
      <c r="K440" s="213"/>
      <c r="L440" s="26"/>
      <c r="M440" s="26"/>
      <c r="N440" s="16">
        <f>K423</f>
        <v>15645</v>
      </c>
    </row>
    <row r="441" spans="1:15" ht="15" hidden="1" thickBot="1">
      <c r="A441" s="5"/>
      <c r="B441" s="5"/>
      <c r="C441" s="5"/>
      <c r="D441" s="5"/>
      <c r="E441" s="5"/>
      <c r="F441" s="5"/>
      <c r="G441" s="211" t="s">
        <v>48</v>
      </c>
      <c r="H441" s="212"/>
      <c r="I441" s="212"/>
      <c r="J441" s="212"/>
      <c r="K441" s="213"/>
      <c r="L441" s="26"/>
      <c r="M441" s="26"/>
      <c r="N441" s="16">
        <f>B438+F438</f>
        <v>2700</v>
      </c>
    </row>
    <row r="442" spans="1:15" ht="15" hidden="1" thickBot="1">
      <c r="A442" s="5"/>
      <c r="B442" s="5"/>
      <c r="C442" s="5"/>
      <c r="D442" s="5"/>
      <c r="E442" s="5"/>
      <c r="F442" s="5"/>
      <c r="G442" s="211" t="s">
        <v>349</v>
      </c>
      <c r="H442" s="212"/>
      <c r="I442" s="212"/>
      <c r="J442" s="212"/>
      <c r="K442" s="213"/>
      <c r="L442" s="26"/>
      <c r="M442" s="26"/>
      <c r="N442" s="16">
        <f>E438</f>
        <v>2700</v>
      </c>
    </row>
    <row r="443" spans="1:15" ht="15" hidden="1" thickBot="1">
      <c r="A443" s="5"/>
      <c r="B443" s="5"/>
      <c r="C443" s="5"/>
      <c r="D443" s="5"/>
      <c r="E443" s="5"/>
      <c r="F443" s="5"/>
      <c r="G443" s="211" t="s">
        <v>49</v>
      </c>
      <c r="H443" s="212"/>
      <c r="I443" s="212"/>
      <c r="J443" s="212"/>
      <c r="K443" s="213"/>
      <c r="L443" s="26"/>
      <c r="M443" s="26"/>
      <c r="N443" s="16">
        <f>SUM(N440:N442)</f>
        <v>21045</v>
      </c>
    </row>
    <row r="444" spans="1:15" ht="15" hidden="1" thickBot="1">
      <c r="A444" s="5"/>
      <c r="B444" s="5"/>
      <c r="C444" s="5"/>
      <c r="D444" s="5"/>
      <c r="E444" s="5"/>
      <c r="F444" s="5"/>
      <c r="G444" s="211" t="s">
        <v>50</v>
      </c>
      <c r="H444" s="212"/>
      <c r="I444" s="212"/>
      <c r="J444" s="212"/>
      <c r="K444" s="213"/>
      <c r="L444" s="26"/>
      <c r="M444" s="26"/>
      <c r="N444" s="16">
        <f>H438</f>
        <v>0</v>
      </c>
    </row>
    <row r="445" spans="1:15" ht="15" hidden="1" thickBot="1">
      <c r="A445" s="5"/>
      <c r="B445" s="5"/>
      <c r="C445" s="5"/>
      <c r="D445" s="5"/>
      <c r="E445" s="5"/>
      <c r="F445" s="5"/>
      <c r="G445" s="211" t="s">
        <v>51</v>
      </c>
      <c r="H445" s="212"/>
      <c r="I445" s="212"/>
      <c r="J445" s="212"/>
      <c r="K445" s="213"/>
      <c r="L445" s="26"/>
      <c r="M445" s="26"/>
      <c r="N445" s="16">
        <f>N438</f>
        <v>1470</v>
      </c>
    </row>
    <row r="446" spans="1:15" ht="15" hidden="1" thickBot="1">
      <c r="A446" s="5"/>
      <c r="B446" s="5"/>
      <c r="C446" s="5"/>
      <c r="D446" s="5"/>
      <c r="E446" s="5"/>
      <c r="F446" s="5"/>
      <c r="G446" s="211" t="s">
        <v>52</v>
      </c>
      <c r="H446" s="212"/>
      <c r="I446" s="212"/>
      <c r="J446" s="212"/>
      <c r="K446" s="213"/>
      <c r="L446" s="26"/>
      <c r="M446" s="26"/>
      <c r="N446" s="16">
        <f>(N443-N444)+N445</f>
        <v>22515</v>
      </c>
    </row>
    <row r="447" spans="1:15" hidden="1">
      <c r="A447" s="5"/>
      <c r="B447" s="5"/>
      <c r="C447" s="5"/>
      <c r="D447" s="5"/>
      <c r="E447" s="5"/>
      <c r="F447" s="5"/>
      <c r="G447" s="17"/>
      <c r="H447" s="17"/>
      <c r="I447" s="17"/>
      <c r="J447" s="17"/>
      <c r="K447" s="17"/>
      <c r="L447" s="17"/>
      <c r="M447" s="17"/>
      <c r="N447" s="6"/>
    </row>
    <row r="448" spans="1:15" hidden="1"/>
    <row r="449" spans="1:15" hidden="1"/>
    <row r="450" spans="1:15" ht="16.8" hidden="1">
      <c r="A450" s="249" t="s">
        <v>53</v>
      </c>
      <c r="B450" s="249"/>
      <c r="C450" s="18"/>
      <c r="D450" s="18"/>
      <c r="E450" s="249" t="s">
        <v>54</v>
      </c>
      <c r="F450" s="249"/>
      <c r="G450" s="249"/>
      <c r="H450" s="250" t="s">
        <v>55</v>
      </c>
      <c r="I450" s="250"/>
      <c r="J450" s="250"/>
      <c r="K450" s="250"/>
      <c r="L450" s="250"/>
      <c r="M450" s="250"/>
      <c r="N450" s="250"/>
    </row>
    <row r="451" spans="1:15" ht="16.8" hidden="1">
      <c r="A451" s="18"/>
      <c r="B451" s="18"/>
      <c r="C451" s="18"/>
      <c r="D451" s="18"/>
      <c r="E451" s="18"/>
      <c r="F451" s="18"/>
      <c r="G451" s="19"/>
      <c r="H451" s="19"/>
      <c r="I451" s="19"/>
      <c r="J451" s="19"/>
    </row>
    <row r="452" spans="1:15" ht="16.8" hidden="1">
      <c r="A452" s="18"/>
      <c r="B452" s="18"/>
      <c r="C452" s="18"/>
      <c r="D452" s="18"/>
      <c r="E452" s="18"/>
      <c r="F452" s="18"/>
      <c r="G452" s="19"/>
      <c r="H452" s="19"/>
      <c r="I452" s="19"/>
      <c r="J452" s="19"/>
    </row>
    <row r="453" spans="1:15" ht="18.600000000000001" hidden="1">
      <c r="A453" s="224" t="s">
        <v>0</v>
      </c>
      <c r="B453" s="224"/>
      <c r="C453" s="224"/>
      <c r="D453" s="224"/>
      <c r="E453" s="224"/>
      <c r="F453" s="224"/>
      <c r="G453" s="224"/>
      <c r="H453" s="224"/>
      <c r="I453" s="224"/>
      <c r="J453" s="224"/>
      <c r="K453" s="224"/>
      <c r="L453" s="224"/>
      <c r="M453" s="224"/>
      <c r="N453" s="224"/>
      <c r="O453" s="224"/>
    </row>
    <row r="454" spans="1:15" ht="18.600000000000001" hidden="1">
      <c r="A454" s="224" t="s">
        <v>1</v>
      </c>
      <c r="B454" s="224"/>
      <c r="C454" s="224"/>
      <c r="D454" s="224"/>
      <c r="E454" s="224"/>
      <c r="F454" s="224"/>
      <c r="G454" s="224"/>
      <c r="H454" s="224"/>
      <c r="I454" s="224"/>
      <c r="J454" s="224"/>
      <c r="K454" s="224"/>
      <c r="L454" s="224"/>
      <c r="M454" s="224"/>
      <c r="N454" s="224"/>
      <c r="O454" s="224"/>
    </row>
    <row r="455" spans="1:15" hidden="1"/>
    <row r="456" spans="1:15" hidden="1">
      <c r="A456" s="258" t="s">
        <v>234</v>
      </c>
      <c r="B456" s="258"/>
      <c r="C456" s="258"/>
      <c r="D456" s="258"/>
      <c r="E456" s="258"/>
      <c r="F456" s="258"/>
      <c r="G456" s="258"/>
      <c r="H456" s="258"/>
      <c r="I456" s="258"/>
      <c r="J456" s="258"/>
      <c r="K456" s="258"/>
      <c r="L456" s="258"/>
      <c r="M456" s="258"/>
      <c r="N456" s="258"/>
    </row>
    <row r="457" spans="1:15" hidden="1">
      <c r="A457" s="3" t="s">
        <v>3</v>
      </c>
      <c r="B457" s="4">
        <f>B419</f>
        <v>2439</v>
      </c>
      <c r="C457" s="4"/>
      <c r="D457" s="4"/>
      <c r="E457" s="3" t="s">
        <v>4</v>
      </c>
      <c r="F457" s="215" t="str">
        <f>F419</f>
        <v>Mahajan Ganesh Trambak</v>
      </c>
      <c r="G457" s="215"/>
      <c r="H457" s="215"/>
      <c r="I457" s="215"/>
      <c r="J457" s="215"/>
      <c r="K457" s="215"/>
      <c r="L457" s="215"/>
      <c r="M457" s="215"/>
      <c r="N457" s="215"/>
    </row>
    <row r="458" spans="1:15" hidden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6"/>
      <c r="L458" s="6"/>
      <c r="M458" s="6"/>
      <c r="N458" s="5"/>
    </row>
    <row r="459" spans="1:15" ht="20.399999999999999" hidden="1">
      <c r="A459" s="3" t="s">
        <v>6</v>
      </c>
      <c r="B459" s="4">
        <f>B421</f>
        <v>2439</v>
      </c>
      <c r="C459" s="4"/>
      <c r="D459" s="4"/>
      <c r="E459" s="3" t="s">
        <v>7</v>
      </c>
      <c r="F459" s="268"/>
      <c r="G459" s="269"/>
      <c r="H459" s="3" t="s">
        <v>8</v>
      </c>
      <c r="I459" s="3"/>
      <c r="J459" s="3"/>
      <c r="K459" s="270" t="str">
        <f>K421</f>
        <v>Asst. Jr. Engineer</v>
      </c>
      <c r="L459" s="270"/>
      <c r="M459" s="270"/>
      <c r="N459" s="270"/>
    </row>
    <row r="460" spans="1:15" hidden="1">
      <c r="A460" s="5"/>
      <c r="B460" s="5"/>
      <c r="C460" s="5"/>
      <c r="D460" s="5"/>
      <c r="E460" s="17"/>
      <c r="F460" s="5"/>
      <c r="G460" s="5"/>
      <c r="H460" s="5"/>
      <c r="I460" s="5"/>
      <c r="J460" s="5"/>
      <c r="K460" s="6"/>
      <c r="L460" s="6"/>
      <c r="M460" s="6"/>
      <c r="N460" s="5"/>
    </row>
    <row r="461" spans="1:15" hidden="1">
      <c r="A461" s="3" t="s">
        <v>10</v>
      </c>
      <c r="B461" s="7">
        <v>7.5999999999999998E-2</v>
      </c>
      <c r="C461" s="7"/>
      <c r="D461" s="7"/>
      <c r="E461" s="3" t="s">
        <v>11</v>
      </c>
      <c r="F461" s="7">
        <v>0.08</v>
      </c>
      <c r="G461" s="216" t="s">
        <v>12</v>
      </c>
      <c r="H461" s="217"/>
      <c r="I461" s="29"/>
      <c r="J461" s="29"/>
      <c r="K461" s="266">
        <f>N446</f>
        <v>22515</v>
      </c>
      <c r="L461" s="267"/>
      <c r="M461" s="267"/>
      <c r="N461" s="271"/>
    </row>
    <row r="462" spans="1:15" hidden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6"/>
      <c r="L462" s="6"/>
      <c r="M462" s="6"/>
      <c r="N462" s="5"/>
    </row>
    <row r="463" spans="1:15" ht="30.6" hidden="1">
      <c r="A463" s="9" t="s">
        <v>13</v>
      </c>
      <c r="B463" s="9" t="s">
        <v>14</v>
      </c>
      <c r="C463" s="9"/>
      <c r="D463" s="9"/>
      <c r="E463" s="9" t="s">
        <v>349</v>
      </c>
      <c r="F463" s="9" t="s">
        <v>15</v>
      </c>
      <c r="G463" s="9" t="s">
        <v>16</v>
      </c>
      <c r="H463" s="9" t="s">
        <v>17</v>
      </c>
      <c r="I463" s="9"/>
      <c r="J463" s="9"/>
      <c r="K463" s="10" t="s">
        <v>18</v>
      </c>
      <c r="L463" s="10"/>
      <c r="M463" s="10"/>
      <c r="N463" s="10" t="s">
        <v>19</v>
      </c>
      <c r="O463" s="11" t="s">
        <v>20</v>
      </c>
    </row>
    <row r="464" spans="1:15" hidden="1">
      <c r="A464" s="3" t="s">
        <v>235</v>
      </c>
      <c r="B464" s="13">
        <v>0</v>
      </c>
      <c r="C464" s="13"/>
      <c r="D464" s="13"/>
      <c r="E464" s="13">
        <f>B464</f>
        <v>0</v>
      </c>
      <c r="F464" s="13">
        <v>0</v>
      </c>
      <c r="G464" s="13">
        <f t="shared" ref="G464:G475" si="117">(E464+B464)+F464</f>
        <v>0</v>
      </c>
      <c r="H464" s="13">
        <v>0</v>
      </c>
      <c r="I464" s="13"/>
      <c r="J464" s="13"/>
      <c r="K464" s="13">
        <f>(K461+G464)-H464</f>
        <v>22515</v>
      </c>
      <c r="L464" s="14"/>
      <c r="M464" s="14"/>
      <c r="N464" s="14">
        <f t="shared" ref="N464:N469" si="118">ROUND((K464*7.6/100)/12,0)</f>
        <v>143</v>
      </c>
      <c r="O464" s="282" t="s">
        <v>230</v>
      </c>
    </row>
    <row r="465" spans="1:15" hidden="1">
      <c r="A465" s="3" t="s">
        <v>236</v>
      </c>
      <c r="B465" s="13">
        <v>0</v>
      </c>
      <c r="C465" s="13"/>
      <c r="D465" s="13"/>
      <c r="E465" s="13">
        <f t="shared" ref="E465:E475" si="119">B465</f>
        <v>0</v>
      </c>
      <c r="F465" s="13">
        <v>0</v>
      </c>
      <c r="G465" s="13">
        <f t="shared" si="117"/>
        <v>0</v>
      </c>
      <c r="H465" s="13">
        <v>0</v>
      </c>
      <c r="I465" s="48"/>
      <c r="J465" s="48"/>
      <c r="K465" s="20">
        <f t="shared" ref="K465:K475" si="120">(K464+G465)-H465</f>
        <v>22515</v>
      </c>
      <c r="L465" s="52"/>
      <c r="M465" s="52"/>
      <c r="N465" s="14">
        <f t="shared" si="118"/>
        <v>143</v>
      </c>
      <c r="O465" s="282"/>
    </row>
    <row r="466" spans="1:15" hidden="1">
      <c r="A466" s="3" t="s">
        <v>237</v>
      </c>
      <c r="B466" s="13">
        <v>0</v>
      </c>
      <c r="C466" s="13"/>
      <c r="D466" s="13"/>
      <c r="E466" s="13">
        <f t="shared" si="119"/>
        <v>0</v>
      </c>
      <c r="F466" s="13">
        <v>0</v>
      </c>
      <c r="G466" s="13">
        <f t="shared" si="117"/>
        <v>0</v>
      </c>
      <c r="H466" s="13">
        <v>0</v>
      </c>
      <c r="I466" s="48"/>
      <c r="J466" s="48"/>
      <c r="K466" s="20">
        <f t="shared" si="120"/>
        <v>22515</v>
      </c>
      <c r="L466" s="52"/>
      <c r="M466" s="52"/>
      <c r="N466" s="14">
        <f t="shared" si="118"/>
        <v>143</v>
      </c>
      <c r="O466" s="282"/>
    </row>
    <row r="467" spans="1:15" hidden="1">
      <c r="A467" s="3" t="s">
        <v>238</v>
      </c>
      <c r="B467" s="13">
        <v>0</v>
      </c>
      <c r="C467" s="13"/>
      <c r="D467" s="13"/>
      <c r="E467" s="13">
        <f t="shared" si="119"/>
        <v>0</v>
      </c>
      <c r="F467" s="13">
        <v>0</v>
      </c>
      <c r="G467" s="13">
        <f t="shared" si="117"/>
        <v>0</v>
      </c>
      <c r="H467" s="13">
        <v>0</v>
      </c>
      <c r="I467" s="48"/>
      <c r="J467" s="48"/>
      <c r="K467" s="20">
        <f t="shared" si="120"/>
        <v>22515</v>
      </c>
      <c r="L467" s="52"/>
      <c r="M467" s="52"/>
      <c r="N467" s="14">
        <f t="shared" si="118"/>
        <v>143</v>
      </c>
      <c r="O467" s="282"/>
    </row>
    <row r="468" spans="1:15" hidden="1">
      <c r="A468" s="3" t="s">
        <v>239</v>
      </c>
      <c r="B468" s="13">
        <v>300</v>
      </c>
      <c r="C468" s="13"/>
      <c r="D468" s="13"/>
      <c r="E468" s="13">
        <f t="shared" si="119"/>
        <v>300</v>
      </c>
      <c r="F468" s="13">
        <v>0</v>
      </c>
      <c r="G468" s="13">
        <f t="shared" si="117"/>
        <v>600</v>
      </c>
      <c r="H468" s="13">
        <v>0</v>
      </c>
      <c r="I468" s="48"/>
      <c r="J468" s="48"/>
      <c r="K468" s="20">
        <f t="shared" si="120"/>
        <v>23115</v>
      </c>
      <c r="L468" s="52"/>
      <c r="M468" s="52"/>
      <c r="N468" s="14">
        <f t="shared" si="118"/>
        <v>146</v>
      </c>
      <c r="O468" s="282"/>
    </row>
    <row r="469" spans="1:15" hidden="1">
      <c r="A469" s="3" t="s">
        <v>240</v>
      </c>
      <c r="B469" s="13">
        <v>300</v>
      </c>
      <c r="C469" s="13"/>
      <c r="D469" s="13"/>
      <c r="E469" s="13">
        <f t="shared" si="119"/>
        <v>300</v>
      </c>
      <c r="F469" s="13">
        <v>0</v>
      </c>
      <c r="G469" s="13">
        <f t="shared" si="117"/>
        <v>600</v>
      </c>
      <c r="H469" s="13">
        <v>0</v>
      </c>
      <c r="I469" s="48"/>
      <c r="J469" s="48"/>
      <c r="K469" s="20">
        <f t="shared" si="120"/>
        <v>23715</v>
      </c>
      <c r="L469" s="52"/>
      <c r="M469" s="52"/>
      <c r="N469" s="14">
        <f t="shared" si="118"/>
        <v>150</v>
      </c>
      <c r="O469" s="282"/>
    </row>
    <row r="470" spans="1:15" hidden="1">
      <c r="A470" s="3" t="s">
        <v>241</v>
      </c>
      <c r="B470" s="13">
        <v>300</v>
      </c>
      <c r="C470" s="13"/>
      <c r="D470" s="13"/>
      <c r="E470" s="13">
        <f t="shared" si="119"/>
        <v>300</v>
      </c>
      <c r="F470" s="13">
        <v>0</v>
      </c>
      <c r="G470" s="13">
        <f t="shared" si="117"/>
        <v>600</v>
      </c>
      <c r="H470" s="13">
        <v>0</v>
      </c>
      <c r="I470" s="48"/>
      <c r="J470" s="48"/>
      <c r="K470" s="20">
        <f t="shared" si="120"/>
        <v>24315</v>
      </c>
      <c r="L470" s="52"/>
      <c r="M470" s="52"/>
      <c r="N470" s="14">
        <f t="shared" ref="N470:N475" si="121">ROUND((K470*8/100)/12,0)</f>
        <v>162</v>
      </c>
      <c r="O470" s="282" t="s">
        <v>34</v>
      </c>
    </row>
    <row r="471" spans="1:15" hidden="1">
      <c r="A471" s="3" t="s">
        <v>242</v>
      </c>
      <c r="B471" s="13">
        <v>0</v>
      </c>
      <c r="C471" s="13"/>
      <c r="D471" s="13"/>
      <c r="E471" s="13">
        <f t="shared" si="119"/>
        <v>0</v>
      </c>
      <c r="F471" s="13">
        <v>0</v>
      </c>
      <c r="G471" s="13">
        <f t="shared" si="117"/>
        <v>0</v>
      </c>
      <c r="H471" s="13">
        <v>0</v>
      </c>
      <c r="I471" s="48"/>
      <c r="J471" s="48"/>
      <c r="K471" s="20">
        <f t="shared" si="120"/>
        <v>24315</v>
      </c>
      <c r="L471" s="52"/>
      <c r="M471" s="52"/>
      <c r="N471" s="14">
        <f t="shared" si="121"/>
        <v>162</v>
      </c>
      <c r="O471" s="282"/>
    </row>
    <row r="472" spans="1:15" hidden="1">
      <c r="A472" s="3" t="s">
        <v>243</v>
      </c>
      <c r="B472" s="13">
        <v>300</v>
      </c>
      <c r="C472" s="13"/>
      <c r="D472" s="13"/>
      <c r="E472" s="13">
        <f t="shared" si="119"/>
        <v>300</v>
      </c>
      <c r="F472" s="13">
        <v>0</v>
      </c>
      <c r="G472" s="13">
        <f t="shared" si="117"/>
        <v>600</v>
      </c>
      <c r="H472" s="13">
        <v>0</v>
      </c>
      <c r="I472" s="48"/>
      <c r="J472" s="48"/>
      <c r="K472" s="20">
        <f t="shared" si="120"/>
        <v>24915</v>
      </c>
      <c r="L472" s="52"/>
      <c r="M472" s="52"/>
      <c r="N472" s="14">
        <f t="shared" si="121"/>
        <v>166</v>
      </c>
      <c r="O472" s="282"/>
    </row>
    <row r="473" spans="1:15" hidden="1">
      <c r="A473" s="3" t="s">
        <v>244</v>
      </c>
      <c r="B473" s="13">
        <v>300</v>
      </c>
      <c r="C473" s="13"/>
      <c r="D473" s="13"/>
      <c r="E473" s="13">
        <f t="shared" si="119"/>
        <v>300</v>
      </c>
      <c r="F473" s="13">
        <v>0</v>
      </c>
      <c r="G473" s="13">
        <f t="shared" si="117"/>
        <v>600</v>
      </c>
      <c r="H473" s="13">
        <v>0</v>
      </c>
      <c r="I473" s="48"/>
      <c r="J473" s="48"/>
      <c r="K473" s="20">
        <f t="shared" si="120"/>
        <v>25515</v>
      </c>
      <c r="L473" s="52"/>
      <c r="M473" s="52"/>
      <c r="N473" s="14">
        <f t="shared" si="121"/>
        <v>170</v>
      </c>
      <c r="O473" s="282"/>
    </row>
    <row r="474" spans="1:15" hidden="1">
      <c r="A474" s="3" t="s">
        <v>245</v>
      </c>
      <c r="B474" s="13">
        <v>300</v>
      </c>
      <c r="C474" s="13"/>
      <c r="D474" s="13"/>
      <c r="E474" s="13">
        <f t="shared" si="119"/>
        <v>300</v>
      </c>
      <c r="F474" s="13">
        <v>0</v>
      </c>
      <c r="G474" s="13">
        <f t="shared" si="117"/>
        <v>600</v>
      </c>
      <c r="H474" s="13">
        <v>0</v>
      </c>
      <c r="I474" s="48"/>
      <c r="J474" s="48"/>
      <c r="K474" s="20">
        <f t="shared" si="120"/>
        <v>26115</v>
      </c>
      <c r="L474" s="52"/>
      <c r="M474" s="52"/>
      <c r="N474" s="14">
        <f t="shared" si="121"/>
        <v>174</v>
      </c>
      <c r="O474" s="282"/>
    </row>
    <row r="475" spans="1:15" hidden="1">
      <c r="A475" s="3" t="s">
        <v>246</v>
      </c>
      <c r="B475" s="13">
        <v>300</v>
      </c>
      <c r="C475" s="13"/>
      <c r="D475" s="13"/>
      <c r="E475" s="13">
        <f t="shared" si="119"/>
        <v>300</v>
      </c>
      <c r="F475" s="13">
        <v>0</v>
      </c>
      <c r="G475" s="13">
        <f t="shared" si="117"/>
        <v>600</v>
      </c>
      <c r="H475" s="13">
        <v>0</v>
      </c>
      <c r="I475" s="48"/>
      <c r="J475" s="48"/>
      <c r="K475" s="20">
        <f t="shared" si="120"/>
        <v>26715</v>
      </c>
      <c r="L475" s="52"/>
      <c r="M475" s="52"/>
      <c r="N475" s="14">
        <f t="shared" si="121"/>
        <v>178</v>
      </c>
      <c r="O475" s="282"/>
    </row>
    <row r="476" spans="1:15" hidden="1">
      <c r="A476" s="3" t="s">
        <v>247</v>
      </c>
      <c r="B476" s="15">
        <f t="shared" ref="B476:H476" si="122">SUM(B464:B475)</f>
        <v>2100</v>
      </c>
      <c r="C476" s="15"/>
      <c r="D476" s="15"/>
      <c r="E476" s="15">
        <f t="shared" si="122"/>
        <v>2100</v>
      </c>
      <c r="F476" s="15">
        <f t="shared" si="122"/>
        <v>0</v>
      </c>
      <c r="G476" s="15">
        <f t="shared" si="122"/>
        <v>4200</v>
      </c>
      <c r="H476" s="15">
        <f t="shared" si="122"/>
        <v>0</v>
      </c>
      <c r="I476" s="15"/>
      <c r="J476" s="15"/>
      <c r="K476" s="15">
        <f>SUM(K464:K475)</f>
        <v>288780</v>
      </c>
      <c r="L476" s="15"/>
      <c r="M476" s="15"/>
      <c r="N476" s="15">
        <f>SUM(N464:N475)</f>
        <v>1880</v>
      </c>
    </row>
    <row r="477" spans="1:15" hidden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6"/>
      <c r="L477" s="6"/>
      <c r="M477" s="6"/>
      <c r="N477" s="5"/>
    </row>
    <row r="478" spans="1:15" ht="15" hidden="1" thickBot="1">
      <c r="A478" s="5"/>
      <c r="B478" s="6"/>
      <c r="C478" s="6"/>
      <c r="D478" s="6"/>
      <c r="E478" s="5"/>
      <c r="F478" s="5"/>
      <c r="G478" s="211" t="s">
        <v>47</v>
      </c>
      <c r="H478" s="212"/>
      <c r="I478" s="212"/>
      <c r="J478" s="212"/>
      <c r="K478" s="213"/>
      <c r="L478" s="26"/>
      <c r="M478" s="26"/>
      <c r="N478" s="16">
        <f>K461</f>
        <v>22515</v>
      </c>
    </row>
    <row r="479" spans="1:15" ht="15" hidden="1" thickBot="1">
      <c r="A479" s="5"/>
      <c r="B479" s="5"/>
      <c r="C479" s="5"/>
      <c r="D479" s="5"/>
      <c r="E479" s="5"/>
      <c r="F479" s="5"/>
      <c r="G479" s="211" t="s">
        <v>48</v>
      </c>
      <c r="H479" s="212"/>
      <c r="I479" s="212"/>
      <c r="J479" s="212"/>
      <c r="K479" s="213"/>
      <c r="L479" s="26"/>
      <c r="M479" s="26"/>
      <c r="N479" s="16">
        <f>B476+F476</f>
        <v>2100</v>
      </c>
    </row>
    <row r="480" spans="1:15" ht="15" hidden="1" thickBot="1">
      <c r="A480" s="5"/>
      <c r="B480" s="5"/>
      <c r="C480" s="5"/>
      <c r="D480" s="5"/>
      <c r="E480" s="5"/>
      <c r="F480" s="5"/>
      <c r="G480" s="211" t="s">
        <v>349</v>
      </c>
      <c r="H480" s="212"/>
      <c r="I480" s="212"/>
      <c r="J480" s="212"/>
      <c r="K480" s="213"/>
      <c r="L480" s="26"/>
      <c r="M480" s="26"/>
      <c r="N480" s="16">
        <f>E476</f>
        <v>2100</v>
      </c>
    </row>
    <row r="481" spans="1:15" ht="15" hidden="1" thickBot="1">
      <c r="A481" s="5"/>
      <c r="B481" s="5"/>
      <c r="C481" s="5"/>
      <c r="D481" s="5"/>
      <c r="E481" s="5"/>
      <c r="F481" s="5"/>
      <c r="G481" s="211" t="s">
        <v>49</v>
      </c>
      <c r="H481" s="212"/>
      <c r="I481" s="212"/>
      <c r="J481" s="212"/>
      <c r="K481" s="213"/>
      <c r="L481" s="26"/>
      <c r="M481" s="26"/>
      <c r="N481" s="16">
        <f>SUM(N478:N480)</f>
        <v>26715</v>
      </c>
    </row>
    <row r="482" spans="1:15" ht="15" hidden="1" thickBot="1">
      <c r="A482" s="5"/>
      <c r="B482" s="5"/>
      <c r="C482" s="5"/>
      <c r="D482" s="5"/>
      <c r="E482" s="5"/>
      <c r="F482" s="5"/>
      <c r="G482" s="211" t="s">
        <v>50</v>
      </c>
      <c r="H482" s="212"/>
      <c r="I482" s="212"/>
      <c r="J482" s="212"/>
      <c r="K482" s="213"/>
      <c r="L482" s="26"/>
      <c r="M482" s="26"/>
      <c r="N482" s="16">
        <f>H476</f>
        <v>0</v>
      </c>
    </row>
    <row r="483" spans="1:15" ht="15" hidden="1" thickBot="1">
      <c r="A483" s="5"/>
      <c r="B483" s="5"/>
      <c r="C483" s="5"/>
      <c r="D483" s="5"/>
      <c r="E483" s="5"/>
      <c r="F483" s="5"/>
      <c r="G483" s="211" t="s">
        <v>51</v>
      </c>
      <c r="H483" s="212"/>
      <c r="I483" s="212"/>
      <c r="J483" s="212"/>
      <c r="K483" s="213"/>
      <c r="L483" s="26"/>
      <c r="M483" s="26"/>
      <c r="N483" s="16">
        <f>N476</f>
        <v>1880</v>
      </c>
    </row>
    <row r="484" spans="1:15" ht="15" hidden="1" thickBot="1">
      <c r="A484" s="5"/>
      <c r="B484" s="5"/>
      <c r="C484" s="5"/>
      <c r="D484" s="5"/>
      <c r="E484" s="5"/>
      <c r="F484" s="5"/>
      <c r="G484" s="211" t="s">
        <v>52</v>
      </c>
      <c r="H484" s="212"/>
      <c r="I484" s="212"/>
      <c r="J484" s="212"/>
      <c r="K484" s="213"/>
      <c r="L484" s="26"/>
      <c r="M484" s="26"/>
      <c r="N484" s="16">
        <f>(N481-N482)+N483</f>
        <v>28595</v>
      </c>
    </row>
    <row r="485" spans="1:15" hidden="1">
      <c r="A485" s="5"/>
      <c r="B485" s="5"/>
      <c r="C485" s="5"/>
      <c r="D485" s="5"/>
      <c r="E485" s="5"/>
      <c r="F485" s="5"/>
      <c r="G485" s="17"/>
      <c r="H485" s="17"/>
      <c r="I485" s="17"/>
      <c r="J485" s="17"/>
      <c r="K485" s="17"/>
      <c r="L485" s="17"/>
      <c r="M485" s="17"/>
      <c r="N485" s="6"/>
    </row>
    <row r="486" spans="1:15" hidden="1"/>
    <row r="487" spans="1:15" hidden="1"/>
    <row r="488" spans="1:15" ht="16.8" hidden="1">
      <c r="A488" s="249" t="s">
        <v>53</v>
      </c>
      <c r="B488" s="249"/>
      <c r="C488" s="18"/>
      <c r="D488" s="18"/>
      <c r="E488" s="249" t="s">
        <v>54</v>
      </c>
      <c r="F488" s="249"/>
      <c r="G488" s="249"/>
      <c r="H488" s="250" t="s">
        <v>55</v>
      </c>
      <c r="I488" s="250"/>
      <c r="J488" s="250"/>
      <c r="K488" s="250"/>
      <c r="L488" s="250"/>
      <c r="M488" s="250"/>
      <c r="N488" s="250"/>
    </row>
    <row r="489" spans="1:15" ht="16.8" hidden="1">
      <c r="A489" s="18"/>
      <c r="B489" s="18"/>
      <c r="C489" s="18"/>
      <c r="D489" s="18"/>
      <c r="E489" s="18"/>
      <c r="F489" s="18"/>
      <c r="G489" s="19"/>
      <c r="H489" s="19"/>
      <c r="I489" s="19"/>
      <c r="J489" s="19"/>
    </row>
    <row r="490" spans="1:15" ht="16.8" hidden="1">
      <c r="A490" s="18"/>
      <c r="B490" s="18"/>
      <c r="C490" s="18"/>
      <c r="D490" s="18"/>
      <c r="E490" s="18"/>
      <c r="F490" s="18"/>
      <c r="G490" s="19"/>
      <c r="H490" s="19"/>
      <c r="I490" s="19"/>
      <c r="J490" s="19"/>
    </row>
    <row r="491" spans="1:15" ht="18.600000000000001" hidden="1">
      <c r="A491" s="224" t="s">
        <v>0</v>
      </c>
      <c r="B491" s="224"/>
      <c r="C491" s="224"/>
      <c r="D491" s="224"/>
      <c r="E491" s="224"/>
      <c r="F491" s="224"/>
      <c r="G491" s="224"/>
      <c r="H491" s="224"/>
      <c r="I491" s="224"/>
      <c r="J491" s="224"/>
      <c r="K491" s="224"/>
      <c r="L491" s="224"/>
      <c r="M491" s="224"/>
      <c r="N491" s="224"/>
      <c r="O491" s="224"/>
    </row>
    <row r="492" spans="1:15" ht="18.600000000000001" hidden="1">
      <c r="A492" s="224" t="s">
        <v>1</v>
      </c>
      <c r="B492" s="224"/>
      <c r="C492" s="224"/>
      <c r="D492" s="224"/>
      <c r="E492" s="224"/>
      <c r="F492" s="224"/>
      <c r="G492" s="224"/>
      <c r="H492" s="224"/>
      <c r="I492" s="224"/>
      <c r="J492" s="224"/>
      <c r="K492" s="224"/>
      <c r="L492" s="224"/>
      <c r="M492" s="224"/>
      <c r="N492" s="224"/>
      <c r="O492" s="224"/>
    </row>
    <row r="493" spans="1:15" hidden="1"/>
    <row r="494" spans="1:15" hidden="1">
      <c r="A494" s="258" t="s">
        <v>248</v>
      </c>
      <c r="B494" s="258"/>
      <c r="C494" s="258"/>
      <c r="D494" s="258"/>
      <c r="E494" s="258"/>
      <c r="F494" s="258"/>
      <c r="G494" s="258"/>
      <c r="H494" s="258"/>
      <c r="I494" s="258"/>
      <c r="J494" s="258"/>
      <c r="K494" s="258"/>
      <c r="L494" s="258"/>
      <c r="M494" s="258"/>
      <c r="N494" s="258"/>
    </row>
    <row r="495" spans="1:15" hidden="1">
      <c r="A495" s="3" t="s">
        <v>3</v>
      </c>
      <c r="B495" s="4">
        <f>B457</f>
        <v>2439</v>
      </c>
      <c r="C495" s="4"/>
      <c r="D495" s="4"/>
      <c r="E495" s="3" t="s">
        <v>4</v>
      </c>
      <c r="F495" s="215" t="str">
        <f>F457</f>
        <v>Mahajan Ganesh Trambak</v>
      </c>
      <c r="G495" s="215"/>
      <c r="H495" s="215"/>
      <c r="I495" s="215"/>
      <c r="J495" s="215"/>
      <c r="K495" s="215"/>
      <c r="L495" s="215"/>
      <c r="M495" s="215"/>
      <c r="N495" s="215"/>
    </row>
    <row r="496" spans="1:15" hidden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6"/>
      <c r="L496" s="6"/>
      <c r="M496" s="6"/>
      <c r="N496" s="5"/>
    </row>
    <row r="497" spans="1:15" ht="20.399999999999999" hidden="1">
      <c r="A497" s="3" t="s">
        <v>6</v>
      </c>
      <c r="B497" s="4">
        <f>B459</f>
        <v>2439</v>
      </c>
      <c r="C497" s="4"/>
      <c r="D497" s="4"/>
      <c r="E497" s="3" t="s">
        <v>7</v>
      </c>
      <c r="F497" s="268"/>
      <c r="G497" s="269"/>
      <c r="H497" s="3" t="s">
        <v>8</v>
      </c>
      <c r="I497" s="3"/>
      <c r="J497" s="3"/>
      <c r="K497" s="270" t="str">
        <f>K459</f>
        <v>Asst. Jr. Engineer</v>
      </c>
      <c r="L497" s="270"/>
      <c r="M497" s="270"/>
      <c r="N497" s="270"/>
    </row>
    <row r="498" spans="1:15" hidden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6"/>
      <c r="L498" s="6"/>
      <c r="M498" s="6"/>
      <c r="N498" s="5"/>
    </row>
    <row r="499" spans="1:15" hidden="1">
      <c r="A499" s="3" t="s">
        <v>10</v>
      </c>
      <c r="B499" s="7">
        <v>0.08</v>
      </c>
      <c r="C499" s="7"/>
      <c r="D499" s="7"/>
      <c r="E499" s="3" t="s">
        <v>11</v>
      </c>
      <c r="F499" s="7">
        <v>7.9000000000000001E-2</v>
      </c>
      <c r="G499" s="216" t="s">
        <v>12</v>
      </c>
      <c r="H499" s="217"/>
      <c r="I499" s="29"/>
      <c r="J499" s="29"/>
      <c r="K499" s="266">
        <f>N484</f>
        <v>28595</v>
      </c>
      <c r="L499" s="267"/>
      <c r="M499" s="267"/>
      <c r="N499" s="271"/>
    </row>
    <row r="500" spans="1:15" hidden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6"/>
      <c r="L500" s="6"/>
      <c r="M500" s="6"/>
      <c r="N500" s="5"/>
    </row>
    <row r="501" spans="1:15" ht="30.6" hidden="1">
      <c r="A501" s="9" t="s">
        <v>13</v>
      </c>
      <c r="B501" s="9" t="s">
        <v>14</v>
      </c>
      <c r="C501" s="9"/>
      <c r="D501" s="9"/>
      <c r="E501" s="9" t="s">
        <v>349</v>
      </c>
      <c r="F501" s="9" t="s">
        <v>15</v>
      </c>
      <c r="G501" s="9" t="s">
        <v>16</v>
      </c>
      <c r="H501" s="9" t="s">
        <v>17</v>
      </c>
      <c r="I501" s="9"/>
      <c r="J501" s="9"/>
      <c r="K501" s="10" t="s">
        <v>18</v>
      </c>
      <c r="L501" s="10"/>
      <c r="M501" s="10"/>
      <c r="N501" s="10" t="s">
        <v>19</v>
      </c>
      <c r="O501" s="11" t="s">
        <v>20</v>
      </c>
    </row>
    <row r="502" spans="1:15" hidden="1">
      <c r="A502" s="3" t="s">
        <v>249</v>
      </c>
      <c r="B502" s="13">
        <v>300</v>
      </c>
      <c r="C502" s="13"/>
      <c r="D502" s="13"/>
      <c r="E502" s="13">
        <f>ROUND(B502*10*14%,0)</f>
        <v>420</v>
      </c>
      <c r="F502" s="13">
        <v>0</v>
      </c>
      <c r="G502" s="13">
        <f t="shared" ref="G502:G513" si="123">(E502+B502)+F502</f>
        <v>720</v>
      </c>
      <c r="H502" s="13">
        <v>0</v>
      </c>
      <c r="I502" s="13"/>
      <c r="J502" s="13"/>
      <c r="K502" s="13">
        <f>(K499+G502)-H502</f>
        <v>29315</v>
      </c>
      <c r="L502" s="14"/>
      <c r="M502" s="14"/>
      <c r="N502" s="14">
        <f>ROUND((K502*8/100)/12,0)</f>
        <v>195</v>
      </c>
      <c r="O502" s="272" t="s">
        <v>34</v>
      </c>
    </row>
    <row r="503" spans="1:15" hidden="1">
      <c r="A503" s="3" t="s">
        <v>250</v>
      </c>
      <c r="B503" s="13">
        <v>300</v>
      </c>
      <c r="C503" s="13"/>
      <c r="D503" s="13"/>
      <c r="E503" s="13">
        <f t="shared" ref="E503:E513" si="124">ROUND(B503*10*14%,0)</f>
        <v>420</v>
      </c>
      <c r="F503" s="13">
        <v>0</v>
      </c>
      <c r="G503" s="13">
        <f t="shared" si="123"/>
        <v>720</v>
      </c>
      <c r="H503" s="13">
        <v>0</v>
      </c>
      <c r="I503" s="48"/>
      <c r="J503" s="48"/>
      <c r="K503" s="20">
        <f t="shared" ref="K503:K513" si="125">(K502+G503)-H503</f>
        <v>30035</v>
      </c>
      <c r="L503" s="52"/>
      <c r="M503" s="52"/>
      <c r="N503" s="14">
        <f>ROUND((K503*8/100)/12,0)</f>
        <v>200</v>
      </c>
      <c r="O503" s="273"/>
    </row>
    <row r="504" spans="1:15" hidden="1">
      <c r="A504" s="3" t="s">
        <v>251</v>
      </c>
      <c r="B504" s="13">
        <v>300</v>
      </c>
      <c r="C504" s="13"/>
      <c r="D504" s="13"/>
      <c r="E504" s="13">
        <f t="shared" si="124"/>
        <v>420</v>
      </c>
      <c r="F504" s="13">
        <v>0</v>
      </c>
      <c r="G504" s="13">
        <f t="shared" si="123"/>
        <v>720</v>
      </c>
      <c r="H504" s="13">
        <v>0</v>
      </c>
      <c r="I504" s="48"/>
      <c r="J504" s="48"/>
      <c r="K504" s="20">
        <f t="shared" si="125"/>
        <v>30755</v>
      </c>
      <c r="L504" s="52"/>
      <c r="M504" s="52"/>
      <c r="N504" s="14">
        <f>ROUND((K504*8/100)/12,0)</f>
        <v>205</v>
      </c>
      <c r="O504" s="274"/>
    </row>
    <row r="505" spans="1:15" hidden="1">
      <c r="A505" s="3" t="s">
        <v>252</v>
      </c>
      <c r="B505" s="13">
        <v>300</v>
      </c>
      <c r="C505" s="13"/>
      <c r="D505" s="13"/>
      <c r="E505" s="13">
        <f t="shared" si="124"/>
        <v>420</v>
      </c>
      <c r="F505" s="13">
        <v>0</v>
      </c>
      <c r="G505" s="13">
        <f t="shared" si="123"/>
        <v>720</v>
      </c>
      <c r="H505" s="13">
        <v>0</v>
      </c>
      <c r="I505" s="48"/>
      <c r="J505" s="48"/>
      <c r="K505" s="20">
        <f t="shared" si="125"/>
        <v>31475</v>
      </c>
      <c r="L505" s="52"/>
      <c r="M505" s="52"/>
      <c r="N505" s="14">
        <f>ROUND((K505*7.9/100)/12,0)</f>
        <v>207</v>
      </c>
      <c r="O505" s="272" t="s">
        <v>219</v>
      </c>
    </row>
    <row r="506" spans="1:15" hidden="1">
      <c r="A506" s="3" t="s">
        <v>253</v>
      </c>
      <c r="B506" s="13">
        <v>300</v>
      </c>
      <c r="C506" s="13"/>
      <c r="D506" s="13"/>
      <c r="E506" s="13">
        <f t="shared" si="124"/>
        <v>420</v>
      </c>
      <c r="F506" s="13">
        <v>0</v>
      </c>
      <c r="G506" s="13">
        <f t="shared" si="123"/>
        <v>720</v>
      </c>
      <c r="H506" s="13">
        <v>0</v>
      </c>
      <c r="I506" s="48"/>
      <c r="J506" s="48"/>
      <c r="K506" s="20">
        <f t="shared" si="125"/>
        <v>32195</v>
      </c>
      <c r="L506" s="52"/>
      <c r="M506" s="52"/>
      <c r="N506" s="14">
        <f t="shared" ref="N506:N513" si="126">ROUND((K506*7.9/100)/12,0)</f>
        <v>212</v>
      </c>
      <c r="O506" s="273"/>
    </row>
    <row r="507" spans="1:15" hidden="1">
      <c r="A507" s="3" t="s">
        <v>254</v>
      </c>
      <c r="B507" s="13">
        <v>300</v>
      </c>
      <c r="C507" s="13"/>
      <c r="D507" s="13"/>
      <c r="E507" s="13">
        <f t="shared" si="124"/>
        <v>420</v>
      </c>
      <c r="F507" s="13">
        <v>0</v>
      </c>
      <c r="G507" s="13">
        <f t="shared" si="123"/>
        <v>720</v>
      </c>
      <c r="H507" s="13">
        <v>0</v>
      </c>
      <c r="I507" s="48"/>
      <c r="J507" s="48"/>
      <c r="K507" s="20">
        <f t="shared" si="125"/>
        <v>32915</v>
      </c>
      <c r="L507" s="52"/>
      <c r="M507" s="52"/>
      <c r="N507" s="14">
        <f t="shared" si="126"/>
        <v>217</v>
      </c>
      <c r="O507" s="273"/>
    </row>
    <row r="508" spans="1:15" hidden="1">
      <c r="A508" s="3" t="s">
        <v>255</v>
      </c>
      <c r="B508" s="13">
        <v>300</v>
      </c>
      <c r="C508" s="13"/>
      <c r="D508" s="13"/>
      <c r="E508" s="13">
        <f t="shared" si="124"/>
        <v>420</v>
      </c>
      <c r="F508" s="13">
        <v>0</v>
      </c>
      <c r="G508" s="13">
        <f t="shared" si="123"/>
        <v>720</v>
      </c>
      <c r="H508" s="13">
        <v>0</v>
      </c>
      <c r="I508" s="48"/>
      <c r="J508" s="48"/>
      <c r="K508" s="20">
        <f t="shared" si="125"/>
        <v>33635</v>
      </c>
      <c r="L508" s="52"/>
      <c r="M508" s="52"/>
      <c r="N508" s="14">
        <f t="shared" si="126"/>
        <v>221</v>
      </c>
      <c r="O508" s="273"/>
    </row>
    <row r="509" spans="1:15" hidden="1">
      <c r="A509" s="3" t="s">
        <v>256</v>
      </c>
      <c r="B509" s="13">
        <v>300</v>
      </c>
      <c r="C509" s="13"/>
      <c r="D509" s="13"/>
      <c r="E509" s="13">
        <f t="shared" si="124"/>
        <v>420</v>
      </c>
      <c r="F509" s="13">
        <v>0</v>
      </c>
      <c r="G509" s="13">
        <f t="shared" si="123"/>
        <v>720</v>
      </c>
      <c r="H509" s="13">
        <v>0</v>
      </c>
      <c r="I509" s="48"/>
      <c r="J509" s="48"/>
      <c r="K509" s="20">
        <f t="shared" si="125"/>
        <v>34355</v>
      </c>
      <c r="L509" s="52"/>
      <c r="M509" s="52"/>
      <c r="N509" s="14">
        <f t="shared" si="126"/>
        <v>226</v>
      </c>
      <c r="O509" s="273"/>
    </row>
    <row r="510" spans="1:15" hidden="1">
      <c r="A510" s="3" t="s">
        <v>257</v>
      </c>
      <c r="B510" s="13">
        <v>300</v>
      </c>
      <c r="C510" s="13"/>
      <c r="D510" s="13"/>
      <c r="E510" s="13">
        <f t="shared" si="124"/>
        <v>420</v>
      </c>
      <c r="F510" s="13">
        <v>0</v>
      </c>
      <c r="G510" s="13">
        <f t="shared" si="123"/>
        <v>720</v>
      </c>
      <c r="H510" s="13">
        <v>0</v>
      </c>
      <c r="I510" s="48"/>
      <c r="J510" s="48"/>
      <c r="K510" s="20">
        <f t="shared" si="125"/>
        <v>35075</v>
      </c>
      <c r="L510" s="52"/>
      <c r="M510" s="52"/>
      <c r="N510" s="14">
        <f t="shared" si="126"/>
        <v>231</v>
      </c>
      <c r="O510" s="273"/>
    </row>
    <row r="511" spans="1:15" hidden="1">
      <c r="A511" s="3" t="s">
        <v>258</v>
      </c>
      <c r="B511" s="13">
        <v>1896</v>
      </c>
      <c r="C511" s="13"/>
      <c r="D511" s="13"/>
      <c r="E511" s="13">
        <f t="shared" si="124"/>
        <v>2654</v>
      </c>
      <c r="F511" s="13">
        <v>0</v>
      </c>
      <c r="G511" s="13">
        <f t="shared" si="123"/>
        <v>4550</v>
      </c>
      <c r="H511" s="13">
        <v>0</v>
      </c>
      <c r="I511" s="48"/>
      <c r="J511" s="48"/>
      <c r="K511" s="20">
        <f t="shared" si="125"/>
        <v>39625</v>
      </c>
      <c r="L511" s="52"/>
      <c r="M511" s="52"/>
      <c r="N511" s="14">
        <f t="shared" si="126"/>
        <v>261</v>
      </c>
      <c r="O511" s="273"/>
    </row>
    <row r="512" spans="1:15" hidden="1">
      <c r="A512" s="3" t="s">
        <v>259</v>
      </c>
      <c r="B512" s="13">
        <v>1848</v>
      </c>
      <c r="C512" s="13"/>
      <c r="D512" s="13"/>
      <c r="E512" s="13">
        <f t="shared" si="124"/>
        <v>2587</v>
      </c>
      <c r="F512" s="13">
        <v>0</v>
      </c>
      <c r="G512" s="13">
        <f t="shared" si="123"/>
        <v>4435</v>
      </c>
      <c r="H512" s="13">
        <v>0</v>
      </c>
      <c r="I512" s="48"/>
      <c r="J512" s="48"/>
      <c r="K512" s="20">
        <f t="shared" si="125"/>
        <v>44060</v>
      </c>
      <c r="L512" s="52"/>
      <c r="M512" s="52"/>
      <c r="N512" s="14">
        <f t="shared" si="126"/>
        <v>290</v>
      </c>
      <c r="O512" s="273"/>
    </row>
    <row r="513" spans="1:15" hidden="1">
      <c r="A513" s="3" t="s">
        <v>260</v>
      </c>
      <c r="B513" s="13">
        <v>1848</v>
      </c>
      <c r="C513" s="13"/>
      <c r="D513" s="13"/>
      <c r="E513" s="13">
        <f t="shared" si="124"/>
        <v>2587</v>
      </c>
      <c r="F513" s="13">
        <v>0</v>
      </c>
      <c r="G513" s="13">
        <f t="shared" si="123"/>
        <v>4435</v>
      </c>
      <c r="H513" s="13">
        <v>0</v>
      </c>
      <c r="I513" s="48"/>
      <c r="J513" s="48"/>
      <c r="K513" s="20">
        <f t="shared" si="125"/>
        <v>48495</v>
      </c>
      <c r="L513" s="52"/>
      <c r="M513" s="52"/>
      <c r="N513" s="14">
        <f t="shared" si="126"/>
        <v>319</v>
      </c>
      <c r="O513" s="274"/>
    </row>
    <row r="514" spans="1:15" hidden="1">
      <c r="A514" s="3" t="s">
        <v>261</v>
      </c>
      <c r="B514" s="15">
        <f t="shared" ref="B514:N514" si="127">SUM(B502:B513)</f>
        <v>8292</v>
      </c>
      <c r="C514" s="15"/>
      <c r="D514" s="15"/>
      <c r="E514" s="15">
        <f t="shared" si="127"/>
        <v>11608</v>
      </c>
      <c r="F514" s="15">
        <f t="shared" si="127"/>
        <v>0</v>
      </c>
      <c r="G514" s="15">
        <f t="shared" si="127"/>
        <v>19900</v>
      </c>
      <c r="H514" s="15">
        <f t="shared" si="127"/>
        <v>0</v>
      </c>
      <c r="I514" s="15"/>
      <c r="J514" s="15"/>
      <c r="K514" s="15">
        <f>SUM(K502:K513)</f>
        <v>421935</v>
      </c>
      <c r="L514" s="15"/>
      <c r="M514" s="15"/>
      <c r="N514" s="15">
        <f t="shared" si="127"/>
        <v>2784</v>
      </c>
    </row>
    <row r="515" spans="1:15" hidden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6"/>
      <c r="L515" s="6"/>
      <c r="M515" s="6"/>
      <c r="N515" s="5"/>
    </row>
    <row r="516" spans="1:15" ht="15" hidden="1" thickBot="1">
      <c r="A516" s="5"/>
      <c r="B516" s="6"/>
      <c r="C516" s="6"/>
      <c r="D516" s="6"/>
      <c r="E516" s="5"/>
      <c r="F516" s="5"/>
      <c r="G516" s="211" t="s">
        <v>47</v>
      </c>
      <c r="H516" s="212"/>
      <c r="I516" s="212"/>
      <c r="J516" s="212"/>
      <c r="K516" s="213"/>
      <c r="L516" s="26"/>
      <c r="M516" s="26"/>
      <c r="N516" s="16">
        <f>K499</f>
        <v>28595</v>
      </c>
    </row>
    <row r="517" spans="1:15" ht="15" hidden="1" thickBot="1">
      <c r="A517" s="5"/>
      <c r="B517" s="5"/>
      <c r="C517" s="5"/>
      <c r="D517" s="5"/>
      <c r="E517" s="5"/>
      <c r="F517" s="5"/>
      <c r="G517" s="211" t="s">
        <v>48</v>
      </c>
      <c r="H517" s="212"/>
      <c r="I517" s="212"/>
      <c r="J517" s="212"/>
      <c r="K517" s="213"/>
      <c r="L517" s="26"/>
      <c r="M517" s="26"/>
      <c r="N517" s="16">
        <f>B514+F514</f>
        <v>8292</v>
      </c>
    </row>
    <row r="518" spans="1:15" ht="15" hidden="1" thickBot="1">
      <c r="A518" s="5"/>
      <c r="B518" s="5"/>
      <c r="C518" s="5"/>
      <c r="D518" s="5"/>
      <c r="E518" s="5"/>
      <c r="F518" s="5"/>
      <c r="G518" s="211" t="s">
        <v>349</v>
      </c>
      <c r="H518" s="212"/>
      <c r="I518" s="212"/>
      <c r="J518" s="212"/>
      <c r="K518" s="213"/>
      <c r="L518" s="26"/>
      <c r="M518" s="26"/>
      <c r="N518" s="16">
        <f>E514</f>
        <v>11608</v>
      </c>
    </row>
    <row r="519" spans="1:15" ht="15" hidden="1" thickBot="1">
      <c r="A519" s="5"/>
      <c r="B519" s="5"/>
      <c r="C519" s="5"/>
      <c r="D519" s="5"/>
      <c r="E519" s="5"/>
      <c r="F519" s="5"/>
      <c r="G519" s="211" t="s">
        <v>49</v>
      </c>
      <c r="H519" s="212"/>
      <c r="I519" s="212"/>
      <c r="J519" s="212"/>
      <c r="K519" s="213"/>
      <c r="L519" s="26"/>
      <c r="M519" s="26"/>
      <c r="N519" s="16">
        <f>SUM(N516:N518)</f>
        <v>48495</v>
      </c>
    </row>
    <row r="520" spans="1:15" ht="15" hidden="1" thickBot="1">
      <c r="A520" s="5"/>
      <c r="B520" s="5"/>
      <c r="C520" s="5"/>
      <c r="D520" s="5"/>
      <c r="E520" s="5"/>
      <c r="F520" s="5"/>
      <c r="G520" s="211" t="s">
        <v>50</v>
      </c>
      <c r="H520" s="212"/>
      <c r="I520" s="212"/>
      <c r="J520" s="212"/>
      <c r="K520" s="213"/>
      <c r="L520" s="26"/>
      <c r="M520" s="26"/>
      <c r="N520" s="16">
        <f>H514</f>
        <v>0</v>
      </c>
    </row>
    <row r="521" spans="1:15" ht="15" hidden="1" thickBot="1">
      <c r="A521" s="5"/>
      <c r="B521" s="5"/>
      <c r="C521" s="5"/>
      <c r="D521" s="5"/>
      <c r="E521" s="5"/>
      <c r="F521" s="5"/>
      <c r="G521" s="211" t="s">
        <v>51</v>
      </c>
      <c r="H521" s="212"/>
      <c r="I521" s="212"/>
      <c r="J521" s="212"/>
      <c r="K521" s="213"/>
      <c r="L521" s="26"/>
      <c r="M521" s="26"/>
      <c r="N521" s="16">
        <f>N514</f>
        <v>2784</v>
      </c>
    </row>
    <row r="522" spans="1:15" ht="15" hidden="1" thickBot="1">
      <c r="A522" s="5"/>
      <c r="B522" s="5"/>
      <c r="C522" s="5"/>
      <c r="D522" s="5"/>
      <c r="E522" s="5"/>
      <c r="F522" s="5"/>
      <c r="G522" s="211" t="s">
        <v>52</v>
      </c>
      <c r="H522" s="212"/>
      <c r="I522" s="212"/>
      <c r="J522" s="212"/>
      <c r="K522" s="213"/>
      <c r="L522" s="26"/>
      <c r="M522" s="26"/>
      <c r="N522" s="16">
        <f>(N519-N520)+N521</f>
        <v>51279</v>
      </c>
    </row>
    <row r="523" spans="1:15" hidden="1">
      <c r="A523" s="5"/>
      <c r="B523" s="5"/>
      <c r="C523" s="5"/>
      <c r="D523" s="5"/>
      <c r="E523" s="5"/>
      <c r="F523" s="5"/>
      <c r="G523" s="17"/>
      <c r="H523" s="17"/>
      <c r="I523" s="17"/>
      <c r="J523" s="17"/>
      <c r="K523" s="17"/>
      <c r="L523" s="17"/>
      <c r="M523" s="17"/>
      <c r="N523" s="6"/>
    </row>
    <row r="524" spans="1:15" hidden="1"/>
    <row r="525" spans="1:15" hidden="1"/>
    <row r="526" spans="1:15" ht="16.8" hidden="1">
      <c r="A526" s="249" t="s">
        <v>53</v>
      </c>
      <c r="B526" s="249"/>
      <c r="C526" s="18"/>
      <c r="D526" s="18"/>
      <c r="E526" s="249" t="s">
        <v>54</v>
      </c>
      <c r="F526" s="249"/>
      <c r="G526" s="249"/>
      <c r="H526" s="250" t="s">
        <v>55</v>
      </c>
      <c r="I526" s="250"/>
      <c r="J526" s="250"/>
      <c r="K526" s="250"/>
      <c r="L526" s="250"/>
      <c r="M526" s="250"/>
      <c r="N526" s="250"/>
    </row>
    <row r="527" spans="1:15" ht="16.8" hidden="1">
      <c r="A527" s="18"/>
      <c r="B527" s="18"/>
      <c r="C527" s="18"/>
      <c r="D527" s="18"/>
      <c r="E527" s="18"/>
      <c r="F527" s="18"/>
      <c r="G527" s="19"/>
      <c r="H527" s="19"/>
      <c r="I527" s="19"/>
      <c r="J527" s="19"/>
    </row>
    <row r="528" spans="1:15" ht="16.8" hidden="1">
      <c r="A528" s="18"/>
      <c r="B528" s="18"/>
      <c r="C528" s="18"/>
      <c r="D528" s="18"/>
      <c r="E528" s="18"/>
      <c r="F528" s="18"/>
      <c r="G528" s="19"/>
      <c r="H528" s="19"/>
      <c r="I528" s="19"/>
      <c r="J528" s="19"/>
    </row>
    <row r="529" spans="1:15" ht="18.600000000000001" hidden="1">
      <c r="A529" s="224" t="s">
        <v>0</v>
      </c>
      <c r="B529" s="224"/>
      <c r="C529" s="224"/>
      <c r="D529" s="224"/>
      <c r="E529" s="224"/>
      <c r="F529" s="224"/>
      <c r="G529" s="224"/>
      <c r="H529" s="224"/>
      <c r="I529" s="224"/>
      <c r="J529" s="224"/>
      <c r="K529" s="224"/>
      <c r="L529" s="224"/>
      <c r="M529" s="224"/>
      <c r="N529" s="224"/>
      <c r="O529" s="224"/>
    </row>
    <row r="530" spans="1:15" ht="18.600000000000001" hidden="1">
      <c r="A530" s="224" t="s">
        <v>1</v>
      </c>
      <c r="B530" s="224"/>
      <c r="C530" s="224"/>
      <c r="D530" s="224"/>
      <c r="E530" s="224"/>
      <c r="F530" s="224"/>
      <c r="G530" s="224"/>
      <c r="H530" s="224"/>
      <c r="I530" s="224"/>
      <c r="J530" s="224"/>
      <c r="K530" s="224"/>
      <c r="L530" s="224"/>
      <c r="M530" s="224"/>
      <c r="N530" s="224"/>
      <c r="O530" s="224"/>
    </row>
    <row r="531" spans="1:15" hidden="1"/>
    <row r="532" spans="1:15" hidden="1">
      <c r="A532" s="258" t="s">
        <v>262</v>
      </c>
      <c r="B532" s="258"/>
      <c r="C532" s="258"/>
      <c r="D532" s="258"/>
      <c r="E532" s="258"/>
      <c r="F532" s="258"/>
      <c r="G532" s="258"/>
      <c r="H532" s="258"/>
      <c r="I532" s="258"/>
      <c r="J532" s="258"/>
      <c r="K532" s="258"/>
      <c r="L532" s="258"/>
      <c r="M532" s="258"/>
      <c r="N532" s="258"/>
    </row>
    <row r="533" spans="1:15" hidden="1">
      <c r="A533" s="3" t="s">
        <v>3</v>
      </c>
      <c r="B533" s="4">
        <f>B495</f>
        <v>2439</v>
      </c>
      <c r="C533" s="4"/>
      <c r="D533" s="4"/>
      <c r="E533" s="3" t="s">
        <v>4</v>
      </c>
      <c r="F533" s="215" t="str">
        <f>F495</f>
        <v>Mahajan Ganesh Trambak</v>
      </c>
      <c r="G533" s="215"/>
      <c r="H533" s="215"/>
      <c r="I533" s="215"/>
      <c r="J533" s="215"/>
      <c r="K533" s="215"/>
      <c r="L533" s="215"/>
      <c r="M533" s="215"/>
      <c r="N533" s="215"/>
    </row>
    <row r="534" spans="1:15" hidden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6"/>
      <c r="L534" s="6"/>
      <c r="M534" s="6"/>
      <c r="N534" s="5"/>
    </row>
    <row r="535" spans="1:15" ht="20.399999999999999" hidden="1">
      <c r="A535" s="3" t="s">
        <v>6</v>
      </c>
      <c r="B535" s="4">
        <f>B497</f>
        <v>2439</v>
      </c>
      <c r="C535" s="4"/>
      <c r="D535" s="4"/>
      <c r="E535" s="3" t="s">
        <v>7</v>
      </c>
      <c r="F535" s="268"/>
      <c r="G535" s="269"/>
      <c r="H535" s="3" t="s">
        <v>8</v>
      </c>
      <c r="I535" s="3"/>
      <c r="J535" s="3"/>
      <c r="K535" s="270" t="str">
        <f>K497</f>
        <v>Asst. Jr. Engineer</v>
      </c>
      <c r="L535" s="270"/>
      <c r="M535" s="270"/>
      <c r="N535" s="270"/>
    </row>
    <row r="536" spans="1:15" hidden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6"/>
      <c r="L536" s="6"/>
      <c r="M536" s="6"/>
      <c r="N536" s="5"/>
    </row>
    <row r="537" spans="1:15" hidden="1">
      <c r="A537" s="3" t="s">
        <v>10</v>
      </c>
      <c r="B537" s="7">
        <v>7.0999999999999994E-2</v>
      </c>
      <c r="C537" s="7"/>
      <c r="D537" s="7"/>
      <c r="E537" s="3" t="s">
        <v>11</v>
      </c>
      <c r="F537" s="7">
        <v>0</v>
      </c>
      <c r="G537" s="216" t="s">
        <v>12</v>
      </c>
      <c r="H537" s="217"/>
      <c r="I537" s="29"/>
      <c r="J537" s="29"/>
      <c r="K537" s="266">
        <f>N522</f>
        <v>51279</v>
      </c>
      <c r="L537" s="267"/>
      <c r="M537" s="267"/>
      <c r="N537" s="271"/>
    </row>
    <row r="538" spans="1:15" hidden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6"/>
      <c r="L538" s="6"/>
      <c r="M538" s="6"/>
      <c r="N538" s="5"/>
    </row>
    <row r="539" spans="1:15" ht="30.6" hidden="1">
      <c r="A539" s="9" t="s">
        <v>13</v>
      </c>
      <c r="B539" s="9" t="s">
        <v>14</v>
      </c>
      <c r="C539" s="9"/>
      <c r="D539" s="9"/>
      <c r="E539" s="9" t="s">
        <v>349</v>
      </c>
      <c r="F539" s="9" t="s">
        <v>15</v>
      </c>
      <c r="G539" s="9" t="s">
        <v>16</v>
      </c>
      <c r="H539" s="9" t="s">
        <v>17</v>
      </c>
      <c r="I539" s="9"/>
      <c r="J539" s="9"/>
      <c r="K539" s="10" t="s">
        <v>18</v>
      </c>
      <c r="L539" s="10"/>
      <c r="M539" s="10"/>
      <c r="N539" s="10" t="s">
        <v>19</v>
      </c>
      <c r="O539" s="11" t="s">
        <v>20</v>
      </c>
    </row>
    <row r="540" spans="1:15" hidden="1">
      <c r="A540" s="3" t="s">
        <v>263</v>
      </c>
      <c r="B540" s="13">
        <v>1848</v>
      </c>
      <c r="C540" s="13"/>
      <c r="D540" s="13"/>
      <c r="E540" s="13">
        <f t="shared" ref="E540:E551" si="128">ROUND(B540*10*14%,0)</f>
        <v>2587</v>
      </c>
      <c r="F540" s="13">
        <v>0</v>
      </c>
      <c r="G540" s="13">
        <f t="shared" ref="G540:G551" si="129">(E540+B540)+F540</f>
        <v>4435</v>
      </c>
      <c r="H540" s="13">
        <v>0</v>
      </c>
      <c r="I540" s="13"/>
      <c r="J540" s="13"/>
      <c r="K540" s="13">
        <f>(K537+G540)-H540</f>
        <v>55714</v>
      </c>
      <c r="L540" s="14"/>
      <c r="M540" s="14"/>
      <c r="N540" s="14">
        <f>ROUND((K540*7.1/100)/12,0)</f>
        <v>330</v>
      </c>
      <c r="O540" s="282" t="s">
        <v>264</v>
      </c>
    </row>
    <row r="541" spans="1:15" hidden="1">
      <c r="A541" s="3" t="s">
        <v>265</v>
      </c>
      <c r="B541" s="13">
        <v>1848</v>
      </c>
      <c r="C541" s="13"/>
      <c r="D541" s="13"/>
      <c r="E541" s="13">
        <f t="shared" si="128"/>
        <v>2587</v>
      </c>
      <c r="F541" s="13">
        <v>0</v>
      </c>
      <c r="G541" s="13">
        <f t="shared" si="129"/>
        <v>4435</v>
      </c>
      <c r="H541" s="13">
        <v>0</v>
      </c>
      <c r="I541" s="48"/>
      <c r="J541" s="48"/>
      <c r="K541" s="20">
        <f t="shared" ref="K541:K551" si="130">(K540+G541)-H541</f>
        <v>60149</v>
      </c>
      <c r="L541" s="52"/>
      <c r="M541" s="52"/>
      <c r="N541" s="14">
        <f>ROUND((K541*7.1/100)/12,0)</f>
        <v>356</v>
      </c>
      <c r="O541" s="282"/>
    </row>
    <row r="542" spans="1:15" hidden="1">
      <c r="A542" s="3" t="s">
        <v>266</v>
      </c>
      <c r="B542" s="13">
        <v>1848</v>
      </c>
      <c r="C542" s="13"/>
      <c r="D542" s="13"/>
      <c r="E542" s="13">
        <f t="shared" si="128"/>
        <v>2587</v>
      </c>
      <c r="F542" s="13">
        <v>0</v>
      </c>
      <c r="G542" s="13">
        <f t="shared" si="129"/>
        <v>4435</v>
      </c>
      <c r="H542" s="13">
        <v>0</v>
      </c>
      <c r="I542" s="48"/>
      <c r="J542" s="48"/>
      <c r="K542" s="20">
        <f t="shared" si="130"/>
        <v>64584</v>
      </c>
      <c r="L542" s="52"/>
      <c r="M542" s="52"/>
      <c r="N542" s="14">
        <f>ROUND((K542*7.1/100)/12,0)</f>
        <v>382</v>
      </c>
      <c r="O542" s="282"/>
    </row>
    <row r="543" spans="1:15" hidden="1">
      <c r="A543" s="3" t="s">
        <v>267</v>
      </c>
      <c r="B543" s="13">
        <v>1903</v>
      </c>
      <c r="C543" s="13"/>
      <c r="D543" s="13"/>
      <c r="E543" s="13">
        <f t="shared" si="128"/>
        <v>2664</v>
      </c>
      <c r="F543" s="13">
        <v>0</v>
      </c>
      <c r="G543" s="13">
        <f t="shared" si="129"/>
        <v>4567</v>
      </c>
      <c r="H543" s="13">
        <v>0</v>
      </c>
      <c r="I543" s="48"/>
      <c r="J543" s="48"/>
      <c r="K543" s="20">
        <f t="shared" si="130"/>
        <v>69151</v>
      </c>
      <c r="L543" s="52"/>
      <c r="M543" s="52"/>
      <c r="N543" s="14">
        <f t="shared" ref="N543:N551" si="131">ROUND((K543*7.1/100)/12,0)</f>
        <v>409</v>
      </c>
      <c r="O543" s="282" t="s">
        <v>264</v>
      </c>
    </row>
    <row r="544" spans="1:15" hidden="1">
      <c r="A544" s="3" t="s">
        <v>268</v>
      </c>
      <c r="B544" s="13">
        <v>1903</v>
      </c>
      <c r="C544" s="13"/>
      <c r="D544" s="13"/>
      <c r="E544" s="13">
        <f t="shared" si="128"/>
        <v>2664</v>
      </c>
      <c r="F544" s="13">
        <v>0</v>
      </c>
      <c r="G544" s="13">
        <f t="shared" si="129"/>
        <v>4567</v>
      </c>
      <c r="H544" s="13">
        <v>0</v>
      </c>
      <c r="I544" s="48"/>
      <c r="J544" s="48"/>
      <c r="K544" s="20">
        <f t="shared" si="130"/>
        <v>73718</v>
      </c>
      <c r="L544" s="52"/>
      <c r="M544" s="52"/>
      <c r="N544" s="14">
        <f t="shared" si="131"/>
        <v>436</v>
      </c>
      <c r="O544" s="282"/>
    </row>
    <row r="545" spans="1:15" hidden="1">
      <c r="A545" s="3" t="s">
        <v>269</v>
      </c>
      <c r="B545" s="13">
        <v>1903</v>
      </c>
      <c r="C545" s="13"/>
      <c r="D545" s="13"/>
      <c r="E545" s="13">
        <f t="shared" si="128"/>
        <v>2664</v>
      </c>
      <c r="F545" s="13">
        <v>0</v>
      </c>
      <c r="G545" s="13">
        <f t="shared" si="129"/>
        <v>4567</v>
      </c>
      <c r="H545" s="13">
        <v>0</v>
      </c>
      <c r="I545" s="48"/>
      <c r="J545" s="48"/>
      <c r="K545" s="20">
        <f t="shared" si="130"/>
        <v>78285</v>
      </c>
      <c r="L545" s="52"/>
      <c r="M545" s="52"/>
      <c r="N545" s="14">
        <f t="shared" si="131"/>
        <v>463</v>
      </c>
      <c r="O545" s="282"/>
    </row>
    <row r="546" spans="1:15" hidden="1">
      <c r="A546" s="3" t="s">
        <v>270</v>
      </c>
      <c r="B546" s="13">
        <v>1903</v>
      </c>
      <c r="C546" s="13"/>
      <c r="D546" s="13"/>
      <c r="E546" s="13">
        <f t="shared" si="128"/>
        <v>2664</v>
      </c>
      <c r="F546" s="13">
        <v>0</v>
      </c>
      <c r="G546" s="13">
        <f t="shared" si="129"/>
        <v>4567</v>
      </c>
      <c r="H546" s="13">
        <v>0</v>
      </c>
      <c r="I546" s="48"/>
      <c r="J546" s="48"/>
      <c r="K546" s="20">
        <f t="shared" si="130"/>
        <v>82852</v>
      </c>
      <c r="L546" s="52"/>
      <c r="M546" s="52"/>
      <c r="N546" s="14">
        <f t="shared" si="131"/>
        <v>490</v>
      </c>
      <c r="O546" s="282" t="s">
        <v>264</v>
      </c>
    </row>
    <row r="547" spans="1:15" hidden="1">
      <c r="A547" s="3" t="s">
        <v>271</v>
      </c>
      <c r="B547" s="13">
        <v>1903</v>
      </c>
      <c r="C547" s="13"/>
      <c r="D547" s="13"/>
      <c r="E547" s="13">
        <f t="shared" si="128"/>
        <v>2664</v>
      </c>
      <c r="F547" s="13">
        <v>0</v>
      </c>
      <c r="G547" s="13">
        <f t="shared" si="129"/>
        <v>4567</v>
      </c>
      <c r="H547" s="13">
        <v>0</v>
      </c>
      <c r="I547" s="48"/>
      <c r="J547" s="48"/>
      <c r="K547" s="20">
        <f t="shared" si="130"/>
        <v>87419</v>
      </c>
      <c r="L547" s="52"/>
      <c r="M547" s="52"/>
      <c r="N547" s="14">
        <f t="shared" si="131"/>
        <v>517</v>
      </c>
      <c r="O547" s="282"/>
    </row>
    <row r="548" spans="1:15" hidden="1">
      <c r="A548" s="3" t="s">
        <v>272</v>
      </c>
      <c r="B548" s="13">
        <v>1903</v>
      </c>
      <c r="C548" s="13"/>
      <c r="D548" s="13"/>
      <c r="E548" s="13">
        <f t="shared" si="128"/>
        <v>2664</v>
      </c>
      <c r="F548" s="13">
        <v>0</v>
      </c>
      <c r="G548" s="13">
        <f t="shared" si="129"/>
        <v>4567</v>
      </c>
      <c r="H548" s="13">
        <v>0</v>
      </c>
      <c r="I548" s="48"/>
      <c r="J548" s="48"/>
      <c r="K548" s="20">
        <f t="shared" si="130"/>
        <v>91986</v>
      </c>
      <c r="L548" s="52"/>
      <c r="M548" s="52"/>
      <c r="N548" s="14">
        <f t="shared" si="131"/>
        <v>544</v>
      </c>
      <c r="O548" s="282"/>
    </row>
    <row r="549" spans="1:15" hidden="1">
      <c r="A549" s="3" t="s">
        <v>273</v>
      </c>
      <c r="B549" s="13">
        <v>1903</v>
      </c>
      <c r="C549" s="13"/>
      <c r="D549" s="13"/>
      <c r="E549" s="13">
        <f t="shared" si="128"/>
        <v>2664</v>
      </c>
      <c r="F549" s="13">
        <v>0</v>
      </c>
      <c r="G549" s="13">
        <f t="shared" si="129"/>
        <v>4567</v>
      </c>
      <c r="H549" s="13">
        <v>0</v>
      </c>
      <c r="I549" s="48"/>
      <c r="J549" s="48"/>
      <c r="K549" s="20">
        <f t="shared" si="130"/>
        <v>96553</v>
      </c>
      <c r="L549" s="52"/>
      <c r="M549" s="52"/>
      <c r="N549" s="14">
        <f t="shared" si="131"/>
        <v>571</v>
      </c>
      <c r="O549" s="282"/>
    </row>
    <row r="550" spans="1:15" hidden="1">
      <c r="A550" s="3" t="s">
        <v>274</v>
      </c>
      <c r="B550" s="13">
        <v>1903</v>
      </c>
      <c r="C550" s="13"/>
      <c r="D550" s="13"/>
      <c r="E550" s="13">
        <f t="shared" si="128"/>
        <v>2664</v>
      </c>
      <c r="F550" s="13">
        <v>0</v>
      </c>
      <c r="G550" s="13">
        <f t="shared" si="129"/>
        <v>4567</v>
      </c>
      <c r="H550" s="13">
        <v>0</v>
      </c>
      <c r="I550" s="48"/>
      <c r="J550" s="48"/>
      <c r="K550" s="20">
        <f t="shared" si="130"/>
        <v>101120</v>
      </c>
      <c r="L550" s="52"/>
      <c r="M550" s="52"/>
      <c r="N550" s="14">
        <f t="shared" si="131"/>
        <v>598</v>
      </c>
      <c r="O550" s="282"/>
    </row>
    <row r="551" spans="1:15" hidden="1">
      <c r="A551" s="3" t="s">
        <v>275</v>
      </c>
      <c r="B551" s="13">
        <v>1903</v>
      </c>
      <c r="C551" s="13"/>
      <c r="D551" s="13"/>
      <c r="E551" s="13">
        <f t="shared" si="128"/>
        <v>2664</v>
      </c>
      <c r="F551" s="13">
        <v>0</v>
      </c>
      <c r="G551" s="13">
        <f t="shared" si="129"/>
        <v>4567</v>
      </c>
      <c r="H551" s="13">
        <v>0</v>
      </c>
      <c r="I551" s="48"/>
      <c r="J551" s="48"/>
      <c r="K551" s="20">
        <f t="shared" si="130"/>
        <v>105687</v>
      </c>
      <c r="L551" s="52"/>
      <c r="M551" s="52"/>
      <c r="N551" s="14">
        <f t="shared" si="131"/>
        <v>625</v>
      </c>
      <c r="O551" s="282"/>
    </row>
    <row r="552" spans="1:15" hidden="1">
      <c r="A552" s="3" t="s">
        <v>276</v>
      </c>
      <c r="B552" s="15">
        <f t="shared" ref="B552:N552" si="132">SUM(B540:B551)</f>
        <v>22671</v>
      </c>
      <c r="C552" s="15"/>
      <c r="D552" s="15"/>
      <c r="E552" s="15">
        <f t="shared" si="132"/>
        <v>31737</v>
      </c>
      <c r="F552" s="15">
        <f t="shared" si="132"/>
        <v>0</v>
      </c>
      <c r="G552" s="15">
        <f t="shared" si="132"/>
        <v>54408</v>
      </c>
      <c r="H552" s="15">
        <f t="shared" si="132"/>
        <v>0</v>
      </c>
      <c r="I552" s="15"/>
      <c r="J552" s="15"/>
      <c r="K552" s="15">
        <f>SUM(K540:K551)</f>
        <v>967218</v>
      </c>
      <c r="L552" s="15"/>
      <c r="M552" s="15"/>
      <c r="N552" s="15">
        <f t="shared" si="132"/>
        <v>5721</v>
      </c>
    </row>
    <row r="553" spans="1:15" hidden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6"/>
      <c r="L553" s="6"/>
      <c r="M553" s="6"/>
      <c r="N553" s="5"/>
    </row>
    <row r="554" spans="1:15" ht="15" hidden="1" thickBot="1">
      <c r="A554" s="5"/>
      <c r="B554" s="6"/>
      <c r="C554" s="6"/>
      <c r="D554" s="6"/>
      <c r="E554" s="5"/>
      <c r="F554" s="5"/>
      <c r="G554" s="211" t="s">
        <v>47</v>
      </c>
      <c r="H554" s="212"/>
      <c r="I554" s="212"/>
      <c r="J554" s="212"/>
      <c r="K554" s="213"/>
      <c r="L554" s="26"/>
      <c r="M554" s="26"/>
      <c r="N554" s="16">
        <f>N522</f>
        <v>51279</v>
      </c>
    </row>
    <row r="555" spans="1:15" ht="15" hidden="1" thickBot="1">
      <c r="A555" s="5"/>
      <c r="B555" s="5"/>
      <c r="C555" s="5"/>
      <c r="D555" s="5"/>
      <c r="E555" s="5"/>
      <c r="F555" s="5"/>
      <c r="G555" s="211" t="s">
        <v>48</v>
      </c>
      <c r="H555" s="212"/>
      <c r="I555" s="212"/>
      <c r="J555" s="212"/>
      <c r="K555" s="213"/>
      <c r="L555" s="26"/>
      <c r="M555" s="26"/>
      <c r="N555" s="16">
        <f>B552+F552</f>
        <v>22671</v>
      </c>
    </row>
    <row r="556" spans="1:15" ht="15" hidden="1" thickBot="1">
      <c r="A556" s="5"/>
      <c r="B556" s="5"/>
      <c r="C556" s="5"/>
      <c r="D556" s="5"/>
      <c r="E556" s="5"/>
      <c r="F556" s="5"/>
      <c r="G556" s="211" t="s">
        <v>349</v>
      </c>
      <c r="H556" s="212"/>
      <c r="I556" s="212"/>
      <c r="J556" s="212"/>
      <c r="K556" s="213"/>
      <c r="L556" s="26"/>
      <c r="M556" s="26"/>
      <c r="N556" s="16">
        <f>E552</f>
        <v>31737</v>
      </c>
    </row>
    <row r="557" spans="1:15" ht="15" hidden="1" thickBot="1">
      <c r="A557" s="5"/>
      <c r="B557" s="5"/>
      <c r="C557" s="5"/>
      <c r="D557" s="5"/>
      <c r="E557" s="5"/>
      <c r="F557" s="5"/>
      <c r="G557" s="211" t="s">
        <v>49</v>
      </c>
      <c r="H557" s="212"/>
      <c r="I557" s="212"/>
      <c r="J557" s="212"/>
      <c r="K557" s="213"/>
      <c r="L557" s="26"/>
      <c r="M557" s="26"/>
      <c r="N557" s="16">
        <f>SUM(N554:N556)</f>
        <v>105687</v>
      </c>
    </row>
    <row r="558" spans="1:15" ht="15" hidden="1" thickBot="1">
      <c r="A558" s="5"/>
      <c r="B558" s="5"/>
      <c r="C558" s="5"/>
      <c r="D558" s="5"/>
      <c r="E558" s="5"/>
      <c r="F558" s="5"/>
      <c r="G558" s="211" t="s">
        <v>50</v>
      </c>
      <c r="H558" s="212"/>
      <c r="I558" s="212"/>
      <c r="J558" s="212"/>
      <c r="K558" s="213"/>
      <c r="L558" s="26"/>
      <c r="M558" s="26"/>
      <c r="N558" s="16">
        <f>H552</f>
        <v>0</v>
      </c>
    </row>
    <row r="559" spans="1:15" ht="15" hidden="1" thickBot="1">
      <c r="A559" s="5"/>
      <c r="B559" s="5"/>
      <c r="C559" s="5"/>
      <c r="D559" s="5"/>
      <c r="E559" s="5"/>
      <c r="F559" s="5"/>
      <c r="G559" s="211" t="s">
        <v>51</v>
      </c>
      <c r="H559" s="212"/>
      <c r="I559" s="212"/>
      <c r="J559" s="212"/>
      <c r="K559" s="213"/>
      <c r="L559" s="26"/>
      <c r="M559" s="26"/>
      <c r="N559" s="16">
        <f>N552</f>
        <v>5721</v>
      </c>
    </row>
    <row r="560" spans="1:15" ht="15" hidden="1" thickBot="1">
      <c r="A560" s="5"/>
      <c r="B560" s="5"/>
      <c r="C560" s="5"/>
      <c r="D560" s="5"/>
      <c r="E560" s="5"/>
      <c r="F560" s="5"/>
      <c r="G560" s="211" t="s">
        <v>52</v>
      </c>
      <c r="H560" s="212"/>
      <c r="I560" s="212"/>
      <c r="J560" s="212"/>
      <c r="K560" s="213"/>
      <c r="L560" s="26"/>
      <c r="M560" s="26"/>
      <c r="N560" s="16">
        <f>(N557-N558)+N559</f>
        <v>111408</v>
      </c>
    </row>
    <row r="561" spans="1:15" hidden="1">
      <c r="A561" s="5"/>
      <c r="B561" s="5"/>
      <c r="C561" s="5"/>
      <c r="D561" s="5"/>
      <c r="E561" s="5"/>
      <c r="F561" s="5"/>
      <c r="G561" s="17"/>
      <c r="H561" s="17"/>
      <c r="I561" s="17"/>
      <c r="J561" s="17"/>
      <c r="K561" s="17"/>
      <c r="L561" s="17"/>
      <c r="M561" s="17"/>
      <c r="N561" s="6"/>
    </row>
    <row r="562" spans="1:15" hidden="1"/>
    <row r="563" spans="1:15" hidden="1"/>
    <row r="564" spans="1:15" ht="16.8" hidden="1">
      <c r="A564" s="249" t="s">
        <v>53</v>
      </c>
      <c r="B564" s="249"/>
      <c r="C564" s="18"/>
      <c r="D564" s="18"/>
      <c r="E564" s="249" t="s">
        <v>54</v>
      </c>
      <c r="F564" s="249"/>
      <c r="G564" s="249"/>
      <c r="H564" s="250" t="s">
        <v>55</v>
      </c>
      <c r="I564" s="250"/>
      <c r="J564" s="250"/>
      <c r="K564" s="250"/>
      <c r="L564" s="250"/>
      <c r="M564" s="250"/>
      <c r="N564" s="250"/>
    </row>
    <row r="565" spans="1:15" ht="16.8" hidden="1">
      <c r="A565" s="18"/>
      <c r="B565" s="18"/>
      <c r="C565" s="18"/>
      <c r="D565" s="18"/>
      <c r="E565" s="18"/>
      <c r="F565" s="18"/>
      <c r="G565" s="19"/>
      <c r="H565" s="19"/>
      <c r="I565" s="19"/>
      <c r="J565" s="19"/>
    </row>
    <row r="566" spans="1:15" ht="16.8" hidden="1">
      <c r="A566" s="18"/>
      <c r="B566" s="18"/>
      <c r="C566" s="18"/>
      <c r="D566" s="18"/>
      <c r="E566" s="18"/>
      <c r="F566" s="18"/>
      <c r="G566" s="19"/>
      <c r="H566" s="19"/>
      <c r="I566" s="19"/>
      <c r="J566" s="19"/>
    </row>
    <row r="567" spans="1:15" ht="18.600000000000001" hidden="1">
      <c r="A567" s="224" t="s">
        <v>0</v>
      </c>
      <c r="B567" s="224"/>
      <c r="C567" s="224"/>
      <c r="D567" s="224"/>
      <c r="E567" s="224"/>
      <c r="F567" s="224"/>
      <c r="G567" s="224"/>
      <c r="H567" s="224"/>
      <c r="I567" s="224"/>
      <c r="J567" s="224"/>
      <c r="K567" s="224"/>
      <c r="L567" s="224"/>
      <c r="M567" s="224"/>
      <c r="N567" s="224"/>
      <c r="O567" s="224"/>
    </row>
    <row r="568" spans="1:15" ht="18.600000000000001" hidden="1">
      <c r="A568" s="224" t="s">
        <v>1</v>
      </c>
      <c r="B568" s="224"/>
      <c r="C568" s="224"/>
      <c r="D568" s="224"/>
      <c r="E568" s="224"/>
      <c r="F568" s="224"/>
      <c r="G568" s="224"/>
      <c r="H568" s="224"/>
      <c r="I568" s="224"/>
      <c r="J568" s="224"/>
      <c r="K568" s="224"/>
      <c r="L568" s="224"/>
      <c r="M568" s="224"/>
      <c r="N568" s="224"/>
      <c r="O568" s="224"/>
    </row>
    <row r="569" spans="1:15" hidden="1"/>
    <row r="570" spans="1:15" hidden="1">
      <c r="A570" s="258" t="s">
        <v>277</v>
      </c>
      <c r="B570" s="258"/>
      <c r="C570" s="258"/>
      <c r="D570" s="258"/>
      <c r="E570" s="258"/>
      <c r="F570" s="258"/>
      <c r="G570" s="258"/>
      <c r="H570" s="258"/>
      <c r="I570" s="258"/>
      <c r="J570" s="258"/>
      <c r="K570" s="258"/>
      <c r="L570" s="258"/>
      <c r="M570" s="258"/>
      <c r="N570" s="258"/>
    </row>
    <row r="571" spans="1:15" hidden="1">
      <c r="A571" s="3" t="s">
        <v>3</v>
      </c>
      <c r="B571" s="4">
        <f>B533</f>
        <v>2439</v>
      </c>
      <c r="C571" s="4"/>
      <c r="D571" s="4"/>
      <c r="E571" s="3" t="s">
        <v>4</v>
      </c>
      <c r="F571" s="215" t="str">
        <f>F533</f>
        <v>Mahajan Ganesh Trambak</v>
      </c>
      <c r="G571" s="215"/>
      <c r="H571" s="215"/>
      <c r="I571" s="215"/>
      <c r="J571" s="215"/>
      <c r="K571" s="215"/>
      <c r="L571" s="215"/>
      <c r="M571" s="215"/>
      <c r="N571" s="215"/>
    </row>
    <row r="572" spans="1:15" hidden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6"/>
      <c r="L572" s="6"/>
      <c r="M572" s="6"/>
      <c r="N572" s="5"/>
    </row>
    <row r="573" spans="1:15" ht="20.399999999999999" hidden="1">
      <c r="A573" s="3" t="s">
        <v>6</v>
      </c>
      <c r="B573" s="4">
        <f>B535</f>
        <v>2439</v>
      </c>
      <c r="C573" s="4"/>
      <c r="D573" s="4"/>
      <c r="E573" s="3" t="s">
        <v>7</v>
      </c>
      <c r="F573" s="268"/>
      <c r="G573" s="269"/>
      <c r="H573" s="3" t="s">
        <v>8</v>
      </c>
      <c r="I573" s="3"/>
      <c r="J573" s="3"/>
      <c r="K573" s="270" t="str">
        <f>K535</f>
        <v>Asst. Jr. Engineer</v>
      </c>
      <c r="L573" s="270"/>
      <c r="M573" s="270"/>
      <c r="N573" s="270"/>
    </row>
    <row r="574" spans="1:15" hidden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6"/>
      <c r="L574" s="6"/>
      <c r="M574" s="6"/>
      <c r="N574" s="5"/>
    </row>
    <row r="575" spans="1:15" hidden="1">
      <c r="A575" s="3" t="s">
        <v>10</v>
      </c>
      <c r="B575" s="7">
        <v>7.0999999999999994E-2</v>
      </c>
      <c r="C575" s="7"/>
      <c r="D575" s="7"/>
      <c r="E575" s="3" t="s">
        <v>11</v>
      </c>
      <c r="F575" s="7">
        <v>0</v>
      </c>
      <c r="G575" s="216" t="s">
        <v>12</v>
      </c>
      <c r="H575" s="217"/>
      <c r="I575" s="29"/>
      <c r="J575" s="29"/>
      <c r="K575" s="266">
        <f>N560</f>
        <v>111408</v>
      </c>
      <c r="L575" s="267"/>
      <c r="M575" s="267"/>
      <c r="N575" s="271"/>
    </row>
    <row r="576" spans="1:15" hidden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6"/>
      <c r="L576" s="6"/>
      <c r="M576" s="6"/>
      <c r="N576" s="5"/>
    </row>
    <row r="577" spans="1:15" ht="30.6" hidden="1">
      <c r="A577" s="9" t="s">
        <v>13</v>
      </c>
      <c r="B577" s="9" t="s">
        <v>14</v>
      </c>
      <c r="C577" s="9"/>
      <c r="D577" s="9"/>
      <c r="E577" s="9" t="s">
        <v>349</v>
      </c>
      <c r="F577" s="9" t="s">
        <v>15</v>
      </c>
      <c r="G577" s="9" t="s">
        <v>16</v>
      </c>
      <c r="H577" s="9" t="s">
        <v>17</v>
      </c>
      <c r="I577" s="9"/>
      <c r="J577" s="9"/>
      <c r="K577" s="10" t="s">
        <v>18</v>
      </c>
      <c r="L577" s="10"/>
      <c r="M577" s="10"/>
      <c r="N577" s="10" t="s">
        <v>19</v>
      </c>
      <c r="O577" s="11" t="s">
        <v>20</v>
      </c>
    </row>
    <row r="578" spans="1:15" hidden="1">
      <c r="A578" s="3" t="s">
        <v>278</v>
      </c>
      <c r="B578" s="13">
        <v>1903</v>
      </c>
      <c r="C578" s="13"/>
      <c r="D578" s="13"/>
      <c r="E578" s="13">
        <f t="shared" ref="E578:E589" si="133">ROUND(B578*10*14%,0)</f>
        <v>2664</v>
      </c>
      <c r="F578" s="13">
        <v>0</v>
      </c>
      <c r="G578" s="13">
        <f>E578+B578+F578</f>
        <v>4567</v>
      </c>
      <c r="H578" s="13">
        <v>0</v>
      </c>
      <c r="I578" s="48"/>
      <c r="J578" s="48"/>
      <c r="K578" s="20">
        <f>(K575+G578)-H578</f>
        <v>115975</v>
      </c>
      <c r="L578" s="52"/>
      <c r="M578" s="52"/>
      <c r="N578" s="14">
        <f t="shared" ref="N578:N589" si="134">ROUND((K578*7.1/100)/12,0)</f>
        <v>686</v>
      </c>
      <c r="O578" s="282" t="s">
        <v>264</v>
      </c>
    </row>
    <row r="579" spans="1:15" hidden="1">
      <c r="A579" s="3" t="s">
        <v>279</v>
      </c>
      <c r="B579" s="13">
        <v>1872</v>
      </c>
      <c r="C579" s="13"/>
      <c r="D579" s="13"/>
      <c r="E579" s="13">
        <f t="shared" si="133"/>
        <v>2621</v>
      </c>
      <c r="F579" s="13">
        <v>0</v>
      </c>
      <c r="G579" s="13">
        <f>E579+B579+F579</f>
        <v>4493</v>
      </c>
      <c r="H579" s="13">
        <v>0</v>
      </c>
      <c r="I579" s="48"/>
      <c r="J579" s="48"/>
      <c r="K579" s="20">
        <f t="shared" ref="K579:K589" si="135">(K578+G579)-H579</f>
        <v>120468</v>
      </c>
      <c r="L579" s="52"/>
      <c r="M579" s="52"/>
      <c r="N579" s="14">
        <f t="shared" si="134"/>
        <v>713</v>
      </c>
      <c r="O579" s="282"/>
    </row>
    <row r="580" spans="1:15" hidden="1">
      <c r="A580" s="3" t="s">
        <v>280</v>
      </c>
      <c r="B580" s="13">
        <v>1872</v>
      </c>
      <c r="C580" s="13"/>
      <c r="D580" s="13"/>
      <c r="E580" s="13">
        <f t="shared" si="133"/>
        <v>2621</v>
      </c>
      <c r="F580" s="13">
        <v>0</v>
      </c>
      <c r="G580" s="13">
        <f>E580+B580+F580</f>
        <v>4493</v>
      </c>
      <c r="H580" s="13">
        <v>0</v>
      </c>
      <c r="I580" s="48"/>
      <c r="J580" s="48"/>
      <c r="K580" s="20">
        <f t="shared" si="135"/>
        <v>124961</v>
      </c>
      <c r="L580" s="52"/>
      <c r="M580" s="52"/>
      <c r="N580" s="14">
        <f t="shared" si="134"/>
        <v>739</v>
      </c>
      <c r="O580" s="282"/>
    </row>
    <row r="581" spans="1:15" hidden="1">
      <c r="A581" s="3" t="s">
        <v>281</v>
      </c>
      <c r="B581" s="13">
        <v>1931</v>
      </c>
      <c r="C581" s="13"/>
      <c r="D581" s="13"/>
      <c r="E581" s="13">
        <f t="shared" si="133"/>
        <v>2703</v>
      </c>
      <c r="F581" s="13">
        <v>0</v>
      </c>
      <c r="G581" s="13">
        <f t="shared" ref="G581:G589" si="136">E581+B581</f>
        <v>4634</v>
      </c>
      <c r="H581" s="13">
        <v>0</v>
      </c>
      <c r="I581" s="48"/>
      <c r="J581" s="48"/>
      <c r="K581" s="20">
        <f t="shared" si="135"/>
        <v>129595</v>
      </c>
      <c r="L581" s="52"/>
      <c r="M581" s="52"/>
      <c r="N581" s="14">
        <f t="shared" si="134"/>
        <v>767</v>
      </c>
      <c r="O581" s="282"/>
    </row>
    <row r="582" spans="1:15" hidden="1">
      <c r="A582" s="3" t="s">
        <v>282</v>
      </c>
      <c r="B582" s="13">
        <v>1931</v>
      </c>
      <c r="C582" s="13"/>
      <c r="D582" s="13"/>
      <c r="E582" s="13">
        <f t="shared" si="133"/>
        <v>2703</v>
      </c>
      <c r="F582" s="13">
        <v>0</v>
      </c>
      <c r="G582" s="13">
        <f t="shared" si="136"/>
        <v>4634</v>
      </c>
      <c r="H582" s="13">
        <v>0</v>
      </c>
      <c r="I582" s="48"/>
      <c r="J582" s="48"/>
      <c r="K582" s="20">
        <f t="shared" si="135"/>
        <v>134229</v>
      </c>
      <c r="L582" s="52"/>
      <c r="M582" s="52"/>
      <c r="N582" s="14">
        <f t="shared" si="134"/>
        <v>794</v>
      </c>
      <c r="O582" s="282"/>
    </row>
    <row r="583" spans="1:15" hidden="1">
      <c r="A583" s="3" t="s">
        <v>283</v>
      </c>
      <c r="B583" s="13">
        <v>1931</v>
      </c>
      <c r="C583" s="13"/>
      <c r="D583" s="13"/>
      <c r="E583" s="13">
        <f t="shared" si="133"/>
        <v>2703</v>
      </c>
      <c r="F583" s="13">
        <v>0</v>
      </c>
      <c r="G583" s="13">
        <f t="shared" si="136"/>
        <v>4634</v>
      </c>
      <c r="H583" s="13">
        <v>0</v>
      </c>
      <c r="I583" s="48"/>
      <c r="J583" s="48"/>
      <c r="K583" s="20">
        <f t="shared" si="135"/>
        <v>138863</v>
      </c>
      <c r="L583" s="52"/>
      <c r="M583" s="52"/>
      <c r="N583" s="14">
        <f t="shared" si="134"/>
        <v>822</v>
      </c>
      <c r="O583" s="282"/>
    </row>
    <row r="584" spans="1:15" hidden="1">
      <c r="A584" s="3" t="s">
        <v>284</v>
      </c>
      <c r="B584" s="13">
        <v>2112</v>
      </c>
      <c r="C584" s="13"/>
      <c r="D584" s="13"/>
      <c r="E584" s="13">
        <f t="shared" si="133"/>
        <v>2957</v>
      </c>
      <c r="F584" s="13">
        <v>0</v>
      </c>
      <c r="G584" s="13">
        <f t="shared" si="136"/>
        <v>5069</v>
      </c>
      <c r="H584" s="13">
        <v>0</v>
      </c>
      <c r="I584" s="48"/>
      <c r="J584" s="48"/>
      <c r="K584" s="20">
        <f t="shared" si="135"/>
        <v>143932</v>
      </c>
      <c r="L584" s="52"/>
      <c r="M584" s="52"/>
      <c r="N584" s="14">
        <f t="shared" si="134"/>
        <v>852</v>
      </c>
      <c r="O584" s="282"/>
    </row>
    <row r="585" spans="1:15" hidden="1">
      <c r="A585" s="3" t="s">
        <v>285</v>
      </c>
      <c r="B585" s="13">
        <v>2112</v>
      </c>
      <c r="C585" s="13"/>
      <c r="D585" s="13"/>
      <c r="E585" s="13">
        <f t="shared" si="133"/>
        <v>2957</v>
      </c>
      <c r="F585" s="13">
        <v>0</v>
      </c>
      <c r="G585" s="13">
        <f t="shared" si="136"/>
        <v>5069</v>
      </c>
      <c r="H585" s="13">
        <v>0</v>
      </c>
      <c r="I585" s="48"/>
      <c r="J585" s="48"/>
      <c r="K585" s="20">
        <f t="shared" si="135"/>
        <v>149001</v>
      </c>
      <c r="L585" s="52"/>
      <c r="M585" s="52"/>
      <c r="N585" s="14">
        <f t="shared" si="134"/>
        <v>882</v>
      </c>
      <c r="O585" s="282"/>
    </row>
    <row r="586" spans="1:15" hidden="1">
      <c r="A586" s="3" t="s">
        <v>286</v>
      </c>
      <c r="B586" s="13">
        <v>2112</v>
      </c>
      <c r="C586" s="13"/>
      <c r="D586" s="13"/>
      <c r="E586" s="13">
        <f t="shared" si="133"/>
        <v>2957</v>
      </c>
      <c r="F586" s="13">
        <v>0</v>
      </c>
      <c r="G586" s="13">
        <f t="shared" si="136"/>
        <v>5069</v>
      </c>
      <c r="H586" s="13">
        <v>0</v>
      </c>
      <c r="I586" s="48"/>
      <c r="J586" s="48"/>
      <c r="K586" s="20">
        <f t="shared" si="135"/>
        <v>154070</v>
      </c>
      <c r="L586" s="52"/>
      <c r="M586" s="52"/>
      <c r="N586" s="14">
        <f t="shared" si="134"/>
        <v>912</v>
      </c>
      <c r="O586" s="282"/>
    </row>
    <row r="587" spans="1:15" hidden="1">
      <c r="A587" s="3" t="s">
        <v>287</v>
      </c>
      <c r="B587" s="13">
        <v>2112</v>
      </c>
      <c r="C587" s="13"/>
      <c r="D587" s="13"/>
      <c r="E587" s="13">
        <f t="shared" si="133"/>
        <v>2957</v>
      </c>
      <c r="F587" s="13">
        <v>0</v>
      </c>
      <c r="G587" s="13">
        <f t="shared" si="136"/>
        <v>5069</v>
      </c>
      <c r="H587" s="13">
        <v>0</v>
      </c>
      <c r="I587" s="48"/>
      <c r="J587" s="48"/>
      <c r="K587" s="20">
        <f t="shared" si="135"/>
        <v>159139</v>
      </c>
      <c r="L587" s="52"/>
      <c r="M587" s="52"/>
      <c r="N587" s="14">
        <f t="shared" si="134"/>
        <v>942</v>
      </c>
      <c r="O587" s="282"/>
    </row>
    <row r="588" spans="1:15" hidden="1">
      <c r="A588" s="3" t="s">
        <v>288</v>
      </c>
      <c r="B588" s="13">
        <v>2112</v>
      </c>
      <c r="C588" s="13"/>
      <c r="D588" s="13"/>
      <c r="E588" s="13">
        <f t="shared" si="133"/>
        <v>2957</v>
      </c>
      <c r="F588" s="13">
        <v>0</v>
      </c>
      <c r="G588" s="13">
        <f t="shared" si="136"/>
        <v>5069</v>
      </c>
      <c r="H588" s="13">
        <v>0</v>
      </c>
      <c r="I588" s="48"/>
      <c r="J588" s="48"/>
      <c r="K588" s="20">
        <f t="shared" si="135"/>
        <v>164208</v>
      </c>
      <c r="L588" s="52"/>
      <c r="M588" s="52"/>
      <c r="N588" s="14">
        <f t="shared" si="134"/>
        <v>972</v>
      </c>
      <c r="O588" s="282"/>
    </row>
    <row r="589" spans="1:15" hidden="1">
      <c r="A589" s="3" t="s">
        <v>289</v>
      </c>
      <c r="B589" s="13">
        <v>3102</v>
      </c>
      <c r="C589" s="13"/>
      <c r="D589" s="13"/>
      <c r="E589" s="13">
        <f t="shared" si="133"/>
        <v>4343</v>
      </c>
      <c r="F589" s="13">
        <v>0</v>
      </c>
      <c r="G589" s="13">
        <f t="shared" si="136"/>
        <v>7445</v>
      </c>
      <c r="H589" s="13">
        <v>0</v>
      </c>
      <c r="I589" s="48"/>
      <c r="J589" s="48"/>
      <c r="K589" s="20">
        <f t="shared" si="135"/>
        <v>171653</v>
      </c>
      <c r="L589" s="52"/>
      <c r="M589" s="52"/>
      <c r="N589" s="14">
        <f t="shared" si="134"/>
        <v>1016</v>
      </c>
      <c r="O589" s="282"/>
    </row>
    <row r="590" spans="1:15" hidden="1">
      <c r="A590" s="3" t="s">
        <v>290</v>
      </c>
      <c r="B590" s="15">
        <f t="shared" ref="B590:N590" si="137">SUM(B578:B589)</f>
        <v>25102</v>
      </c>
      <c r="C590" s="15"/>
      <c r="D590" s="15"/>
      <c r="E590" s="15">
        <f t="shared" si="137"/>
        <v>35143</v>
      </c>
      <c r="F590" s="15">
        <f t="shared" si="137"/>
        <v>0</v>
      </c>
      <c r="G590" s="15">
        <f t="shared" si="137"/>
        <v>60245</v>
      </c>
      <c r="H590" s="15">
        <f t="shared" si="137"/>
        <v>0</v>
      </c>
      <c r="I590" s="15"/>
      <c r="J590" s="15"/>
      <c r="K590" s="15">
        <f>SUM(K578:K589)</f>
        <v>1706094</v>
      </c>
      <c r="L590" s="15"/>
      <c r="M590" s="15"/>
      <c r="N590" s="15">
        <f t="shared" si="137"/>
        <v>10097</v>
      </c>
    </row>
    <row r="591" spans="1:15" hidden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6"/>
      <c r="L591" s="6"/>
      <c r="M591" s="6"/>
      <c r="N591" s="5"/>
    </row>
    <row r="592" spans="1:15" ht="15" hidden="1" thickBot="1">
      <c r="A592" s="5"/>
      <c r="B592" s="6"/>
      <c r="C592" s="6"/>
      <c r="D592" s="6"/>
      <c r="E592" s="5"/>
      <c r="F592" s="5"/>
      <c r="G592" s="211" t="s">
        <v>47</v>
      </c>
      <c r="H592" s="212"/>
      <c r="I592" s="212"/>
      <c r="J592" s="212"/>
      <c r="K592" s="213"/>
      <c r="L592" s="26"/>
      <c r="M592" s="26"/>
      <c r="N592" s="16">
        <f>N560</f>
        <v>111408</v>
      </c>
    </row>
    <row r="593" spans="1:15" ht="15" hidden="1" thickBot="1">
      <c r="A593" s="5"/>
      <c r="B593" s="5"/>
      <c r="C593" s="5"/>
      <c r="D593" s="5"/>
      <c r="E593" s="5"/>
      <c r="F593" s="5"/>
      <c r="G593" s="211" t="s">
        <v>48</v>
      </c>
      <c r="H593" s="212"/>
      <c r="I593" s="212"/>
      <c r="J593" s="212"/>
      <c r="K593" s="213"/>
      <c r="L593" s="26"/>
      <c r="M593" s="26"/>
      <c r="N593" s="16">
        <f>B590+F590</f>
        <v>25102</v>
      </c>
    </row>
    <row r="594" spans="1:15" ht="15" hidden="1" thickBot="1">
      <c r="A594" s="5"/>
      <c r="B594" s="5"/>
      <c r="C594" s="5"/>
      <c r="D594" s="5"/>
      <c r="E594" s="5"/>
      <c r="F594" s="5"/>
      <c r="G594" s="211" t="s">
        <v>349</v>
      </c>
      <c r="H594" s="212"/>
      <c r="I594" s="212"/>
      <c r="J594" s="212"/>
      <c r="K594" s="213"/>
      <c r="L594" s="26"/>
      <c r="M594" s="26"/>
      <c r="N594" s="16">
        <f>E590</f>
        <v>35143</v>
      </c>
    </row>
    <row r="595" spans="1:15" ht="15" hidden="1" thickBot="1">
      <c r="A595" s="5"/>
      <c r="B595" s="5"/>
      <c r="C595" s="5"/>
      <c r="D595" s="5"/>
      <c r="E595" s="5"/>
      <c r="F595" s="5"/>
      <c r="G595" s="211" t="s">
        <v>49</v>
      </c>
      <c r="H595" s="212"/>
      <c r="I595" s="212"/>
      <c r="J595" s="212"/>
      <c r="K595" s="213"/>
      <c r="L595" s="26"/>
      <c r="M595" s="26"/>
      <c r="N595" s="16">
        <f>SUM(N592:N594)</f>
        <v>171653</v>
      </c>
    </row>
    <row r="596" spans="1:15" ht="15" hidden="1" thickBot="1">
      <c r="A596" s="5"/>
      <c r="B596" s="5"/>
      <c r="C596" s="5"/>
      <c r="D596" s="5"/>
      <c r="E596" s="5"/>
      <c r="F596" s="5"/>
      <c r="G596" s="211" t="s">
        <v>50</v>
      </c>
      <c r="H596" s="212"/>
      <c r="I596" s="212"/>
      <c r="J596" s="212"/>
      <c r="K596" s="213"/>
      <c r="L596" s="26"/>
      <c r="M596" s="26"/>
      <c r="N596" s="16">
        <f>H590</f>
        <v>0</v>
      </c>
    </row>
    <row r="597" spans="1:15" ht="15" hidden="1" thickBot="1">
      <c r="A597" s="5"/>
      <c r="B597" s="5"/>
      <c r="C597" s="5"/>
      <c r="D597" s="5"/>
      <c r="E597" s="5"/>
      <c r="F597" s="5"/>
      <c r="G597" s="211" t="s">
        <v>51</v>
      </c>
      <c r="H597" s="212"/>
      <c r="I597" s="212"/>
      <c r="J597" s="212"/>
      <c r="K597" s="213"/>
      <c r="L597" s="26"/>
      <c r="M597" s="26"/>
      <c r="N597" s="16">
        <f>N590</f>
        <v>10097</v>
      </c>
    </row>
    <row r="598" spans="1:15" ht="15" hidden="1" thickBot="1">
      <c r="A598" s="5"/>
      <c r="B598" s="5"/>
      <c r="C598" s="5"/>
      <c r="D598" s="5"/>
      <c r="E598" s="5"/>
      <c r="F598" s="5"/>
      <c r="G598" s="211" t="s">
        <v>52</v>
      </c>
      <c r="H598" s="212"/>
      <c r="I598" s="212"/>
      <c r="J598" s="212"/>
      <c r="K598" s="213"/>
      <c r="L598" s="26"/>
      <c r="M598" s="26"/>
      <c r="N598" s="16">
        <f>(N595-N596)+N597</f>
        <v>181750</v>
      </c>
    </row>
    <row r="599" spans="1:15" hidden="1">
      <c r="A599" s="5"/>
      <c r="B599" s="5"/>
      <c r="C599" s="5"/>
      <c r="D599" s="5"/>
      <c r="E599" s="5"/>
      <c r="F599" s="5"/>
      <c r="G599" s="17"/>
      <c r="H599" s="17"/>
      <c r="I599" s="17"/>
      <c r="J599" s="17"/>
      <c r="K599" s="17"/>
      <c r="L599" s="17"/>
      <c r="M599" s="17"/>
      <c r="N599" s="6"/>
    </row>
    <row r="600" spans="1:15" hidden="1"/>
    <row r="601" spans="1:15" hidden="1"/>
    <row r="602" spans="1:15" ht="16.8" hidden="1">
      <c r="A602" s="249" t="s">
        <v>53</v>
      </c>
      <c r="B602" s="249"/>
      <c r="C602" s="18"/>
      <c r="D602" s="18"/>
      <c r="E602" s="249" t="s">
        <v>54</v>
      </c>
      <c r="F602" s="249"/>
      <c r="G602" s="249"/>
      <c r="H602" s="250" t="s">
        <v>55</v>
      </c>
      <c r="I602" s="250"/>
      <c r="J602" s="250"/>
      <c r="K602" s="250"/>
      <c r="L602" s="250"/>
      <c r="M602" s="250"/>
      <c r="N602" s="250"/>
    </row>
    <row r="603" spans="1:15" ht="16.8" hidden="1">
      <c r="A603" s="18"/>
      <c r="B603" s="18"/>
      <c r="C603" s="18"/>
      <c r="D603" s="18"/>
      <c r="E603" s="18"/>
      <c r="F603" s="18"/>
      <c r="G603" s="19"/>
      <c r="H603" s="19"/>
      <c r="I603" s="19"/>
      <c r="J603" s="19"/>
    </row>
    <row r="604" spans="1:15" ht="16.8" hidden="1">
      <c r="A604" s="18"/>
      <c r="B604" s="18"/>
      <c r="C604" s="18"/>
      <c r="D604" s="18"/>
      <c r="E604" s="18"/>
      <c r="F604" s="18"/>
      <c r="G604" s="19"/>
      <c r="H604" s="19"/>
      <c r="I604" s="19"/>
      <c r="J604" s="19"/>
    </row>
    <row r="605" spans="1:15" ht="18.600000000000001" hidden="1">
      <c r="A605" s="224" t="s">
        <v>0</v>
      </c>
      <c r="B605" s="224"/>
      <c r="C605" s="224"/>
      <c r="D605" s="224"/>
      <c r="E605" s="224"/>
      <c r="F605" s="224"/>
      <c r="G605" s="224"/>
      <c r="H605" s="224"/>
      <c r="I605" s="224"/>
      <c r="J605" s="224"/>
      <c r="K605" s="224"/>
      <c r="L605" s="224"/>
      <c r="M605" s="224"/>
      <c r="N605" s="224"/>
      <c r="O605" s="224"/>
    </row>
    <row r="606" spans="1:15" ht="18.600000000000001" hidden="1">
      <c r="A606" s="224" t="s">
        <v>1</v>
      </c>
      <c r="B606" s="224"/>
      <c r="C606" s="224"/>
      <c r="D606" s="224"/>
      <c r="E606" s="224"/>
      <c r="F606" s="224"/>
      <c r="G606" s="224"/>
      <c r="H606" s="224"/>
      <c r="I606" s="224"/>
      <c r="J606" s="224"/>
      <c r="K606" s="224"/>
      <c r="L606" s="224"/>
      <c r="M606" s="224"/>
      <c r="N606" s="224"/>
      <c r="O606" s="224"/>
    </row>
    <row r="607" spans="1:15" hidden="1"/>
    <row r="608" spans="1:15" hidden="1">
      <c r="A608" s="258" t="s">
        <v>291</v>
      </c>
      <c r="B608" s="258"/>
      <c r="C608" s="258"/>
      <c r="D608" s="258"/>
      <c r="E608" s="258"/>
      <c r="F608" s="258"/>
      <c r="G608" s="258"/>
      <c r="H608" s="258"/>
      <c r="I608" s="258"/>
      <c r="J608" s="258"/>
      <c r="K608" s="258"/>
      <c r="L608" s="258"/>
      <c r="M608" s="258"/>
      <c r="N608" s="258"/>
    </row>
    <row r="609" spans="1:15" hidden="1">
      <c r="A609" s="3" t="s">
        <v>3</v>
      </c>
      <c r="B609" s="4">
        <f>B571</f>
        <v>2439</v>
      </c>
      <c r="C609" s="4"/>
      <c r="D609" s="4"/>
      <c r="E609" s="4" t="s">
        <v>4</v>
      </c>
      <c r="F609" s="283" t="str">
        <f>F571</f>
        <v>Mahajan Ganesh Trambak</v>
      </c>
      <c r="G609" s="283"/>
      <c r="H609" s="283"/>
      <c r="I609" s="283"/>
      <c r="J609" s="283"/>
      <c r="K609" s="283"/>
      <c r="L609" s="283"/>
      <c r="M609" s="283"/>
      <c r="N609" s="283"/>
    </row>
    <row r="610" spans="1:15" hidden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6"/>
      <c r="L610" s="6"/>
      <c r="M610" s="6"/>
      <c r="N610" s="5"/>
    </row>
    <row r="611" spans="1:15" ht="20.399999999999999" hidden="1">
      <c r="A611" s="4" t="s">
        <v>6</v>
      </c>
      <c r="B611" s="4">
        <f>B573</f>
        <v>2439</v>
      </c>
      <c r="C611" s="4"/>
      <c r="D611" s="4"/>
      <c r="E611" s="3" t="s">
        <v>7</v>
      </c>
      <c r="F611" s="268"/>
      <c r="G611" s="269"/>
      <c r="H611" s="3" t="s">
        <v>8</v>
      </c>
      <c r="I611" s="3"/>
      <c r="J611" s="3"/>
      <c r="K611" s="270" t="str">
        <f>K573</f>
        <v>Asst. Jr. Engineer</v>
      </c>
      <c r="L611" s="270"/>
      <c r="M611" s="270"/>
      <c r="N611" s="270"/>
    </row>
    <row r="612" spans="1:15" hidden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6"/>
      <c r="L612" s="6"/>
      <c r="M612" s="6"/>
      <c r="N612" s="5"/>
    </row>
    <row r="613" spans="1:15" hidden="1">
      <c r="A613" s="3" t="s">
        <v>10</v>
      </c>
      <c r="B613" s="7">
        <v>7.0999999999999994E-2</v>
      </c>
      <c r="C613" s="7"/>
      <c r="D613" s="7"/>
      <c r="E613" s="3" t="s">
        <v>11</v>
      </c>
      <c r="F613" s="7">
        <v>0</v>
      </c>
      <c r="G613" s="216" t="s">
        <v>12</v>
      </c>
      <c r="H613" s="217"/>
      <c r="I613" s="29"/>
      <c r="J613" s="29"/>
      <c r="K613" s="266">
        <f>N598</f>
        <v>181750</v>
      </c>
      <c r="L613" s="267"/>
      <c r="M613" s="267"/>
      <c r="N613" s="271"/>
    </row>
    <row r="614" spans="1:15" hidden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6"/>
      <c r="L614" s="6"/>
      <c r="M614" s="6"/>
      <c r="N614" s="5"/>
    </row>
    <row r="615" spans="1:15" ht="30.6" hidden="1">
      <c r="A615" s="9" t="s">
        <v>13</v>
      </c>
      <c r="B615" s="9" t="s">
        <v>14</v>
      </c>
      <c r="C615" s="9"/>
      <c r="D615" s="9"/>
      <c r="E615" s="9" t="s">
        <v>349</v>
      </c>
      <c r="F615" s="9" t="s">
        <v>15</v>
      </c>
      <c r="G615" s="9" t="s">
        <v>16</v>
      </c>
      <c r="H615" s="9" t="s">
        <v>17</v>
      </c>
      <c r="I615" s="9"/>
      <c r="J615" s="9"/>
      <c r="K615" s="10" t="s">
        <v>18</v>
      </c>
      <c r="L615" s="10"/>
      <c r="M615" s="10"/>
      <c r="N615" s="10" t="s">
        <v>19</v>
      </c>
      <c r="O615" s="11" t="s">
        <v>20</v>
      </c>
    </row>
    <row r="616" spans="1:15" hidden="1">
      <c r="A616" s="3" t="s">
        <v>292</v>
      </c>
      <c r="B616" s="13">
        <v>2162</v>
      </c>
      <c r="C616" s="13"/>
      <c r="D616" s="13"/>
      <c r="E616" s="13">
        <v>4732</v>
      </c>
      <c r="F616" s="13">
        <v>0</v>
      </c>
      <c r="G616" s="13">
        <f>E616+B616+F616</f>
        <v>6894</v>
      </c>
      <c r="H616" s="13">
        <v>0</v>
      </c>
      <c r="I616" s="13"/>
      <c r="J616" s="13"/>
      <c r="K616" s="13">
        <f>(K613+G616)-H616</f>
        <v>188644</v>
      </c>
      <c r="L616" s="14"/>
      <c r="M616" s="14"/>
      <c r="N616" s="14">
        <f>ROUND((K616*7.1/100)/12,0)</f>
        <v>1116</v>
      </c>
      <c r="O616" s="282" t="s">
        <v>264</v>
      </c>
    </row>
    <row r="617" spans="1:15" hidden="1">
      <c r="A617" s="3" t="s">
        <v>293</v>
      </c>
      <c r="B617" s="13">
        <v>2162</v>
      </c>
      <c r="C617" s="13"/>
      <c r="D617" s="13"/>
      <c r="E617" s="13">
        <v>4732</v>
      </c>
      <c r="F617" s="13">
        <v>0</v>
      </c>
      <c r="G617" s="13">
        <f>E617+B617+F617</f>
        <v>6894</v>
      </c>
      <c r="H617" s="13">
        <v>0</v>
      </c>
      <c r="I617" s="48"/>
      <c r="J617" s="48"/>
      <c r="K617" s="20">
        <f t="shared" ref="K617:K627" si="138">(K616+G617)-H617</f>
        <v>195538</v>
      </c>
      <c r="L617" s="52"/>
      <c r="M617" s="52"/>
      <c r="N617" s="14">
        <f>ROUND((K617*7.1/100)/12,0)</f>
        <v>1157</v>
      </c>
      <c r="O617" s="282"/>
    </row>
    <row r="618" spans="1:15" hidden="1">
      <c r="A618" s="3" t="s">
        <v>294</v>
      </c>
      <c r="B618" s="13">
        <v>2162</v>
      </c>
      <c r="C618" s="13"/>
      <c r="D618" s="13"/>
      <c r="E618" s="13">
        <v>4732</v>
      </c>
      <c r="F618" s="13">
        <v>0</v>
      </c>
      <c r="G618" s="13">
        <f>E618+B618+F618</f>
        <v>6894</v>
      </c>
      <c r="H618" s="13">
        <v>0</v>
      </c>
      <c r="I618" s="48"/>
      <c r="J618" s="48"/>
      <c r="K618" s="20">
        <f t="shared" si="138"/>
        <v>202432</v>
      </c>
      <c r="L618" s="52"/>
      <c r="M618" s="52"/>
      <c r="N618" s="14">
        <f>ROUND((K618*7.1/100)/12,0)</f>
        <v>1198</v>
      </c>
      <c r="O618" s="282"/>
    </row>
    <row r="619" spans="1:15" hidden="1">
      <c r="A619" s="3" t="s">
        <v>295</v>
      </c>
      <c r="B619" s="13">
        <v>2227</v>
      </c>
      <c r="C619" s="13"/>
      <c r="D619" s="13"/>
      <c r="E619" s="13">
        <v>4879</v>
      </c>
      <c r="F619" s="13">
        <v>0</v>
      </c>
      <c r="G619" s="13">
        <f t="shared" ref="G619:G627" si="139">E619+B619</f>
        <v>7106</v>
      </c>
      <c r="H619" s="13">
        <v>0</v>
      </c>
      <c r="I619" s="48"/>
      <c r="J619" s="48"/>
      <c r="K619" s="20">
        <f t="shared" si="138"/>
        <v>209538</v>
      </c>
      <c r="L619" s="52"/>
      <c r="M619" s="52"/>
      <c r="N619" s="14">
        <f>ROUND((K619*7.1/100)/12,0)</f>
        <v>1240</v>
      </c>
      <c r="O619" s="282"/>
    </row>
    <row r="620" spans="1:15" hidden="1">
      <c r="A620" s="3" t="s">
        <v>296</v>
      </c>
      <c r="B620" s="13">
        <v>2626</v>
      </c>
      <c r="C620" s="13"/>
      <c r="D620" s="13"/>
      <c r="E620" s="13">
        <v>5753</v>
      </c>
      <c r="F620" s="13">
        <v>0</v>
      </c>
      <c r="G620" s="13">
        <f t="shared" si="139"/>
        <v>8379</v>
      </c>
      <c r="H620" s="13">
        <v>0</v>
      </c>
      <c r="I620" s="48"/>
      <c r="J620" s="48"/>
      <c r="K620" s="20">
        <f t="shared" si="138"/>
        <v>217917</v>
      </c>
      <c r="L620" s="52"/>
      <c r="M620" s="52"/>
      <c r="N620" s="14">
        <f t="shared" ref="N620:N626" si="140">ROUND((K620*7.1/100)/12,0)</f>
        <v>1289</v>
      </c>
      <c r="O620" s="282"/>
    </row>
    <row r="621" spans="1:15" hidden="1">
      <c r="A621" s="3" t="s">
        <v>297</v>
      </c>
      <c r="B621" s="13">
        <v>2278</v>
      </c>
      <c r="C621" s="13"/>
      <c r="D621" s="13"/>
      <c r="E621" s="13">
        <v>4990</v>
      </c>
      <c r="F621" s="13">
        <v>0</v>
      </c>
      <c r="G621" s="13">
        <f t="shared" si="139"/>
        <v>7268</v>
      </c>
      <c r="H621" s="13">
        <v>0</v>
      </c>
      <c r="I621" s="48"/>
      <c r="J621" s="48"/>
      <c r="K621" s="20">
        <f t="shared" si="138"/>
        <v>225185</v>
      </c>
      <c r="L621" s="52"/>
      <c r="M621" s="52"/>
      <c r="N621" s="14">
        <f t="shared" si="140"/>
        <v>1332</v>
      </c>
      <c r="O621" s="282"/>
    </row>
    <row r="622" spans="1:15" hidden="1">
      <c r="A622" s="3" t="s">
        <v>298</v>
      </c>
      <c r="B622" s="13">
        <v>2278</v>
      </c>
      <c r="C622" s="13"/>
      <c r="D622" s="13"/>
      <c r="E622" s="13">
        <v>4990</v>
      </c>
      <c r="F622" s="13">
        <v>0</v>
      </c>
      <c r="G622" s="13">
        <f t="shared" si="139"/>
        <v>7268</v>
      </c>
      <c r="H622" s="13">
        <v>0</v>
      </c>
      <c r="I622" s="48"/>
      <c r="J622" s="48"/>
      <c r="K622" s="20">
        <f t="shared" si="138"/>
        <v>232453</v>
      </c>
      <c r="L622" s="52"/>
      <c r="M622" s="52"/>
      <c r="N622" s="14">
        <f t="shared" si="140"/>
        <v>1375</v>
      </c>
      <c r="O622" s="282"/>
    </row>
    <row r="623" spans="1:15" hidden="1">
      <c r="A623" s="3" t="s">
        <v>299</v>
      </c>
      <c r="B623" s="13">
        <v>2278</v>
      </c>
      <c r="C623" s="13"/>
      <c r="D623" s="13"/>
      <c r="E623" s="13">
        <v>4990</v>
      </c>
      <c r="F623" s="13">
        <v>0</v>
      </c>
      <c r="G623" s="13">
        <f t="shared" si="139"/>
        <v>7268</v>
      </c>
      <c r="H623" s="13">
        <v>0</v>
      </c>
      <c r="I623" s="48"/>
      <c r="J623" s="48"/>
      <c r="K623" s="20">
        <f t="shared" si="138"/>
        <v>239721</v>
      </c>
      <c r="L623" s="52"/>
      <c r="M623" s="52"/>
      <c r="N623" s="14">
        <f t="shared" si="140"/>
        <v>1418</v>
      </c>
      <c r="O623" s="282"/>
    </row>
    <row r="624" spans="1:15" hidden="1">
      <c r="A624" s="3" t="s">
        <v>300</v>
      </c>
      <c r="B624" s="13">
        <v>2278</v>
      </c>
      <c r="C624" s="13"/>
      <c r="D624" s="13"/>
      <c r="E624" s="13">
        <v>4990</v>
      </c>
      <c r="F624" s="13">
        <v>0</v>
      </c>
      <c r="G624" s="13">
        <f t="shared" si="139"/>
        <v>7268</v>
      </c>
      <c r="H624" s="13">
        <v>0</v>
      </c>
      <c r="I624" s="48"/>
      <c r="J624" s="48"/>
      <c r="K624" s="20">
        <f t="shared" si="138"/>
        <v>246989</v>
      </c>
      <c r="L624" s="52"/>
      <c r="M624" s="52"/>
      <c r="N624" s="14">
        <f t="shared" si="140"/>
        <v>1461</v>
      </c>
      <c r="O624" s="282"/>
    </row>
    <row r="625" spans="1:15" hidden="1">
      <c r="A625" s="3" t="s">
        <v>301</v>
      </c>
      <c r="B625" s="13">
        <v>2754</v>
      </c>
      <c r="C625" s="13"/>
      <c r="D625" s="13"/>
      <c r="E625" s="13">
        <v>6033</v>
      </c>
      <c r="F625" s="13">
        <v>0</v>
      </c>
      <c r="G625" s="13">
        <f t="shared" si="139"/>
        <v>8787</v>
      </c>
      <c r="H625" s="13">
        <v>0</v>
      </c>
      <c r="I625" s="48"/>
      <c r="J625" s="48"/>
      <c r="K625" s="20">
        <f t="shared" si="138"/>
        <v>255776</v>
      </c>
      <c r="L625" s="52"/>
      <c r="M625" s="52"/>
      <c r="N625" s="14">
        <f t="shared" si="140"/>
        <v>1513</v>
      </c>
      <c r="O625" s="282"/>
    </row>
    <row r="626" spans="1:15" hidden="1">
      <c r="A626" s="3" t="s">
        <v>302</v>
      </c>
      <c r="B626" s="13">
        <v>2346</v>
      </c>
      <c r="C626" s="13"/>
      <c r="D626" s="13"/>
      <c r="E626" s="13">
        <v>5139</v>
      </c>
      <c r="F626" s="13">
        <v>0</v>
      </c>
      <c r="G626" s="13">
        <f t="shared" si="139"/>
        <v>7485</v>
      </c>
      <c r="H626" s="13">
        <v>0</v>
      </c>
      <c r="I626" s="48"/>
      <c r="J626" s="48"/>
      <c r="K626" s="20">
        <f t="shared" si="138"/>
        <v>263261</v>
      </c>
      <c r="L626" s="52"/>
      <c r="M626" s="52"/>
      <c r="N626" s="14">
        <f t="shared" si="140"/>
        <v>1558</v>
      </c>
      <c r="O626" s="282"/>
    </row>
    <row r="627" spans="1:15" hidden="1">
      <c r="A627" s="3" t="s">
        <v>303</v>
      </c>
      <c r="B627" s="13">
        <v>2346</v>
      </c>
      <c r="C627" s="13"/>
      <c r="D627" s="13"/>
      <c r="E627" s="13">
        <v>5139</v>
      </c>
      <c r="F627" s="13">
        <v>0</v>
      </c>
      <c r="G627" s="13">
        <f t="shared" si="139"/>
        <v>7485</v>
      </c>
      <c r="H627" s="13">
        <v>0</v>
      </c>
      <c r="I627" s="48"/>
      <c r="J627" s="48"/>
      <c r="K627" s="20">
        <f t="shared" si="138"/>
        <v>270746</v>
      </c>
      <c r="L627" s="52"/>
      <c r="M627" s="52"/>
      <c r="N627" s="14">
        <f>ROUND((K627*7.1/100)/12,0)</f>
        <v>1602</v>
      </c>
      <c r="O627" s="282"/>
    </row>
    <row r="628" spans="1:15" hidden="1">
      <c r="A628" s="3" t="s">
        <v>304</v>
      </c>
      <c r="B628" s="15">
        <f t="shared" ref="B628:N628" si="141">SUM(B616:B627)</f>
        <v>27897</v>
      </c>
      <c r="C628" s="15"/>
      <c r="D628" s="15"/>
      <c r="E628" s="15">
        <f t="shared" si="141"/>
        <v>61099</v>
      </c>
      <c r="F628" s="15">
        <f t="shared" si="141"/>
        <v>0</v>
      </c>
      <c r="G628" s="15">
        <f t="shared" si="141"/>
        <v>88996</v>
      </c>
      <c r="H628" s="15">
        <f t="shared" si="141"/>
        <v>0</v>
      </c>
      <c r="I628" s="15"/>
      <c r="J628" s="15"/>
      <c r="K628" s="15">
        <f t="shared" si="141"/>
        <v>2748200</v>
      </c>
      <c r="L628" s="8"/>
      <c r="M628" s="8"/>
      <c r="N628" s="8">
        <f t="shared" si="141"/>
        <v>16259</v>
      </c>
      <c r="O628" s="282"/>
    </row>
    <row r="629" spans="1:15" hidden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6"/>
      <c r="L629" s="6"/>
      <c r="M629" s="6"/>
      <c r="N629" s="5"/>
    </row>
    <row r="630" spans="1:15" ht="15" hidden="1" thickBot="1">
      <c r="A630" s="5"/>
      <c r="B630" s="6"/>
      <c r="C630" s="6"/>
      <c r="D630" s="6"/>
      <c r="E630" s="5"/>
      <c r="F630" s="5"/>
      <c r="G630" s="211" t="s">
        <v>47</v>
      </c>
      <c r="H630" s="212"/>
      <c r="I630" s="212"/>
      <c r="J630" s="212"/>
      <c r="K630" s="213"/>
      <c r="L630" s="26"/>
      <c r="M630" s="26"/>
      <c r="N630" s="16">
        <f>N598</f>
        <v>181750</v>
      </c>
    </row>
    <row r="631" spans="1:15" ht="15" hidden="1" thickBot="1">
      <c r="A631" s="5"/>
      <c r="B631" s="5"/>
      <c r="C631" s="5"/>
      <c r="D631" s="5"/>
      <c r="E631" s="5"/>
      <c r="F631" s="5"/>
      <c r="G631" s="211" t="s">
        <v>48</v>
      </c>
      <c r="H631" s="212"/>
      <c r="I631" s="212"/>
      <c r="J631" s="212"/>
      <c r="K631" s="213"/>
      <c r="L631" s="26"/>
      <c r="M631" s="26"/>
      <c r="N631" s="16">
        <f>B628+F628</f>
        <v>27897</v>
      </c>
    </row>
    <row r="632" spans="1:15" ht="15" hidden="1" thickBot="1">
      <c r="A632" s="5"/>
      <c r="B632" s="5"/>
      <c r="C632" s="5"/>
      <c r="D632" s="5"/>
      <c r="E632" s="5"/>
      <c r="F632" s="5"/>
      <c r="G632" s="211" t="s">
        <v>349</v>
      </c>
      <c r="H632" s="212"/>
      <c r="I632" s="212"/>
      <c r="J632" s="212"/>
      <c r="K632" s="213"/>
      <c r="L632" s="26"/>
      <c r="M632" s="26"/>
      <c r="N632" s="16">
        <f>E628</f>
        <v>61099</v>
      </c>
    </row>
    <row r="633" spans="1:15" ht="15" hidden="1" thickBot="1">
      <c r="A633" s="5"/>
      <c r="B633" s="5"/>
      <c r="C633" s="5"/>
      <c r="D633" s="5"/>
      <c r="E633" s="5"/>
      <c r="F633" s="5"/>
      <c r="G633" s="211" t="s">
        <v>49</v>
      </c>
      <c r="H633" s="212"/>
      <c r="I633" s="212"/>
      <c r="J633" s="212"/>
      <c r="K633" s="213"/>
      <c r="L633" s="26"/>
      <c r="M633" s="26"/>
      <c r="N633" s="16">
        <f>SUM(N630:N632)</f>
        <v>270746</v>
      </c>
    </row>
    <row r="634" spans="1:15" ht="15" hidden="1" thickBot="1">
      <c r="A634" s="5"/>
      <c r="B634" s="5"/>
      <c r="C634" s="5"/>
      <c r="D634" s="5"/>
      <c r="E634" s="5"/>
      <c r="F634" s="5"/>
      <c r="G634" s="211" t="s">
        <v>50</v>
      </c>
      <c r="H634" s="212"/>
      <c r="I634" s="212"/>
      <c r="J634" s="212"/>
      <c r="K634" s="213"/>
      <c r="L634" s="26"/>
      <c r="M634" s="26"/>
      <c r="N634" s="16">
        <f>H628</f>
        <v>0</v>
      </c>
    </row>
    <row r="635" spans="1:15" ht="15" hidden="1" thickBot="1">
      <c r="A635" s="5"/>
      <c r="B635" s="5"/>
      <c r="C635" s="5"/>
      <c r="D635" s="5"/>
      <c r="E635" s="5"/>
      <c r="F635" s="5"/>
      <c r="G635" s="211" t="s">
        <v>51</v>
      </c>
      <c r="H635" s="212"/>
      <c r="I635" s="212"/>
      <c r="J635" s="212"/>
      <c r="K635" s="213"/>
      <c r="L635" s="26"/>
      <c r="M635" s="26"/>
      <c r="N635" s="16">
        <f>N628</f>
        <v>16259</v>
      </c>
    </row>
    <row r="636" spans="1:15" ht="15" hidden="1" thickBot="1">
      <c r="A636" s="5"/>
      <c r="B636" s="5"/>
      <c r="C636" s="5"/>
      <c r="D636" s="5"/>
      <c r="E636" s="5"/>
      <c r="F636" s="5"/>
      <c r="G636" s="211" t="s">
        <v>52</v>
      </c>
      <c r="H636" s="212"/>
      <c r="I636" s="212"/>
      <c r="J636" s="212"/>
      <c r="K636" s="213"/>
      <c r="L636" s="26"/>
      <c r="M636" s="26"/>
      <c r="N636" s="16">
        <f>(N633-N634)+N635</f>
        <v>287005</v>
      </c>
    </row>
    <row r="637" spans="1:15" hidden="1">
      <c r="A637" s="5"/>
      <c r="B637" s="5"/>
      <c r="C637" s="5"/>
      <c r="D637" s="5"/>
      <c r="E637" s="5"/>
      <c r="F637" s="5"/>
      <c r="G637" s="17"/>
      <c r="H637" s="17"/>
      <c r="I637" s="17"/>
      <c r="J637" s="17"/>
      <c r="K637" s="17"/>
      <c r="L637" s="17"/>
      <c r="M637" s="17"/>
      <c r="N637" s="6"/>
    </row>
    <row r="638" spans="1:15" hidden="1"/>
    <row r="639" spans="1:15" hidden="1"/>
    <row r="640" spans="1:15" ht="16.8" hidden="1">
      <c r="A640" s="249" t="s">
        <v>53</v>
      </c>
      <c r="B640" s="249"/>
      <c r="C640" s="18"/>
      <c r="D640" s="18"/>
      <c r="E640" s="249" t="s">
        <v>54</v>
      </c>
      <c r="F640" s="249"/>
      <c r="G640" s="249"/>
      <c r="H640" s="250" t="s">
        <v>55</v>
      </c>
      <c r="I640" s="250"/>
      <c r="J640" s="250"/>
      <c r="K640" s="250"/>
      <c r="L640" s="250"/>
      <c r="M640" s="250"/>
      <c r="N640" s="250"/>
    </row>
    <row r="641" spans="1:15" ht="16.8" hidden="1">
      <c r="A641" s="18"/>
      <c r="B641" s="18"/>
      <c r="C641" s="18"/>
      <c r="D641" s="18"/>
      <c r="E641" s="18"/>
      <c r="F641" s="18"/>
      <c r="G641" s="19"/>
      <c r="H641" s="19"/>
      <c r="I641" s="19"/>
      <c r="J641" s="19"/>
    </row>
    <row r="642" spans="1:15" ht="16.8" hidden="1">
      <c r="A642" s="18"/>
      <c r="B642" s="18"/>
      <c r="C642" s="18"/>
      <c r="D642" s="18"/>
      <c r="E642" s="18"/>
      <c r="F642" s="18"/>
      <c r="G642" s="19"/>
      <c r="H642" s="19"/>
      <c r="I642" s="19"/>
      <c r="J642" s="19"/>
    </row>
    <row r="643" spans="1:15" ht="18.600000000000001" hidden="1">
      <c r="A643" s="224" t="s">
        <v>0</v>
      </c>
      <c r="B643" s="224"/>
      <c r="C643" s="224"/>
      <c r="D643" s="224"/>
      <c r="E643" s="224"/>
      <c r="F643" s="224"/>
      <c r="G643" s="224"/>
      <c r="H643" s="224"/>
      <c r="I643" s="224"/>
      <c r="J643" s="224"/>
      <c r="K643" s="224"/>
      <c r="L643" s="224"/>
      <c r="M643" s="224"/>
      <c r="N643" s="224"/>
      <c r="O643" s="224"/>
    </row>
    <row r="644" spans="1:15" ht="18.600000000000001" hidden="1">
      <c r="A644" s="224" t="s">
        <v>1</v>
      </c>
      <c r="B644" s="224"/>
      <c r="C644" s="224"/>
      <c r="D644" s="224"/>
      <c r="E644" s="224"/>
      <c r="F644" s="224"/>
      <c r="G644" s="224"/>
      <c r="H644" s="224"/>
      <c r="I644" s="224"/>
      <c r="J644" s="224"/>
      <c r="K644" s="224"/>
      <c r="L644" s="224"/>
      <c r="M644" s="224"/>
      <c r="N644" s="224"/>
      <c r="O644" s="224"/>
    </row>
    <row r="645" spans="1:15" hidden="1"/>
    <row r="646" spans="1:15" hidden="1">
      <c r="A646" s="258" t="s">
        <v>305</v>
      </c>
      <c r="B646" s="258"/>
      <c r="C646" s="258"/>
      <c r="D646" s="258"/>
      <c r="E646" s="258"/>
      <c r="F646" s="258"/>
      <c r="G646" s="258"/>
      <c r="H646" s="258"/>
      <c r="I646" s="258"/>
      <c r="J646" s="258"/>
      <c r="K646" s="258"/>
      <c r="L646" s="258"/>
      <c r="M646" s="258"/>
      <c r="N646" s="258"/>
    </row>
    <row r="647" spans="1:15" hidden="1">
      <c r="A647" s="3" t="s">
        <v>3</v>
      </c>
      <c r="B647" s="4">
        <f>B609</f>
        <v>2439</v>
      </c>
      <c r="C647" s="4"/>
      <c r="D647" s="4"/>
      <c r="E647" s="4" t="s">
        <v>4</v>
      </c>
      <c r="F647" s="283" t="str">
        <f>F609</f>
        <v>Mahajan Ganesh Trambak</v>
      </c>
      <c r="G647" s="283"/>
      <c r="H647" s="283"/>
      <c r="I647" s="283"/>
      <c r="J647" s="283"/>
      <c r="K647" s="283"/>
      <c r="L647" s="283"/>
      <c r="M647" s="283"/>
      <c r="N647" s="283"/>
    </row>
    <row r="648" spans="1:15" hidden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6"/>
      <c r="L648" s="6"/>
      <c r="M648" s="6"/>
      <c r="N648" s="5"/>
    </row>
    <row r="649" spans="1:15" ht="20.399999999999999" hidden="1">
      <c r="A649" s="4" t="s">
        <v>6</v>
      </c>
      <c r="B649" s="4">
        <f>B611</f>
        <v>2439</v>
      </c>
      <c r="C649" s="4"/>
      <c r="D649" s="4"/>
      <c r="E649" s="3" t="s">
        <v>7</v>
      </c>
      <c r="F649" s="268"/>
      <c r="G649" s="269"/>
      <c r="H649" s="3" t="s">
        <v>8</v>
      </c>
      <c r="I649" s="3"/>
      <c r="J649" s="3"/>
      <c r="K649" s="270" t="str">
        <f>K611</f>
        <v>Asst. Jr. Engineer</v>
      </c>
      <c r="L649" s="270"/>
      <c r="M649" s="270"/>
      <c r="N649" s="270"/>
    </row>
    <row r="650" spans="1:15" hidden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6"/>
      <c r="L650" s="6"/>
      <c r="M650" s="6"/>
      <c r="N650" s="5"/>
    </row>
    <row r="651" spans="1:15" hidden="1">
      <c r="A651" s="3" t="s">
        <v>10</v>
      </c>
      <c r="B651" s="7">
        <v>7.0999999999999994E-2</v>
      </c>
      <c r="C651" s="7"/>
      <c r="D651" s="7"/>
      <c r="E651" s="3" t="s">
        <v>11</v>
      </c>
      <c r="F651" s="7">
        <v>0</v>
      </c>
      <c r="G651" s="216" t="s">
        <v>12</v>
      </c>
      <c r="H651" s="217"/>
      <c r="I651" s="29"/>
      <c r="J651" s="29"/>
      <c r="K651" s="266">
        <f>N636</f>
        <v>287005</v>
      </c>
      <c r="L651" s="267"/>
      <c r="M651" s="267"/>
      <c r="N651" s="271"/>
    </row>
    <row r="652" spans="1:15" hidden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6"/>
      <c r="L652" s="6"/>
      <c r="M652" s="6"/>
      <c r="N652" s="5"/>
    </row>
    <row r="653" spans="1:15" ht="30.6" hidden="1">
      <c r="A653" s="9" t="s">
        <v>13</v>
      </c>
      <c r="B653" s="9" t="s">
        <v>14</v>
      </c>
      <c r="C653" s="9"/>
      <c r="D653" s="9"/>
      <c r="E653" s="9" t="s">
        <v>349</v>
      </c>
      <c r="F653" s="9" t="s">
        <v>15</v>
      </c>
      <c r="G653" s="9" t="s">
        <v>16</v>
      </c>
      <c r="H653" s="9" t="s">
        <v>17</v>
      </c>
      <c r="I653" s="9"/>
      <c r="J653" s="9"/>
      <c r="K653" s="10" t="s">
        <v>18</v>
      </c>
      <c r="L653" s="10"/>
      <c r="M653" s="10"/>
      <c r="N653" s="10" t="s">
        <v>19</v>
      </c>
      <c r="O653" s="11" t="s">
        <v>20</v>
      </c>
    </row>
    <row r="654" spans="1:15" hidden="1">
      <c r="A654" s="3" t="s">
        <v>306</v>
      </c>
      <c r="B654" s="13">
        <v>2346</v>
      </c>
      <c r="C654" s="13"/>
      <c r="D654" s="13"/>
      <c r="E654" s="13">
        <v>5139</v>
      </c>
      <c r="F654" s="13">
        <v>0</v>
      </c>
      <c r="G654" s="13">
        <f>E654+B654+F654</f>
        <v>7485</v>
      </c>
      <c r="H654" s="13">
        <v>0</v>
      </c>
      <c r="I654" s="13"/>
      <c r="J654" s="13"/>
      <c r="K654" s="13">
        <f>(K651+G654)-H654</f>
        <v>294490</v>
      </c>
      <c r="L654" s="14"/>
      <c r="M654" s="14"/>
      <c r="N654" s="14">
        <f>ROUND((K654*7.1/100)/12,0)</f>
        <v>1742</v>
      </c>
      <c r="O654" s="282" t="s">
        <v>264</v>
      </c>
    </row>
    <row r="655" spans="1:15" hidden="1">
      <c r="A655" s="3" t="s">
        <v>307</v>
      </c>
      <c r="B655" s="13">
        <v>2346</v>
      </c>
      <c r="C655" s="13"/>
      <c r="D655" s="13"/>
      <c r="E655" s="13">
        <v>5139</v>
      </c>
      <c r="F655" s="13">
        <v>0</v>
      </c>
      <c r="G655" s="13">
        <f>E655+B655+F655</f>
        <v>7485</v>
      </c>
      <c r="H655" s="13">
        <v>0</v>
      </c>
      <c r="I655" s="48"/>
      <c r="J655" s="48"/>
      <c r="K655" s="20">
        <f t="shared" ref="K655:K665" si="142">(K654+G655)-H655</f>
        <v>301975</v>
      </c>
      <c r="L655" s="52"/>
      <c r="M655" s="52"/>
      <c r="N655" s="14">
        <f>ROUND((K655*7.1/100)/12,0)</f>
        <v>1787</v>
      </c>
      <c r="O655" s="282"/>
    </row>
    <row r="656" spans="1:15" hidden="1">
      <c r="A656" s="3" t="s">
        <v>308</v>
      </c>
      <c r="B656" s="13">
        <v>2346</v>
      </c>
      <c r="C656" s="13"/>
      <c r="D656" s="13"/>
      <c r="E656" s="13">
        <v>5139</v>
      </c>
      <c r="F656" s="13">
        <v>0</v>
      </c>
      <c r="G656" s="13">
        <f>E656+B656+F656</f>
        <v>7485</v>
      </c>
      <c r="H656" s="13">
        <v>0</v>
      </c>
      <c r="I656" s="48"/>
      <c r="J656" s="48"/>
      <c r="K656" s="20">
        <f t="shared" si="142"/>
        <v>309460</v>
      </c>
      <c r="L656" s="52"/>
      <c r="M656" s="52"/>
      <c r="N656" s="14">
        <f>ROUND((K656*7.1/100)/12,0)</f>
        <v>1831</v>
      </c>
      <c r="O656" s="282"/>
    </row>
    <row r="657" spans="1:15" hidden="1">
      <c r="A657" s="3" t="s">
        <v>309</v>
      </c>
      <c r="B657" s="13">
        <v>2893</v>
      </c>
      <c r="C657" s="13"/>
      <c r="D657" s="13"/>
      <c r="E657" s="13">
        <v>6341</v>
      </c>
      <c r="F657" s="13">
        <v>0</v>
      </c>
      <c r="G657" s="13">
        <f t="shared" ref="G657:G665" si="143">E657+B657</f>
        <v>9234</v>
      </c>
      <c r="H657" s="13">
        <v>0</v>
      </c>
      <c r="I657" s="48"/>
      <c r="J657" s="48"/>
      <c r="K657" s="20">
        <f t="shared" si="142"/>
        <v>318694</v>
      </c>
      <c r="L657" s="52"/>
      <c r="M657" s="52"/>
      <c r="N657" s="14">
        <f>ROUND((K657*7.1/100)/12,0)</f>
        <v>1886</v>
      </c>
      <c r="O657" s="282"/>
    </row>
    <row r="658" spans="1:15" hidden="1">
      <c r="A658" s="3" t="s">
        <v>310</v>
      </c>
      <c r="B658" s="13">
        <v>2485</v>
      </c>
      <c r="C658" s="13"/>
      <c r="D658" s="13"/>
      <c r="E658" s="13">
        <v>5447</v>
      </c>
      <c r="F658" s="13">
        <v>0</v>
      </c>
      <c r="G658" s="13">
        <f t="shared" si="143"/>
        <v>7932</v>
      </c>
      <c r="H658" s="13">
        <v>0</v>
      </c>
      <c r="I658" s="48"/>
      <c r="J658" s="48"/>
      <c r="K658" s="20">
        <f t="shared" si="142"/>
        <v>326626</v>
      </c>
      <c r="L658" s="52"/>
      <c r="M658" s="52"/>
      <c r="N658" s="14">
        <f t="shared" ref="N658:N664" si="144">ROUND((K658*7.1/100)/12,0)</f>
        <v>1933</v>
      </c>
      <c r="O658" s="282"/>
    </row>
    <row r="659" spans="1:15" hidden="1">
      <c r="A659" s="3" t="s">
        <v>311</v>
      </c>
      <c r="B659" s="13">
        <v>2485</v>
      </c>
      <c r="C659" s="13"/>
      <c r="D659" s="13"/>
      <c r="E659" s="13">
        <v>5447</v>
      </c>
      <c r="F659" s="13">
        <v>0</v>
      </c>
      <c r="G659" s="13">
        <f t="shared" si="143"/>
        <v>7932</v>
      </c>
      <c r="H659" s="13">
        <v>0</v>
      </c>
      <c r="I659" s="48"/>
      <c r="J659" s="48"/>
      <c r="K659" s="20">
        <f t="shared" si="142"/>
        <v>334558</v>
      </c>
      <c r="L659" s="52"/>
      <c r="M659" s="52"/>
      <c r="N659" s="14">
        <f t="shared" si="144"/>
        <v>1979</v>
      </c>
      <c r="O659" s="282"/>
    </row>
    <row r="660" spans="1:15" hidden="1">
      <c r="A660" s="3" t="s">
        <v>312</v>
      </c>
      <c r="B660" s="13">
        <v>2485</v>
      </c>
      <c r="C660" s="13"/>
      <c r="D660" s="13"/>
      <c r="E660" s="13">
        <v>5447</v>
      </c>
      <c r="F660" s="13">
        <v>0</v>
      </c>
      <c r="G660" s="13">
        <f t="shared" si="143"/>
        <v>7932</v>
      </c>
      <c r="H660" s="13">
        <v>0</v>
      </c>
      <c r="I660" s="48"/>
      <c r="J660" s="48"/>
      <c r="K660" s="20">
        <f t="shared" si="142"/>
        <v>342490</v>
      </c>
      <c r="L660" s="52"/>
      <c r="M660" s="52"/>
      <c r="N660" s="14">
        <f t="shared" si="144"/>
        <v>2026</v>
      </c>
      <c r="O660" s="282"/>
    </row>
    <row r="661" spans="1:15" hidden="1">
      <c r="A661" s="3" t="s">
        <v>313</v>
      </c>
      <c r="B661" s="13">
        <v>2835</v>
      </c>
      <c r="C661" s="13"/>
      <c r="D661" s="13"/>
      <c r="E661" s="13">
        <v>6215</v>
      </c>
      <c r="F661" s="13">
        <v>0</v>
      </c>
      <c r="G661" s="13">
        <f t="shared" si="143"/>
        <v>9050</v>
      </c>
      <c r="H661" s="13">
        <v>0</v>
      </c>
      <c r="I661" s="48"/>
      <c r="J661" s="48"/>
      <c r="K661" s="20">
        <f t="shared" si="142"/>
        <v>351540</v>
      </c>
      <c r="L661" s="52"/>
      <c r="M661" s="52"/>
      <c r="N661" s="14">
        <f t="shared" si="144"/>
        <v>2080</v>
      </c>
      <c r="O661" s="282"/>
    </row>
    <row r="662" spans="1:15" hidden="1">
      <c r="A662" s="3" t="s">
        <v>314</v>
      </c>
      <c r="B662" s="13">
        <v>2555</v>
      </c>
      <c r="C662" s="13"/>
      <c r="D662" s="13"/>
      <c r="E662" s="13">
        <v>5600</v>
      </c>
      <c r="F662" s="13">
        <v>0</v>
      </c>
      <c r="G662" s="13">
        <f t="shared" si="143"/>
        <v>8155</v>
      </c>
      <c r="H662" s="13">
        <v>0</v>
      </c>
      <c r="I662" s="48"/>
      <c r="J662" s="48"/>
      <c r="K662" s="20">
        <f t="shared" si="142"/>
        <v>359695</v>
      </c>
      <c r="L662" s="52"/>
      <c r="M662" s="52"/>
      <c r="N662" s="14">
        <f t="shared" si="144"/>
        <v>2128</v>
      </c>
      <c r="O662" s="282"/>
    </row>
    <row r="663" spans="1:15" hidden="1">
      <c r="A663" s="3" t="s">
        <v>315</v>
      </c>
      <c r="B663" s="13">
        <v>2555</v>
      </c>
      <c r="C663" s="13"/>
      <c r="D663" s="13"/>
      <c r="E663" s="13">
        <v>5600</v>
      </c>
      <c r="F663" s="13">
        <v>0</v>
      </c>
      <c r="G663" s="13">
        <f t="shared" si="143"/>
        <v>8155</v>
      </c>
      <c r="H663" s="13">
        <v>0</v>
      </c>
      <c r="I663" s="48"/>
      <c r="J663" s="48"/>
      <c r="K663" s="20">
        <f t="shared" si="142"/>
        <v>367850</v>
      </c>
      <c r="L663" s="52"/>
      <c r="M663" s="52"/>
      <c r="N663" s="14">
        <f t="shared" si="144"/>
        <v>2176</v>
      </c>
      <c r="O663" s="282"/>
    </row>
    <row r="664" spans="1:15" hidden="1">
      <c r="A664" s="3" t="s">
        <v>316</v>
      </c>
      <c r="B664" s="13">
        <v>2555</v>
      </c>
      <c r="C664" s="13"/>
      <c r="D664" s="13"/>
      <c r="E664" s="13">
        <v>5600</v>
      </c>
      <c r="F664" s="13">
        <v>0</v>
      </c>
      <c r="G664" s="13">
        <f t="shared" si="143"/>
        <v>8155</v>
      </c>
      <c r="H664" s="13">
        <v>0</v>
      </c>
      <c r="I664" s="48"/>
      <c r="J664" s="48"/>
      <c r="K664" s="20">
        <f t="shared" si="142"/>
        <v>376005</v>
      </c>
      <c r="L664" s="52"/>
      <c r="M664" s="52"/>
      <c r="N664" s="14">
        <f t="shared" si="144"/>
        <v>2225</v>
      </c>
      <c r="O664" s="282"/>
    </row>
    <row r="665" spans="1:15" hidden="1">
      <c r="A665" s="3" t="s">
        <v>317</v>
      </c>
      <c r="B665" s="13">
        <v>2555</v>
      </c>
      <c r="C665" s="13"/>
      <c r="D665" s="13"/>
      <c r="E665" s="13">
        <v>5600</v>
      </c>
      <c r="F665" s="13">
        <v>0</v>
      </c>
      <c r="G665" s="13">
        <f t="shared" si="143"/>
        <v>8155</v>
      </c>
      <c r="H665" s="13">
        <v>0</v>
      </c>
      <c r="I665" s="48"/>
      <c r="J665" s="48"/>
      <c r="K665" s="20">
        <f t="shared" si="142"/>
        <v>384160</v>
      </c>
      <c r="L665" s="52"/>
      <c r="M665" s="52"/>
      <c r="N665" s="14">
        <f>ROUND((K665*7.1/100)/12,0)</f>
        <v>2273</v>
      </c>
      <c r="O665" s="282"/>
    </row>
    <row r="666" spans="1:15" hidden="1">
      <c r="A666" s="3" t="s">
        <v>318</v>
      </c>
      <c r="B666" s="15">
        <f t="shared" ref="B666:N666" si="145">SUM(B654:B665)</f>
        <v>30441</v>
      </c>
      <c r="C666" s="15"/>
      <c r="D666" s="15"/>
      <c r="E666" s="15">
        <f t="shared" si="145"/>
        <v>66714</v>
      </c>
      <c r="F666" s="15">
        <f t="shared" si="145"/>
        <v>0</v>
      </c>
      <c r="G666" s="15">
        <f t="shared" si="145"/>
        <v>97155</v>
      </c>
      <c r="H666" s="15">
        <f t="shared" si="145"/>
        <v>0</v>
      </c>
      <c r="I666" s="15"/>
      <c r="J666" s="15"/>
      <c r="K666" s="15">
        <f t="shared" si="145"/>
        <v>4067543</v>
      </c>
      <c r="L666" s="8"/>
      <c r="M666" s="8"/>
      <c r="N666" s="8">
        <f t="shared" si="145"/>
        <v>24066</v>
      </c>
      <c r="O666" s="282"/>
    </row>
    <row r="667" spans="1:15" hidden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6"/>
      <c r="L667" s="6"/>
      <c r="M667" s="6"/>
      <c r="N667" s="5"/>
    </row>
    <row r="668" spans="1:15" ht="15" hidden="1" thickBot="1">
      <c r="A668" s="5"/>
      <c r="B668" s="6"/>
      <c r="C668" s="6"/>
      <c r="D668" s="6"/>
      <c r="E668" s="5"/>
      <c r="F668" s="5"/>
      <c r="G668" s="211" t="s">
        <v>47</v>
      </c>
      <c r="H668" s="212"/>
      <c r="I668" s="212"/>
      <c r="J668" s="212"/>
      <c r="K668" s="213"/>
      <c r="L668" s="26"/>
      <c r="M668" s="26"/>
      <c r="N668" s="16">
        <f>N636</f>
        <v>287005</v>
      </c>
    </row>
    <row r="669" spans="1:15" ht="15" hidden="1" thickBot="1">
      <c r="A669" s="5"/>
      <c r="B669" s="5"/>
      <c r="C669" s="5"/>
      <c r="D669" s="5"/>
      <c r="E669" s="5"/>
      <c r="F669" s="5"/>
      <c r="G669" s="211" t="s">
        <v>48</v>
      </c>
      <c r="H669" s="212"/>
      <c r="I669" s="212"/>
      <c r="J669" s="212"/>
      <c r="K669" s="213"/>
      <c r="L669" s="26"/>
      <c r="M669" s="26"/>
      <c r="N669" s="16">
        <f>B666+F666</f>
        <v>30441</v>
      </c>
    </row>
    <row r="670" spans="1:15" ht="15" hidden="1" thickBot="1">
      <c r="A670" s="5"/>
      <c r="B670" s="5"/>
      <c r="C670" s="5"/>
      <c r="D670" s="5"/>
      <c r="E670" s="5"/>
      <c r="F670" s="5"/>
      <c r="G670" s="211" t="s">
        <v>349</v>
      </c>
      <c r="H670" s="212"/>
      <c r="I670" s="212"/>
      <c r="J670" s="212"/>
      <c r="K670" s="213"/>
      <c r="L670" s="26"/>
      <c r="M670" s="26"/>
      <c r="N670" s="16">
        <f>E666</f>
        <v>66714</v>
      </c>
    </row>
    <row r="671" spans="1:15" ht="15" hidden="1" thickBot="1">
      <c r="A671" s="5"/>
      <c r="B671" s="5"/>
      <c r="C671" s="5"/>
      <c r="D671" s="5"/>
      <c r="E671" s="5"/>
      <c r="F671" s="5"/>
      <c r="G671" s="211" t="s">
        <v>49</v>
      </c>
      <c r="H671" s="212"/>
      <c r="I671" s="212"/>
      <c r="J671" s="212"/>
      <c r="K671" s="213"/>
      <c r="L671" s="26"/>
      <c r="M671" s="26"/>
      <c r="N671" s="16">
        <f>SUM(N668:N670)</f>
        <v>384160</v>
      </c>
    </row>
    <row r="672" spans="1:15" ht="15" hidden="1" thickBot="1">
      <c r="A672" s="5"/>
      <c r="B672" s="5"/>
      <c r="C672" s="5"/>
      <c r="D672" s="5"/>
      <c r="E672" s="5"/>
      <c r="F672" s="5"/>
      <c r="G672" s="211" t="s">
        <v>50</v>
      </c>
      <c r="H672" s="212"/>
      <c r="I672" s="212"/>
      <c r="J672" s="212"/>
      <c r="K672" s="213"/>
      <c r="L672" s="26"/>
      <c r="M672" s="26"/>
      <c r="N672" s="16">
        <f>H666</f>
        <v>0</v>
      </c>
    </row>
    <row r="673" spans="1:15" ht="15" hidden="1" thickBot="1">
      <c r="A673" s="5"/>
      <c r="B673" s="5"/>
      <c r="C673" s="5"/>
      <c r="D673" s="5"/>
      <c r="E673" s="5"/>
      <c r="F673" s="5"/>
      <c r="G673" s="211" t="s">
        <v>51</v>
      </c>
      <c r="H673" s="212"/>
      <c r="I673" s="212"/>
      <c r="J673" s="212"/>
      <c r="K673" s="213"/>
      <c r="L673" s="26"/>
      <c r="M673" s="26"/>
      <c r="N673" s="16">
        <f>N666</f>
        <v>24066</v>
      </c>
    </row>
    <row r="674" spans="1:15" ht="15" hidden="1" thickBot="1">
      <c r="A674" s="5"/>
      <c r="B674" s="5"/>
      <c r="C674" s="5"/>
      <c r="D674" s="5"/>
      <c r="E674" s="5"/>
      <c r="F674" s="5"/>
      <c r="G674" s="211" t="s">
        <v>52</v>
      </c>
      <c r="H674" s="212"/>
      <c r="I674" s="212"/>
      <c r="J674" s="212"/>
      <c r="K674" s="213"/>
      <c r="L674" s="26"/>
      <c r="M674" s="26"/>
      <c r="N674" s="16">
        <f>(N671-N672)+N673</f>
        <v>408226</v>
      </c>
    </row>
    <row r="675" spans="1:15" hidden="1">
      <c r="A675" s="5"/>
      <c r="B675" s="5"/>
      <c r="C675" s="5"/>
      <c r="D675" s="5"/>
      <c r="E675" s="5"/>
      <c r="F675" s="5"/>
      <c r="G675" s="17"/>
      <c r="H675" s="17"/>
      <c r="I675" s="17"/>
      <c r="J675" s="17"/>
      <c r="K675" s="17"/>
      <c r="L675" s="17"/>
      <c r="M675" s="17"/>
      <c r="N675" s="6"/>
    </row>
    <row r="676" spans="1:15" hidden="1"/>
    <row r="677" spans="1:15" hidden="1"/>
    <row r="678" spans="1:15" ht="16.8" hidden="1">
      <c r="A678" s="249" t="s">
        <v>53</v>
      </c>
      <c r="B678" s="249"/>
      <c r="C678" s="18"/>
      <c r="D678" s="18"/>
      <c r="E678" s="249" t="s">
        <v>54</v>
      </c>
      <c r="F678" s="249"/>
      <c r="G678" s="249"/>
      <c r="H678" s="250" t="s">
        <v>55</v>
      </c>
      <c r="I678" s="250"/>
      <c r="J678" s="250"/>
      <c r="K678" s="250"/>
      <c r="L678" s="250"/>
      <c r="M678" s="250"/>
      <c r="N678" s="250"/>
    </row>
    <row r="679" spans="1:15" hidden="1"/>
    <row r="680" spans="1:15" hidden="1"/>
    <row r="681" spans="1:15" ht="18.600000000000001" hidden="1">
      <c r="A681" s="224" t="s">
        <v>0</v>
      </c>
      <c r="B681" s="224"/>
      <c r="C681" s="224"/>
      <c r="D681" s="224"/>
      <c r="E681" s="224"/>
      <c r="F681" s="224"/>
      <c r="G681" s="224"/>
      <c r="H681" s="224"/>
      <c r="I681" s="224"/>
      <c r="J681" s="224"/>
      <c r="K681" s="224"/>
      <c r="L681" s="224"/>
      <c r="M681" s="224"/>
      <c r="N681" s="224"/>
      <c r="O681" s="224"/>
    </row>
    <row r="682" spans="1:15" ht="18.600000000000001" hidden="1">
      <c r="A682" s="224" t="s">
        <v>1</v>
      </c>
      <c r="B682" s="224"/>
      <c r="C682" s="224"/>
      <c r="D682" s="224"/>
      <c r="E682" s="224"/>
      <c r="F682" s="224"/>
      <c r="G682" s="224"/>
      <c r="H682" s="224"/>
      <c r="I682" s="224"/>
      <c r="J682" s="224"/>
      <c r="K682" s="224"/>
      <c r="L682" s="224"/>
      <c r="M682" s="224"/>
      <c r="N682" s="224"/>
      <c r="O682" s="224"/>
    </row>
    <row r="683" spans="1:15" hidden="1"/>
    <row r="684" spans="1:15" hidden="1">
      <c r="A684" s="258" t="s">
        <v>319</v>
      </c>
      <c r="B684" s="258"/>
      <c r="C684" s="258"/>
      <c r="D684" s="258"/>
      <c r="E684" s="258"/>
      <c r="F684" s="258"/>
      <c r="G684" s="258"/>
      <c r="H684" s="258"/>
      <c r="I684" s="258"/>
      <c r="J684" s="258"/>
      <c r="K684" s="258"/>
      <c r="L684" s="258"/>
      <c r="M684" s="258"/>
      <c r="N684" s="258"/>
    </row>
    <row r="685" spans="1:15" hidden="1">
      <c r="A685" s="3" t="s">
        <v>3</v>
      </c>
      <c r="B685" s="4">
        <f>B647</f>
        <v>2439</v>
      </c>
      <c r="C685" s="4"/>
      <c r="D685" s="4"/>
      <c r="E685" s="4" t="s">
        <v>4</v>
      </c>
      <c r="F685" s="283" t="str">
        <f>F647</f>
        <v>Mahajan Ganesh Trambak</v>
      </c>
      <c r="G685" s="283"/>
      <c r="H685" s="283"/>
      <c r="I685" s="283"/>
      <c r="J685" s="283"/>
      <c r="K685" s="283"/>
      <c r="L685" s="283"/>
      <c r="M685" s="283"/>
      <c r="N685" s="283"/>
    </row>
    <row r="686" spans="1:15" hidden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6"/>
      <c r="L686" s="6"/>
      <c r="M686" s="6"/>
      <c r="N686" s="5"/>
    </row>
    <row r="687" spans="1:15" ht="20.399999999999999" hidden="1">
      <c r="A687" s="4" t="s">
        <v>6</v>
      </c>
      <c r="B687" s="4">
        <f>B649</f>
        <v>2439</v>
      </c>
      <c r="C687" s="4"/>
      <c r="D687" s="4"/>
      <c r="E687" s="3" t="s">
        <v>7</v>
      </c>
      <c r="F687" s="268"/>
      <c r="G687" s="269"/>
      <c r="H687" s="3" t="s">
        <v>8</v>
      </c>
      <c r="I687" s="3"/>
      <c r="J687" s="3"/>
      <c r="K687" s="270" t="str">
        <f>K649</f>
        <v>Asst. Jr. Engineer</v>
      </c>
      <c r="L687" s="270"/>
      <c r="M687" s="270"/>
      <c r="N687" s="270"/>
    </row>
    <row r="688" spans="1:15" hidden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6"/>
      <c r="L688" s="6"/>
      <c r="M688" s="6"/>
      <c r="N688" s="5"/>
    </row>
    <row r="689" spans="1:15" hidden="1">
      <c r="A689" s="3" t="s">
        <v>10</v>
      </c>
      <c r="B689" s="7">
        <v>7.0999999999999994E-2</v>
      </c>
      <c r="C689" s="7"/>
      <c r="D689" s="7"/>
      <c r="E689" s="3" t="s">
        <v>11</v>
      </c>
      <c r="F689" s="7">
        <v>0</v>
      </c>
      <c r="G689" s="216" t="s">
        <v>12</v>
      </c>
      <c r="H689" s="217"/>
      <c r="I689" s="29"/>
      <c r="J689" s="29"/>
      <c r="K689" s="266">
        <f>N674</f>
        <v>408226</v>
      </c>
      <c r="L689" s="267"/>
      <c r="M689" s="267"/>
      <c r="N689" s="271"/>
    </row>
    <row r="690" spans="1:15" hidden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6"/>
      <c r="L690" s="6"/>
      <c r="M690" s="6"/>
      <c r="N690" s="5"/>
    </row>
    <row r="691" spans="1:15" ht="30.6" hidden="1">
      <c r="A691" s="9" t="s">
        <v>13</v>
      </c>
      <c r="B691" s="9" t="s">
        <v>14</v>
      </c>
      <c r="C691" s="9"/>
      <c r="D691" s="9"/>
      <c r="E691" s="9" t="s">
        <v>349</v>
      </c>
      <c r="F691" s="9" t="s">
        <v>15</v>
      </c>
      <c r="G691" s="9" t="s">
        <v>16</v>
      </c>
      <c r="H691" s="9" t="s">
        <v>17</v>
      </c>
      <c r="I691" s="9"/>
      <c r="J691" s="9"/>
      <c r="K691" s="10" t="s">
        <v>18</v>
      </c>
      <c r="L691" s="10"/>
      <c r="M691" s="10"/>
      <c r="N691" s="10" t="s">
        <v>19</v>
      </c>
      <c r="O691" s="11" t="s">
        <v>20</v>
      </c>
    </row>
    <row r="692" spans="1:15" hidden="1">
      <c r="A692" s="3" t="s">
        <v>320</v>
      </c>
      <c r="B692" s="13">
        <v>2555</v>
      </c>
      <c r="C692" s="13"/>
      <c r="D692" s="13"/>
      <c r="E692" s="13">
        <f>B692</f>
        <v>2555</v>
      </c>
      <c r="F692" s="13">
        <v>0</v>
      </c>
      <c r="G692" s="13">
        <f>E692+B692+F692</f>
        <v>5110</v>
      </c>
      <c r="H692" s="13">
        <v>0</v>
      </c>
      <c r="I692" s="13"/>
      <c r="J692" s="13"/>
      <c r="K692" s="13">
        <f>(K689+G692)-H692</f>
        <v>413336</v>
      </c>
      <c r="L692" s="14"/>
      <c r="M692" s="14"/>
      <c r="N692" s="14">
        <f>ROUND((K692*7.1/100)/12,0)</f>
        <v>2446</v>
      </c>
      <c r="O692" s="282" t="s">
        <v>264</v>
      </c>
    </row>
    <row r="693" spans="1:15" hidden="1">
      <c r="A693" s="3" t="s">
        <v>321</v>
      </c>
      <c r="B693" s="13">
        <v>2555</v>
      </c>
      <c r="C693" s="13"/>
      <c r="D693" s="13"/>
      <c r="E693" s="13">
        <f t="shared" ref="E693:E703" si="146">B693</f>
        <v>2555</v>
      </c>
      <c r="F693" s="13">
        <v>0</v>
      </c>
      <c r="G693" s="13">
        <f>E693+B693+F693</f>
        <v>5110</v>
      </c>
      <c r="H693" s="13">
        <v>0</v>
      </c>
      <c r="I693" s="48"/>
      <c r="J693" s="48"/>
      <c r="K693" s="20">
        <f>(K692+G693)-H693</f>
        <v>418446</v>
      </c>
      <c r="L693" s="52"/>
      <c r="M693" s="52"/>
      <c r="N693" s="14">
        <f>ROUND((K693*7.1/100)/12,0)</f>
        <v>2476</v>
      </c>
      <c r="O693" s="282"/>
    </row>
    <row r="694" spans="1:15" hidden="1">
      <c r="A694" s="3" t="s">
        <v>322</v>
      </c>
      <c r="B694" s="13">
        <v>2555</v>
      </c>
      <c r="C694" s="13"/>
      <c r="D694" s="13"/>
      <c r="E694" s="13">
        <f t="shared" si="146"/>
        <v>2555</v>
      </c>
      <c r="F694" s="13">
        <v>0</v>
      </c>
      <c r="G694" s="13">
        <f>E694+B694+F694</f>
        <v>5110</v>
      </c>
      <c r="H694" s="13">
        <v>0</v>
      </c>
      <c r="I694" s="48"/>
      <c r="J694" s="48"/>
      <c r="K694" s="20">
        <f>(K693+G694)-H694</f>
        <v>423556</v>
      </c>
      <c r="L694" s="52"/>
      <c r="M694" s="52"/>
      <c r="N694" s="14">
        <f>ROUND((K694*7.1/100)/12,0)</f>
        <v>2506</v>
      </c>
      <c r="O694" s="282"/>
    </row>
    <row r="695" spans="1:15" hidden="1">
      <c r="A695" s="3" t="s">
        <v>323</v>
      </c>
      <c r="B695" s="13">
        <v>0</v>
      </c>
      <c r="C695" s="13"/>
      <c r="D695" s="13"/>
      <c r="E695" s="13">
        <f t="shared" si="146"/>
        <v>0</v>
      </c>
      <c r="F695" s="13">
        <v>0</v>
      </c>
      <c r="G695" s="13">
        <f t="shared" ref="G695:G703" si="147">E695+B695</f>
        <v>0</v>
      </c>
      <c r="H695" s="13">
        <v>0</v>
      </c>
      <c r="I695" s="48"/>
      <c r="J695" s="48"/>
      <c r="K695" s="20">
        <v>0</v>
      </c>
      <c r="L695" s="52"/>
      <c r="M695" s="52"/>
      <c r="N695" s="14">
        <f>ROUND((K695*7.1/100)/12,0)</f>
        <v>0</v>
      </c>
      <c r="O695" s="282"/>
    </row>
    <row r="696" spans="1:15" hidden="1">
      <c r="A696" s="3" t="s">
        <v>324</v>
      </c>
      <c r="B696" s="13">
        <v>0</v>
      </c>
      <c r="C696" s="13"/>
      <c r="D696" s="13"/>
      <c r="E696" s="13">
        <f t="shared" si="146"/>
        <v>0</v>
      </c>
      <c r="F696" s="13">
        <v>0</v>
      </c>
      <c r="G696" s="13">
        <f t="shared" si="147"/>
        <v>0</v>
      </c>
      <c r="H696" s="13">
        <v>0</v>
      </c>
      <c r="I696" s="48"/>
      <c r="J696" s="48"/>
      <c r="K696" s="20">
        <f t="shared" ref="K696:K703" si="148">(K695+G696)-H696</f>
        <v>0</v>
      </c>
      <c r="L696" s="52"/>
      <c r="M696" s="52"/>
      <c r="N696" s="14">
        <f t="shared" ref="N696:N702" si="149">ROUND((K696*7.1/100)/12,0)</f>
        <v>0</v>
      </c>
      <c r="O696" s="282"/>
    </row>
    <row r="697" spans="1:15" hidden="1">
      <c r="A697" s="3" t="s">
        <v>325</v>
      </c>
      <c r="B697" s="13">
        <v>0</v>
      </c>
      <c r="C697" s="13"/>
      <c r="D697" s="13"/>
      <c r="E697" s="13">
        <f t="shared" si="146"/>
        <v>0</v>
      </c>
      <c r="F697" s="13">
        <v>0</v>
      </c>
      <c r="G697" s="13">
        <f t="shared" si="147"/>
        <v>0</v>
      </c>
      <c r="H697" s="13">
        <v>0</v>
      </c>
      <c r="I697" s="48"/>
      <c r="J697" s="48"/>
      <c r="K697" s="20">
        <f t="shared" si="148"/>
        <v>0</v>
      </c>
      <c r="L697" s="52"/>
      <c r="M697" s="52"/>
      <c r="N697" s="14">
        <f t="shared" si="149"/>
        <v>0</v>
      </c>
      <c r="O697" s="282"/>
    </row>
    <row r="698" spans="1:15" hidden="1">
      <c r="A698" s="3" t="s">
        <v>326</v>
      </c>
      <c r="B698" s="13">
        <v>0</v>
      </c>
      <c r="C698" s="13"/>
      <c r="D698" s="13"/>
      <c r="E698" s="13">
        <f t="shared" si="146"/>
        <v>0</v>
      </c>
      <c r="F698" s="13">
        <v>0</v>
      </c>
      <c r="G698" s="13">
        <f t="shared" si="147"/>
        <v>0</v>
      </c>
      <c r="H698" s="13">
        <v>0</v>
      </c>
      <c r="I698" s="48"/>
      <c r="J698" s="48"/>
      <c r="K698" s="20">
        <f t="shared" si="148"/>
        <v>0</v>
      </c>
      <c r="L698" s="52"/>
      <c r="M698" s="52"/>
      <c r="N698" s="14">
        <f t="shared" si="149"/>
        <v>0</v>
      </c>
      <c r="O698" s="282"/>
    </row>
    <row r="699" spans="1:15" hidden="1">
      <c r="A699" s="3" t="s">
        <v>327</v>
      </c>
      <c r="B699" s="13">
        <v>0</v>
      </c>
      <c r="C699" s="13"/>
      <c r="D699" s="13"/>
      <c r="E699" s="13">
        <f t="shared" si="146"/>
        <v>0</v>
      </c>
      <c r="F699" s="13">
        <v>0</v>
      </c>
      <c r="G699" s="13">
        <f t="shared" si="147"/>
        <v>0</v>
      </c>
      <c r="H699" s="13">
        <v>0</v>
      </c>
      <c r="I699" s="48"/>
      <c r="J699" s="48"/>
      <c r="K699" s="20">
        <f t="shared" si="148"/>
        <v>0</v>
      </c>
      <c r="L699" s="52"/>
      <c r="M699" s="52"/>
      <c r="N699" s="14">
        <f t="shared" si="149"/>
        <v>0</v>
      </c>
      <c r="O699" s="282"/>
    </row>
    <row r="700" spans="1:15" hidden="1">
      <c r="A700" s="3" t="s">
        <v>328</v>
      </c>
      <c r="B700" s="13">
        <v>0</v>
      </c>
      <c r="C700" s="13"/>
      <c r="D700" s="13"/>
      <c r="E700" s="13">
        <f t="shared" si="146"/>
        <v>0</v>
      </c>
      <c r="F700" s="13">
        <v>0</v>
      </c>
      <c r="G700" s="13">
        <f t="shared" si="147"/>
        <v>0</v>
      </c>
      <c r="H700" s="13">
        <v>0</v>
      </c>
      <c r="I700" s="48"/>
      <c r="J700" s="48"/>
      <c r="K700" s="20">
        <f t="shared" si="148"/>
        <v>0</v>
      </c>
      <c r="L700" s="52"/>
      <c r="M700" s="52"/>
      <c r="N700" s="14">
        <f t="shared" si="149"/>
        <v>0</v>
      </c>
      <c r="O700" s="282"/>
    </row>
    <row r="701" spans="1:15" hidden="1">
      <c r="A701" s="3" t="s">
        <v>329</v>
      </c>
      <c r="B701" s="13">
        <v>0</v>
      </c>
      <c r="C701" s="13"/>
      <c r="D701" s="13"/>
      <c r="E701" s="13">
        <f t="shared" si="146"/>
        <v>0</v>
      </c>
      <c r="F701" s="13">
        <v>0</v>
      </c>
      <c r="G701" s="13">
        <f t="shared" si="147"/>
        <v>0</v>
      </c>
      <c r="H701" s="13">
        <v>0</v>
      </c>
      <c r="I701" s="48"/>
      <c r="J701" s="48"/>
      <c r="K701" s="20">
        <f t="shared" si="148"/>
        <v>0</v>
      </c>
      <c r="L701" s="52"/>
      <c r="M701" s="52"/>
      <c r="N701" s="14">
        <f t="shared" si="149"/>
        <v>0</v>
      </c>
      <c r="O701" s="282"/>
    </row>
    <row r="702" spans="1:15" hidden="1">
      <c r="A702" s="3" t="s">
        <v>330</v>
      </c>
      <c r="B702" s="13">
        <v>0</v>
      </c>
      <c r="C702" s="13"/>
      <c r="D702" s="13"/>
      <c r="E702" s="13">
        <f t="shared" si="146"/>
        <v>0</v>
      </c>
      <c r="F702" s="13">
        <v>0</v>
      </c>
      <c r="G702" s="13">
        <f t="shared" si="147"/>
        <v>0</v>
      </c>
      <c r="H702" s="13">
        <v>0</v>
      </c>
      <c r="I702" s="48"/>
      <c r="J702" s="48"/>
      <c r="K702" s="20">
        <f t="shared" si="148"/>
        <v>0</v>
      </c>
      <c r="L702" s="52"/>
      <c r="M702" s="52"/>
      <c r="N702" s="14">
        <f t="shared" si="149"/>
        <v>0</v>
      </c>
      <c r="O702" s="282"/>
    </row>
    <row r="703" spans="1:15" hidden="1">
      <c r="A703" s="3" t="s">
        <v>331</v>
      </c>
      <c r="B703" s="13">
        <v>0</v>
      </c>
      <c r="C703" s="13"/>
      <c r="D703" s="13"/>
      <c r="E703" s="13">
        <f t="shared" si="146"/>
        <v>0</v>
      </c>
      <c r="F703" s="13">
        <v>0</v>
      </c>
      <c r="G703" s="13">
        <f t="shared" si="147"/>
        <v>0</v>
      </c>
      <c r="H703" s="13">
        <v>0</v>
      </c>
      <c r="I703" s="48"/>
      <c r="J703" s="48"/>
      <c r="K703" s="20">
        <f t="shared" si="148"/>
        <v>0</v>
      </c>
      <c r="L703" s="52"/>
      <c r="M703" s="52"/>
      <c r="N703" s="14">
        <f>ROUND((K703*7.1/100)/12,0)</f>
        <v>0</v>
      </c>
      <c r="O703" s="282"/>
    </row>
    <row r="704" spans="1:15" hidden="1">
      <c r="A704" s="3" t="s">
        <v>332</v>
      </c>
      <c r="B704" s="15">
        <f t="shared" ref="B704:N704" si="150">SUM(B692:B703)</f>
        <v>7665</v>
      </c>
      <c r="C704" s="15"/>
      <c r="D704" s="15"/>
      <c r="E704" s="15">
        <f t="shared" si="150"/>
        <v>7665</v>
      </c>
      <c r="F704" s="15">
        <f t="shared" si="150"/>
        <v>0</v>
      </c>
      <c r="G704" s="15">
        <f t="shared" si="150"/>
        <v>15330</v>
      </c>
      <c r="H704" s="15">
        <f t="shared" si="150"/>
        <v>0</v>
      </c>
      <c r="I704" s="15"/>
      <c r="J704" s="15"/>
      <c r="K704" s="15">
        <f t="shared" si="150"/>
        <v>1255338</v>
      </c>
      <c r="L704" s="8"/>
      <c r="M704" s="8"/>
      <c r="N704" s="8">
        <f t="shared" si="150"/>
        <v>7428</v>
      </c>
      <c r="O704" s="282"/>
    </row>
    <row r="705" spans="1:14" hidden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6"/>
      <c r="L705" s="6"/>
      <c r="M705" s="6"/>
      <c r="N705" s="5"/>
    </row>
    <row r="706" spans="1:14" ht="15" hidden="1" thickBot="1">
      <c r="A706" s="5"/>
      <c r="B706" s="6"/>
      <c r="C706" s="6"/>
      <c r="D706" s="6"/>
      <c r="E706" s="5"/>
      <c r="F706" s="5"/>
      <c r="G706" s="211" t="s">
        <v>47</v>
      </c>
      <c r="H706" s="212"/>
      <c r="I706" s="212"/>
      <c r="J706" s="212"/>
      <c r="K706" s="213"/>
      <c r="L706" s="26"/>
      <c r="M706" s="26"/>
      <c r="N706" s="16">
        <f>N674</f>
        <v>408226</v>
      </c>
    </row>
    <row r="707" spans="1:14" ht="15" hidden="1" thickBot="1">
      <c r="A707" s="5"/>
      <c r="B707" s="5"/>
      <c r="C707" s="5"/>
      <c r="D707" s="5"/>
      <c r="E707" s="5"/>
      <c r="F707" s="5"/>
      <c r="G707" s="211" t="s">
        <v>48</v>
      </c>
      <c r="H707" s="212"/>
      <c r="I707" s="212"/>
      <c r="J707" s="212"/>
      <c r="K707" s="213"/>
      <c r="L707" s="26"/>
      <c r="M707" s="26"/>
      <c r="N707" s="16">
        <f>B704+F704</f>
        <v>7665</v>
      </c>
    </row>
    <row r="708" spans="1:14" ht="15" hidden="1" thickBot="1">
      <c r="A708" s="5"/>
      <c r="B708" s="5"/>
      <c r="C708" s="5"/>
      <c r="D708" s="5"/>
      <c r="E708" s="5"/>
      <c r="F708" s="5"/>
      <c r="G708" s="211" t="s">
        <v>349</v>
      </c>
      <c r="H708" s="212"/>
      <c r="I708" s="212"/>
      <c r="J708" s="212"/>
      <c r="K708" s="213"/>
      <c r="L708" s="26"/>
      <c r="M708" s="26"/>
      <c r="N708" s="16">
        <f>E704</f>
        <v>7665</v>
      </c>
    </row>
    <row r="709" spans="1:14" ht="15" hidden="1" thickBot="1">
      <c r="A709" s="5"/>
      <c r="B709" s="5"/>
      <c r="C709" s="5"/>
      <c r="D709" s="5"/>
      <c r="E709" s="5"/>
      <c r="F709" s="5"/>
      <c r="G709" s="211" t="s">
        <v>49</v>
      </c>
      <c r="H709" s="212"/>
      <c r="I709" s="212"/>
      <c r="J709" s="212"/>
      <c r="K709" s="213"/>
      <c r="L709" s="26"/>
      <c r="M709" s="26"/>
      <c r="N709" s="16">
        <f>SUM(N706:N708)</f>
        <v>423556</v>
      </c>
    </row>
    <row r="710" spans="1:14" ht="15" hidden="1" thickBot="1">
      <c r="A710" s="5"/>
      <c r="B710" s="5"/>
      <c r="C710" s="5"/>
      <c r="D710" s="5"/>
      <c r="E710" s="5"/>
      <c r="F710" s="5"/>
      <c r="G710" s="211" t="s">
        <v>50</v>
      </c>
      <c r="H710" s="212"/>
      <c r="I710" s="212"/>
      <c r="J710" s="212"/>
      <c r="K710" s="213"/>
      <c r="L710" s="26"/>
      <c r="M710" s="26"/>
      <c r="N710" s="16">
        <f>H704</f>
        <v>0</v>
      </c>
    </row>
    <row r="711" spans="1:14" ht="15" hidden="1" thickBot="1">
      <c r="A711" s="5"/>
      <c r="B711" s="5"/>
      <c r="C711" s="5"/>
      <c r="D711" s="5"/>
      <c r="E711" s="5"/>
      <c r="F711" s="5"/>
      <c r="G711" s="211" t="s">
        <v>51</v>
      </c>
      <c r="H711" s="212"/>
      <c r="I711" s="212"/>
      <c r="J711" s="212"/>
      <c r="K711" s="213"/>
      <c r="L711" s="26"/>
      <c r="M711" s="26"/>
      <c r="N711" s="16">
        <f>N704</f>
        <v>7428</v>
      </c>
    </row>
    <row r="712" spans="1:14" ht="15" hidden="1" thickBot="1">
      <c r="A712" s="5"/>
      <c r="B712" s="5"/>
      <c r="C712" s="5"/>
      <c r="D712" s="5"/>
      <c r="E712" s="5"/>
      <c r="F712" s="5"/>
      <c r="G712" s="211" t="s">
        <v>52</v>
      </c>
      <c r="H712" s="212"/>
      <c r="I712" s="212"/>
      <c r="J712" s="212"/>
      <c r="K712" s="213"/>
      <c r="L712" s="26"/>
      <c r="M712" s="26"/>
      <c r="N712" s="16">
        <f>(N709-N710)+N711</f>
        <v>430984</v>
      </c>
    </row>
    <row r="713" spans="1:14" hidden="1">
      <c r="A713" s="5"/>
      <c r="B713" s="5"/>
      <c r="C713" s="5"/>
      <c r="D713" s="5"/>
      <c r="E713" s="5"/>
      <c r="F713" s="5"/>
      <c r="G713" s="17"/>
      <c r="H713" s="17"/>
      <c r="I713" s="17"/>
      <c r="J713" s="17"/>
      <c r="K713" s="17"/>
      <c r="L713" s="17"/>
      <c r="M713" s="17"/>
      <c r="N713" s="6"/>
    </row>
    <row r="714" spans="1:14" hidden="1"/>
    <row r="715" spans="1:14" hidden="1"/>
    <row r="716" spans="1:14" ht="16.8" hidden="1">
      <c r="A716" s="249" t="s">
        <v>53</v>
      </c>
      <c r="B716" s="249"/>
      <c r="C716" s="18"/>
      <c r="D716" s="18"/>
      <c r="E716" s="249" t="s">
        <v>54</v>
      </c>
      <c r="F716" s="249"/>
      <c r="G716" s="249"/>
      <c r="H716" s="250" t="s">
        <v>55</v>
      </c>
      <c r="I716" s="250"/>
      <c r="J716" s="250"/>
      <c r="K716" s="250"/>
      <c r="L716" s="250"/>
      <c r="M716" s="250"/>
      <c r="N716" s="250"/>
    </row>
    <row r="717" spans="1:14" hidden="1"/>
    <row r="718" spans="1:14" hidden="1"/>
    <row r="719" spans="1:14" hidden="1"/>
    <row r="720" spans="1:14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</sheetData>
  <mergeCells count="653">
    <mergeCell ref="X7:Y7"/>
    <mergeCell ref="X8:Y8"/>
    <mergeCell ref="X9:Y9"/>
    <mergeCell ref="AA1:AB2"/>
    <mergeCell ref="AA3:AB3"/>
    <mergeCell ref="AA4:AB4"/>
    <mergeCell ref="AA5:AB5"/>
    <mergeCell ref="AA6:AB6"/>
    <mergeCell ref="AA7:AB7"/>
    <mergeCell ref="AA8:AB8"/>
    <mergeCell ref="AA9:AB9"/>
    <mergeCell ref="X4:Y4"/>
    <mergeCell ref="X5:Y5"/>
    <mergeCell ref="X6:Y6"/>
    <mergeCell ref="AN1:AN2"/>
    <mergeCell ref="G711:K711"/>
    <mergeCell ref="G712:K712"/>
    <mergeCell ref="A716:B716"/>
    <mergeCell ref="E716:G716"/>
    <mergeCell ref="H716:N716"/>
    <mergeCell ref="O692:O704"/>
    <mergeCell ref="G706:K706"/>
    <mergeCell ref="G707:K707"/>
    <mergeCell ref="G708:K708"/>
    <mergeCell ref="G709:K709"/>
    <mergeCell ref="G710:K710"/>
    <mergeCell ref="A682:O682"/>
    <mergeCell ref="A684:N684"/>
    <mergeCell ref="F685:N685"/>
    <mergeCell ref="F687:G687"/>
    <mergeCell ref="K687:N687"/>
    <mergeCell ref="G689:H689"/>
    <mergeCell ref="K689:N689"/>
    <mergeCell ref="G673:K673"/>
    <mergeCell ref="G674:K674"/>
    <mergeCell ref="A42:B42"/>
    <mergeCell ref="E42:G42"/>
    <mergeCell ref="A678:B678"/>
    <mergeCell ref="E678:G678"/>
    <mergeCell ref="H678:N678"/>
    <mergeCell ref="A681:O681"/>
    <mergeCell ref="O654:O666"/>
    <mergeCell ref="G668:K668"/>
    <mergeCell ref="G669:K669"/>
    <mergeCell ref="G670:K670"/>
    <mergeCell ref="G671:K671"/>
    <mergeCell ref="G672:K672"/>
    <mergeCell ref="A644:O644"/>
    <mergeCell ref="A646:N646"/>
    <mergeCell ref="F647:N647"/>
    <mergeCell ref="F649:G649"/>
    <mergeCell ref="K649:N649"/>
    <mergeCell ref="G651:H651"/>
    <mergeCell ref="K651:N651"/>
    <mergeCell ref="G635:K635"/>
    <mergeCell ref="G636:K636"/>
    <mergeCell ref="A640:B640"/>
    <mergeCell ref="E640:G640"/>
    <mergeCell ref="H640:N640"/>
    <mergeCell ref="A643:O643"/>
    <mergeCell ref="O616:O628"/>
    <mergeCell ref="G630:K630"/>
    <mergeCell ref="G631:K631"/>
    <mergeCell ref="G632:K632"/>
    <mergeCell ref="G633:K633"/>
    <mergeCell ref="G634:K634"/>
    <mergeCell ref="A608:N608"/>
    <mergeCell ref="F609:N609"/>
    <mergeCell ref="F611:G611"/>
    <mergeCell ref="K611:N611"/>
    <mergeCell ref="G613:H613"/>
    <mergeCell ref="K613:N613"/>
    <mergeCell ref="G598:K598"/>
    <mergeCell ref="A602:B602"/>
    <mergeCell ref="E602:G602"/>
    <mergeCell ref="H602:N602"/>
    <mergeCell ref="A605:O605"/>
    <mergeCell ref="A606:O606"/>
    <mergeCell ref="G592:K592"/>
    <mergeCell ref="G593:K593"/>
    <mergeCell ref="G594:K594"/>
    <mergeCell ref="G595:K595"/>
    <mergeCell ref="G596:K596"/>
    <mergeCell ref="G597:K597"/>
    <mergeCell ref="F571:N571"/>
    <mergeCell ref="F573:G573"/>
    <mergeCell ref="K573:N573"/>
    <mergeCell ref="G575:H575"/>
    <mergeCell ref="K575:N575"/>
    <mergeCell ref="O578:O589"/>
    <mergeCell ref="A564:B564"/>
    <mergeCell ref="E564:G564"/>
    <mergeCell ref="H564:N564"/>
    <mergeCell ref="A567:O567"/>
    <mergeCell ref="A568:O568"/>
    <mergeCell ref="A570:N570"/>
    <mergeCell ref="G555:K555"/>
    <mergeCell ref="G556:K556"/>
    <mergeCell ref="G557:K557"/>
    <mergeCell ref="G558:K558"/>
    <mergeCell ref="G559:K559"/>
    <mergeCell ref="G560:K560"/>
    <mergeCell ref="G537:H537"/>
    <mergeCell ref="K537:N537"/>
    <mergeCell ref="O540:O542"/>
    <mergeCell ref="O543:O545"/>
    <mergeCell ref="O546:O551"/>
    <mergeCell ref="G554:K554"/>
    <mergeCell ref="A529:O529"/>
    <mergeCell ref="A530:O530"/>
    <mergeCell ref="A532:N532"/>
    <mergeCell ref="F533:N533"/>
    <mergeCell ref="F535:G535"/>
    <mergeCell ref="K535:N535"/>
    <mergeCell ref="G520:K520"/>
    <mergeCell ref="G521:K521"/>
    <mergeCell ref="G522:K522"/>
    <mergeCell ref="A526:B526"/>
    <mergeCell ref="E526:G526"/>
    <mergeCell ref="H526:N526"/>
    <mergeCell ref="O502:O504"/>
    <mergeCell ref="O505:O513"/>
    <mergeCell ref="G516:K516"/>
    <mergeCell ref="G517:K517"/>
    <mergeCell ref="G518:K518"/>
    <mergeCell ref="G519:K519"/>
    <mergeCell ref="A492:O492"/>
    <mergeCell ref="A494:N494"/>
    <mergeCell ref="F495:N495"/>
    <mergeCell ref="F497:G497"/>
    <mergeCell ref="K497:N497"/>
    <mergeCell ref="G499:H499"/>
    <mergeCell ref="K499:N499"/>
    <mergeCell ref="G483:K483"/>
    <mergeCell ref="G484:K484"/>
    <mergeCell ref="A488:B488"/>
    <mergeCell ref="E488:G488"/>
    <mergeCell ref="H488:N488"/>
    <mergeCell ref="A491:O491"/>
    <mergeCell ref="O470:O475"/>
    <mergeCell ref="G478:K478"/>
    <mergeCell ref="G479:K479"/>
    <mergeCell ref="G480:K480"/>
    <mergeCell ref="G481:K481"/>
    <mergeCell ref="G482:K482"/>
    <mergeCell ref="F457:N457"/>
    <mergeCell ref="F459:G459"/>
    <mergeCell ref="K459:N459"/>
    <mergeCell ref="G461:H461"/>
    <mergeCell ref="K461:N461"/>
    <mergeCell ref="O464:O469"/>
    <mergeCell ref="A450:B450"/>
    <mergeCell ref="E450:G450"/>
    <mergeCell ref="H450:N450"/>
    <mergeCell ref="A453:O453"/>
    <mergeCell ref="A454:O454"/>
    <mergeCell ref="A456:N456"/>
    <mergeCell ref="G441:K441"/>
    <mergeCell ref="G442:K442"/>
    <mergeCell ref="G443:K443"/>
    <mergeCell ref="G444:K444"/>
    <mergeCell ref="G445:K445"/>
    <mergeCell ref="G446:K446"/>
    <mergeCell ref="G423:H423"/>
    <mergeCell ref="K423:N423"/>
    <mergeCell ref="O426:O428"/>
    <mergeCell ref="O429:O434"/>
    <mergeCell ref="O435:O437"/>
    <mergeCell ref="G440:K440"/>
    <mergeCell ref="A415:O415"/>
    <mergeCell ref="A416:O416"/>
    <mergeCell ref="A418:N418"/>
    <mergeCell ref="F419:N419"/>
    <mergeCell ref="F421:G421"/>
    <mergeCell ref="K421:N421"/>
    <mergeCell ref="G406:K406"/>
    <mergeCell ref="G407:K407"/>
    <mergeCell ref="G408:K408"/>
    <mergeCell ref="A412:B412"/>
    <mergeCell ref="E412:G412"/>
    <mergeCell ref="H412:N412"/>
    <mergeCell ref="O388:O393"/>
    <mergeCell ref="O394:O399"/>
    <mergeCell ref="G402:K402"/>
    <mergeCell ref="G403:K403"/>
    <mergeCell ref="G404:K404"/>
    <mergeCell ref="G405:K405"/>
    <mergeCell ref="A378:O378"/>
    <mergeCell ref="A380:N380"/>
    <mergeCell ref="F381:N381"/>
    <mergeCell ref="F383:G383"/>
    <mergeCell ref="K383:N383"/>
    <mergeCell ref="G385:H385"/>
    <mergeCell ref="K385:N385"/>
    <mergeCell ref="G369:K369"/>
    <mergeCell ref="G370:K370"/>
    <mergeCell ref="A374:B374"/>
    <mergeCell ref="E374:G374"/>
    <mergeCell ref="H374:N374"/>
    <mergeCell ref="A377:O377"/>
    <mergeCell ref="O350:O361"/>
    <mergeCell ref="G364:K364"/>
    <mergeCell ref="G365:K365"/>
    <mergeCell ref="G366:K366"/>
    <mergeCell ref="G367:K367"/>
    <mergeCell ref="G368:K368"/>
    <mergeCell ref="A340:O340"/>
    <mergeCell ref="A342:N342"/>
    <mergeCell ref="F343:N343"/>
    <mergeCell ref="F345:G345"/>
    <mergeCell ref="K345:N345"/>
    <mergeCell ref="G347:H347"/>
    <mergeCell ref="K347:N347"/>
    <mergeCell ref="G331:K331"/>
    <mergeCell ref="G332:K332"/>
    <mergeCell ref="A336:B336"/>
    <mergeCell ref="E336:G336"/>
    <mergeCell ref="H336:N336"/>
    <mergeCell ref="A339:O339"/>
    <mergeCell ref="O312:O323"/>
    <mergeCell ref="G326:K326"/>
    <mergeCell ref="G327:K327"/>
    <mergeCell ref="G328:K328"/>
    <mergeCell ref="G329:K329"/>
    <mergeCell ref="G330:K330"/>
    <mergeCell ref="A302:O302"/>
    <mergeCell ref="A304:N304"/>
    <mergeCell ref="F305:N305"/>
    <mergeCell ref="F307:G307"/>
    <mergeCell ref="K307:N307"/>
    <mergeCell ref="G309:H309"/>
    <mergeCell ref="K309:N309"/>
    <mergeCell ref="G293:K293"/>
    <mergeCell ref="G294:K294"/>
    <mergeCell ref="A298:B298"/>
    <mergeCell ref="E298:G298"/>
    <mergeCell ref="H298:N298"/>
    <mergeCell ref="A301:O301"/>
    <mergeCell ref="O274:O285"/>
    <mergeCell ref="G288:K288"/>
    <mergeCell ref="G289:K289"/>
    <mergeCell ref="G290:K290"/>
    <mergeCell ref="G291:K291"/>
    <mergeCell ref="G292:K292"/>
    <mergeCell ref="A264:O264"/>
    <mergeCell ref="A266:N266"/>
    <mergeCell ref="F267:N267"/>
    <mergeCell ref="F269:G269"/>
    <mergeCell ref="K269:N269"/>
    <mergeCell ref="G271:H271"/>
    <mergeCell ref="K271:N271"/>
    <mergeCell ref="G256:K256"/>
    <mergeCell ref="A260:B260"/>
    <mergeCell ref="E260:G260"/>
    <mergeCell ref="H260:N260"/>
    <mergeCell ref="A263:O263"/>
    <mergeCell ref="A261:B261"/>
    <mergeCell ref="E261:G261"/>
    <mergeCell ref="H261:N261"/>
    <mergeCell ref="A252:D256"/>
    <mergeCell ref="G255:K255"/>
    <mergeCell ref="G252:K252"/>
    <mergeCell ref="G253:K253"/>
    <mergeCell ref="G254:K254"/>
    <mergeCell ref="G249:K249"/>
    <mergeCell ref="G250:K250"/>
    <mergeCell ref="G251:K251"/>
    <mergeCell ref="G247:K247"/>
    <mergeCell ref="G248:K248"/>
    <mergeCell ref="H230:H231"/>
    <mergeCell ref="I230:I231"/>
    <mergeCell ref="J230:J231"/>
    <mergeCell ref="K230:K231"/>
    <mergeCell ref="O230:O231"/>
    <mergeCell ref="O232:O243"/>
    <mergeCell ref="G246:K246"/>
    <mergeCell ref="A218:B218"/>
    <mergeCell ref="E218:G218"/>
    <mergeCell ref="H218:N218"/>
    <mergeCell ref="A220:O220"/>
    <mergeCell ref="A221:O221"/>
    <mergeCell ref="A223:N223"/>
    <mergeCell ref="K228:N228"/>
    <mergeCell ref="L230:L231"/>
    <mergeCell ref="M230:M231"/>
    <mergeCell ref="A219:B219"/>
    <mergeCell ref="E219:G219"/>
    <mergeCell ref="H219:N219"/>
    <mergeCell ref="A230:A231"/>
    <mergeCell ref="B230:C230"/>
    <mergeCell ref="D230:E230"/>
    <mergeCell ref="F230:F231"/>
    <mergeCell ref="G230:G231"/>
    <mergeCell ref="N230:N231"/>
    <mergeCell ref="G210:K210"/>
    <mergeCell ref="G211:K211"/>
    <mergeCell ref="G212:K212"/>
    <mergeCell ref="G213:K213"/>
    <mergeCell ref="G214:K214"/>
    <mergeCell ref="G215:K215"/>
    <mergeCell ref="A190:A193"/>
    <mergeCell ref="B190:B193"/>
    <mergeCell ref="C190:C193"/>
    <mergeCell ref="D190:D193"/>
    <mergeCell ref="E190:E193"/>
    <mergeCell ref="F190:F193"/>
    <mergeCell ref="A195:A197"/>
    <mergeCell ref="B195:B197"/>
    <mergeCell ref="C195:C197"/>
    <mergeCell ref="D195:D197"/>
    <mergeCell ref="E195:E197"/>
    <mergeCell ref="F195:F197"/>
    <mergeCell ref="H190:H193"/>
    <mergeCell ref="I190:I193"/>
    <mergeCell ref="J190:J193"/>
    <mergeCell ref="K190:K193"/>
    <mergeCell ref="A211:D215"/>
    <mergeCell ref="G167:K167"/>
    <mergeCell ref="A171:B171"/>
    <mergeCell ref="E171:G171"/>
    <mergeCell ref="H171:N171"/>
    <mergeCell ref="H182:J182"/>
    <mergeCell ref="K182:O182"/>
    <mergeCell ref="A184:A185"/>
    <mergeCell ref="B184:C184"/>
    <mergeCell ref="D184:E184"/>
    <mergeCell ref="F184:F185"/>
    <mergeCell ref="G184:G185"/>
    <mergeCell ref="H184:H185"/>
    <mergeCell ref="I184:I185"/>
    <mergeCell ref="J184:J185"/>
    <mergeCell ref="K184:K185"/>
    <mergeCell ref="L184:L185"/>
    <mergeCell ref="M184:M185"/>
    <mergeCell ref="N184:N185"/>
    <mergeCell ref="O184:O185"/>
    <mergeCell ref="A172:B172"/>
    <mergeCell ref="E172:G172"/>
    <mergeCell ref="H172:N172"/>
    <mergeCell ref="A163:D167"/>
    <mergeCell ref="G123:K123"/>
    <mergeCell ref="A127:B127"/>
    <mergeCell ref="E127:G127"/>
    <mergeCell ref="H127:N127"/>
    <mergeCell ref="A130:O130"/>
    <mergeCell ref="A131:O131"/>
    <mergeCell ref="A119:D123"/>
    <mergeCell ref="A143:A144"/>
    <mergeCell ref="B143:B144"/>
    <mergeCell ref="C143:C144"/>
    <mergeCell ref="D143:D144"/>
    <mergeCell ref="E143:E144"/>
    <mergeCell ref="F143:F144"/>
    <mergeCell ref="G143:G144"/>
    <mergeCell ref="H143:H144"/>
    <mergeCell ref="I140:I141"/>
    <mergeCell ref="A140:A141"/>
    <mergeCell ref="B140:C140"/>
    <mergeCell ref="D140:E140"/>
    <mergeCell ref="F140:F141"/>
    <mergeCell ref="G140:G141"/>
    <mergeCell ref="H140:H141"/>
    <mergeCell ref="I143:I144"/>
    <mergeCell ref="J143:J144"/>
    <mergeCell ref="O140:O141"/>
    <mergeCell ref="J140:J141"/>
    <mergeCell ref="K140:K141"/>
    <mergeCell ref="L140:L141"/>
    <mergeCell ref="M140:M141"/>
    <mergeCell ref="N140:N141"/>
    <mergeCell ref="A128:B128"/>
    <mergeCell ref="E128:G128"/>
    <mergeCell ref="H128:N128"/>
    <mergeCell ref="A133:N133"/>
    <mergeCell ref="E134:F134"/>
    <mergeCell ref="H134:O134"/>
    <mergeCell ref="I136:O136"/>
    <mergeCell ref="H138:J138"/>
    <mergeCell ref="K138:O138"/>
    <mergeCell ref="G117:K117"/>
    <mergeCell ref="G118:K118"/>
    <mergeCell ref="G119:K119"/>
    <mergeCell ref="G120:K120"/>
    <mergeCell ref="G121:K121"/>
    <mergeCell ref="G122:K122"/>
    <mergeCell ref="O97:O98"/>
    <mergeCell ref="O99:O110"/>
    <mergeCell ref="G113:K113"/>
    <mergeCell ref="G114:K114"/>
    <mergeCell ref="G115:K115"/>
    <mergeCell ref="G116:K116"/>
    <mergeCell ref="I97:I98"/>
    <mergeCell ref="J97:J98"/>
    <mergeCell ref="K97:K98"/>
    <mergeCell ref="L97:L98"/>
    <mergeCell ref="M97:M98"/>
    <mergeCell ref="N97:N98"/>
    <mergeCell ref="A97:A98"/>
    <mergeCell ref="B97:C97"/>
    <mergeCell ref="D97:E97"/>
    <mergeCell ref="F97:F98"/>
    <mergeCell ref="G97:G98"/>
    <mergeCell ref="H97:H98"/>
    <mergeCell ref="A90:N90"/>
    <mergeCell ref="E91:F91"/>
    <mergeCell ref="H91:O91"/>
    <mergeCell ref="I93:O93"/>
    <mergeCell ref="H95:J95"/>
    <mergeCell ref="K95:O95"/>
    <mergeCell ref="G80:K80"/>
    <mergeCell ref="A84:B84"/>
    <mergeCell ref="E84:G84"/>
    <mergeCell ref="H84:N84"/>
    <mergeCell ref="A87:O87"/>
    <mergeCell ref="A88:O88"/>
    <mergeCell ref="G74:K74"/>
    <mergeCell ref="G75:K75"/>
    <mergeCell ref="G76:K76"/>
    <mergeCell ref="G77:K77"/>
    <mergeCell ref="G78:K78"/>
    <mergeCell ref="G79:K79"/>
    <mergeCell ref="A85:B85"/>
    <mergeCell ref="E85:G85"/>
    <mergeCell ref="H85:N85"/>
    <mergeCell ref="A76:D80"/>
    <mergeCell ref="O56:O67"/>
    <mergeCell ref="G70:K70"/>
    <mergeCell ref="G71:K71"/>
    <mergeCell ref="G72:K72"/>
    <mergeCell ref="G73:K73"/>
    <mergeCell ref="I54:I55"/>
    <mergeCell ref="J54:J55"/>
    <mergeCell ref="K54:K55"/>
    <mergeCell ref="L54:L55"/>
    <mergeCell ref="M54:M55"/>
    <mergeCell ref="N54:N55"/>
    <mergeCell ref="A45:O45"/>
    <mergeCell ref="G31:K31"/>
    <mergeCell ref="G32:K32"/>
    <mergeCell ref="G33:K33"/>
    <mergeCell ref="G34:K34"/>
    <mergeCell ref="G35:K35"/>
    <mergeCell ref="G36:K36"/>
    <mergeCell ref="G37:K37"/>
    <mergeCell ref="A54:A55"/>
    <mergeCell ref="B54:C54"/>
    <mergeCell ref="D54:E54"/>
    <mergeCell ref="F54:F55"/>
    <mergeCell ref="G54:G55"/>
    <mergeCell ref="H54:H55"/>
    <mergeCell ref="A47:N47"/>
    <mergeCell ref="E48:F48"/>
    <mergeCell ref="H48:O48"/>
    <mergeCell ref="I50:O50"/>
    <mergeCell ref="H52:J52"/>
    <mergeCell ref="K52:O52"/>
    <mergeCell ref="O54:O55"/>
    <mergeCell ref="H42:N42"/>
    <mergeCell ref="AE11:AE12"/>
    <mergeCell ref="AC11:AC12"/>
    <mergeCell ref="AD11:AD12"/>
    <mergeCell ref="G11:G12"/>
    <mergeCell ref="H11:H12"/>
    <mergeCell ref="A41:B41"/>
    <mergeCell ref="E41:G41"/>
    <mergeCell ref="H41:N41"/>
    <mergeCell ref="A44:O44"/>
    <mergeCell ref="A33:D37"/>
    <mergeCell ref="O13:O24"/>
    <mergeCell ref="G27:K27"/>
    <mergeCell ref="G28:K28"/>
    <mergeCell ref="G29:K29"/>
    <mergeCell ref="G30:K30"/>
    <mergeCell ref="I11:I12"/>
    <mergeCell ref="J11:J12"/>
    <mergeCell ref="K11:K12"/>
    <mergeCell ref="L11:L12"/>
    <mergeCell ref="M11:M12"/>
    <mergeCell ref="N11:N12"/>
    <mergeCell ref="A11:A12"/>
    <mergeCell ref="B11:C11"/>
    <mergeCell ref="D11:E11"/>
    <mergeCell ref="F11:F12"/>
    <mergeCell ref="Q8:R8"/>
    <mergeCell ref="U8:V8"/>
    <mergeCell ref="H9:J9"/>
    <mergeCell ref="K9:O9"/>
    <mergeCell ref="Q9:R9"/>
    <mergeCell ref="U9:V9"/>
    <mergeCell ref="O11:O12"/>
    <mergeCell ref="AA11:AA12"/>
    <mergeCell ref="AB11:AB12"/>
    <mergeCell ref="Z11:Z12"/>
    <mergeCell ref="Q11:Q12"/>
    <mergeCell ref="R11:R12"/>
    <mergeCell ref="S11:S12"/>
    <mergeCell ref="T11:T12"/>
    <mergeCell ref="U11:U12"/>
    <mergeCell ref="V11:V12"/>
    <mergeCell ref="W11:W12"/>
    <mergeCell ref="X11:X12"/>
    <mergeCell ref="Y11:Y12"/>
    <mergeCell ref="Q6:R6"/>
    <mergeCell ref="U6:V6"/>
    <mergeCell ref="I7:O7"/>
    <mergeCell ref="U7:V7"/>
    <mergeCell ref="A4:N4"/>
    <mergeCell ref="U4:V4"/>
    <mergeCell ref="E5:F5"/>
    <mergeCell ref="H5:O5"/>
    <mergeCell ref="Q5:R5"/>
    <mergeCell ref="U5:V5"/>
    <mergeCell ref="Q1:R2"/>
    <mergeCell ref="U1:V2"/>
    <mergeCell ref="A2:O2"/>
    <mergeCell ref="Q3:R3"/>
    <mergeCell ref="U3:V3"/>
    <mergeCell ref="A1:O1"/>
    <mergeCell ref="T1:T2"/>
    <mergeCell ref="X1:Y2"/>
    <mergeCell ref="X3:Y3"/>
    <mergeCell ref="Q54:Q55"/>
    <mergeCell ref="R54:R55"/>
    <mergeCell ref="S54:S55"/>
    <mergeCell ref="W54:W55"/>
    <mergeCell ref="X54:X55"/>
    <mergeCell ref="Y54:Y55"/>
    <mergeCell ref="Y184:Y185"/>
    <mergeCell ref="T54:T55"/>
    <mergeCell ref="U54:U55"/>
    <mergeCell ref="Y97:Y98"/>
    <mergeCell ref="V54:V55"/>
    <mergeCell ref="Q97:Q98"/>
    <mergeCell ref="R97:R98"/>
    <mergeCell ref="S97:S98"/>
    <mergeCell ref="T97:T98"/>
    <mergeCell ref="U97:U98"/>
    <mergeCell ref="V97:V98"/>
    <mergeCell ref="W97:W98"/>
    <mergeCell ref="X97:X98"/>
    <mergeCell ref="Q140:Q141"/>
    <mergeCell ref="R140:R141"/>
    <mergeCell ref="S140:S141"/>
    <mergeCell ref="T140:T141"/>
    <mergeCell ref="U140:U141"/>
    <mergeCell ref="L190:L193"/>
    <mergeCell ref="M190:M193"/>
    <mergeCell ref="N190:N193"/>
    <mergeCell ref="L143:L144"/>
    <mergeCell ref="M143:M144"/>
    <mergeCell ref="N143:N144"/>
    <mergeCell ref="O142:O155"/>
    <mergeCell ref="A174:O174"/>
    <mergeCell ref="A175:O175"/>
    <mergeCell ref="A177:N177"/>
    <mergeCell ref="E178:F178"/>
    <mergeCell ref="H178:O178"/>
    <mergeCell ref="I180:O180"/>
    <mergeCell ref="G163:K163"/>
    <mergeCell ref="G164:K164"/>
    <mergeCell ref="G165:K165"/>
    <mergeCell ref="G157:K157"/>
    <mergeCell ref="G158:K158"/>
    <mergeCell ref="G159:K159"/>
    <mergeCell ref="G160:K160"/>
    <mergeCell ref="G161:K161"/>
    <mergeCell ref="G162:K162"/>
    <mergeCell ref="K143:K144"/>
    <mergeCell ref="G166:K166"/>
    <mergeCell ref="V140:V141"/>
    <mergeCell ref="W140:W141"/>
    <mergeCell ref="X140:X141"/>
    <mergeCell ref="Y140:Y141"/>
    <mergeCell ref="Z230:Z231"/>
    <mergeCell ref="AA230:AA231"/>
    <mergeCell ref="AB230:AB231"/>
    <mergeCell ref="AC230:AC231"/>
    <mergeCell ref="AD230:AD231"/>
    <mergeCell ref="Y230:Y231"/>
    <mergeCell ref="Q184:Q185"/>
    <mergeCell ref="R184:R185"/>
    <mergeCell ref="S184:S185"/>
    <mergeCell ref="T184:T185"/>
    <mergeCell ref="U184:U185"/>
    <mergeCell ref="V184:V185"/>
    <mergeCell ref="W184:W185"/>
    <mergeCell ref="X184:X185"/>
    <mergeCell ref="Q230:Q231"/>
    <mergeCell ref="R230:R231"/>
    <mergeCell ref="S230:S231"/>
    <mergeCell ref="T230:T231"/>
    <mergeCell ref="U230:U231"/>
    <mergeCell ref="V230:V231"/>
    <mergeCell ref="W230:W231"/>
    <mergeCell ref="X230:X231"/>
    <mergeCell ref="AE140:AE141"/>
    <mergeCell ref="AE184:AE185"/>
    <mergeCell ref="Z184:Z185"/>
    <mergeCell ref="AA184:AA185"/>
    <mergeCell ref="AB184:AB185"/>
    <mergeCell ref="AC184:AC185"/>
    <mergeCell ref="AD184:AD185"/>
    <mergeCell ref="Z54:Z55"/>
    <mergeCell ref="AA54:AA55"/>
    <mergeCell ref="AB54:AB55"/>
    <mergeCell ref="AC54:AC55"/>
    <mergeCell ref="AD54:AD55"/>
    <mergeCell ref="Z97:Z98"/>
    <mergeCell ref="AA97:AA98"/>
    <mergeCell ref="AB97:AB98"/>
    <mergeCell ref="AC97:AC98"/>
    <mergeCell ref="AD97:AD98"/>
    <mergeCell ref="Z140:Z141"/>
    <mergeCell ref="AA140:AA141"/>
    <mergeCell ref="AB140:AB141"/>
    <mergeCell ref="AC140:AC141"/>
    <mergeCell ref="AD140:AD141"/>
    <mergeCell ref="AM1:AM2"/>
    <mergeCell ref="AE230:AE231"/>
    <mergeCell ref="G195:G197"/>
    <mergeCell ref="H195:H197"/>
    <mergeCell ref="I195:I197"/>
    <mergeCell ref="J195:J197"/>
    <mergeCell ref="K195:K197"/>
    <mergeCell ref="L195:L197"/>
    <mergeCell ref="M195:M197"/>
    <mergeCell ref="N195:N197"/>
    <mergeCell ref="O199:O202"/>
    <mergeCell ref="G205:K205"/>
    <mergeCell ref="G206:K206"/>
    <mergeCell ref="G207:K207"/>
    <mergeCell ref="G208:K208"/>
    <mergeCell ref="G209:K209"/>
    <mergeCell ref="O186:O198"/>
    <mergeCell ref="G190:G193"/>
    <mergeCell ref="F224:N224"/>
    <mergeCell ref="F226:G226"/>
    <mergeCell ref="K226:N226"/>
    <mergeCell ref="G228:H228"/>
    <mergeCell ref="AE54:AE55"/>
    <mergeCell ref="AE97:AE98"/>
    <mergeCell ref="AF11:AF12"/>
    <mergeCell ref="AF54:AF55"/>
    <mergeCell ref="AF97:AF98"/>
    <mergeCell ref="AF140:AF141"/>
    <mergeCell ref="AF184:AF185"/>
    <mergeCell ref="AF230:AF231"/>
    <mergeCell ref="AG1:AG2"/>
    <mergeCell ref="AK1:AK2"/>
    <mergeCell ref="AL1:AL2"/>
    <mergeCell ref="AH1:AH2"/>
    <mergeCell ref="AI1:AI2"/>
    <mergeCell ref="AJ1:AJ2"/>
  </mergeCells>
  <printOptions horizontalCentered="1"/>
  <pageMargins left="0.27559055118110237" right="0.23622047244094491" top="0.74803149606299213" bottom="0.55118110236220474" header="0.31496062992125984" footer="0.23622047244094491"/>
  <pageSetup paperSize="8" scale="80" orientation="landscape" r:id="rId1"/>
  <headerFooter>
    <oddFooter>&amp;C&amp;Z&amp;F - &amp;A&amp;RPage &amp;P of &amp;N</oddFooter>
  </headerFooter>
  <rowBreaks count="17" manualBreakCount="17">
    <brk id="42" max="16383" man="1"/>
    <brk id="85" max="16383" man="1"/>
    <brk id="128" max="16383" man="1"/>
    <brk id="172" max="16383" man="1"/>
    <brk id="219" max="31" man="1"/>
    <brk id="261" max="16383" man="1"/>
    <brk id="299" max="16383" man="1"/>
    <brk id="337" max="16383" man="1"/>
    <brk id="375" max="16383" man="1"/>
    <brk id="413" max="16383" man="1"/>
    <brk id="451" max="16383" man="1"/>
    <brk id="489" max="16383" man="1"/>
    <brk id="527" max="16383" man="1"/>
    <brk id="565" max="16383" man="1"/>
    <brk id="603" max="16383" man="1"/>
    <brk id="641" max="16383" man="1"/>
    <brk id="679" max="16383" man="1"/>
  </rowBreaks>
  <colBreaks count="2" manualBreakCount="2">
    <brk id="16" max="260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E2069-5D52-45DB-94B4-4A91352A3263}">
  <sheetPr>
    <tabColor rgb="FF92D050"/>
  </sheetPr>
  <dimension ref="A1:Q82"/>
  <sheetViews>
    <sheetView zoomScaleNormal="100" zoomScaleSheetLayoutView="120" workbookViewId="0">
      <pane xSplit="6" ySplit="1" topLeftCell="G22" activePane="bottomRight" state="frozen"/>
      <selection pane="topRight" activeCell="G1" sqref="G1"/>
      <selection pane="bottomLeft" activeCell="A2" sqref="A2"/>
      <selection pane="bottomRight" activeCell="E37" sqref="A28:XFD39"/>
    </sheetView>
  </sheetViews>
  <sheetFormatPr defaultRowHeight="14.4"/>
  <cols>
    <col min="1" max="7" width="15.6640625" style="136" customWidth="1"/>
    <col min="8" max="8" width="22.5546875" style="129" customWidth="1"/>
    <col min="9" max="9" width="13.33203125" bestFit="1" customWidth="1"/>
    <col min="11" max="11" width="11.88671875" bestFit="1" customWidth="1"/>
    <col min="12" max="12" width="11.88671875" customWidth="1"/>
    <col min="13" max="13" width="14" bestFit="1" customWidth="1"/>
    <col min="14" max="14" width="22" bestFit="1" customWidth="1"/>
    <col min="15" max="15" width="14.88671875" bestFit="1" customWidth="1"/>
    <col min="16" max="16" width="23" bestFit="1" customWidth="1"/>
  </cols>
  <sheetData>
    <row r="1" spans="1:17" s="126" customFormat="1" ht="29.4" thickBot="1">
      <c r="A1" s="125" t="s">
        <v>364</v>
      </c>
      <c r="B1" s="125" t="s">
        <v>366</v>
      </c>
      <c r="C1" s="125" t="s">
        <v>27</v>
      </c>
      <c r="D1" s="125" t="s">
        <v>28</v>
      </c>
      <c r="E1" s="125" t="s">
        <v>29</v>
      </c>
      <c r="F1" s="125" t="s">
        <v>30</v>
      </c>
      <c r="G1" s="125" t="s">
        <v>402</v>
      </c>
      <c r="H1" s="126" t="s">
        <v>498</v>
      </c>
      <c r="K1" s="126" t="s">
        <v>364</v>
      </c>
      <c r="L1" s="126" t="s">
        <v>389</v>
      </c>
      <c r="M1" s="126" t="s">
        <v>385</v>
      </c>
      <c r="N1" s="126" t="s">
        <v>386</v>
      </c>
      <c r="O1" s="126" t="s">
        <v>387</v>
      </c>
      <c r="P1" s="126" t="s">
        <v>388</v>
      </c>
      <c r="Q1" s="126" t="s">
        <v>390</v>
      </c>
    </row>
    <row r="2" spans="1:17" s="112" customFormat="1">
      <c r="A2" s="221" t="s">
        <v>365</v>
      </c>
      <c r="B2" s="149" t="s">
        <v>367</v>
      </c>
      <c r="C2" s="149" t="s">
        <v>334</v>
      </c>
      <c r="D2" s="149" t="s">
        <v>334</v>
      </c>
      <c r="E2" s="149" t="s">
        <v>334</v>
      </c>
      <c r="F2" s="177" t="s">
        <v>334</v>
      </c>
      <c r="G2" s="177" t="s">
        <v>334</v>
      </c>
      <c r="H2" s="126"/>
      <c r="K2" s="112" t="s">
        <v>365</v>
      </c>
      <c r="L2" s="112" t="s">
        <v>334</v>
      </c>
      <c r="M2" s="112" t="s">
        <v>334</v>
      </c>
      <c r="N2" s="112" t="s">
        <v>334</v>
      </c>
      <c r="O2" s="112" t="s">
        <v>334</v>
      </c>
      <c r="P2" s="112" t="s">
        <v>334</v>
      </c>
      <c r="Q2" s="112" t="s">
        <v>334</v>
      </c>
    </row>
    <row r="3" spans="1:17" s="112" customFormat="1">
      <c r="A3" s="222"/>
      <c r="B3" s="150" t="s">
        <v>368</v>
      </c>
      <c r="C3" s="150" t="s">
        <v>334</v>
      </c>
      <c r="D3" s="150" t="s">
        <v>334</v>
      </c>
      <c r="E3" s="150" t="s">
        <v>334</v>
      </c>
      <c r="F3" s="180" t="s">
        <v>334</v>
      </c>
      <c r="G3" s="180" t="s">
        <v>334</v>
      </c>
      <c r="H3" s="126"/>
      <c r="K3" s="112" t="s">
        <v>379</v>
      </c>
      <c r="L3" s="112" t="s">
        <v>334</v>
      </c>
      <c r="M3" s="112" t="s">
        <v>334</v>
      </c>
      <c r="N3" s="112" t="s">
        <v>334</v>
      </c>
      <c r="O3" s="112" t="s">
        <v>334</v>
      </c>
      <c r="P3" s="112" t="s">
        <v>334</v>
      </c>
      <c r="Q3" s="112" t="s">
        <v>334</v>
      </c>
    </row>
    <row r="4" spans="1:17" s="112" customFormat="1">
      <c r="A4" s="222"/>
      <c r="B4" s="150" t="s">
        <v>369</v>
      </c>
      <c r="C4" s="150">
        <v>13</v>
      </c>
      <c r="D4" s="150">
        <v>49</v>
      </c>
      <c r="E4" s="150">
        <v>4517</v>
      </c>
      <c r="F4" s="180">
        <v>39284</v>
      </c>
      <c r="G4" s="181" t="s">
        <v>74</v>
      </c>
      <c r="H4" s="126" t="s">
        <v>499</v>
      </c>
      <c r="K4" s="112" t="s">
        <v>100</v>
      </c>
      <c r="L4" s="112">
        <v>0</v>
      </c>
      <c r="M4" s="112">
        <v>11000</v>
      </c>
      <c r="N4" s="112">
        <v>440</v>
      </c>
      <c r="O4" s="112">
        <f t="shared" ref="O4:P7" si="0">M4</f>
        <v>11000</v>
      </c>
      <c r="P4" s="112">
        <f t="shared" si="0"/>
        <v>440</v>
      </c>
      <c r="Q4" s="112">
        <f>SUM(L4:P4)</f>
        <v>22880</v>
      </c>
    </row>
    <row r="5" spans="1:17" s="112" customFormat="1">
      <c r="A5" s="222"/>
      <c r="B5" s="150" t="s">
        <v>370</v>
      </c>
      <c r="C5" s="150">
        <v>16</v>
      </c>
      <c r="D5" s="150">
        <v>59</v>
      </c>
      <c r="E5" s="150">
        <v>5448</v>
      </c>
      <c r="F5" s="180">
        <v>39304</v>
      </c>
      <c r="G5" s="181" t="s">
        <v>74</v>
      </c>
      <c r="H5" s="126" t="s">
        <v>499</v>
      </c>
      <c r="K5" s="112" t="s">
        <v>114</v>
      </c>
      <c r="L5" s="112">
        <f>Q4</f>
        <v>22880</v>
      </c>
      <c r="M5" s="112">
        <v>24000</v>
      </c>
      <c r="N5" s="112">
        <v>1955</v>
      </c>
      <c r="O5" s="112">
        <f t="shared" si="0"/>
        <v>24000</v>
      </c>
      <c r="P5" s="112">
        <f t="shared" si="0"/>
        <v>1955</v>
      </c>
      <c r="Q5" s="112">
        <f t="shared" ref="Q5:Q7" si="1">SUM(L5:P5)</f>
        <v>74790</v>
      </c>
    </row>
    <row r="6" spans="1:17" s="112" customFormat="1">
      <c r="A6" s="222"/>
      <c r="B6" s="150" t="s">
        <v>371</v>
      </c>
      <c r="C6" s="150">
        <v>20</v>
      </c>
      <c r="D6" s="150">
        <v>74</v>
      </c>
      <c r="E6" s="150">
        <v>7172</v>
      </c>
      <c r="F6" s="180">
        <v>39339</v>
      </c>
      <c r="G6" s="181" t="s">
        <v>74</v>
      </c>
      <c r="H6" s="126" t="s">
        <v>499</v>
      </c>
      <c r="K6" s="112" t="s">
        <v>380</v>
      </c>
      <c r="L6" s="112">
        <f>Q5</f>
        <v>74790</v>
      </c>
      <c r="M6" s="112">
        <v>22833</v>
      </c>
      <c r="N6" s="112">
        <f>(4217+3253)/2</f>
        <v>3735</v>
      </c>
      <c r="O6" s="112">
        <f t="shared" si="0"/>
        <v>22833</v>
      </c>
      <c r="P6" s="112">
        <f t="shared" si="0"/>
        <v>3735</v>
      </c>
      <c r="Q6" s="112">
        <f t="shared" si="1"/>
        <v>127926</v>
      </c>
    </row>
    <row r="7" spans="1:17" s="112" customFormat="1">
      <c r="A7" s="222"/>
      <c r="B7" s="150" t="s">
        <v>372</v>
      </c>
      <c r="C7" s="150">
        <v>23</v>
      </c>
      <c r="D7" s="150">
        <v>86</v>
      </c>
      <c r="E7" s="150">
        <v>8533</v>
      </c>
      <c r="F7" s="180">
        <v>39363</v>
      </c>
      <c r="G7" s="181" t="s">
        <v>74</v>
      </c>
      <c r="H7" s="126" t="s">
        <v>499</v>
      </c>
      <c r="K7" s="112" t="s">
        <v>381</v>
      </c>
      <c r="L7" s="112">
        <f>Q6</f>
        <v>127926</v>
      </c>
      <c r="M7" s="112">
        <v>27521</v>
      </c>
      <c r="N7" s="112">
        <f>12700/2</f>
        <v>6350</v>
      </c>
      <c r="O7" s="112">
        <f t="shared" si="0"/>
        <v>27521</v>
      </c>
      <c r="P7" s="112">
        <f t="shared" si="0"/>
        <v>6350</v>
      </c>
      <c r="Q7" s="112">
        <f t="shared" si="1"/>
        <v>195668</v>
      </c>
    </row>
    <row r="8" spans="1:17" s="112" customFormat="1">
      <c r="A8" s="222"/>
      <c r="B8" s="150" t="s">
        <v>373</v>
      </c>
      <c r="C8" s="150">
        <v>28</v>
      </c>
      <c r="D8" s="150">
        <v>106</v>
      </c>
      <c r="E8" s="150">
        <v>10444</v>
      </c>
      <c r="F8" s="180">
        <v>39392</v>
      </c>
      <c r="G8" s="181" t="s">
        <v>74</v>
      </c>
      <c r="H8" s="126" t="s">
        <v>499</v>
      </c>
    </row>
    <row r="9" spans="1:17" s="112" customFormat="1">
      <c r="A9" s="222"/>
      <c r="B9" s="150" t="s">
        <v>374</v>
      </c>
      <c r="C9" s="150">
        <v>33</v>
      </c>
      <c r="D9" s="150">
        <v>123</v>
      </c>
      <c r="E9" s="150">
        <v>12034</v>
      </c>
      <c r="F9" s="180">
        <v>39431</v>
      </c>
      <c r="G9" s="181" t="s">
        <v>74</v>
      </c>
      <c r="H9" s="126" t="s">
        <v>499</v>
      </c>
    </row>
    <row r="10" spans="1:17" s="112" customFormat="1">
      <c r="A10" s="222"/>
      <c r="B10" s="150" t="s">
        <v>375</v>
      </c>
      <c r="C10" s="150">
        <v>36</v>
      </c>
      <c r="D10" s="150">
        <v>133</v>
      </c>
      <c r="E10" s="150">
        <v>12927</v>
      </c>
      <c r="F10" s="180">
        <v>39454</v>
      </c>
      <c r="G10" s="181" t="s">
        <v>74</v>
      </c>
      <c r="H10" s="126" t="s">
        <v>499</v>
      </c>
    </row>
    <row r="11" spans="1:17" s="112" customFormat="1">
      <c r="A11" s="222"/>
      <c r="B11" s="150" t="s">
        <v>376</v>
      </c>
      <c r="C11" s="150">
        <v>40</v>
      </c>
      <c r="D11" s="150">
        <v>147</v>
      </c>
      <c r="E11" s="150">
        <v>14426</v>
      </c>
      <c r="F11" s="180">
        <v>39493</v>
      </c>
      <c r="G11" s="181" t="s">
        <v>74</v>
      </c>
      <c r="H11" s="126" t="s">
        <v>499</v>
      </c>
    </row>
    <row r="12" spans="1:17" s="112" customFormat="1">
      <c r="A12" s="222"/>
      <c r="B12" s="150" t="s">
        <v>377</v>
      </c>
      <c r="C12" s="150">
        <v>43</v>
      </c>
      <c r="D12" s="150">
        <v>157</v>
      </c>
      <c r="E12" s="150">
        <v>15705</v>
      </c>
      <c r="F12" s="180">
        <v>39521</v>
      </c>
      <c r="G12" s="181" t="s">
        <v>74</v>
      </c>
      <c r="H12" s="126" t="s">
        <v>499</v>
      </c>
    </row>
    <row r="13" spans="1:17" s="112" customFormat="1" ht="15" thickBot="1">
      <c r="A13" s="226"/>
      <c r="B13" s="145" t="s">
        <v>378</v>
      </c>
      <c r="C13" s="150">
        <v>5</v>
      </c>
      <c r="D13" s="150">
        <v>20</v>
      </c>
      <c r="E13" s="150">
        <v>1506</v>
      </c>
      <c r="F13" s="180">
        <v>39571</v>
      </c>
      <c r="G13" s="181" t="s">
        <v>74</v>
      </c>
      <c r="H13" s="126" t="s">
        <v>499</v>
      </c>
      <c r="I13" s="179"/>
    </row>
    <row r="14" spans="1:17" ht="4.95" customHeight="1" thickBot="1">
      <c r="A14" s="1"/>
      <c r="B14" s="1"/>
      <c r="C14" s="1"/>
      <c r="D14" s="1"/>
      <c r="E14" s="1"/>
      <c r="F14" s="22"/>
      <c r="G14" s="22"/>
    </row>
    <row r="15" spans="1:17" s="112" customFormat="1">
      <c r="A15" s="221" t="s">
        <v>379</v>
      </c>
      <c r="B15" s="149" t="s">
        <v>367</v>
      </c>
      <c r="C15" s="149">
        <v>11</v>
      </c>
      <c r="D15" s="149">
        <v>42</v>
      </c>
      <c r="E15" s="149">
        <v>3889</v>
      </c>
      <c r="F15" s="177">
        <v>39618</v>
      </c>
      <c r="G15" s="178" t="s">
        <v>74</v>
      </c>
      <c r="H15" s="126" t="s">
        <v>499</v>
      </c>
      <c r="I15" s="179"/>
    </row>
    <row r="16" spans="1:17" s="112" customFormat="1">
      <c r="A16" s="222"/>
      <c r="B16" s="150" t="s">
        <v>368</v>
      </c>
      <c r="C16" s="150">
        <v>11</v>
      </c>
      <c r="D16" s="150">
        <v>42</v>
      </c>
      <c r="E16" s="150">
        <v>3889</v>
      </c>
      <c r="F16" s="180">
        <v>39618</v>
      </c>
      <c r="G16" s="181" t="s">
        <v>74</v>
      </c>
      <c r="H16" s="126" t="s">
        <v>499</v>
      </c>
    </row>
    <row r="17" spans="1:8" s="112" customFormat="1">
      <c r="A17" s="222"/>
      <c r="B17" s="150" t="s">
        <v>369</v>
      </c>
      <c r="C17" s="150">
        <v>15</v>
      </c>
      <c r="D17" s="150">
        <v>56</v>
      </c>
      <c r="E17" s="150">
        <v>5037</v>
      </c>
      <c r="F17" s="180">
        <v>39644</v>
      </c>
      <c r="G17" s="181" t="s">
        <v>74</v>
      </c>
      <c r="H17" s="126" t="s">
        <v>499</v>
      </c>
    </row>
    <row r="18" spans="1:8" s="112" customFormat="1">
      <c r="A18" s="222"/>
      <c r="B18" s="150" t="s">
        <v>370</v>
      </c>
      <c r="C18" s="150">
        <v>19</v>
      </c>
      <c r="D18" s="150">
        <v>73</v>
      </c>
      <c r="E18" s="150">
        <v>6608</v>
      </c>
      <c r="F18" s="180">
        <v>39674</v>
      </c>
      <c r="G18" s="181" t="s">
        <v>74</v>
      </c>
      <c r="H18" s="126" t="s">
        <v>499</v>
      </c>
    </row>
    <row r="19" spans="1:8" s="112" customFormat="1">
      <c r="A19" s="222"/>
      <c r="B19" s="150" t="s">
        <v>371</v>
      </c>
      <c r="C19" s="150">
        <v>23</v>
      </c>
      <c r="D19" s="150">
        <v>86</v>
      </c>
      <c r="E19" s="150">
        <v>7656</v>
      </c>
      <c r="F19" s="180">
        <v>39699</v>
      </c>
      <c r="G19" s="181" t="s">
        <v>74</v>
      </c>
      <c r="H19" s="126" t="s">
        <v>499</v>
      </c>
    </row>
    <row r="20" spans="1:8" s="112" customFormat="1">
      <c r="A20" s="222"/>
      <c r="B20" s="150" t="s">
        <v>372</v>
      </c>
      <c r="C20" s="150">
        <v>27</v>
      </c>
      <c r="D20" s="150">
        <v>103</v>
      </c>
      <c r="E20" s="150">
        <v>8926</v>
      </c>
      <c r="F20" s="180">
        <v>39727</v>
      </c>
      <c r="G20" s="181" t="s">
        <v>74</v>
      </c>
      <c r="H20" s="126" t="s">
        <v>499</v>
      </c>
    </row>
    <row r="21" spans="1:8" s="112" customFormat="1">
      <c r="A21" s="222"/>
      <c r="B21" s="150" t="s">
        <v>373</v>
      </c>
      <c r="C21" s="150">
        <v>33</v>
      </c>
      <c r="D21" s="150">
        <v>127</v>
      </c>
      <c r="E21" s="150">
        <v>11249</v>
      </c>
      <c r="F21" s="180">
        <v>39758</v>
      </c>
      <c r="G21" s="181" t="s">
        <v>74</v>
      </c>
      <c r="H21" s="126" t="s">
        <v>499</v>
      </c>
    </row>
    <row r="22" spans="1:8" s="112" customFormat="1">
      <c r="A22" s="222"/>
      <c r="B22" s="150" t="s">
        <v>374</v>
      </c>
      <c r="C22" s="150">
        <v>37</v>
      </c>
      <c r="D22" s="150">
        <v>144</v>
      </c>
      <c r="E22" s="150">
        <v>12796</v>
      </c>
      <c r="F22" s="180">
        <v>39797</v>
      </c>
      <c r="G22" s="181" t="s">
        <v>74</v>
      </c>
      <c r="H22" s="126" t="s">
        <v>499</v>
      </c>
    </row>
    <row r="23" spans="1:8" s="112" customFormat="1">
      <c r="A23" s="222"/>
      <c r="B23" s="150" t="s">
        <v>375</v>
      </c>
      <c r="C23" s="150">
        <v>40</v>
      </c>
      <c r="D23" s="150">
        <v>157</v>
      </c>
      <c r="E23" s="150">
        <v>13891</v>
      </c>
      <c r="F23" s="180">
        <v>39820</v>
      </c>
      <c r="G23" s="181" t="s">
        <v>74</v>
      </c>
      <c r="H23" s="126" t="s">
        <v>499</v>
      </c>
    </row>
    <row r="24" spans="1:8" s="112" customFormat="1">
      <c r="A24" s="222"/>
      <c r="B24" s="150" t="s">
        <v>376</v>
      </c>
      <c r="C24" s="150">
        <v>44</v>
      </c>
      <c r="D24" s="150">
        <v>174</v>
      </c>
      <c r="E24" s="150">
        <v>15394</v>
      </c>
      <c r="F24" s="180">
        <v>39853</v>
      </c>
      <c r="G24" s="181" t="s">
        <v>74</v>
      </c>
      <c r="H24" s="126" t="s">
        <v>499</v>
      </c>
    </row>
    <row r="25" spans="1:8" s="112" customFormat="1">
      <c r="A25" s="222"/>
      <c r="B25" s="150" t="s">
        <v>377</v>
      </c>
      <c r="C25" s="150">
        <v>50</v>
      </c>
      <c r="D25" s="150">
        <v>193</v>
      </c>
      <c r="E25" s="150">
        <v>17102</v>
      </c>
      <c r="F25" s="180">
        <v>39892</v>
      </c>
      <c r="G25" s="181" t="s">
        <v>74</v>
      </c>
      <c r="H25" s="126" t="s">
        <v>499</v>
      </c>
    </row>
    <row r="26" spans="1:8" s="112" customFormat="1" ht="15" thickBot="1">
      <c r="A26" s="226"/>
      <c r="B26" s="145" t="s">
        <v>378</v>
      </c>
      <c r="C26" s="145">
        <v>3</v>
      </c>
      <c r="D26" s="145">
        <v>3</v>
      </c>
      <c r="E26" s="145">
        <v>108</v>
      </c>
      <c r="F26" s="182">
        <v>39905</v>
      </c>
      <c r="G26" s="183" t="s">
        <v>98</v>
      </c>
      <c r="H26" s="126" t="s">
        <v>499</v>
      </c>
    </row>
    <row r="27" spans="1:8" ht="4.95" customHeight="1" thickBot="1">
      <c r="A27" s="1"/>
      <c r="B27" s="1"/>
      <c r="C27" s="1"/>
      <c r="D27" s="1"/>
      <c r="E27" s="1"/>
      <c r="F27" s="22"/>
      <c r="G27" s="22"/>
    </row>
    <row r="28" spans="1:8" s="112" customFormat="1">
      <c r="A28" s="221" t="s">
        <v>100</v>
      </c>
      <c r="B28" s="149" t="s">
        <v>367</v>
      </c>
      <c r="C28" s="149">
        <v>16</v>
      </c>
      <c r="D28" s="149">
        <v>16</v>
      </c>
      <c r="E28" s="149">
        <v>1332</v>
      </c>
      <c r="F28" s="177">
        <v>39933</v>
      </c>
      <c r="G28" s="178" t="s">
        <v>98</v>
      </c>
      <c r="H28" s="126" t="s">
        <v>499</v>
      </c>
    </row>
    <row r="29" spans="1:8" s="112" customFormat="1">
      <c r="A29" s="222"/>
      <c r="B29" s="150" t="s">
        <v>368</v>
      </c>
      <c r="C29" s="150">
        <v>27</v>
      </c>
      <c r="D29" s="150">
        <v>27</v>
      </c>
      <c r="E29" s="150">
        <v>2533</v>
      </c>
      <c r="F29" s="180">
        <v>39963</v>
      </c>
      <c r="G29" s="181" t="s">
        <v>98</v>
      </c>
      <c r="H29" s="126" t="s">
        <v>499</v>
      </c>
    </row>
    <row r="30" spans="1:8" s="112" customFormat="1">
      <c r="A30" s="222"/>
      <c r="B30" s="150" t="s">
        <v>369</v>
      </c>
      <c r="C30" s="150">
        <v>41</v>
      </c>
      <c r="D30" s="150">
        <v>41</v>
      </c>
      <c r="E30" s="150">
        <v>3884</v>
      </c>
      <c r="F30" s="180">
        <v>39994</v>
      </c>
      <c r="G30" s="181" t="s">
        <v>98</v>
      </c>
      <c r="H30" s="126" t="s">
        <v>499</v>
      </c>
    </row>
    <row r="31" spans="1:8" s="112" customFormat="1">
      <c r="A31" s="222"/>
      <c r="B31" s="150" t="s">
        <v>370</v>
      </c>
      <c r="C31" s="150">
        <v>54</v>
      </c>
      <c r="D31" s="150">
        <v>54</v>
      </c>
      <c r="E31" s="150">
        <v>5107</v>
      </c>
      <c r="F31" s="180">
        <v>40024</v>
      </c>
      <c r="G31" s="181" t="s">
        <v>98</v>
      </c>
      <c r="H31" s="126" t="s">
        <v>499</v>
      </c>
    </row>
    <row r="32" spans="1:8" s="112" customFormat="1">
      <c r="A32" s="222"/>
      <c r="B32" s="150" t="s">
        <v>371</v>
      </c>
      <c r="C32" s="150">
        <v>66</v>
      </c>
      <c r="D32" s="150">
        <v>66</v>
      </c>
      <c r="E32" s="150">
        <v>6316</v>
      </c>
      <c r="F32" s="180">
        <v>40056</v>
      </c>
      <c r="G32" s="181" t="s">
        <v>98</v>
      </c>
      <c r="H32" s="126" t="s">
        <v>499</v>
      </c>
    </row>
    <row r="33" spans="1:8" s="112" customFormat="1">
      <c r="A33" s="222"/>
      <c r="B33" s="150" t="s">
        <v>372</v>
      </c>
      <c r="C33" s="150">
        <v>80</v>
      </c>
      <c r="D33" s="150">
        <v>80</v>
      </c>
      <c r="E33" s="150">
        <v>7971</v>
      </c>
      <c r="F33" s="180">
        <v>40086</v>
      </c>
      <c r="G33" s="181" t="s">
        <v>98</v>
      </c>
      <c r="H33" s="126" t="s">
        <v>499</v>
      </c>
    </row>
    <row r="34" spans="1:8" s="112" customFormat="1">
      <c r="A34" s="222"/>
      <c r="B34" s="150" t="s">
        <v>373</v>
      </c>
      <c r="C34" s="150">
        <v>94</v>
      </c>
      <c r="D34" s="150">
        <v>94</v>
      </c>
      <c r="E34" s="150">
        <v>9495</v>
      </c>
      <c r="F34" s="180">
        <v>40117</v>
      </c>
      <c r="G34" s="181" t="s">
        <v>98</v>
      </c>
      <c r="H34" s="126" t="s">
        <v>499</v>
      </c>
    </row>
    <row r="35" spans="1:8" s="112" customFormat="1">
      <c r="A35" s="222"/>
      <c r="B35" s="150" t="s">
        <v>374</v>
      </c>
      <c r="C35" s="150">
        <v>105</v>
      </c>
      <c r="D35" s="150">
        <v>105</v>
      </c>
      <c r="E35" s="150">
        <v>10642</v>
      </c>
      <c r="F35" s="180">
        <v>40147</v>
      </c>
      <c r="G35" s="181" t="s">
        <v>98</v>
      </c>
      <c r="H35" s="126" t="s">
        <v>499</v>
      </c>
    </row>
    <row r="36" spans="1:8" s="112" customFormat="1">
      <c r="A36" s="222"/>
      <c r="B36" s="150" t="s">
        <v>375</v>
      </c>
      <c r="C36" s="150">
        <v>114</v>
      </c>
      <c r="D36" s="150">
        <v>114</v>
      </c>
      <c r="E36" s="150">
        <v>11497</v>
      </c>
      <c r="F36" s="180">
        <v>40178</v>
      </c>
      <c r="G36" s="181" t="s">
        <v>98</v>
      </c>
      <c r="H36" s="126" t="s">
        <v>499</v>
      </c>
    </row>
    <row r="37" spans="1:8" s="112" customFormat="1">
      <c r="A37" s="222"/>
      <c r="B37" s="150" t="s">
        <v>376</v>
      </c>
      <c r="C37" s="150">
        <v>126</v>
      </c>
      <c r="D37" s="150">
        <v>126</v>
      </c>
      <c r="E37" s="150">
        <v>12695</v>
      </c>
      <c r="F37" s="180">
        <v>40208</v>
      </c>
      <c r="G37" s="181" t="s">
        <v>98</v>
      </c>
      <c r="H37" s="126" t="s">
        <v>499</v>
      </c>
    </row>
    <row r="38" spans="1:8" s="112" customFormat="1">
      <c r="A38" s="222"/>
      <c r="B38" s="150" t="s">
        <v>377</v>
      </c>
      <c r="C38" s="150">
        <v>135</v>
      </c>
      <c r="D38" s="150">
        <v>135</v>
      </c>
      <c r="E38" s="150">
        <v>13705</v>
      </c>
      <c r="F38" s="180">
        <v>40235</v>
      </c>
      <c r="G38" s="181" t="s">
        <v>98</v>
      </c>
      <c r="H38" s="126" t="s">
        <v>499</v>
      </c>
    </row>
    <row r="39" spans="1:8" s="112" customFormat="1" ht="15" thickBot="1">
      <c r="A39" s="226"/>
      <c r="B39" s="145" t="s">
        <v>378</v>
      </c>
      <c r="C39" s="145">
        <v>3</v>
      </c>
      <c r="D39" s="145">
        <v>3</v>
      </c>
      <c r="E39" s="145">
        <v>108</v>
      </c>
      <c r="F39" s="182">
        <v>40271</v>
      </c>
      <c r="G39" s="183" t="s">
        <v>98</v>
      </c>
      <c r="H39" s="126" t="s">
        <v>499</v>
      </c>
    </row>
    <row r="40" spans="1:8" ht="4.95" customHeight="1" thickBot="1">
      <c r="A40" s="1"/>
      <c r="B40" s="1"/>
      <c r="C40" s="1"/>
      <c r="D40" s="1"/>
      <c r="E40" s="1"/>
      <c r="F40" s="22"/>
      <c r="G40" s="22"/>
    </row>
    <row r="41" spans="1:8">
      <c r="A41" s="221" t="s">
        <v>114</v>
      </c>
      <c r="B41" s="149" t="s">
        <v>367</v>
      </c>
      <c r="C41" s="149">
        <v>11</v>
      </c>
      <c r="D41" s="149">
        <v>11</v>
      </c>
      <c r="E41" s="149">
        <v>1034</v>
      </c>
      <c r="F41" s="177">
        <v>40298</v>
      </c>
      <c r="G41" s="178" t="s">
        <v>98</v>
      </c>
      <c r="H41" s="126"/>
    </row>
    <row r="42" spans="1:8">
      <c r="A42" s="222"/>
      <c r="B42" s="150" t="s">
        <v>368</v>
      </c>
      <c r="C42" s="150">
        <v>15</v>
      </c>
      <c r="D42" s="150">
        <v>15</v>
      </c>
      <c r="E42" s="150">
        <v>1377</v>
      </c>
      <c r="F42" s="180">
        <v>40309</v>
      </c>
      <c r="G42" s="181" t="s">
        <v>74</v>
      </c>
      <c r="H42" s="126" t="s">
        <v>499</v>
      </c>
    </row>
    <row r="43" spans="1:8">
      <c r="A43" s="222"/>
      <c r="B43" s="150" t="s">
        <v>368</v>
      </c>
      <c r="C43" s="150">
        <v>20</v>
      </c>
      <c r="D43" s="150">
        <v>20</v>
      </c>
      <c r="E43" s="150">
        <v>1949</v>
      </c>
      <c r="F43" s="180">
        <v>40329</v>
      </c>
      <c r="G43" s="181" t="s">
        <v>98</v>
      </c>
      <c r="H43" s="126" t="s">
        <v>499</v>
      </c>
    </row>
    <row r="44" spans="1:8">
      <c r="A44" s="222"/>
      <c r="B44" s="150" t="s">
        <v>369</v>
      </c>
      <c r="C44" s="150">
        <v>30</v>
      </c>
      <c r="D44" s="150">
        <v>30</v>
      </c>
      <c r="E44" s="150">
        <v>3147</v>
      </c>
      <c r="F44" s="180">
        <v>40359</v>
      </c>
      <c r="G44" s="181" t="s">
        <v>98</v>
      </c>
      <c r="H44" s="126" t="s">
        <v>499</v>
      </c>
    </row>
    <row r="45" spans="1:8">
      <c r="A45" s="222"/>
      <c r="B45" s="150" t="s">
        <v>370</v>
      </c>
      <c r="C45" s="150">
        <v>43</v>
      </c>
      <c r="D45" s="150">
        <v>43</v>
      </c>
      <c r="E45" s="150">
        <v>4558</v>
      </c>
      <c r="F45" s="180">
        <v>40390</v>
      </c>
      <c r="G45" s="181" t="s">
        <v>98</v>
      </c>
      <c r="H45" s="126" t="s">
        <v>499</v>
      </c>
    </row>
    <row r="46" spans="1:8">
      <c r="A46" s="222"/>
      <c r="B46" s="150" t="s">
        <v>371</v>
      </c>
      <c r="C46" s="150">
        <v>53</v>
      </c>
      <c r="D46" s="150">
        <v>53</v>
      </c>
      <c r="E46" s="150">
        <v>5687</v>
      </c>
      <c r="F46" s="180">
        <v>40421</v>
      </c>
      <c r="G46" s="181" t="s">
        <v>98</v>
      </c>
      <c r="H46" s="126" t="s">
        <v>499</v>
      </c>
    </row>
    <row r="47" spans="1:8">
      <c r="A47" s="222"/>
      <c r="B47" s="150" t="s">
        <v>372</v>
      </c>
      <c r="C47" s="150">
        <v>64</v>
      </c>
      <c r="D47" s="150">
        <v>64</v>
      </c>
      <c r="E47" s="150">
        <v>6963</v>
      </c>
      <c r="F47" s="180">
        <v>40451</v>
      </c>
      <c r="G47" s="181" t="s">
        <v>98</v>
      </c>
      <c r="H47" s="126" t="s">
        <v>499</v>
      </c>
    </row>
    <row r="48" spans="1:8">
      <c r="A48" s="222"/>
      <c r="B48" s="150" t="s">
        <v>373</v>
      </c>
      <c r="C48" s="150">
        <v>80</v>
      </c>
      <c r="D48" s="150">
        <v>80</v>
      </c>
      <c r="E48" s="150">
        <v>8605</v>
      </c>
      <c r="F48" s="180">
        <v>40480</v>
      </c>
      <c r="G48" s="181" t="s">
        <v>98</v>
      </c>
      <c r="H48" s="126" t="s">
        <v>499</v>
      </c>
    </row>
    <row r="49" spans="1:9">
      <c r="A49" s="222"/>
      <c r="B49" s="150" t="s">
        <v>374</v>
      </c>
      <c r="C49" s="150">
        <v>93</v>
      </c>
      <c r="D49" s="150">
        <v>93</v>
      </c>
      <c r="E49" s="150">
        <v>10157</v>
      </c>
      <c r="F49" s="180">
        <v>40511</v>
      </c>
      <c r="G49" s="181" t="s">
        <v>98</v>
      </c>
      <c r="H49" s="126" t="s">
        <v>499</v>
      </c>
    </row>
    <row r="50" spans="1:9">
      <c r="A50" s="222"/>
      <c r="B50" s="150" t="s">
        <v>375</v>
      </c>
      <c r="C50" s="150">
        <v>105</v>
      </c>
      <c r="D50" s="150">
        <v>105</v>
      </c>
      <c r="E50" s="150">
        <v>11337</v>
      </c>
      <c r="F50" s="180">
        <v>40543</v>
      </c>
      <c r="G50" s="181" t="s">
        <v>98</v>
      </c>
      <c r="H50" s="126" t="s">
        <v>499</v>
      </c>
    </row>
    <row r="51" spans="1:9">
      <c r="A51" s="222"/>
      <c r="B51" s="150" t="s">
        <v>376</v>
      </c>
      <c r="C51" s="150">
        <v>116</v>
      </c>
      <c r="D51" s="150">
        <v>116</v>
      </c>
      <c r="E51" s="150">
        <v>12446</v>
      </c>
      <c r="F51" s="180">
        <v>40572</v>
      </c>
      <c r="G51" s="181" t="s">
        <v>98</v>
      </c>
      <c r="H51" s="126" t="s">
        <v>499</v>
      </c>
    </row>
    <row r="52" spans="1:9">
      <c r="A52" s="222"/>
      <c r="B52" s="150" t="s">
        <v>377</v>
      </c>
      <c r="C52" s="150">
        <v>126</v>
      </c>
      <c r="D52" s="150">
        <v>126</v>
      </c>
      <c r="E52" s="150">
        <v>13501</v>
      </c>
      <c r="F52" s="180">
        <v>40602</v>
      </c>
      <c r="G52" s="181" t="s">
        <v>98</v>
      </c>
      <c r="H52" s="126" t="s">
        <v>499</v>
      </c>
    </row>
    <row r="53" spans="1:9" ht="15" thickBot="1">
      <c r="A53" s="226"/>
      <c r="B53" s="145" t="s">
        <v>378</v>
      </c>
      <c r="C53" s="145">
        <v>3</v>
      </c>
      <c r="D53" s="145">
        <v>3</v>
      </c>
      <c r="E53" s="145">
        <v>105</v>
      </c>
      <c r="F53" s="182">
        <v>40635</v>
      </c>
      <c r="G53" s="183" t="s">
        <v>98</v>
      </c>
      <c r="H53" s="126" t="s">
        <v>499</v>
      </c>
    </row>
    <row r="54" spans="1:9" ht="4.95" customHeight="1" thickBot="1">
      <c r="A54" s="1"/>
      <c r="B54" s="1"/>
      <c r="C54" s="1"/>
      <c r="D54" s="1"/>
      <c r="E54" s="1"/>
      <c r="F54" s="22"/>
      <c r="G54" s="22"/>
    </row>
    <row r="55" spans="1:9">
      <c r="A55" s="295" t="s">
        <v>380</v>
      </c>
      <c r="B55" s="149" t="s">
        <v>367</v>
      </c>
      <c r="C55" s="149">
        <v>14</v>
      </c>
      <c r="D55" s="149">
        <v>14</v>
      </c>
      <c r="E55" s="149">
        <v>962</v>
      </c>
      <c r="F55" s="177">
        <v>40663</v>
      </c>
      <c r="G55" s="178" t="s">
        <v>98</v>
      </c>
      <c r="H55" s="126" t="s">
        <v>499</v>
      </c>
    </row>
    <row r="56" spans="1:9">
      <c r="A56" s="296"/>
      <c r="B56" s="150" t="s">
        <v>368</v>
      </c>
      <c r="C56" s="150">
        <v>29</v>
      </c>
      <c r="D56" s="150">
        <v>29</v>
      </c>
      <c r="E56" s="150">
        <v>2568</v>
      </c>
      <c r="F56" s="180">
        <v>40693</v>
      </c>
      <c r="G56" s="180" t="s">
        <v>98</v>
      </c>
      <c r="H56" s="126" t="s">
        <v>499</v>
      </c>
    </row>
    <row r="57" spans="1:9">
      <c r="A57" s="296"/>
      <c r="B57" s="150" t="s">
        <v>369</v>
      </c>
      <c r="C57" s="150">
        <v>39</v>
      </c>
      <c r="D57" s="150">
        <v>39</v>
      </c>
      <c r="E57" s="150">
        <v>3682</v>
      </c>
      <c r="F57" s="180">
        <v>40723</v>
      </c>
      <c r="G57" s="180" t="s">
        <v>98</v>
      </c>
      <c r="H57" s="126" t="s">
        <v>499</v>
      </c>
    </row>
    <row r="58" spans="1:9">
      <c r="A58" s="296"/>
      <c r="B58" s="150" t="s">
        <v>370</v>
      </c>
      <c r="C58" s="150">
        <v>51</v>
      </c>
      <c r="D58" s="150">
        <v>51</v>
      </c>
      <c r="E58" s="150">
        <v>4827</v>
      </c>
      <c r="F58" s="180">
        <v>40754</v>
      </c>
      <c r="G58" s="180" t="s">
        <v>98</v>
      </c>
      <c r="H58" s="126" t="s">
        <v>499</v>
      </c>
    </row>
    <row r="59" spans="1:9">
      <c r="A59" s="296"/>
      <c r="B59" s="290" t="s">
        <v>371</v>
      </c>
      <c r="C59" s="150">
        <v>60</v>
      </c>
      <c r="D59" s="150">
        <v>60</v>
      </c>
      <c r="E59" s="150">
        <v>5778</v>
      </c>
      <c r="F59" s="180">
        <v>40780</v>
      </c>
      <c r="G59" s="180" t="s">
        <v>74</v>
      </c>
      <c r="H59" s="126" t="s">
        <v>499</v>
      </c>
    </row>
    <row r="60" spans="1:9">
      <c r="A60" s="296"/>
      <c r="B60" s="291"/>
      <c r="C60" s="150">
        <v>64</v>
      </c>
      <c r="D60" s="150">
        <v>64</v>
      </c>
      <c r="E60" s="150">
        <v>9096</v>
      </c>
      <c r="F60" s="180">
        <v>40785</v>
      </c>
      <c r="G60" s="180" t="s">
        <v>98</v>
      </c>
      <c r="H60" s="126" t="s">
        <v>499</v>
      </c>
      <c r="I60" s="129" t="s">
        <v>503</v>
      </c>
    </row>
    <row r="61" spans="1:9">
      <c r="A61" s="296"/>
      <c r="B61" s="131" t="s">
        <v>372</v>
      </c>
      <c r="C61" s="131">
        <v>77</v>
      </c>
      <c r="D61" s="131">
        <v>77</v>
      </c>
      <c r="E61" s="131">
        <v>7357</v>
      </c>
      <c r="F61" s="132">
        <v>40816</v>
      </c>
      <c r="G61" s="132" t="s">
        <v>98</v>
      </c>
      <c r="H61" s="129" t="s">
        <v>499</v>
      </c>
    </row>
    <row r="62" spans="1:9">
      <c r="A62" s="296"/>
      <c r="B62" s="292" t="s">
        <v>373</v>
      </c>
      <c r="C62" s="131">
        <v>82</v>
      </c>
      <c r="D62" s="131">
        <v>82</v>
      </c>
      <c r="E62" s="131">
        <v>7996</v>
      </c>
      <c r="F62" s="132">
        <v>40827</v>
      </c>
      <c r="G62" s="132" t="s">
        <v>74</v>
      </c>
      <c r="H62" s="129" t="s">
        <v>499</v>
      </c>
    </row>
    <row r="63" spans="1:9">
      <c r="A63" s="296"/>
      <c r="B63" s="293"/>
      <c r="C63" s="131">
        <v>82</v>
      </c>
      <c r="D63" s="131">
        <v>82</v>
      </c>
      <c r="E63" s="131">
        <v>7997</v>
      </c>
      <c r="F63" s="132">
        <v>40827</v>
      </c>
      <c r="G63" s="132" t="s">
        <v>74</v>
      </c>
      <c r="H63" s="129" t="s">
        <v>499</v>
      </c>
    </row>
    <row r="64" spans="1:9">
      <c r="A64" s="296"/>
      <c r="B64" s="294"/>
      <c r="C64" s="131">
        <v>89</v>
      </c>
      <c r="D64" s="131">
        <v>89</v>
      </c>
      <c r="E64" s="131">
        <v>8648</v>
      </c>
      <c r="F64" s="132">
        <v>40833</v>
      </c>
      <c r="G64" s="132" t="s">
        <v>98</v>
      </c>
      <c r="H64" s="129" t="s">
        <v>499</v>
      </c>
    </row>
    <row r="65" spans="1:8">
      <c r="A65" s="296"/>
      <c r="B65" s="131" t="s">
        <v>374</v>
      </c>
      <c r="C65" s="131">
        <v>107</v>
      </c>
      <c r="D65" s="131">
        <v>107</v>
      </c>
      <c r="E65" s="131">
        <v>10873</v>
      </c>
      <c r="F65" s="132">
        <v>40877</v>
      </c>
      <c r="G65" s="132" t="s">
        <v>98</v>
      </c>
      <c r="H65" s="129" t="s">
        <v>499</v>
      </c>
    </row>
    <row r="66" spans="1:8">
      <c r="A66" s="296"/>
      <c r="B66" s="131" t="s">
        <v>375</v>
      </c>
      <c r="C66" s="131">
        <v>119</v>
      </c>
      <c r="D66" s="131">
        <v>119</v>
      </c>
      <c r="E66" s="131">
        <v>12224</v>
      </c>
      <c r="F66" s="132">
        <v>40907</v>
      </c>
      <c r="G66" s="132" t="s">
        <v>98</v>
      </c>
      <c r="H66" s="129" t="s">
        <v>499</v>
      </c>
    </row>
    <row r="67" spans="1:8">
      <c r="A67" s="296"/>
      <c r="B67" s="131" t="s">
        <v>376</v>
      </c>
      <c r="C67" s="131">
        <v>131</v>
      </c>
      <c r="D67" s="131">
        <v>131</v>
      </c>
      <c r="E67" s="131">
        <v>13549</v>
      </c>
      <c r="F67" s="132">
        <v>40939</v>
      </c>
      <c r="G67" s="132" t="s">
        <v>98</v>
      </c>
      <c r="H67" s="129" t="s">
        <v>499</v>
      </c>
    </row>
    <row r="68" spans="1:8">
      <c r="A68" s="296"/>
      <c r="B68" s="131" t="s">
        <v>377</v>
      </c>
      <c r="C68" s="131">
        <v>140</v>
      </c>
      <c r="D68" s="131">
        <v>140</v>
      </c>
      <c r="E68" s="131">
        <v>14518</v>
      </c>
      <c r="F68" s="132">
        <v>40968</v>
      </c>
      <c r="G68" s="132" t="s">
        <v>98</v>
      </c>
      <c r="H68" s="129" t="s">
        <v>499</v>
      </c>
    </row>
    <row r="69" spans="1:8" ht="15" thickBot="1">
      <c r="A69" s="297"/>
      <c r="B69" s="134" t="s">
        <v>378</v>
      </c>
      <c r="C69" s="134">
        <v>3</v>
      </c>
      <c r="D69" s="134">
        <v>3</v>
      </c>
      <c r="E69" s="134">
        <v>102</v>
      </c>
      <c r="F69" s="135">
        <v>41002</v>
      </c>
      <c r="G69" s="135" t="s">
        <v>98</v>
      </c>
      <c r="H69" s="129" t="s">
        <v>499</v>
      </c>
    </row>
    <row r="70" spans="1:8" ht="4.95" customHeight="1" thickBot="1">
      <c r="A70" s="1"/>
      <c r="B70" s="1"/>
      <c r="C70" s="1"/>
      <c r="D70" s="1"/>
      <c r="E70" s="1"/>
      <c r="F70" s="22"/>
      <c r="G70" s="22"/>
    </row>
    <row r="71" spans="1:8">
      <c r="A71" s="295" t="s">
        <v>381</v>
      </c>
      <c r="B71" s="127" t="s">
        <v>367</v>
      </c>
      <c r="C71" s="127">
        <v>10</v>
      </c>
      <c r="D71" s="127">
        <v>10</v>
      </c>
      <c r="E71" s="127">
        <v>722</v>
      </c>
      <c r="F71" s="128">
        <v>41029</v>
      </c>
      <c r="G71" s="128" t="s">
        <v>98</v>
      </c>
      <c r="H71" s="129" t="s">
        <v>499</v>
      </c>
    </row>
    <row r="72" spans="1:8">
      <c r="A72" s="296"/>
      <c r="B72" s="131" t="s">
        <v>368</v>
      </c>
      <c r="C72" s="131">
        <v>22</v>
      </c>
      <c r="D72" s="131">
        <v>22</v>
      </c>
      <c r="E72" s="131">
        <v>1899</v>
      </c>
      <c r="F72" s="132">
        <v>41060</v>
      </c>
      <c r="G72" s="132" t="s">
        <v>98</v>
      </c>
      <c r="H72" s="129" t="s">
        <v>499</v>
      </c>
    </row>
    <row r="73" spans="1:8">
      <c r="A73" s="296"/>
      <c r="B73" s="131" t="s">
        <v>369</v>
      </c>
      <c r="C73" s="131">
        <v>33</v>
      </c>
      <c r="D73" s="131">
        <v>33</v>
      </c>
      <c r="E73" s="131">
        <v>2982</v>
      </c>
      <c r="F73" s="132">
        <v>41089</v>
      </c>
      <c r="G73" s="132" t="s">
        <v>98</v>
      </c>
      <c r="H73" s="129" t="s">
        <v>499</v>
      </c>
    </row>
    <row r="74" spans="1:8">
      <c r="A74" s="296"/>
      <c r="B74" s="131" t="s">
        <v>370</v>
      </c>
      <c r="C74" s="131">
        <v>45</v>
      </c>
      <c r="D74" s="131">
        <v>45</v>
      </c>
      <c r="E74" s="131">
        <v>4223</v>
      </c>
      <c r="F74" s="132">
        <v>41121</v>
      </c>
      <c r="G74" s="132" t="s">
        <v>98</v>
      </c>
      <c r="H74" s="129" t="s">
        <v>499</v>
      </c>
    </row>
    <row r="75" spans="1:8">
      <c r="A75" s="296"/>
      <c r="B75" s="131" t="s">
        <v>371</v>
      </c>
      <c r="C75" s="131">
        <v>56</v>
      </c>
      <c r="D75" s="131">
        <v>56</v>
      </c>
      <c r="E75" s="131">
        <v>5376</v>
      </c>
      <c r="F75" s="132">
        <v>41152</v>
      </c>
      <c r="G75" s="132" t="s">
        <v>98</v>
      </c>
      <c r="H75" s="129" t="s">
        <v>499</v>
      </c>
    </row>
    <row r="76" spans="1:8">
      <c r="A76" s="296"/>
      <c r="B76" s="131" t="s">
        <v>372</v>
      </c>
      <c r="C76" s="131">
        <v>71</v>
      </c>
      <c r="D76" s="131">
        <v>71</v>
      </c>
      <c r="E76" s="131">
        <v>6900</v>
      </c>
      <c r="F76" s="132">
        <v>41180</v>
      </c>
      <c r="G76" s="132" t="s">
        <v>98</v>
      </c>
      <c r="H76" s="129" t="s">
        <v>499</v>
      </c>
    </row>
    <row r="77" spans="1:8">
      <c r="A77" s="296"/>
      <c r="B77" s="131" t="s">
        <v>373</v>
      </c>
      <c r="C77" s="131">
        <v>84</v>
      </c>
      <c r="D77" s="131">
        <v>84</v>
      </c>
      <c r="E77" s="131">
        <v>8159</v>
      </c>
      <c r="F77" s="132">
        <v>41213</v>
      </c>
      <c r="G77" s="132" t="s">
        <v>98</v>
      </c>
      <c r="H77" s="129" t="s">
        <v>499</v>
      </c>
    </row>
    <row r="78" spans="1:8">
      <c r="A78" s="296"/>
      <c r="B78" s="131" t="s">
        <v>374</v>
      </c>
      <c r="C78" s="131">
        <v>102</v>
      </c>
      <c r="D78" s="131">
        <v>102</v>
      </c>
      <c r="E78" s="131">
        <v>10227</v>
      </c>
      <c r="F78" s="132" t="s">
        <v>339</v>
      </c>
      <c r="G78" s="132" t="s">
        <v>98</v>
      </c>
      <c r="H78" s="129" t="s">
        <v>499</v>
      </c>
    </row>
    <row r="79" spans="1:8">
      <c r="A79" s="296"/>
      <c r="B79" s="131" t="s">
        <v>375</v>
      </c>
      <c r="C79" s="131">
        <v>112</v>
      </c>
      <c r="D79" s="131">
        <v>112</v>
      </c>
      <c r="E79" s="131">
        <v>11282</v>
      </c>
      <c r="F79" s="132">
        <v>41274</v>
      </c>
      <c r="G79" s="132" t="s">
        <v>98</v>
      </c>
      <c r="H79" s="129" t="s">
        <v>499</v>
      </c>
    </row>
    <row r="80" spans="1:8">
      <c r="A80" s="296"/>
      <c r="B80" s="131" t="s">
        <v>376</v>
      </c>
      <c r="C80" s="131">
        <v>124</v>
      </c>
      <c r="D80" s="131">
        <v>124</v>
      </c>
      <c r="E80" s="131">
        <v>12589</v>
      </c>
      <c r="F80" s="132">
        <v>41305</v>
      </c>
      <c r="G80" s="132" t="s">
        <v>98</v>
      </c>
      <c r="H80" s="129" t="s">
        <v>499</v>
      </c>
    </row>
    <row r="81" spans="1:7">
      <c r="A81" s="296"/>
      <c r="B81" s="131" t="s">
        <v>377</v>
      </c>
      <c r="C81" s="131" t="s">
        <v>334</v>
      </c>
      <c r="D81" s="131" t="s">
        <v>334</v>
      </c>
      <c r="E81" s="131" t="s">
        <v>334</v>
      </c>
      <c r="F81" s="71" t="s">
        <v>334</v>
      </c>
      <c r="G81" s="71" t="s">
        <v>334</v>
      </c>
    </row>
    <row r="82" spans="1:7" ht="15" thickBot="1">
      <c r="A82" s="297"/>
      <c r="B82" s="134" t="s">
        <v>378</v>
      </c>
      <c r="C82" s="134" t="s">
        <v>334</v>
      </c>
      <c r="D82" s="134" t="s">
        <v>334</v>
      </c>
      <c r="E82" s="134" t="s">
        <v>334</v>
      </c>
      <c r="F82" s="72" t="s">
        <v>334</v>
      </c>
      <c r="G82" s="72" t="s">
        <v>334</v>
      </c>
    </row>
  </sheetData>
  <mergeCells count="8">
    <mergeCell ref="B59:B60"/>
    <mergeCell ref="B62:B64"/>
    <mergeCell ref="A71:A82"/>
    <mergeCell ref="A2:A13"/>
    <mergeCell ref="A15:A26"/>
    <mergeCell ref="A28:A39"/>
    <mergeCell ref="A41:A53"/>
    <mergeCell ref="A55:A69"/>
  </mergeCells>
  <printOptions horizontalCentered="1"/>
  <pageMargins left="0.15748031496062992" right="0.15748031496062992" top="0.62" bottom="0.45" header="0.31496062992125984" footer="0.17"/>
  <pageSetup paperSize="5" scale="79" orientation="portrait" r:id="rId1"/>
  <headerFooter>
    <oddFooter>&amp;C&amp;Z&amp;F - &amp;A&amp;RPage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B79BC-285E-436E-9B9E-82EDDB5C2A54}">
  <sheetPr>
    <tabColor rgb="FF92D050"/>
  </sheetPr>
  <dimension ref="A1:V39"/>
  <sheetViews>
    <sheetView zoomScale="80" zoomScaleNormal="80" zoomScaleSheetLayoutView="80" workbookViewId="0">
      <pane xSplit="11" ySplit="3" topLeftCell="L13" activePane="bottomRight" state="frozen"/>
      <selection pane="topRight" activeCell="L1" sqref="L1"/>
      <selection pane="bottomLeft" activeCell="A4" sqref="A4"/>
      <selection pane="bottomRight" activeCell="M37" sqref="A37:XFD37"/>
    </sheetView>
  </sheetViews>
  <sheetFormatPr defaultRowHeight="14.4"/>
  <cols>
    <col min="1" max="23" width="12.6640625" customWidth="1"/>
  </cols>
  <sheetData>
    <row r="1" spans="1:22" ht="18" thickBot="1">
      <c r="A1" s="193" t="s">
        <v>400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5"/>
    </row>
    <row r="2" spans="1:22" ht="18" customHeight="1" thickBot="1">
      <c r="A2" s="196" t="s">
        <v>399</v>
      </c>
      <c r="B2" s="197"/>
      <c r="C2" s="197"/>
      <c r="D2" s="198"/>
      <c r="E2" s="199" t="s">
        <v>395</v>
      </c>
      <c r="F2" s="200"/>
      <c r="G2" s="199" t="s">
        <v>396</v>
      </c>
      <c r="H2" s="201"/>
      <c r="I2" s="201"/>
      <c r="J2" s="201"/>
      <c r="K2" s="200"/>
      <c r="L2" s="199" t="s">
        <v>397</v>
      </c>
      <c r="M2" s="201"/>
      <c r="N2" s="201"/>
      <c r="O2" s="201"/>
      <c r="P2" s="200"/>
      <c r="Q2" s="199" t="s">
        <v>398</v>
      </c>
      <c r="R2" s="201"/>
      <c r="S2" s="201"/>
      <c r="T2" s="201"/>
      <c r="U2" s="200"/>
    </row>
    <row r="3" spans="1:22" ht="18" thickBot="1">
      <c r="A3" s="87" t="s">
        <v>27</v>
      </c>
      <c r="B3" s="87" t="s">
        <v>28</v>
      </c>
      <c r="C3" s="87" t="s">
        <v>29</v>
      </c>
      <c r="D3" s="87" t="s">
        <v>30</v>
      </c>
      <c r="E3" s="87" t="s">
        <v>393</v>
      </c>
      <c r="F3" s="87" t="s">
        <v>394</v>
      </c>
      <c r="G3" s="87" t="s">
        <v>21</v>
      </c>
      <c r="H3" s="87" t="s">
        <v>391</v>
      </c>
      <c r="I3" s="87" t="s">
        <v>23</v>
      </c>
      <c r="J3" s="87" t="s">
        <v>24</v>
      </c>
      <c r="K3" s="87" t="s">
        <v>392</v>
      </c>
      <c r="L3" s="87" t="s">
        <v>21</v>
      </c>
      <c r="M3" s="87" t="s">
        <v>391</v>
      </c>
      <c r="N3" s="87" t="s">
        <v>23</v>
      </c>
      <c r="O3" s="87" t="s">
        <v>24</v>
      </c>
      <c r="P3" s="87" t="s">
        <v>392</v>
      </c>
      <c r="Q3" s="87" t="s">
        <v>21</v>
      </c>
      <c r="R3" s="87" t="s">
        <v>391</v>
      </c>
      <c r="S3" s="87" t="s">
        <v>23</v>
      </c>
      <c r="T3" s="87" t="s">
        <v>24</v>
      </c>
      <c r="U3" s="153" t="s">
        <v>392</v>
      </c>
    </row>
    <row r="4" spans="1:22" s="112" customFormat="1" ht="17.399999999999999">
      <c r="A4" s="160">
        <v>15</v>
      </c>
      <c r="B4" s="161">
        <v>15</v>
      </c>
      <c r="C4" s="161">
        <v>1377</v>
      </c>
      <c r="D4" s="162">
        <v>40309</v>
      </c>
      <c r="E4" s="163">
        <v>39239</v>
      </c>
      <c r="F4" s="162">
        <v>39263</v>
      </c>
      <c r="G4" s="160">
        <v>0</v>
      </c>
      <c r="H4" s="161">
        <v>0</v>
      </c>
      <c r="I4" s="161">
        <v>0</v>
      </c>
      <c r="J4" s="161">
        <f t="shared" ref="J4:J24" si="0">G4+H4+I4</f>
        <v>0</v>
      </c>
      <c r="K4" s="164">
        <f t="shared" ref="K4:K24" si="1">ROUND(J4*10%,0)</f>
        <v>0</v>
      </c>
      <c r="L4" s="160">
        <v>3600</v>
      </c>
      <c r="M4" s="161">
        <v>1800</v>
      </c>
      <c r="N4" s="161">
        <v>1890</v>
      </c>
      <c r="O4" s="161">
        <f t="shared" ref="O4:O26" si="2">L4+M4+N4</f>
        <v>7290</v>
      </c>
      <c r="P4" s="164">
        <f t="shared" ref="P4:P26" si="3">ROUND(O4*10%,0)</f>
        <v>729</v>
      </c>
      <c r="Q4" s="160">
        <f t="shared" ref="Q4:T24" si="4">L4-G4</f>
        <v>3600</v>
      </c>
      <c r="R4" s="161">
        <f t="shared" si="4"/>
        <v>1800</v>
      </c>
      <c r="S4" s="161">
        <f t="shared" si="4"/>
        <v>1890</v>
      </c>
      <c r="T4" s="161">
        <f t="shared" si="4"/>
        <v>7290</v>
      </c>
      <c r="U4" s="165">
        <f t="shared" ref="U4:U26" si="5">T4*10%</f>
        <v>729</v>
      </c>
      <c r="V4" s="166">
        <f t="shared" ref="V4:V13" si="6">K4-P4</f>
        <v>-729</v>
      </c>
    </row>
    <row r="5" spans="1:22" s="112" customFormat="1" ht="17.399999999999999">
      <c r="A5" s="167">
        <v>15</v>
      </c>
      <c r="B5" s="168">
        <v>15</v>
      </c>
      <c r="C5" s="168">
        <v>1377</v>
      </c>
      <c r="D5" s="169">
        <v>40309</v>
      </c>
      <c r="E5" s="170">
        <v>39264</v>
      </c>
      <c r="F5" s="169">
        <v>39294</v>
      </c>
      <c r="G5" s="167">
        <v>0</v>
      </c>
      <c r="H5" s="168">
        <v>0</v>
      </c>
      <c r="I5" s="168">
        <v>0</v>
      </c>
      <c r="J5" s="168">
        <f t="shared" si="0"/>
        <v>0</v>
      </c>
      <c r="K5" s="171">
        <f t="shared" si="1"/>
        <v>0</v>
      </c>
      <c r="L5" s="167">
        <v>4500</v>
      </c>
      <c r="M5" s="168">
        <v>2250</v>
      </c>
      <c r="N5" s="168">
        <v>2768</v>
      </c>
      <c r="O5" s="168">
        <f t="shared" si="2"/>
        <v>9518</v>
      </c>
      <c r="P5" s="171">
        <f t="shared" si="3"/>
        <v>952</v>
      </c>
      <c r="Q5" s="167">
        <f t="shared" si="4"/>
        <v>4500</v>
      </c>
      <c r="R5" s="168">
        <f t="shared" si="4"/>
        <v>2250</v>
      </c>
      <c r="S5" s="168">
        <f t="shared" si="4"/>
        <v>2768</v>
      </c>
      <c r="T5" s="168">
        <f t="shared" si="4"/>
        <v>9518</v>
      </c>
      <c r="U5" s="172">
        <f t="shared" si="5"/>
        <v>951.80000000000007</v>
      </c>
      <c r="V5" s="166">
        <f t="shared" si="6"/>
        <v>-952</v>
      </c>
    </row>
    <row r="6" spans="1:22" s="112" customFormat="1" ht="17.399999999999999">
      <c r="A6" s="167">
        <v>15</v>
      </c>
      <c r="B6" s="168">
        <v>15</v>
      </c>
      <c r="C6" s="168">
        <v>1377</v>
      </c>
      <c r="D6" s="169">
        <v>40309</v>
      </c>
      <c r="E6" s="170">
        <v>39295</v>
      </c>
      <c r="F6" s="169">
        <v>39325</v>
      </c>
      <c r="G6" s="167">
        <v>0</v>
      </c>
      <c r="H6" s="168">
        <v>0</v>
      </c>
      <c r="I6" s="168">
        <v>0</v>
      </c>
      <c r="J6" s="168">
        <f t="shared" si="0"/>
        <v>0</v>
      </c>
      <c r="K6" s="171">
        <f t="shared" si="1"/>
        <v>0</v>
      </c>
      <c r="L6" s="167">
        <v>4500</v>
      </c>
      <c r="M6" s="168">
        <v>2250</v>
      </c>
      <c r="N6" s="168">
        <v>2768</v>
      </c>
      <c r="O6" s="168">
        <f t="shared" si="2"/>
        <v>9518</v>
      </c>
      <c r="P6" s="171">
        <f t="shared" si="3"/>
        <v>952</v>
      </c>
      <c r="Q6" s="167">
        <f t="shared" si="4"/>
        <v>4500</v>
      </c>
      <c r="R6" s="168">
        <f t="shared" si="4"/>
        <v>2250</v>
      </c>
      <c r="S6" s="168">
        <f t="shared" si="4"/>
        <v>2768</v>
      </c>
      <c r="T6" s="168">
        <f t="shared" si="4"/>
        <v>9518</v>
      </c>
      <c r="U6" s="172">
        <f t="shared" si="5"/>
        <v>951.80000000000007</v>
      </c>
      <c r="V6" s="166">
        <f t="shared" si="6"/>
        <v>-952</v>
      </c>
    </row>
    <row r="7" spans="1:22" s="112" customFormat="1" ht="17.399999999999999">
      <c r="A7" s="167">
        <v>15</v>
      </c>
      <c r="B7" s="168">
        <v>15</v>
      </c>
      <c r="C7" s="168">
        <v>1377</v>
      </c>
      <c r="D7" s="169">
        <v>40309</v>
      </c>
      <c r="E7" s="170">
        <v>39326</v>
      </c>
      <c r="F7" s="169">
        <v>39355</v>
      </c>
      <c r="G7" s="167">
        <v>0</v>
      </c>
      <c r="H7" s="168">
        <v>0</v>
      </c>
      <c r="I7" s="168">
        <v>0</v>
      </c>
      <c r="J7" s="168">
        <f t="shared" si="0"/>
        <v>0</v>
      </c>
      <c r="K7" s="171">
        <f t="shared" si="1"/>
        <v>0</v>
      </c>
      <c r="L7" s="167">
        <v>4500</v>
      </c>
      <c r="M7" s="168">
        <v>2250</v>
      </c>
      <c r="N7" s="168">
        <v>2768</v>
      </c>
      <c r="O7" s="168">
        <f t="shared" si="2"/>
        <v>9518</v>
      </c>
      <c r="P7" s="171">
        <f t="shared" si="3"/>
        <v>952</v>
      </c>
      <c r="Q7" s="167">
        <f t="shared" si="4"/>
        <v>4500</v>
      </c>
      <c r="R7" s="168">
        <f t="shared" si="4"/>
        <v>2250</v>
      </c>
      <c r="S7" s="168">
        <f t="shared" si="4"/>
        <v>2768</v>
      </c>
      <c r="T7" s="168">
        <f t="shared" si="4"/>
        <v>9518</v>
      </c>
      <c r="U7" s="172">
        <f t="shared" si="5"/>
        <v>951.80000000000007</v>
      </c>
      <c r="V7" s="166">
        <f t="shared" si="6"/>
        <v>-952</v>
      </c>
    </row>
    <row r="8" spans="1:22" s="112" customFormat="1" ht="17.399999999999999">
      <c r="A8" s="167">
        <v>15</v>
      </c>
      <c r="B8" s="168">
        <v>15</v>
      </c>
      <c r="C8" s="168">
        <v>1377</v>
      </c>
      <c r="D8" s="169">
        <v>40309</v>
      </c>
      <c r="E8" s="170">
        <v>39356</v>
      </c>
      <c r="F8" s="169">
        <v>39386</v>
      </c>
      <c r="G8" s="167">
        <v>0</v>
      </c>
      <c r="H8" s="168">
        <v>0</v>
      </c>
      <c r="I8" s="168">
        <v>0</v>
      </c>
      <c r="J8" s="168">
        <f t="shared" si="0"/>
        <v>0</v>
      </c>
      <c r="K8" s="171">
        <f t="shared" si="1"/>
        <v>0</v>
      </c>
      <c r="L8" s="167">
        <v>4500</v>
      </c>
      <c r="M8" s="168">
        <v>2250</v>
      </c>
      <c r="N8" s="168">
        <v>2768</v>
      </c>
      <c r="O8" s="168">
        <f t="shared" si="2"/>
        <v>9518</v>
      </c>
      <c r="P8" s="171">
        <f t="shared" si="3"/>
        <v>952</v>
      </c>
      <c r="Q8" s="167">
        <f t="shared" si="4"/>
        <v>4500</v>
      </c>
      <c r="R8" s="168">
        <f t="shared" si="4"/>
        <v>2250</v>
      </c>
      <c r="S8" s="168">
        <f t="shared" si="4"/>
        <v>2768</v>
      </c>
      <c r="T8" s="168">
        <f t="shared" si="4"/>
        <v>9518</v>
      </c>
      <c r="U8" s="172">
        <f t="shared" si="5"/>
        <v>951.80000000000007</v>
      </c>
      <c r="V8" s="166">
        <f t="shared" si="6"/>
        <v>-952</v>
      </c>
    </row>
    <row r="9" spans="1:22" s="112" customFormat="1" ht="17.399999999999999">
      <c r="A9" s="167">
        <v>15</v>
      </c>
      <c r="B9" s="168">
        <v>15</v>
      </c>
      <c r="C9" s="168">
        <v>1377</v>
      </c>
      <c r="D9" s="169">
        <v>40309</v>
      </c>
      <c r="E9" s="170">
        <v>39387</v>
      </c>
      <c r="F9" s="169">
        <v>39416</v>
      </c>
      <c r="G9" s="167">
        <v>0</v>
      </c>
      <c r="H9" s="168">
        <v>0</v>
      </c>
      <c r="I9" s="168">
        <v>0</v>
      </c>
      <c r="J9" s="168">
        <f t="shared" si="0"/>
        <v>0</v>
      </c>
      <c r="K9" s="171">
        <f t="shared" si="1"/>
        <v>0</v>
      </c>
      <c r="L9" s="167">
        <v>4500</v>
      </c>
      <c r="M9" s="168">
        <v>2250</v>
      </c>
      <c r="N9" s="168">
        <v>2768</v>
      </c>
      <c r="O9" s="168">
        <f t="shared" si="2"/>
        <v>9518</v>
      </c>
      <c r="P9" s="171">
        <f t="shared" si="3"/>
        <v>952</v>
      </c>
      <c r="Q9" s="167">
        <f t="shared" si="4"/>
        <v>4500</v>
      </c>
      <c r="R9" s="168">
        <f t="shared" si="4"/>
        <v>2250</v>
      </c>
      <c r="S9" s="168">
        <f t="shared" si="4"/>
        <v>2768</v>
      </c>
      <c r="T9" s="168">
        <f t="shared" si="4"/>
        <v>9518</v>
      </c>
      <c r="U9" s="172">
        <f t="shared" si="5"/>
        <v>951.80000000000007</v>
      </c>
      <c r="V9" s="166">
        <f t="shared" si="6"/>
        <v>-952</v>
      </c>
    </row>
    <row r="10" spans="1:22" s="112" customFormat="1" ht="17.399999999999999">
      <c r="A10" s="167">
        <v>15</v>
      </c>
      <c r="B10" s="168">
        <v>15</v>
      </c>
      <c r="C10" s="168">
        <v>1377</v>
      </c>
      <c r="D10" s="169">
        <v>40309</v>
      </c>
      <c r="E10" s="170">
        <v>39417</v>
      </c>
      <c r="F10" s="169">
        <v>39447</v>
      </c>
      <c r="G10" s="167">
        <v>0</v>
      </c>
      <c r="H10" s="168">
        <v>0</v>
      </c>
      <c r="I10" s="168">
        <v>0</v>
      </c>
      <c r="J10" s="168">
        <f t="shared" si="0"/>
        <v>0</v>
      </c>
      <c r="K10" s="171">
        <f t="shared" si="1"/>
        <v>0</v>
      </c>
      <c r="L10" s="167">
        <v>4500</v>
      </c>
      <c r="M10" s="168">
        <v>2250</v>
      </c>
      <c r="N10" s="168">
        <v>2768</v>
      </c>
      <c r="O10" s="168">
        <f t="shared" si="2"/>
        <v>9518</v>
      </c>
      <c r="P10" s="171">
        <f t="shared" si="3"/>
        <v>952</v>
      </c>
      <c r="Q10" s="167">
        <f t="shared" si="4"/>
        <v>4500</v>
      </c>
      <c r="R10" s="168">
        <f t="shared" si="4"/>
        <v>2250</v>
      </c>
      <c r="S10" s="168">
        <f t="shared" si="4"/>
        <v>2768</v>
      </c>
      <c r="T10" s="168">
        <f t="shared" si="4"/>
        <v>9518</v>
      </c>
      <c r="U10" s="172">
        <f t="shared" si="5"/>
        <v>951.80000000000007</v>
      </c>
      <c r="V10" s="166">
        <f t="shared" si="6"/>
        <v>-952</v>
      </c>
    </row>
    <row r="11" spans="1:22" s="112" customFormat="1" ht="17.399999999999999">
      <c r="A11" s="167">
        <v>15</v>
      </c>
      <c r="B11" s="168">
        <v>15</v>
      </c>
      <c r="C11" s="168">
        <v>1377</v>
      </c>
      <c r="D11" s="169">
        <v>40309</v>
      </c>
      <c r="E11" s="170">
        <v>39448</v>
      </c>
      <c r="F11" s="169">
        <v>39113</v>
      </c>
      <c r="G11" s="167">
        <v>0</v>
      </c>
      <c r="H11" s="168">
        <v>0</v>
      </c>
      <c r="I11" s="168">
        <v>0</v>
      </c>
      <c r="J11" s="168">
        <f t="shared" si="0"/>
        <v>0</v>
      </c>
      <c r="K11" s="171">
        <f t="shared" si="1"/>
        <v>0</v>
      </c>
      <c r="L11" s="167">
        <v>4500</v>
      </c>
      <c r="M11" s="168">
        <v>2250</v>
      </c>
      <c r="N11" s="168">
        <v>3173</v>
      </c>
      <c r="O11" s="168">
        <f t="shared" si="2"/>
        <v>9923</v>
      </c>
      <c r="P11" s="171">
        <f t="shared" si="3"/>
        <v>992</v>
      </c>
      <c r="Q11" s="167">
        <f t="shared" si="4"/>
        <v>4500</v>
      </c>
      <c r="R11" s="168">
        <f t="shared" si="4"/>
        <v>2250</v>
      </c>
      <c r="S11" s="168">
        <f t="shared" si="4"/>
        <v>3173</v>
      </c>
      <c r="T11" s="168">
        <f t="shared" si="4"/>
        <v>9923</v>
      </c>
      <c r="U11" s="172">
        <f t="shared" si="5"/>
        <v>992.30000000000007</v>
      </c>
      <c r="V11" s="166">
        <f t="shared" si="6"/>
        <v>-992</v>
      </c>
    </row>
    <row r="12" spans="1:22" s="112" customFormat="1" ht="17.399999999999999">
      <c r="A12" s="167">
        <v>15</v>
      </c>
      <c r="B12" s="168">
        <v>15</v>
      </c>
      <c r="C12" s="168">
        <v>1377</v>
      </c>
      <c r="D12" s="169">
        <v>40309</v>
      </c>
      <c r="E12" s="170">
        <v>39479</v>
      </c>
      <c r="F12" s="169">
        <v>39506</v>
      </c>
      <c r="G12" s="167">
        <v>0</v>
      </c>
      <c r="H12" s="168">
        <v>0</v>
      </c>
      <c r="I12" s="168">
        <v>0</v>
      </c>
      <c r="J12" s="168">
        <f t="shared" si="0"/>
        <v>0</v>
      </c>
      <c r="K12" s="171">
        <f t="shared" si="1"/>
        <v>0</v>
      </c>
      <c r="L12" s="167">
        <v>4500</v>
      </c>
      <c r="M12" s="168">
        <v>2250</v>
      </c>
      <c r="N12" s="168">
        <v>3173</v>
      </c>
      <c r="O12" s="168">
        <f t="shared" si="2"/>
        <v>9923</v>
      </c>
      <c r="P12" s="171">
        <f t="shared" si="3"/>
        <v>992</v>
      </c>
      <c r="Q12" s="167">
        <f t="shared" si="4"/>
        <v>4500</v>
      </c>
      <c r="R12" s="168">
        <f t="shared" si="4"/>
        <v>2250</v>
      </c>
      <c r="S12" s="168">
        <f t="shared" si="4"/>
        <v>3173</v>
      </c>
      <c r="T12" s="168">
        <f t="shared" si="4"/>
        <v>9923</v>
      </c>
      <c r="U12" s="172">
        <f t="shared" si="5"/>
        <v>992.30000000000007</v>
      </c>
      <c r="V12" s="166">
        <f t="shared" si="6"/>
        <v>-992</v>
      </c>
    </row>
    <row r="13" spans="1:22" s="112" customFormat="1" ht="18" thickBot="1">
      <c r="A13" s="173">
        <v>15</v>
      </c>
      <c r="B13" s="113">
        <v>15</v>
      </c>
      <c r="C13" s="113">
        <v>1377</v>
      </c>
      <c r="D13" s="174">
        <v>40309</v>
      </c>
      <c r="E13" s="151">
        <v>39508</v>
      </c>
      <c r="F13" s="174">
        <v>39538</v>
      </c>
      <c r="G13" s="173">
        <v>0</v>
      </c>
      <c r="H13" s="113">
        <v>0</v>
      </c>
      <c r="I13" s="113">
        <v>0</v>
      </c>
      <c r="J13" s="113">
        <f t="shared" si="0"/>
        <v>0</v>
      </c>
      <c r="K13" s="175">
        <f t="shared" si="1"/>
        <v>0</v>
      </c>
      <c r="L13" s="173">
        <v>4500</v>
      </c>
      <c r="M13" s="113">
        <v>2250</v>
      </c>
      <c r="N13" s="113">
        <v>3173</v>
      </c>
      <c r="O13" s="113">
        <f t="shared" si="2"/>
        <v>9923</v>
      </c>
      <c r="P13" s="175">
        <f t="shared" si="3"/>
        <v>992</v>
      </c>
      <c r="Q13" s="173">
        <f t="shared" si="4"/>
        <v>4500</v>
      </c>
      <c r="R13" s="113">
        <f t="shared" si="4"/>
        <v>2250</v>
      </c>
      <c r="S13" s="113">
        <f t="shared" si="4"/>
        <v>3173</v>
      </c>
      <c r="T13" s="113">
        <f t="shared" si="4"/>
        <v>9923</v>
      </c>
      <c r="U13" s="156">
        <f t="shared" si="5"/>
        <v>992.30000000000007</v>
      </c>
      <c r="V13" s="166">
        <f t="shared" si="6"/>
        <v>-992</v>
      </c>
    </row>
    <row r="14" spans="1:22" ht="4.95" customHeight="1" thickBot="1">
      <c r="A14" s="106"/>
      <c r="B14" s="107"/>
      <c r="C14" s="107"/>
      <c r="D14" s="108"/>
      <c r="E14" s="108"/>
      <c r="F14" s="108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58"/>
    </row>
    <row r="15" spans="1:22" s="112" customFormat="1" ht="17.399999999999999">
      <c r="A15" s="160">
        <v>15</v>
      </c>
      <c r="B15" s="161">
        <v>15</v>
      </c>
      <c r="C15" s="161">
        <v>1377</v>
      </c>
      <c r="D15" s="162">
        <v>40309</v>
      </c>
      <c r="E15" s="163">
        <v>39539</v>
      </c>
      <c r="F15" s="162">
        <v>39568</v>
      </c>
      <c r="G15" s="160">
        <v>0</v>
      </c>
      <c r="H15" s="161">
        <v>0</v>
      </c>
      <c r="I15" s="161">
        <v>0</v>
      </c>
      <c r="J15" s="161">
        <f t="shared" si="0"/>
        <v>0</v>
      </c>
      <c r="K15" s="164">
        <f t="shared" si="1"/>
        <v>0</v>
      </c>
      <c r="L15" s="160">
        <v>4500</v>
      </c>
      <c r="M15" s="161">
        <v>2250</v>
      </c>
      <c r="N15" s="161">
        <v>3173</v>
      </c>
      <c r="O15" s="161">
        <f t="shared" si="2"/>
        <v>9923</v>
      </c>
      <c r="P15" s="164">
        <f t="shared" si="3"/>
        <v>992</v>
      </c>
      <c r="Q15" s="160">
        <f t="shared" si="4"/>
        <v>4500</v>
      </c>
      <c r="R15" s="161">
        <f t="shared" si="4"/>
        <v>2250</v>
      </c>
      <c r="S15" s="161">
        <f t="shared" si="4"/>
        <v>3173</v>
      </c>
      <c r="T15" s="161">
        <f t="shared" si="4"/>
        <v>9923</v>
      </c>
      <c r="U15" s="165">
        <f t="shared" si="5"/>
        <v>992.30000000000007</v>
      </c>
      <c r="V15" s="166">
        <f t="shared" ref="V15:V24" si="7">K15-P15</f>
        <v>-992</v>
      </c>
    </row>
    <row r="16" spans="1:22" s="112" customFormat="1" ht="17.399999999999999">
      <c r="A16" s="167">
        <v>15</v>
      </c>
      <c r="B16" s="168">
        <v>15</v>
      </c>
      <c r="C16" s="168">
        <v>1377</v>
      </c>
      <c r="D16" s="169">
        <v>40309</v>
      </c>
      <c r="E16" s="170">
        <v>39569</v>
      </c>
      <c r="F16" s="169">
        <v>39599</v>
      </c>
      <c r="G16" s="167">
        <v>0</v>
      </c>
      <c r="H16" s="168">
        <v>0</v>
      </c>
      <c r="I16" s="168">
        <v>0</v>
      </c>
      <c r="J16" s="168">
        <f t="shared" si="0"/>
        <v>0</v>
      </c>
      <c r="K16" s="171">
        <f t="shared" si="1"/>
        <v>0</v>
      </c>
      <c r="L16" s="167">
        <v>4500</v>
      </c>
      <c r="M16" s="168">
        <v>2250</v>
      </c>
      <c r="N16" s="168">
        <v>3173</v>
      </c>
      <c r="O16" s="168">
        <f t="shared" si="2"/>
        <v>9923</v>
      </c>
      <c r="P16" s="171">
        <f t="shared" si="3"/>
        <v>992</v>
      </c>
      <c r="Q16" s="167">
        <f t="shared" si="4"/>
        <v>4500</v>
      </c>
      <c r="R16" s="168">
        <f t="shared" si="4"/>
        <v>2250</v>
      </c>
      <c r="S16" s="168">
        <f t="shared" si="4"/>
        <v>3173</v>
      </c>
      <c r="T16" s="168">
        <f t="shared" si="4"/>
        <v>9923</v>
      </c>
      <c r="U16" s="172">
        <f t="shared" si="5"/>
        <v>992.30000000000007</v>
      </c>
      <c r="V16" s="166">
        <f t="shared" si="7"/>
        <v>-992</v>
      </c>
    </row>
    <row r="17" spans="1:22" s="112" customFormat="1" ht="17.399999999999999">
      <c r="A17" s="167">
        <v>15</v>
      </c>
      <c r="B17" s="168">
        <v>15</v>
      </c>
      <c r="C17" s="168">
        <v>1377</v>
      </c>
      <c r="D17" s="169">
        <v>40309</v>
      </c>
      <c r="E17" s="170">
        <v>39600</v>
      </c>
      <c r="F17" s="169">
        <v>39629</v>
      </c>
      <c r="G17" s="167">
        <v>0</v>
      </c>
      <c r="H17" s="168">
        <v>0</v>
      </c>
      <c r="I17" s="168">
        <v>0</v>
      </c>
      <c r="J17" s="168">
        <f t="shared" si="0"/>
        <v>0</v>
      </c>
      <c r="K17" s="171">
        <f t="shared" si="1"/>
        <v>0</v>
      </c>
      <c r="L17" s="167">
        <v>4625</v>
      </c>
      <c r="M17" s="168">
        <v>2313</v>
      </c>
      <c r="N17" s="168">
        <v>3261</v>
      </c>
      <c r="O17" s="168">
        <f t="shared" si="2"/>
        <v>10199</v>
      </c>
      <c r="P17" s="171">
        <f t="shared" si="3"/>
        <v>1020</v>
      </c>
      <c r="Q17" s="167">
        <f t="shared" si="4"/>
        <v>4625</v>
      </c>
      <c r="R17" s="168">
        <f t="shared" si="4"/>
        <v>2313</v>
      </c>
      <c r="S17" s="168">
        <f t="shared" si="4"/>
        <v>3261</v>
      </c>
      <c r="T17" s="168">
        <f t="shared" si="4"/>
        <v>10199</v>
      </c>
      <c r="U17" s="172">
        <f t="shared" si="5"/>
        <v>1019.9000000000001</v>
      </c>
      <c r="V17" s="166">
        <f t="shared" si="7"/>
        <v>-1020</v>
      </c>
    </row>
    <row r="18" spans="1:22" s="112" customFormat="1" ht="17.399999999999999">
      <c r="A18" s="167">
        <v>15</v>
      </c>
      <c r="B18" s="168">
        <v>15</v>
      </c>
      <c r="C18" s="168">
        <v>1377</v>
      </c>
      <c r="D18" s="169">
        <v>40309</v>
      </c>
      <c r="E18" s="170">
        <v>39630</v>
      </c>
      <c r="F18" s="169">
        <v>39660</v>
      </c>
      <c r="G18" s="167">
        <v>0</v>
      </c>
      <c r="H18" s="168">
        <v>0</v>
      </c>
      <c r="I18" s="168">
        <v>0</v>
      </c>
      <c r="J18" s="168">
        <f t="shared" si="0"/>
        <v>0</v>
      </c>
      <c r="K18" s="171">
        <f t="shared" si="1"/>
        <v>0</v>
      </c>
      <c r="L18" s="167">
        <v>4625</v>
      </c>
      <c r="M18" s="168">
        <v>2313</v>
      </c>
      <c r="N18" s="168">
        <v>3747</v>
      </c>
      <c r="O18" s="168">
        <f t="shared" si="2"/>
        <v>10685</v>
      </c>
      <c r="P18" s="171">
        <f t="shared" si="3"/>
        <v>1069</v>
      </c>
      <c r="Q18" s="167">
        <f t="shared" si="4"/>
        <v>4625</v>
      </c>
      <c r="R18" s="168">
        <f t="shared" si="4"/>
        <v>2313</v>
      </c>
      <c r="S18" s="168">
        <f t="shared" si="4"/>
        <v>3747</v>
      </c>
      <c r="T18" s="168">
        <f t="shared" si="4"/>
        <v>10685</v>
      </c>
      <c r="U18" s="172">
        <f t="shared" si="5"/>
        <v>1068.5</v>
      </c>
      <c r="V18" s="166">
        <f t="shared" si="7"/>
        <v>-1069</v>
      </c>
    </row>
    <row r="19" spans="1:22" s="112" customFormat="1" ht="17.399999999999999">
      <c r="A19" s="167">
        <v>15</v>
      </c>
      <c r="B19" s="168">
        <v>15</v>
      </c>
      <c r="C19" s="168">
        <v>1377</v>
      </c>
      <c r="D19" s="169">
        <v>40309</v>
      </c>
      <c r="E19" s="170">
        <v>39661</v>
      </c>
      <c r="F19" s="169">
        <v>39691</v>
      </c>
      <c r="G19" s="167">
        <v>0</v>
      </c>
      <c r="H19" s="168">
        <v>0</v>
      </c>
      <c r="I19" s="168">
        <v>0</v>
      </c>
      <c r="J19" s="168">
        <f t="shared" si="0"/>
        <v>0</v>
      </c>
      <c r="K19" s="171">
        <f t="shared" si="1"/>
        <v>0</v>
      </c>
      <c r="L19" s="167">
        <v>4625</v>
      </c>
      <c r="M19" s="168">
        <v>2313</v>
      </c>
      <c r="N19" s="168">
        <v>3747</v>
      </c>
      <c r="O19" s="168">
        <f t="shared" si="2"/>
        <v>10685</v>
      </c>
      <c r="P19" s="171">
        <f t="shared" si="3"/>
        <v>1069</v>
      </c>
      <c r="Q19" s="167">
        <f t="shared" si="4"/>
        <v>4625</v>
      </c>
      <c r="R19" s="168">
        <f t="shared" si="4"/>
        <v>2313</v>
      </c>
      <c r="S19" s="168">
        <f t="shared" si="4"/>
        <v>3747</v>
      </c>
      <c r="T19" s="168">
        <f t="shared" si="4"/>
        <v>10685</v>
      </c>
      <c r="U19" s="172">
        <f t="shared" si="5"/>
        <v>1068.5</v>
      </c>
      <c r="V19" s="166">
        <f t="shared" si="7"/>
        <v>-1069</v>
      </c>
    </row>
    <row r="20" spans="1:22" s="112" customFormat="1" ht="17.399999999999999">
      <c r="A20" s="167">
        <v>15</v>
      </c>
      <c r="B20" s="168">
        <v>15</v>
      </c>
      <c r="C20" s="168">
        <v>1377</v>
      </c>
      <c r="D20" s="169">
        <v>40309</v>
      </c>
      <c r="E20" s="170">
        <v>39692</v>
      </c>
      <c r="F20" s="169">
        <v>39721</v>
      </c>
      <c r="G20" s="167">
        <v>0</v>
      </c>
      <c r="H20" s="168">
        <v>0</v>
      </c>
      <c r="I20" s="168">
        <v>0</v>
      </c>
      <c r="J20" s="168">
        <f t="shared" si="0"/>
        <v>0</v>
      </c>
      <c r="K20" s="171">
        <f t="shared" si="1"/>
        <v>0</v>
      </c>
      <c r="L20" s="167">
        <v>4625</v>
      </c>
      <c r="M20" s="168">
        <v>2313</v>
      </c>
      <c r="N20" s="168">
        <v>3747</v>
      </c>
      <c r="O20" s="168">
        <f t="shared" si="2"/>
        <v>10685</v>
      </c>
      <c r="P20" s="171">
        <f t="shared" si="3"/>
        <v>1069</v>
      </c>
      <c r="Q20" s="167">
        <f t="shared" si="4"/>
        <v>4625</v>
      </c>
      <c r="R20" s="168">
        <f t="shared" si="4"/>
        <v>2313</v>
      </c>
      <c r="S20" s="168">
        <f t="shared" si="4"/>
        <v>3747</v>
      </c>
      <c r="T20" s="168">
        <f t="shared" si="4"/>
        <v>10685</v>
      </c>
      <c r="U20" s="172">
        <f t="shared" si="5"/>
        <v>1068.5</v>
      </c>
      <c r="V20" s="166">
        <f t="shared" si="7"/>
        <v>-1069</v>
      </c>
    </row>
    <row r="21" spans="1:22" s="112" customFormat="1" ht="17.399999999999999">
      <c r="A21" s="167">
        <v>15</v>
      </c>
      <c r="B21" s="168">
        <v>15</v>
      </c>
      <c r="C21" s="168">
        <v>1377</v>
      </c>
      <c r="D21" s="169">
        <v>40309</v>
      </c>
      <c r="E21" s="170">
        <v>39722</v>
      </c>
      <c r="F21" s="169">
        <v>39752</v>
      </c>
      <c r="G21" s="167">
        <v>0</v>
      </c>
      <c r="H21" s="168">
        <v>0</v>
      </c>
      <c r="I21" s="168">
        <v>0</v>
      </c>
      <c r="J21" s="168">
        <f t="shared" si="0"/>
        <v>0</v>
      </c>
      <c r="K21" s="171">
        <f t="shared" si="1"/>
        <v>0</v>
      </c>
      <c r="L21" s="167">
        <v>4625</v>
      </c>
      <c r="M21" s="168">
        <v>2313</v>
      </c>
      <c r="N21" s="168">
        <v>3747</v>
      </c>
      <c r="O21" s="168">
        <f t="shared" si="2"/>
        <v>10685</v>
      </c>
      <c r="P21" s="171">
        <f t="shared" si="3"/>
        <v>1069</v>
      </c>
      <c r="Q21" s="167">
        <f t="shared" si="4"/>
        <v>4625</v>
      </c>
      <c r="R21" s="168">
        <f t="shared" si="4"/>
        <v>2313</v>
      </c>
      <c r="S21" s="168">
        <f t="shared" si="4"/>
        <v>3747</v>
      </c>
      <c r="T21" s="168">
        <f t="shared" si="4"/>
        <v>10685</v>
      </c>
      <c r="U21" s="172">
        <f t="shared" si="5"/>
        <v>1068.5</v>
      </c>
      <c r="V21" s="166">
        <f t="shared" si="7"/>
        <v>-1069</v>
      </c>
    </row>
    <row r="22" spans="1:22" s="112" customFormat="1" ht="17.399999999999999">
      <c r="A22" s="167">
        <v>15</v>
      </c>
      <c r="B22" s="168">
        <v>15</v>
      </c>
      <c r="C22" s="168">
        <v>1377</v>
      </c>
      <c r="D22" s="169">
        <v>40309</v>
      </c>
      <c r="E22" s="170">
        <v>39753</v>
      </c>
      <c r="F22" s="169">
        <v>39782</v>
      </c>
      <c r="G22" s="167">
        <v>0</v>
      </c>
      <c r="H22" s="168">
        <v>0</v>
      </c>
      <c r="I22" s="168">
        <v>0</v>
      </c>
      <c r="J22" s="168">
        <f t="shared" si="0"/>
        <v>0</v>
      </c>
      <c r="K22" s="171">
        <f t="shared" si="1"/>
        <v>0</v>
      </c>
      <c r="L22" s="167">
        <v>4625</v>
      </c>
      <c r="M22" s="168">
        <v>2313</v>
      </c>
      <c r="N22" s="168">
        <v>3747</v>
      </c>
      <c r="O22" s="168">
        <f t="shared" si="2"/>
        <v>10685</v>
      </c>
      <c r="P22" s="171">
        <f t="shared" si="3"/>
        <v>1069</v>
      </c>
      <c r="Q22" s="167">
        <f t="shared" si="4"/>
        <v>4625</v>
      </c>
      <c r="R22" s="168">
        <f t="shared" si="4"/>
        <v>2313</v>
      </c>
      <c r="S22" s="168">
        <f t="shared" si="4"/>
        <v>3747</v>
      </c>
      <c r="T22" s="168">
        <f t="shared" si="4"/>
        <v>10685</v>
      </c>
      <c r="U22" s="172">
        <f t="shared" si="5"/>
        <v>1068.5</v>
      </c>
      <c r="V22" s="166">
        <f t="shared" si="7"/>
        <v>-1069</v>
      </c>
    </row>
    <row r="23" spans="1:22" s="112" customFormat="1" ht="17.399999999999999">
      <c r="A23" s="167">
        <v>15</v>
      </c>
      <c r="B23" s="168">
        <v>15</v>
      </c>
      <c r="C23" s="168">
        <v>1377</v>
      </c>
      <c r="D23" s="169">
        <v>40309</v>
      </c>
      <c r="E23" s="170">
        <v>39783</v>
      </c>
      <c r="F23" s="169">
        <v>39813</v>
      </c>
      <c r="G23" s="167">
        <v>0</v>
      </c>
      <c r="H23" s="168">
        <v>0</v>
      </c>
      <c r="I23" s="168">
        <v>0</v>
      </c>
      <c r="J23" s="168">
        <f t="shared" si="0"/>
        <v>0</v>
      </c>
      <c r="K23" s="171">
        <f t="shared" si="1"/>
        <v>0</v>
      </c>
      <c r="L23" s="167">
        <v>4625</v>
      </c>
      <c r="M23" s="168">
        <v>2313</v>
      </c>
      <c r="N23" s="168">
        <v>3747</v>
      </c>
      <c r="O23" s="168">
        <f t="shared" si="2"/>
        <v>10685</v>
      </c>
      <c r="P23" s="171">
        <f t="shared" si="3"/>
        <v>1069</v>
      </c>
      <c r="Q23" s="167">
        <f t="shared" si="4"/>
        <v>4625</v>
      </c>
      <c r="R23" s="168">
        <f t="shared" si="4"/>
        <v>2313</v>
      </c>
      <c r="S23" s="168">
        <f t="shared" si="4"/>
        <v>3747</v>
      </c>
      <c r="T23" s="168">
        <f t="shared" si="4"/>
        <v>10685</v>
      </c>
      <c r="U23" s="172">
        <f t="shared" si="5"/>
        <v>1068.5</v>
      </c>
      <c r="V23" s="166">
        <f t="shared" si="7"/>
        <v>-1069</v>
      </c>
    </row>
    <row r="24" spans="1:22" s="112" customFormat="1" ht="17.399999999999999">
      <c r="A24" s="167">
        <v>15</v>
      </c>
      <c r="B24" s="168">
        <v>15</v>
      </c>
      <c r="C24" s="168">
        <v>1377</v>
      </c>
      <c r="D24" s="169">
        <v>40309</v>
      </c>
      <c r="E24" s="170">
        <v>39814</v>
      </c>
      <c r="F24" s="169">
        <v>39844</v>
      </c>
      <c r="G24" s="167">
        <v>0</v>
      </c>
      <c r="H24" s="168">
        <v>0</v>
      </c>
      <c r="I24" s="168">
        <v>0</v>
      </c>
      <c r="J24" s="168">
        <f t="shared" si="0"/>
        <v>0</v>
      </c>
      <c r="K24" s="171">
        <f t="shared" si="1"/>
        <v>0</v>
      </c>
      <c r="L24" s="167">
        <v>4625</v>
      </c>
      <c r="M24" s="168">
        <v>2313</v>
      </c>
      <c r="N24" s="168">
        <v>3747</v>
      </c>
      <c r="O24" s="168">
        <f t="shared" si="2"/>
        <v>10685</v>
      </c>
      <c r="P24" s="171">
        <f t="shared" si="3"/>
        <v>1069</v>
      </c>
      <c r="Q24" s="167">
        <f t="shared" si="4"/>
        <v>4625</v>
      </c>
      <c r="R24" s="168">
        <f t="shared" si="4"/>
        <v>2313</v>
      </c>
      <c r="S24" s="168">
        <f t="shared" si="4"/>
        <v>3747</v>
      </c>
      <c r="T24" s="168">
        <f t="shared" si="4"/>
        <v>10685</v>
      </c>
      <c r="U24" s="172">
        <f t="shared" si="5"/>
        <v>1068.5</v>
      </c>
      <c r="V24" s="166">
        <f t="shared" si="7"/>
        <v>-1069</v>
      </c>
    </row>
    <row r="25" spans="1:22" s="112" customFormat="1" ht="17.399999999999999">
      <c r="A25" s="167">
        <v>15</v>
      </c>
      <c r="B25" s="168">
        <v>15</v>
      </c>
      <c r="C25" s="168">
        <v>1377</v>
      </c>
      <c r="D25" s="169">
        <v>40309</v>
      </c>
      <c r="E25" s="170">
        <v>39845</v>
      </c>
      <c r="F25" s="169">
        <v>39872</v>
      </c>
      <c r="G25" s="167">
        <v>4500</v>
      </c>
      <c r="H25" s="168">
        <v>2250</v>
      </c>
      <c r="I25" s="168">
        <v>3645</v>
      </c>
      <c r="J25" s="168">
        <f t="shared" ref="J25:J26" si="8">G25+H25+I25</f>
        <v>10395</v>
      </c>
      <c r="K25" s="171">
        <f t="shared" ref="K25:K26" si="9">ROUND(J25*10%,0)</f>
        <v>1040</v>
      </c>
      <c r="L25" s="167">
        <v>4625</v>
      </c>
      <c r="M25" s="168">
        <v>2313</v>
      </c>
      <c r="N25" s="168">
        <v>3747</v>
      </c>
      <c r="O25" s="168">
        <f t="shared" si="2"/>
        <v>10685</v>
      </c>
      <c r="P25" s="171">
        <f t="shared" si="3"/>
        <v>1069</v>
      </c>
      <c r="Q25" s="167">
        <f t="shared" ref="Q25:Q26" si="10">L25-G25</f>
        <v>125</v>
      </c>
      <c r="R25" s="168">
        <f t="shared" ref="R25:R26" si="11">M25-H25</f>
        <v>63</v>
      </c>
      <c r="S25" s="168">
        <f t="shared" ref="S25:S26" si="12">N25-I25</f>
        <v>102</v>
      </c>
      <c r="T25" s="168">
        <f t="shared" ref="T25:T26" si="13">O25-J25</f>
        <v>290</v>
      </c>
      <c r="U25" s="172">
        <f t="shared" si="5"/>
        <v>29</v>
      </c>
      <c r="V25" s="166">
        <f>K25-P25</f>
        <v>-29</v>
      </c>
    </row>
    <row r="26" spans="1:22" s="112" customFormat="1" ht="18" customHeight="1" thickBot="1">
      <c r="A26" s="173">
        <v>15</v>
      </c>
      <c r="B26" s="113">
        <v>15</v>
      </c>
      <c r="C26" s="113">
        <v>1377</v>
      </c>
      <c r="D26" s="174">
        <v>40309</v>
      </c>
      <c r="E26" s="151">
        <v>39873</v>
      </c>
      <c r="F26" s="174">
        <v>39903</v>
      </c>
      <c r="G26" s="173">
        <v>4500</v>
      </c>
      <c r="H26" s="113">
        <v>2250</v>
      </c>
      <c r="I26" s="113">
        <v>3645</v>
      </c>
      <c r="J26" s="113">
        <f t="shared" si="8"/>
        <v>10395</v>
      </c>
      <c r="K26" s="175">
        <f t="shared" si="9"/>
        <v>1040</v>
      </c>
      <c r="L26" s="173">
        <v>4625</v>
      </c>
      <c r="M26" s="113">
        <v>2313</v>
      </c>
      <c r="N26" s="113">
        <v>3747</v>
      </c>
      <c r="O26" s="113">
        <f t="shared" si="2"/>
        <v>10685</v>
      </c>
      <c r="P26" s="175">
        <f t="shared" si="3"/>
        <v>1069</v>
      </c>
      <c r="Q26" s="173">
        <f t="shared" si="10"/>
        <v>125</v>
      </c>
      <c r="R26" s="113">
        <f t="shared" si="11"/>
        <v>63</v>
      </c>
      <c r="S26" s="113">
        <f t="shared" si="12"/>
        <v>102</v>
      </c>
      <c r="T26" s="113">
        <f t="shared" si="13"/>
        <v>290</v>
      </c>
      <c r="U26" s="156">
        <f t="shared" si="5"/>
        <v>29</v>
      </c>
      <c r="V26" s="166">
        <f t="shared" ref="V26" si="14">K26-P26</f>
        <v>-29</v>
      </c>
    </row>
    <row r="27" spans="1:22" ht="4.95" customHeight="1" thickBot="1">
      <c r="A27" s="94"/>
      <c r="B27" s="95"/>
      <c r="C27" s="95"/>
      <c r="D27" s="110"/>
      <c r="E27" s="110"/>
      <c r="F27" s="110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155"/>
    </row>
    <row r="28" spans="1:22" s="112" customFormat="1" ht="18" customHeight="1">
      <c r="A28" s="160">
        <v>15</v>
      </c>
      <c r="B28" s="161">
        <v>15</v>
      </c>
      <c r="C28" s="161">
        <v>1377</v>
      </c>
      <c r="D28" s="162">
        <v>40309</v>
      </c>
      <c r="E28" s="163">
        <v>39904</v>
      </c>
      <c r="F28" s="162">
        <v>39933</v>
      </c>
      <c r="G28" s="160">
        <v>4500</v>
      </c>
      <c r="H28" s="161">
        <v>2250</v>
      </c>
      <c r="I28" s="161">
        <v>3645</v>
      </c>
      <c r="J28" s="161">
        <f t="shared" ref="J28:J37" si="15">G28+H28+I28</f>
        <v>10395</v>
      </c>
      <c r="K28" s="164">
        <f t="shared" ref="K28:K37" si="16">ROUND(J28*10%,0)</f>
        <v>1040</v>
      </c>
      <c r="L28" s="160">
        <v>4625</v>
      </c>
      <c r="M28" s="161">
        <v>2313</v>
      </c>
      <c r="N28" s="161">
        <v>3747</v>
      </c>
      <c r="O28" s="161">
        <f t="shared" ref="O28:O37" si="17">L28+M28+N28</f>
        <v>10685</v>
      </c>
      <c r="P28" s="164">
        <f t="shared" ref="P28:P37" si="18">ROUND(O28*10%,0)</f>
        <v>1069</v>
      </c>
      <c r="Q28" s="160">
        <f t="shared" ref="Q28:Q37" si="19">L28-G28</f>
        <v>125</v>
      </c>
      <c r="R28" s="161">
        <f t="shared" ref="R28:R37" si="20">M28-H28</f>
        <v>63</v>
      </c>
      <c r="S28" s="161">
        <f t="shared" ref="S28:S37" si="21">N28-I28</f>
        <v>102</v>
      </c>
      <c r="T28" s="161">
        <f t="shared" ref="T28:T37" si="22">O28-J28</f>
        <v>290</v>
      </c>
      <c r="U28" s="165">
        <f t="shared" ref="U28:U37" si="23">T28*10%</f>
        <v>29</v>
      </c>
      <c r="V28" s="166">
        <f t="shared" ref="V28:V37" si="24">K28-P28</f>
        <v>-29</v>
      </c>
    </row>
    <row r="29" spans="1:22" s="112" customFormat="1" ht="18" customHeight="1">
      <c r="A29" s="167">
        <v>15</v>
      </c>
      <c r="B29" s="168">
        <v>15</v>
      </c>
      <c r="C29" s="168">
        <v>1377</v>
      </c>
      <c r="D29" s="169">
        <v>40309</v>
      </c>
      <c r="E29" s="170">
        <v>39934</v>
      </c>
      <c r="F29" s="169">
        <v>39964</v>
      </c>
      <c r="G29" s="167">
        <v>4500</v>
      </c>
      <c r="H29" s="168">
        <v>2250</v>
      </c>
      <c r="I29" s="168">
        <v>3645</v>
      </c>
      <c r="J29" s="168">
        <f t="shared" si="15"/>
        <v>10395</v>
      </c>
      <c r="K29" s="171">
        <f t="shared" si="16"/>
        <v>1040</v>
      </c>
      <c r="L29" s="167">
        <v>4625</v>
      </c>
      <c r="M29" s="168">
        <v>2313</v>
      </c>
      <c r="N29" s="168">
        <v>3747</v>
      </c>
      <c r="O29" s="168">
        <f t="shared" si="17"/>
        <v>10685</v>
      </c>
      <c r="P29" s="171">
        <f t="shared" si="18"/>
        <v>1069</v>
      </c>
      <c r="Q29" s="167">
        <f t="shared" si="19"/>
        <v>125</v>
      </c>
      <c r="R29" s="168">
        <f t="shared" si="20"/>
        <v>63</v>
      </c>
      <c r="S29" s="168">
        <f t="shared" si="21"/>
        <v>102</v>
      </c>
      <c r="T29" s="168">
        <f t="shared" si="22"/>
        <v>290</v>
      </c>
      <c r="U29" s="172">
        <f t="shared" si="23"/>
        <v>29</v>
      </c>
      <c r="V29" s="166">
        <f t="shared" si="24"/>
        <v>-29</v>
      </c>
    </row>
    <row r="30" spans="1:22" s="112" customFormat="1" ht="18" customHeight="1">
      <c r="A30" s="167">
        <v>15</v>
      </c>
      <c r="B30" s="168">
        <v>15</v>
      </c>
      <c r="C30" s="168">
        <v>1377</v>
      </c>
      <c r="D30" s="169">
        <v>40309</v>
      </c>
      <c r="E30" s="170">
        <v>39965</v>
      </c>
      <c r="F30" s="169">
        <v>39994</v>
      </c>
      <c r="G30" s="167">
        <v>4500</v>
      </c>
      <c r="H30" s="168">
        <v>2250</v>
      </c>
      <c r="I30" s="168">
        <v>3645</v>
      </c>
      <c r="J30" s="168">
        <f t="shared" si="15"/>
        <v>10395</v>
      </c>
      <c r="K30" s="171">
        <f t="shared" si="16"/>
        <v>1040</v>
      </c>
      <c r="L30" s="167">
        <v>4625</v>
      </c>
      <c r="M30" s="168">
        <v>2313</v>
      </c>
      <c r="N30" s="168">
        <v>3747</v>
      </c>
      <c r="O30" s="168">
        <f t="shared" si="17"/>
        <v>10685</v>
      </c>
      <c r="P30" s="171">
        <f t="shared" si="18"/>
        <v>1069</v>
      </c>
      <c r="Q30" s="167">
        <f t="shared" si="19"/>
        <v>125</v>
      </c>
      <c r="R30" s="168">
        <f t="shared" si="20"/>
        <v>63</v>
      </c>
      <c r="S30" s="168">
        <f t="shared" si="21"/>
        <v>102</v>
      </c>
      <c r="T30" s="168">
        <f t="shared" si="22"/>
        <v>290</v>
      </c>
      <c r="U30" s="172">
        <f t="shared" si="23"/>
        <v>29</v>
      </c>
      <c r="V30" s="166">
        <f t="shared" si="24"/>
        <v>-29</v>
      </c>
    </row>
    <row r="31" spans="1:22" s="112" customFormat="1" ht="18" customHeight="1">
      <c r="A31" s="167">
        <v>15</v>
      </c>
      <c r="B31" s="168">
        <v>15</v>
      </c>
      <c r="C31" s="168">
        <v>1377</v>
      </c>
      <c r="D31" s="169">
        <v>40309</v>
      </c>
      <c r="E31" s="170">
        <v>39995</v>
      </c>
      <c r="F31" s="169">
        <v>40025</v>
      </c>
      <c r="G31" s="167">
        <v>4500</v>
      </c>
      <c r="H31" s="168">
        <v>2250</v>
      </c>
      <c r="I31" s="168">
        <v>3645</v>
      </c>
      <c r="J31" s="168">
        <f t="shared" si="15"/>
        <v>10395</v>
      </c>
      <c r="K31" s="171">
        <f t="shared" si="16"/>
        <v>1040</v>
      </c>
      <c r="L31" s="167">
        <v>4625</v>
      </c>
      <c r="M31" s="168">
        <v>2313</v>
      </c>
      <c r="N31" s="168">
        <v>3747</v>
      </c>
      <c r="O31" s="168">
        <f t="shared" si="17"/>
        <v>10685</v>
      </c>
      <c r="P31" s="171">
        <f t="shared" si="18"/>
        <v>1069</v>
      </c>
      <c r="Q31" s="167">
        <f t="shared" si="19"/>
        <v>125</v>
      </c>
      <c r="R31" s="168">
        <f t="shared" si="20"/>
        <v>63</v>
      </c>
      <c r="S31" s="168">
        <f t="shared" si="21"/>
        <v>102</v>
      </c>
      <c r="T31" s="168">
        <f t="shared" si="22"/>
        <v>290</v>
      </c>
      <c r="U31" s="172">
        <f t="shared" si="23"/>
        <v>29</v>
      </c>
      <c r="V31" s="166">
        <f t="shared" si="24"/>
        <v>-29</v>
      </c>
    </row>
    <row r="32" spans="1:22" s="112" customFormat="1" ht="18" customHeight="1">
      <c r="A32" s="167">
        <v>15</v>
      </c>
      <c r="B32" s="168">
        <v>15</v>
      </c>
      <c r="C32" s="168">
        <v>1377</v>
      </c>
      <c r="D32" s="169">
        <v>40309</v>
      </c>
      <c r="E32" s="170">
        <v>40026</v>
      </c>
      <c r="F32" s="169">
        <v>40056</v>
      </c>
      <c r="G32" s="167">
        <v>4500</v>
      </c>
      <c r="H32" s="168">
        <v>2250</v>
      </c>
      <c r="I32" s="168">
        <v>3645</v>
      </c>
      <c r="J32" s="168">
        <f t="shared" si="15"/>
        <v>10395</v>
      </c>
      <c r="K32" s="171">
        <f t="shared" si="16"/>
        <v>1040</v>
      </c>
      <c r="L32" s="167">
        <v>4625</v>
      </c>
      <c r="M32" s="168">
        <v>2313</v>
      </c>
      <c r="N32" s="168">
        <v>3747</v>
      </c>
      <c r="O32" s="168">
        <f t="shared" si="17"/>
        <v>10685</v>
      </c>
      <c r="P32" s="171">
        <f t="shared" si="18"/>
        <v>1069</v>
      </c>
      <c r="Q32" s="167">
        <f t="shared" si="19"/>
        <v>125</v>
      </c>
      <c r="R32" s="168">
        <f t="shared" si="20"/>
        <v>63</v>
      </c>
      <c r="S32" s="168">
        <f t="shared" si="21"/>
        <v>102</v>
      </c>
      <c r="T32" s="168">
        <f t="shared" si="22"/>
        <v>290</v>
      </c>
      <c r="U32" s="172">
        <f t="shared" si="23"/>
        <v>29</v>
      </c>
      <c r="V32" s="166">
        <f t="shared" si="24"/>
        <v>-29</v>
      </c>
    </row>
    <row r="33" spans="1:22" s="112" customFormat="1" ht="18" customHeight="1">
      <c r="A33" s="167">
        <v>15</v>
      </c>
      <c r="B33" s="168">
        <v>15</v>
      </c>
      <c r="C33" s="168">
        <v>1377</v>
      </c>
      <c r="D33" s="169">
        <v>40309</v>
      </c>
      <c r="E33" s="170">
        <v>40057</v>
      </c>
      <c r="F33" s="169">
        <v>40086</v>
      </c>
      <c r="G33" s="167">
        <v>4500</v>
      </c>
      <c r="H33" s="168">
        <v>2250</v>
      </c>
      <c r="I33" s="168">
        <v>3645</v>
      </c>
      <c r="J33" s="168">
        <f t="shared" si="15"/>
        <v>10395</v>
      </c>
      <c r="K33" s="171">
        <f t="shared" si="16"/>
        <v>1040</v>
      </c>
      <c r="L33" s="167">
        <v>4625</v>
      </c>
      <c r="M33" s="168">
        <v>2313</v>
      </c>
      <c r="N33" s="168">
        <v>3747</v>
      </c>
      <c r="O33" s="168">
        <f t="shared" si="17"/>
        <v>10685</v>
      </c>
      <c r="P33" s="171">
        <f t="shared" si="18"/>
        <v>1069</v>
      </c>
      <c r="Q33" s="167">
        <f t="shared" si="19"/>
        <v>125</v>
      </c>
      <c r="R33" s="168">
        <f t="shared" si="20"/>
        <v>63</v>
      </c>
      <c r="S33" s="168">
        <f t="shared" si="21"/>
        <v>102</v>
      </c>
      <c r="T33" s="168">
        <f t="shared" si="22"/>
        <v>290</v>
      </c>
      <c r="U33" s="172">
        <f t="shared" si="23"/>
        <v>29</v>
      </c>
      <c r="V33" s="166">
        <f t="shared" si="24"/>
        <v>-29</v>
      </c>
    </row>
    <row r="34" spans="1:22" s="112" customFormat="1" ht="18" customHeight="1">
      <c r="A34" s="167">
        <v>15</v>
      </c>
      <c r="B34" s="168">
        <v>15</v>
      </c>
      <c r="C34" s="168">
        <v>1377</v>
      </c>
      <c r="D34" s="169">
        <v>40309</v>
      </c>
      <c r="E34" s="170">
        <v>40087</v>
      </c>
      <c r="F34" s="169">
        <v>40117</v>
      </c>
      <c r="G34" s="167">
        <v>4500</v>
      </c>
      <c r="H34" s="168">
        <v>2250</v>
      </c>
      <c r="I34" s="168">
        <v>3645</v>
      </c>
      <c r="J34" s="168">
        <f t="shared" si="15"/>
        <v>10395</v>
      </c>
      <c r="K34" s="171">
        <f t="shared" si="16"/>
        <v>1040</v>
      </c>
      <c r="L34" s="167">
        <v>4625</v>
      </c>
      <c r="M34" s="168">
        <v>2313</v>
      </c>
      <c r="N34" s="168">
        <v>3747</v>
      </c>
      <c r="O34" s="168">
        <f t="shared" si="17"/>
        <v>10685</v>
      </c>
      <c r="P34" s="171">
        <f t="shared" si="18"/>
        <v>1069</v>
      </c>
      <c r="Q34" s="167">
        <f t="shared" si="19"/>
        <v>125</v>
      </c>
      <c r="R34" s="168">
        <f t="shared" si="20"/>
        <v>63</v>
      </c>
      <c r="S34" s="168">
        <f t="shared" si="21"/>
        <v>102</v>
      </c>
      <c r="T34" s="168">
        <f t="shared" si="22"/>
        <v>290</v>
      </c>
      <c r="U34" s="172">
        <f t="shared" si="23"/>
        <v>29</v>
      </c>
      <c r="V34" s="166">
        <f t="shared" si="24"/>
        <v>-29</v>
      </c>
    </row>
    <row r="35" spans="1:22" s="112" customFormat="1" ht="18" customHeight="1">
      <c r="A35" s="167">
        <v>15</v>
      </c>
      <c r="B35" s="168">
        <v>15</v>
      </c>
      <c r="C35" s="168">
        <v>1377</v>
      </c>
      <c r="D35" s="169">
        <v>40309</v>
      </c>
      <c r="E35" s="170">
        <v>40118</v>
      </c>
      <c r="F35" s="169">
        <v>40147</v>
      </c>
      <c r="G35" s="167">
        <v>4500</v>
      </c>
      <c r="H35" s="168">
        <v>2250</v>
      </c>
      <c r="I35" s="168">
        <v>3645</v>
      </c>
      <c r="J35" s="168">
        <f t="shared" si="15"/>
        <v>10395</v>
      </c>
      <c r="K35" s="171">
        <f t="shared" si="16"/>
        <v>1040</v>
      </c>
      <c r="L35" s="167">
        <v>4625</v>
      </c>
      <c r="M35" s="168">
        <v>2313</v>
      </c>
      <c r="N35" s="168">
        <v>3747</v>
      </c>
      <c r="O35" s="168">
        <f t="shared" si="17"/>
        <v>10685</v>
      </c>
      <c r="P35" s="171">
        <f t="shared" si="18"/>
        <v>1069</v>
      </c>
      <c r="Q35" s="167">
        <f t="shared" si="19"/>
        <v>125</v>
      </c>
      <c r="R35" s="168">
        <f t="shared" si="20"/>
        <v>63</v>
      </c>
      <c r="S35" s="168">
        <f t="shared" si="21"/>
        <v>102</v>
      </c>
      <c r="T35" s="168">
        <f t="shared" si="22"/>
        <v>290</v>
      </c>
      <c r="U35" s="172">
        <f t="shared" si="23"/>
        <v>29</v>
      </c>
      <c r="V35" s="166">
        <f t="shared" si="24"/>
        <v>-29</v>
      </c>
    </row>
    <row r="36" spans="1:22" s="112" customFormat="1" ht="18" customHeight="1">
      <c r="A36" s="167">
        <v>15</v>
      </c>
      <c r="B36" s="168">
        <v>15</v>
      </c>
      <c r="C36" s="168">
        <v>1377</v>
      </c>
      <c r="D36" s="169">
        <v>40309</v>
      </c>
      <c r="E36" s="170">
        <v>40148</v>
      </c>
      <c r="F36" s="169">
        <v>40178</v>
      </c>
      <c r="G36" s="167">
        <v>4500</v>
      </c>
      <c r="H36" s="168">
        <v>2250</v>
      </c>
      <c r="I36" s="168">
        <v>3645</v>
      </c>
      <c r="J36" s="168">
        <f t="shared" si="15"/>
        <v>10395</v>
      </c>
      <c r="K36" s="171">
        <f t="shared" si="16"/>
        <v>1040</v>
      </c>
      <c r="L36" s="167">
        <v>4625</v>
      </c>
      <c r="M36" s="168">
        <v>2313</v>
      </c>
      <c r="N36" s="168">
        <v>3747</v>
      </c>
      <c r="O36" s="168">
        <f t="shared" si="17"/>
        <v>10685</v>
      </c>
      <c r="P36" s="171">
        <f t="shared" si="18"/>
        <v>1069</v>
      </c>
      <c r="Q36" s="167">
        <f t="shared" si="19"/>
        <v>125</v>
      </c>
      <c r="R36" s="168">
        <f t="shared" si="20"/>
        <v>63</v>
      </c>
      <c r="S36" s="168">
        <f t="shared" si="21"/>
        <v>102</v>
      </c>
      <c r="T36" s="168">
        <f t="shared" si="22"/>
        <v>290</v>
      </c>
      <c r="U36" s="172">
        <f t="shared" si="23"/>
        <v>29</v>
      </c>
      <c r="V36" s="166">
        <f t="shared" si="24"/>
        <v>-29</v>
      </c>
    </row>
    <row r="37" spans="1:22" s="112" customFormat="1" ht="18" customHeight="1">
      <c r="A37" s="167">
        <v>15</v>
      </c>
      <c r="B37" s="168">
        <v>15</v>
      </c>
      <c r="C37" s="168">
        <v>1377</v>
      </c>
      <c r="D37" s="169">
        <v>40309</v>
      </c>
      <c r="E37" s="170">
        <v>40179</v>
      </c>
      <c r="F37" s="169">
        <v>40209</v>
      </c>
      <c r="G37" s="167">
        <v>4500</v>
      </c>
      <c r="H37" s="168">
        <v>2250</v>
      </c>
      <c r="I37" s="168">
        <v>3645</v>
      </c>
      <c r="J37" s="168">
        <f t="shared" si="15"/>
        <v>10395</v>
      </c>
      <c r="K37" s="171">
        <f t="shared" si="16"/>
        <v>1040</v>
      </c>
      <c r="L37" s="167">
        <v>4625</v>
      </c>
      <c r="M37" s="168">
        <v>2313</v>
      </c>
      <c r="N37" s="168">
        <v>3747</v>
      </c>
      <c r="O37" s="168">
        <f t="shared" si="17"/>
        <v>10685</v>
      </c>
      <c r="P37" s="171">
        <f t="shared" si="18"/>
        <v>1069</v>
      </c>
      <c r="Q37" s="167">
        <f t="shared" si="19"/>
        <v>125</v>
      </c>
      <c r="R37" s="168">
        <f t="shared" si="20"/>
        <v>63</v>
      </c>
      <c r="S37" s="168">
        <f t="shared" si="21"/>
        <v>102</v>
      </c>
      <c r="T37" s="168">
        <f t="shared" si="22"/>
        <v>290</v>
      </c>
      <c r="U37" s="172">
        <f t="shared" si="23"/>
        <v>29</v>
      </c>
      <c r="V37" s="166">
        <f t="shared" si="24"/>
        <v>-29</v>
      </c>
    </row>
    <row r="38" spans="1:22" ht="4.95" customHeight="1" thickBot="1">
      <c r="A38" s="94"/>
      <c r="B38" s="95"/>
      <c r="C38" s="95"/>
      <c r="D38" s="110"/>
      <c r="E38" s="110"/>
      <c r="F38" s="110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155"/>
    </row>
    <row r="39" spans="1:22" s="112" customFormat="1" ht="18" thickBot="1">
      <c r="A39" s="190" t="s">
        <v>24</v>
      </c>
      <c r="B39" s="191"/>
      <c r="C39" s="191"/>
      <c r="D39" s="191"/>
      <c r="E39" s="191"/>
      <c r="F39" s="192"/>
      <c r="G39" s="87">
        <f>SUBTOTAL(9,G4:G37)</f>
        <v>54000</v>
      </c>
      <c r="H39" s="87">
        <f t="shared" ref="H39:T39" si="25">SUBTOTAL(9,H4:H37)</f>
        <v>27000</v>
      </c>
      <c r="I39" s="87">
        <f t="shared" si="25"/>
        <v>43740</v>
      </c>
      <c r="J39" s="87">
        <f t="shared" si="25"/>
        <v>124740</v>
      </c>
      <c r="K39" s="87">
        <f t="shared" si="25"/>
        <v>12480</v>
      </c>
      <c r="L39" s="87">
        <f t="shared" si="25"/>
        <v>145600</v>
      </c>
      <c r="M39" s="87">
        <f t="shared" si="25"/>
        <v>72810</v>
      </c>
      <c r="N39" s="87">
        <f t="shared" si="25"/>
        <v>108817</v>
      </c>
      <c r="O39" s="87">
        <f t="shared" si="25"/>
        <v>327227</v>
      </c>
      <c r="P39" s="87">
        <f t="shared" si="25"/>
        <v>32732</v>
      </c>
      <c r="Q39" s="87">
        <f t="shared" si="25"/>
        <v>91600</v>
      </c>
      <c r="R39" s="87">
        <f t="shared" si="25"/>
        <v>45810</v>
      </c>
      <c r="S39" s="87">
        <f t="shared" si="25"/>
        <v>65077</v>
      </c>
      <c r="T39" s="87">
        <f t="shared" si="25"/>
        <v>202487</v>
      </c>
      <c r="U39" s="159">
        <f>T39*10%</f>
        <v>20248.7</v>
      </c>
      <c r="V39" s="152">
        <f>K39-P39</f>
        <v>-20252</v>
      </c>
    </row>
  </sheetData>
  <mergeCells count="7">
    <mergeCell ref="A39:F39"/>
    <mergeCell ref="A1:U1"/>
    <mergeCell ref="A2:D2"/>
    <mergeCell ref="E2:F2"/>
    <mergeCell ref="G2:K2"/>
    <mergeCell ref="L2:P2"/>
    <mergeCell ref="Q2:U2"/>
  </mergeCells>
  <printOptions horizontalCentered="1"/>
  <pageMargins left="0.15748031496062992" right="0.19685039370078741" top="1.4566929133858268" bottom="0.74803149606299213" header="1.0629921259842521" footer="0.31496062992125984"/>
  <pageSetup paperSize="8" scale="72" orientation="landscape" r:id="rId1"/>
  <headerFooter>
    <oddFooter>&amp;C&amp;Z&amp;F - &amp;A&amp;RPage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632F7-F2EC-4170-A346-8EF531D9692F}">
  <sheetPr>
    <tabColor rgb="FF92D050"/>
  </sheetPr>
  <dimension ref="A1:U45"/>
  <sheetViews>
    <sheetView zoomScale="90" zoomScaleNormal="90" zoomScaleSheetLayoutView="80" workbookViewId="0">
      <pane xSplit="11" ySplit="3" topLeftCell="N21" activePane="bottomRight" state="frozen"/>
      <selection pane="topRight" activeCell="L1" sqref="L1"/>
      <selection pane="bottomLeft" activeCell="A4" sqref="A4"/>
      <selection pane="bottomRight" activeCell="P37" sqref="A37:XFD37"/>
    </sheetView>
  </sheetViews>
  <sheetFormatPr defaultRowHeight="14.4"/>
  <cols>
    <col min="1" max="23" width="12.6640625" customWidth="1"/>
  </cols>
  <sheetData>
    <row r="1" spans="1:21" ht="18" thickBot="1">
      <c r="A1" s="193" t="s">
        <v>401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5"/>
    </row>
    <row r="2" spans="1:21" ht="17.399999999999999" customHeight="1" thickBot="1">
      <c r="A2" s="196" t="s">
        <v>399</v>
      </c>
      <c r="B2" s="197"/>
      <c r="C2" s="197"/>
      <c r="D2" s="198"/>
      <c r="E2" s="199" t="s">
        <v>395</v>
      </c>
      <c r="F2" s="200"/>
      <c r="G2" s="199" t="s">
        <v>396</v>
      </c>
      <c r="H2" s="201"/>
      <c r="I2" s="201"/>
      <c r="J2" s="201"/>
      <c r="K2" s="200"/>
      <c r="L2" s="199" t="s">
        <v>397</v>
      </c>
      <c r="M2" s="201"/>
      <c r="N2" s="201"/>
      <c r="O2" s="201"/>
      <c r="P2" s="200"/>
      <c r="Q2" s="199" t="s">
        <v>398</v>
      </c>
      <c r="R2" s="201"/>
      <c r="S2" s="201"/>
      <c r="T2" s="201"/>
      <c r="U2" s="200"/>
    </row>
    <row r="3" spans="1:21" ht="18" thickBot="1">
      <c r="A3" s="87" t="s">
        <v>27</v>
      </c>
      <c r="B3" s="87" t="s">
        <v>28</v>
      </c>
      <c r="C3" s="87" t="s">
        <v>29</v>
      </c>
      <c r="D3" s="87" t="s">
        <v>30</v>
      </c>
      <c r="E3" s="87" t="s">
        <v>393</v>
      </c>
      <c r="F3" s="87" t="s">
        <v>394</v>
      </c>
      <c r="G3" s="87" t="s">
        <v>21</v>
      </c>
      <c r="H3" s="87" t="s">
        <v>391</v>
      </c>
      <c r="I3" s="87" t="s">
        <v>23</v>
      </c>
      <c r="J3" s="87" t="s">
        <v>24</v>
      </c>
      <c r="K3" s="87" t="s">
        <v>392</v>
      </c>
      <c r="L3" s="87" t="s">
        <v>21</v>
      </c>
      <c r="M3" s="87" t="s">
        <v>391</v>
      </c>
      <c r="N3" s="87" t="s">
        <v>23</v>
      </c>
      <c r="O3" s="87" t="s">
        <v>24</v>
      </c>
      <c r="P3" s="87" t="s">
        <v>392</v>
      </c>
      <c r="Q3" s="87" t="s">
        <v>21</v>
      </c>
      <c r="R3" s="87" t="s">
        <v>391</v>
      </c>
      <c r="S3" s="87" t="s">
        <v>23</v>
      </c>
      <c r="T3" s="87" t="s">
        <v>24</v>
      </c>
      <c r="U3" s="153" t="s">
        <v>392</v>
      </c>
    </row>
    <row r="4" spans="1:21" s="112" customFormat="1" ht="17.399999999999999">
      <c r="A4" s="167">
        <v>60</v>
      </c>
      <c r="B4" s="168">
        <v>60</v>
      </c>
      <c r="C4" s="168">
        <v>5778</v>
      </c>
      <c r="D4" s="176">
        <v>40780</v>
      </c>
      <c r="E4" s="176">
        <v>39239</v>
      </c>
      <c r="F4" s="176">
        <v>39263</v>
      </c>
      <c r="G4" s="168">
        <v>3600</v>
      </c>
      <c r="H4" s="168">
        <v>1800</v>
      </c>
      <c r="I4" s="168">
        <v>1890</v>
      </c>
      <c r="J4" s="168">
        <f t="shared" ref="J4:J36" si="0">G4+H4+I4</f>
        <v>7290</v>
      </c>
      <c r="K4" s="168">
        <f t="shared" ref="K4:K36" si="1">ROUND(J4*10%,0)</f>
        <v>729</v>
      </c>
      <c r="L4" s="168">
        <v>4000</v>
      </c>
      <c r="M4" s="168">
        <v>2000</v>
      </c>
      <c r="N4" s="168">
        <v>2100</v>
      </c>
      <c r="O4" s="168">
        <f t="shared" ref="O4:O36" si="2">L4+M4+N4</f>
        <v>8100</v>
      </c>
      <c r="P4" s="168">
        <f t="shared" ref="P4:P36" si="3">ROUND(O4*10%,0)</f>
        <v>810</v>
      </c>
      <c r="Q4" s="168">
        <f t="shared" ref="Q4:T36" si="4">L4-G4</f>
        <v>400</v>
      </c>
      <c r="R4" s="168">
        <f t="shared" si="4"/>
        <v>200</v>
      </c>
      <c r="S4" s="168">
        <f t="shared" si="4"/>
        <v>210</v>
      </c>
      <c r="T4" s="168">
        <f t="shared" si="4"/>
        <v>810</v>
      </c>
      <c r="U4" s="172">
        <f t="shared" ref="U4:U43" si="5">T4*10%</f>
        <v>81</v>
      </c>
    </row>
    <row r="5" spans="1:21" s="112" customFormat="1" ht="17.399999999999999">
      <c r="A5" s="167">
        <v>60</v>
      </c>
      <c r="B5" s="168">
        <v>60</v>
      </c>
      <c r="C5" s="168">
        <v>5778</v>
      </c>
      <c r="D5" s="176">
        <v>40780</v>
      </c>
      <c r="E5" s="176">
        <v>39264</v>
      </c>
      <c r="F5" s="176">
        <v>39294</v>
      </c>
      <c r="G5" s="168">
        <v>4500</v>
      </c>
      <c r="H5" s="168">
        <v>2250</v>
      </c>
      <c r="I5" s="168">
        <v>2768</v>
      </c>
      <c r="J5" s="168">
        <f t="shared" si="0"/>
        <v>9518</v>
      </c>
      <c r="K5" s="168">
        <f t="shared" si="1"/>
        <v>952</v>
      </c>
      <c r="L5" s="168">
        <v>5000</v>
      </c>
      <c r="M5" s="168">
        <v>2500</v>
      </c>
      <c r="N5" s="168">
        <v>3075</v>
      </c>
      <c r="O5" s="168">
        <f t="shared" si="2"/>
        <v>10575</v>
      </c>
      <c r="P5" s="168">
        <f t="shared" si="3"/>
        <v>1058</v>
      </c>
      <c r="Q5" s="168">
        <f t="shared" si="4"/>
        <v>500</v>
      </c>
      <c r="R5" s="168">
        <f t="shared" si="4"/>
        <v>250</v>
      </c>
      <c r="S5" s="168">
        <f t="shared" si="4"/>
        <v>307</v>
      </c>
      <c r="T5" s="168">
        <f t="shared" si="4"/>
        <v>1057</v>
      </c>
      <c r="U5" s="172">
        <f t="shared" si="5"/>
        <v>105.7</v>
      </c>
    </row>
    <row r="6" spans="1:21" s="112" customFormat="1" ht="17.399999999999999">
      <c r="A6" s="167">
        <v>60</v>
      </c>
      <c r="B6" s="168">
        <v>60</v>
      </c>
      <c r="C6" s="168">
        <v>5778</v>
      </c>
      <c r="D6" s="176">
        <v>40780</v>
      </c>
      <c r="E6" s="176">
        <v>39295</v>
      </c>
      <c r="F6" s="176">
        <v>39325</v>
      </c>
      <c r="G6" s="168">
        <v>4500</v>
      </c>
      <c r="H6" s="168">
        <v>2250</v>
      </c>
      <c r="I6" s="168">
        <v>2768</v>
      </c>
      <c r="J6" s="168">
        <f t="shared" si="0"/>
        <v>9518</v>
      </c>
      <c r="K6" s="168">
        <f t="shared" si="1"/>
        <v>952</v>
      </c>
      <c r="L6" s="168">
        <v>5000</v>
      </c>
      <c r="M6" s="168">
        <v>2500</v>
      </c>
      <c r="N6" s="168">
        <v>3075</v>
      </c>
      <c r="O6" s="168">
        <f t="shared" si="2"/>
        <v>10575</v>
      </c>
      <c r="P6" s="168">
        <f t="shared" si="3"/>
        <v>1058</v>
      </c>
      <c r="Q6" s="168">
        <f t="shared" si="4"/>
        <v>500</v>
      </c>
      <c r="R6" s="168">
        <f t="shared" si="4"/>
        <v>250</v>
      </c>
      <c r="S6" s="168">
        <f t="shared" si="4"/>
        <v>307</v>
      </c>
      <c r="T6" s="168">
        <f t="shared" si="4"/>
        <v>1057</v>
      </c>
      <c r="U6" s="172">
        <f t="shared" si="5"/>
        <v>105.7</v>
      </c>
    </row>
    <row r="7" spans="1:21" s="112" customFormat="1" ht="17.399999999999999">
      <c r="A7" s="167">
        <v>60</v>
      </c>
      <c r="B7" s="168">
        <v>60</v>
      </c>
      <c r="C7" s="168">
        <v>5778</v>
      </c>
      <c r="D7" s="176">
        <v>40780</v>
      </c>
      <c r="E7" s="176">
        <v>39326</v>
      </c>
      <c r="F7" s="176">
        <v>39355</v>
      </c>
      <c r="G7" s="168">
        <v>4500</v>
      </c>
      <c r="H7" s="168">
        <v>2250</v>
      </c>
      <c r="I7" s="168">
        <v>2768</v>
      </c>
      <c r="J7" s="168">
        <f t="shared" si="0"/>
        <v>9518</v>
      </c>
      <c r="K7" s="168">
        <f t="shared" si="1"/>
        <v>952</v>
      </c>
      <c r="L7" s="168">
        <v>5000</v>
      </c>
      <c r="M7" s="168">
        <v>2500</v>
      </c>
      <c r="N7" s="168">
        <v>3075</v>
      </c>
      <c r="O7" s="168">
        <f t="shared" si="2"/>
        <v>10575</v>
      </c>
      <c r="P7" s="168">
        <f t="shared" si="3"/>
        <v>1058</v>
      </c>
      <c r="Q7" s="168">
        <f t="shared" si="4"/>
        <v>500</v>
      </c>
      <c r="R7" s="168">
        <f t="shared" si="4"/>
        <v>250</v>
      </c>
      <c r="S7" s="168">
        <f t="shared" si="4"/>
        <v>307</v>
      </c>
      <c r="T7" s="168">
        <f t="shared" si="4"/>
        <v>1057</v>
      </c>
      <c r="U7" s="172">
        <f t="shared" si="5"/>
        <v>105.7</v>
      </c>
    </row>
    <row r="8" spans="1:21" s="112" customFormat="1" ht="17.399999999999999">
      <c r="A8" s="167">
        <v>60</v>
      </c>
      <c r="B8" s="168">
        <v>60</v>
      </c>
      <c r="C8" s="168">
        <v>5778</v>
      </c>
      <c r="D8" s="176">
        <v>40780</v>
      </c>
      <c r="E8" s="176">
        <v>39356</v>
      </c>
      <c r="F8" s="176">
        <v>39386</v>
      </c>
      <c r="G8" s="168">
        <v>4500</v>
      </c>
      <c r="H8" s="168">
        <v>2250</v>
      </c>
      <c r="I8" s="168">
        <v>2768</v>
      </c>
      <c r="J8" s="168">
        <f t="shared" si="0"/>
        <v>9518</v>
      </c>
      <c r="K8" s="168">
        <f t="shared" si="1"/>
        <v>952</v>
      </c>
      <c r="L8" s="168">
        <v>5000</v>
      </c>
      <c r="M8" s="168">
        <v>2500</v>
      </c>
      <c r="N8" s="168">
        <v>3075</v>
      </c>
      <c r="O8" s="168">
        <f t="shared" si="2"/>
        <v>10575</v>
      </c>
      <c r="P8" s="168">
        <f t="shared" si="3"/>
        <v>1058</v>
      </c>
      <c r="Q8" s="168">
        <f t="shared" si="4"/>
        <v>500</v>
      </c>
      <c r="R8" s="168">
        <f t="shared" si="4"/>
        <v>250</v>
      </c>
      <c r="S8" s="168">
        <f t="shared" si="4"/>
        <v>307</v>
      </c>
      <c r="T8" s="168">
        <f t="shared" si="4"/>
        <v>1057</v>
      </c>
      <c r="U8" s="172">
        <f t="shared" si="5"/>
        <v>105.7</v>
      </c>
    </row>
    <row r="9" spans="1:21" s="112" customFormat="1" ht="17.399999999999999">
      <c r="A9" s="167">
        <v>60</v>
      </c>
      <c r="B9" s="168">
        <v>60</v>
      </c>
      <c r="C9" s="168">
        <v>5778</v>
      </c>
      <c r="D9" s="176">
        <v>40780</v>
      </c>
      <c r="E9" s="176">
        <v>39387</v>
      </c>
      <c r="F9" s="176">
        <v>39416</v>
      </c>
      <c r="G9" s="168">
        <v>4500</v>
      </c>
      <c r="H9" s="168">
        <v>2250</v>
      </c>
      <c r="I9" s="168">
        <v>2768</v>
      </c>
      <c r="J9" s="168">
        <f t="shared" si="0"/>
        <v>9518</v>
      </c>
      <c r="K9" s="168">
        <f t="shared" si="1"/>
        <v>952</v>
      </c>
      <c r="L9" s="168">
        <v>5000</v>
      </c>
      <c r="M9" s="168">
        <v>2500</v>
      </c>
      <c r="N9" s="168">
        <v>3075</v>
      </c>
      <c r="O9" s="168">
        <f t="shared" si="2"/>
        <v>10575</v>
      </c>
      <c r="P9" s="168">
        <f t="shared" si="3"/>
        <v>1058</v>
      </c>
      <c r="Q9" s="168">
        <f t="shared" si="4"/>
        <v>500</v>
      </c>
      <c r="R9" s="168">
        <f t="shared" si="4"/>
        <v>250</v>
      </c>
      <c r="S9" s="168">
        <f t="shared" si="4"/>
        <v>307</v>
      </c>
      <c r="T9" s="168">
        <f t="shared" si="4"/>
        <v>1057</v>
      </c>
      <c r="U9" s="172">
        <f t="shared" si="5"/>
        <v>105.7</v>
      </c>
    </row>
    <row r="10" spans="1:21" s="112" customFormat="1" ht="17.399999999999999">
      <c r="A10" s="167">
        <v>60</v>
      </c>
      <c r="B10" s="168">
        <v>60</v>
      </c>
      <c r="C10" s="168">
        <v>5778</v>
      </c>
      <c r="D10" s="176">
        <v>40780</v>
      </c>
      <c r="E10" s="176">
        <v>39417</v>
      </c>
      <c r="F10" s="176">
        <v>39447</v>
      </c>
      <c r="G10" s="168">
        <v>4500</v>
      </c>
      <c r="H10" s="168">
        <v>2250</v>
      </c>
      <c r="I10" s="168">
        <v>2768</v>
      </c>
      <c r="J10" s="168">
        <f t="shared" si="0"/>
        <v>9518</v>
      </c>
      <c r="K10" s="168">
        <f t="shared" si="1"/>
        <v>952</v>
      </c>
      <c r="L10" s="168">
        <v>5000</v>
      </c>
      <c r="M10" s="168">
        <v>2500</v>
      </c>
      <c r="N10" s="168">
        <v>3075</v>
      </c>
      <c r="O10" s="168">
        <f t="shared" si="2"/>
        <v>10575</v>
      </c>
      <c r="P10" s="168">
        <f t="shared" si="3"/>
        <v>1058</v>
      </c>
      <c r="Q10" s="168">
        <f t="shared" si="4"/>
        <v>500</v>
      </c>
      <c r="R10" s="168">
        <f t="shared" si="4"/>
        <v>250</v>
      </c>
      <c r="S10" s="168">
        <f t="shared" si="4"/>
        <v>307</v>
      </c>
      <c r="T10" s="168">
        <f t="shared" si="4"/>
        <v>1057</v>
      </c>
      <c r="U10" s="172">
        <f t="shared" si="5"/>
        <v>105.7</v>
      </c>
    </row>
    <row r="11" spans="1:21" s="112" customFormat="1" ht="17.399999999999999">
      <c r="A11" s="167">
        <v>60</v>
      </c>
      <c r="B11" s="168">
        <v>60</v>
      </c>
      <c r="C11" s="168">
        <v>5778</v>
      </c>
      <c r="D11" s="176">
        <v>40780</v>
      </c>
      <c r="E11" s="176">
        <v>39448</v>
      </c>
      <c r="F11" s="176">
        <v>39113</v>
      </c>
      <c r="G11" s="168">
        <v>4500</v>
      </c>
      <c r="H11" s="168">
        <v>2250</v>
      </c>
      <c r="I11" s="168">
        <v>3173</v>
      </c>
      <c r="J11" s="168">
        <f t="shared" si="0"/>
        <v>9923</v>
      </c>
      <c r="K11" s="168">
        <f t="shared" si="1"/>
        <v>992</v>
      </c>
      <c r="L11" s="168">
        <v>5000</v>
      </c>
      <c r="M11" s="168">
        <v>2500</v>
      </c>
      <c r="N11" s="168">
        <v>3525</v>
      </c>
      <c r="O11" s="168">
        <f t="shared" si="2"/>
        <v>11025</v>
      </c>
      <c r="P11" s="168">
        <f t="shared" si="3"/>
        <v>1103</v>
      </c>
      <c r="Q11" s="168">
        <f t="shared" si="4"/>
        <v>500</v>
      </c>
      <c r="R11" s="168">
        <f t="shared" si="4"/>
        <v>250</v>
      </c>
      <c r="S11" s="168">
        <f t="shared" si="4"/>
        <v>352</v>
      </c>
      <c r="T11" s="168">
        <f t="shared" si="4"/>
        <v>1102</v>
      </c>
      <c r="U11" s="172">
        <f t="shared" si="5"/>
        <v>110.2</v>
      </c>
    </row>
    <row r="12" spans="1:21" s="112" customFormat="1" ht="17.399999999999999">
      <c r="A12" s="167">
        <v>60</v>
      </c>
      <c r="B12" s="168">
        <v>60</v>
      </c>
      <c r="C12" s="168">
        <v>5778</v>
      </c>
      <c r="D12" s="176">
        <v>40780</v>
      </c>
      <c r="E12" s="176">
        <v>39479</v>
      </c>
      <c r="F12" s="176">
        <v>39506</v>
      </c>
      <c r="G12" s="168">
        <v>4500</v>
      </c>
      <c r="H12" s="168">
        <v>2250</v>
      </c>
      <c r="I12" s="168">
        <v>3173</v>
      </c>
      <c r="J12" s="168">
        <f t="shared" si="0"/>
        <v>9923</v>
      </c>
      <c r="K12" s="168">
        <f t="shared" si="1"/>
        <v>992</v>
      </c>
      <c r="L12" s="168">
        <v>5000</v>
      </c>
      <c r="M12" s="168">
        <v>2500</v>
      </c>
      <c r="N12" s="168">
        <v>3525</v>
      </c>
      <c r="O12" s="168">
        <f t="shared" si="2"/>
        <v>11025</v>
      </c>
      <c r="P12" s="168">
        <f t="shared" si="3"/>
        <v>1103</v>
      </c>
      <c r="Q12" s="168">
        <f t="shared" si="4"/>
        <v>500</v>
      </c>
      <c r="R12" s="168">
        <f t="shared" si="4"/>
        <v>250</v>
      </c>
      <c r="S12" s="168">
        <f t="shared" si="4"/>
        <v>352</v>
      </c>
      <c r="T12" s="168">
        <f t="shared" si="4"/>
        <v>1102</v>
      </c>
      <c r="U12" s="172">
        <f t="shared" si="5"/>
        <v>110.2</v>
      </c>
    </row>
    <row r="13" spans="1:21" s="112" customFormat="1" ht="17.399999999999999">
      <c r="A13" s="167">
        <v>60</v>
      </c>
      <c r="B13" s="168">
        <v>60</v>
      </c>
      <c r="C13" s="168">
        <v>5778</v>
      </c>
      <c r="D13" s="176">
        <v>40780</v>
      </c>
      <c r="E13" s="176">
        <v>39508</v>
      </c>
      <c r="F13" s="176">
        <v>39538</v>
      </c>
      <c r="G13" s="168">
        <v>4500</v>
      </c>
      <c r="H13" s="168">
        <v>2250</v>
      </c>
      <c r="I13" s="168">
        <v>3173</v>
      </c>
      <c r="J13" s="168">
        <f t="shared" si="0"/>
        <v>9923</v>
      </c>
      <c r="K13" s="168">
        <f t="shared" si="1"/>
        <v>992</v>
      </c>
      <c r="L13" s="168">
        <v>5000</v>
      </c>
      <c r="M13" s="168">
        <v>2500</v>
      </c>
      <c r="N13" s="168">
        <v>3525</v>
      </c>
      <c r="O13" s="168">
        <f t="shared" si="2"/>
        <v>11025</v>
      </c>
      <c r="P13" s="168">
        <f t="shared" si="3"/>
        <v>1103</v>
      </c>
      <c r="Q13" s="168">
        <f t="shared" si="4"/>
        <v>500</v>
      </c>
      <c r="R13" s="168">
        <f t="shared" si="4"/>
        <v>250</v>
      </c>
      <c r="S13" s="168">
        <f t="shared" si="4"/>
        <v>352</v>
      </c>
      <c r="T13" s="168">
        <f t="shared" si="4"/>
        <v>1102</v>
      </c>
      <c r="U13" s="172">
        <f t="shared" si="5"/>
        <v>110.2</v>
      </c>
    </row>
    <row r="14" spans="1:21" ht="4.95" customHeight="1">
      <c r="A14" s="94"/>
      <c r="B14" s="95"/>
      <c r="C14" s="95"/>
      <c r="D14" s="110"/>
      <c r="E14" s="110"/>
      <c r="F14" s="110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155"/>
    </row>
    <row r="15" spans="1:21" s="112" customFormat="1" ht="17.399999999999999">
      <c r="A15" s="167">
        <v>60</v>
      </c>
      <c r="B15" s="168">
        <v>60</v>
      </c>
      <c r="C15" s="168">
        <v>5778</v>
      </c>
      <c r="D15" s="176">
        <v>40780</v>
      </c>
      <c r="E15" s="176">
        <v>39539</v>
      </c>
      <c r="F15" s="176">
        <v>39568</v>
      </c>
      <c r="G15" s="168">
        <v>4500</v>
      </c>
      <c r="H15" s="168">
        <v>2250</v>
      </c>
      <c r="I15" s="168">
        <v>3173</v>
      </c>
      <c r="J15" s="168">
        <f t="shared" si="0"/>
        <v>9923</v>
      </c>
      <c r="K15" s="168">
        <f t="shared" si="1"/>
        <v>992</v>
      </c>
      <c r="L15" s="168">
        <v>5000</v>
      </c>
      <c r="M15" s="168">
        <v>2500</v>
      </c>
      <c r="N15" s="168">
        <v>3525</v>
      </c>
      <c r="O15" s="168">
        <f t="shared" si="2"/>
        <v>11025</v>
      </c>
      <c r="P15" s="168">
        <f t="shared" si="3"/>
        <v>1103</v>
      </c>
      <c r="Q15" s="168">
        <f t="shared" si="4"/>
        <v>500</v>
      </c>
      <c r="R15" s="168">
        <f t="shared" si="4"/>
        <v>250</v>
      </c>
      <c r="S15" s="168">
        <f t="shared" si="4"/>
        <v>352</v>
      </c>
      <c r="T15" s="168">
        <f t="shared" si="4"/>
        <v>1102</v>
      </c>
      <c r="U15" s="172">
        <f t="shared" si="5"/>
        <v>110.2</v>
      </c>
    </row>
    <row r="16" spans="1:21" s="112" customFormat="1" ht="17.399999999999999">
      <c r="A16" s="167">
        <v>60</v>
      </c>
      <c r="B16" s="168">
        <v>60</v>
      </c>
      <c r="C16" s="168">
        <v>5778</v>
      </c>
      <c r="D16" s="176">
        <v>40780</v>
      </c>
      <c r="E16" s="176">
        <v>39569</v>
      </c>
      <c r="F16" s="176">
        <v>39599</v>
      </c>
      <c r="G16" s="168">
        <v>4500</v>
      </c>
      <c r="H16" s="168">
        <v>2250</v>
      </c>
      <c r="I16" s="168">
        <v>3173</v>
      </c>
      <c r="J16" s="168">
        <f t="shared" si="0"/>
        <v>9923</v>
      </c>
      <c r="K16" s="168">
        <f t="shared" si="1"/>
        <v>992</v>
      </c>
      <c r="L16" s="168">
        <v>5000</v>
      </c>
      <c r="M16" s="168">
        <v>2500</v>
      </c>
      <c r="N16" s="168">
        <v>3525</v>
      </c>
      <c r="O16" s="168">
        <f t="shared" si="2"/>
        <v>11025</v>
      </c>
      <c r="P16" s="168">
        <f t="shared" si="3"/>
        <v>1103</v>
      </c>
      <c r="Q16" s="168">
        <f t="shared" si="4"/>
        <v>500</v>
      </c>
      <c r="R16" s="168">
        <f t="shared" si="4"/>
        <v>250</v>
      </c>
      <c r="S16" s="168">
        <f t="shared" si="4"/>
        <v>352</v>
      </c>
      <c r="T16" s="168">
        <f t="shared" si="4"/>
        <v>1102</v>
      </c>
      <c r="U16" s="172">
        <f t="shared" si="5"/>
        <v>110.2</v>
      </c>
    </row>
    <row r="17" spans="1:21" s="112" customFormat="1" ht="17.399999999999999">
      <c r="A17" s="167">
        <v>60</v>
      </c>
      <c r="B17" s="168">
        <v>60</v>
      </c>
      <c r="C17" s="168">
        <v>5778</v>
      </c>
      <c r="D17" s="176">
        <v>40780</v>
      </c>
      <c r="E17" s="176">
        <v>39600</v>
      </c>
      <c r="F17" s="176">
        <v>39629</v>
      </c>
      <c r="G17" s="168">
        <v>4500</v>
      </c>
      <c r="H17" s="168">
        <v>2250</v>
      </c>
      <c r="I17" s="168">
        <v>3173</v>
      </c>
      <c r="J17" s="168">
        <f t="shared" si="0"/>
        <v>9923</v>
      </c>
      <c r="K17" s="168">
        <f t="shared" si="1"/>
        <v>992</v>
      </c>
      <c r="L17" s="168">
        <v>5150</v>
      </c>
      <c r="M17" s="168">
        <v>2575</v>
      </c>
      <c r="N17" s="168">
        <v>3631</v>
      </c>
      <c r="O17" s="168">
        <f t="shared" si="2"/>
        <v>11356</v>
      </c>
      <c r="P17" s="168">
        <f t="shared" si="3"/>
        <v>1136</v>
      </c>
      <c r="Q17" s="168">
        <f t="shared" si="4"/>
        <v>650</v>
      </c>
      <c r="R17" s="168">
        <f t="shared" si="4"/>
        <v>325</v>
      </c>
      <c r="S17" s="168">
        <f t="shared" si="4"/>
        <v>458</v>
      </c>
      <c r="T17" s="168">
        <f t="shared" si="4"/>
        <v>1433</v>
      </c>
      <c r="U17" s="172">
        <f t="shared" si="5"/>
        <v>143.30000000000001</v>
      </c>
    </row>
    <row r="18" spans="1:21" s="112" customFormat="1" ht="17.399999999999999">
      <c r="A18" s="167">
        <v>60</v>
      </c>
      <c r="B18" s="168">
        <v>60</v>
      </c>
      <c r="C18" s="168">
        <v>5778</v>
      </c>
      <c r="D18" s="176">
        <v>40780</v>
      </c>
      <c r="E18" s="176">
        <v>39630</v>
      </c>
      <c r="F18" s="176">
        <v>39660</v>
      </c>
      <c r="G18" s="168">
        <v>4625</v>
      </c>
      <c r="H18" s="168">
        <v>2313</v>
      </c>
      <c r="I18" s="168">
        <v>3747</v>
      </c>
      <c r="J18" s="168">
        <f t="shared" si="0"/>
        <v>10685</v>
      </c>
      <c r="K18" s="168">
        <f t="shared" si="1"/>
        <v>1069</v>
      </c>
      <c r="L18" s="168">
        <v>5150</v>
      </c>
      <c r="M18" s="168">
        <v>2575</v>
      </c>
      <c r="N18" s="168">
        <v>4172</v>
      </c>
      <c r="O18" s="168">
        <f t="shared" si="2"/>
        <v>11897</v>
      </c>
      <c r="P18" s="168">
        <f t="shared" si="3"/>
        <v>1190</v>
      </c>
      <c r="Q18" s="168">
        <f t="shared" si="4"/>
        <v>525</v>
      </c>
      <c r="R18" s="168">
        <f t="shared" si="4"/>
        <v>262</v>
      </c>
      <c r="S18" s="168">
        <f t="shared" si="4"/>
        <v>425</v>
      </c>
      <c r="T18" s="168">
        <f t="shared" si="4"/>
        <v>1212</v>
      </c>
      <c r="U18" s="172">
        <f t="shared" si="5"/>
        <v>121.2</v>
      </c>
    </row>
    <row r="19" spans="1:21" s="112" customFormat="1" ht="17.399999999999999">
      <c r="A19" s="167">
        <v>60</v>
      </c>
      <c r="B19" s="168">
        <v>60</v>
      </c>
      <c r="C19" s="168">
        <v>5778</v>
      </c>
      <c r="D19" s="176">
        <v>40780</v>
      </c>
      <c r="E19" s="176">
        <v>39661</v>
      </c>
      <c r="F19" s="176">
        <v>39691</v>
      </c>
      <c r="G19" s="168">
        <v>4625</v>
      </c>
      <c r="H19" s="168">
        <v>2313</v>
      </c>
      <c r="I19" s="168">
        <v>3747</v>
      </c>
      <c r="J19" s="168">
        <f t="shared" si="0"/>
        <v>10685</v>
      </c>
      <c r="K19" s="168">
        <f t="shared" si="1"/>
        <v>1069</v>
      </c>
      <c r="L19" s="168">
        <v>5150</v>
      </c>
      <c r="M19" s="168">
        <v>2575</v>
      </c>
      <c r="N19" s="168">
        <v>4172</v>
      </c>
      <c r="O19" s="168">
        <f t="shared" si="2"/>
        <v>11897</v>
      </c>
      <c r="P19" s="168">
        <f t="shared" si="3"/>
        <v>1190</v>
      </c>
      <c r="Q19" s="168">
        <f t="shared" si="4"/>
        <v>525</v>
      </c>
      <c r="R19" s="168">
        <f t="shared" si="4"/>
        <v>262</v>
      </c>
      <c r="S19" s="168" t="s">
        <v>513</v>
      </c>
      <c r="T19" s="168">
        <f t="shared" si="4"/>
        <v>1212</v>
      </c>
      <c r="U19" s="172">
        <f t="shared" si="5"/>
        <v>121.2</v>
      </c>
    </row>
    <row r="20" spans="1:21" s="112" customFormat="1" ht="17.399999999999999">
      <c r="A20" s="167">
        <v>60</v>
      </c>
      <c r="B20" s="168">
        <v>60</v>
      </c>
      <c r="C20" s="168">
        <v>5778</v>
      </c>
      <c r="D20" s="176">
        <v>40780</v>
      </c>
      <c r="E20" s="176">
        <v>39692</v>
      </c>
      <c r="F20" s="176">
        <v>39721</v>
      </c>
      <c r="G20" s="168">
        <v>4625</v>
      </c>
      <c r="H20" s="168">
        <v>2313</v>
      </c>
      <c r="I20" s="168">
        <v>3747</v>
      </c>
      <c r="J20" s="168">
        <f t="shared" si="0"/>
        <v>10685</v>
      </c>
      <c r="K20" s="168">
        <f t="shared" si="1"/>
        <v>1069</v>
      </c>
      <c r="L20" s="168">
        <v>5150</v>
      </c>
      <c r="M20" s="168">
        <v>2575</v>
      </c>
      <c r="N20" s="168">
        <v>4172</v>
      </c>
      <c r="O20" s="168">
        <f t="shared" si="2"/>
        <v>11897</v>
      </c>
      <c r="P20" s="168">
        <f t="shared" si="3"/>
        <v>1190</v>
      </c>
      <c r="Q20" s="168">
        <f t="shared" si="4"/>
        <v>525</v>
      </c>
      <c r="R20" s="168">
        <f t="shared" si="4"/>
        <v>262</v>
      </c>
      <c r="S20" s="168">
        <f t="shared" si="4"/>
        <v>425</v>
      </c>
      <c r="T20" s="168">
        <f t="shared" si="4"/>
        <v>1212</v>
      </c>
      <c r="U20" s="172">
        <f t="shared" si="5"/>
        <v>121.2</v>
      </c>
    </row>
    <row r="21" spans="1:21" s="112" customFormat="1" ht="17.399999999999999">
      <c r="A21" s="167">
        <v>60</v>
      </c>
      <c r="B21" s="168">
        <v>60</v>
      </c>
      <c r="C21" s="168">
        <v>5778</v>
      </c>
      <c r="D21" s="176">
        <v>40780</v>
      </c>
      <c r="E21" s="176">
        <v>39722</v>
      </c>
      <c r="F21" s="176">
        <v>39752</v>
      </c>
      <c r="G21" s="168">
        <v>4625</v>
      </c>
      <c r="H21" s="168">
        <v>2313</v>
      </c>
      <c r="I21" s="168">
        <v>3747</v>
      </c>
      <c r="J21" s="168">
        <f t="shared" si="0"/>
        <v>10685</v>
      </c>
      <c r="K21" s="168">
        <f t="shared" si="1"/>
        <v>1069</v>
      </c>
      <c r="L21" s="168">
        <v>5150</v>
      </c>
      <c r="M21" s="168">
        <v>2575</v>
      </c>
      <c r="N21" s="168">
        <v>4172</v>
      </c>
      <c r="O21" s="168">
        <f t="shared" si="2"/>
        <v>11897</v>
      </c>
      <c r="P21" s="168">
        <f t="shared" si="3"/>
        <v>1190</v>
      </c>
      <c r="Q21" s="168">
        <f t="shared" si="4"/>
        <v>525</v>
      </c>
      <c r="R21" s="168">
        <f t="shared" si="4"/>
        <v>262</v>
      </c>
      <c r="S21" s="168">
        <f t="shared" si="4"/>
        <v>425</v>
      </c>
      <c r="T21" s="168">
        <f t="shared" si="4"/>
        <v>1212</v>
      </c>
      <c r="U21" s="172">
        <f t="shared" si="5"/>
        <v>121.2</v>
      </c>
    </row>
    <row r="22" spans="1:21" s="112" customFormat="1" ht="17.399999999999999">
      <c r="A22" s="167">
        <v>60</v>
      </c>
      <c r="B22" s="168">
        <v>60</v>
      </c>
      <c r="C22" s="168">
        <v>5778</v>
      </c>
      <c r="D22" s="176">
        <v>40780</v>
      </c>
      <c r="E22" s="176">
        <v>39753</v>
      </c>
      <c r="F22" s="176">
        <v>39782</v>
      </c>
      <c r="G22" s="168">
        <v>4625</v>
      </c>
      <c r="H22" s="168">
        <v>2313</v>
      </c>
      <c r="I22" s="168">
        <v>3747</v>
      </c>
      <c r="J22" s="168">
        <f t="shared" si="0"/>
        <v>10685</v>
      </c>
      <c r="K22" s="168">
        <f t="shared" si="1"/>
        <v>1069</v>
      </c>
      <c r="L22" s="168">
        <v>5150</v>
      </c>
      <c r="M22" s="168">
        <v>2575</v>
      </c>
      <c r="N22" s="168">
        <v>4172</v>
      </c>
      <c r="O22" s="168">
        <f t="shared" si="2"/>
        <v>11897</v>
      </c>
      <c r="P22" s="168">
        <f t="shared" si="3"/>
        <v>1190</v>
      </c>
      <c r="Q22" s="168">
        <f t="shared" si="4"/>
        <v>525</v>
      </c>
      <c r="R22" s="168">
        <f t="shared" si="4"/>
        <v>262</v>
      </c>
      <c r="S22" s="168">
        <f t="shared" si="4"/>
        <v>425</v>
      </c>
      <c r="T22" s="168">
        <f t="shared" si="4"/>
        <v>1212</v>
      </c>
      <c r="U22" s="172">
        <f t="shared" si="5"/>
        <v>121.2</v>
      </c>
    </row>
    <row r="23" spans="1:21" s="112" customFormat="1" ht="17.399999999999999">
      <c r="A23" s="167">
        <v>60</v>
      </c>
      <c r="B23" s="168">
        <v>60</v>
      </c>
      <c r="C23" s="168">
        <v>5778</v>
      </c>
      <c r="D23" s="176">
        <v>40780</v>
      </c>
      <c r="E23" s="176">
        <v>39783</v>
      </c>
      <c r="F23" s="176">
        <v>39813</v>
      </c>
      <c r="G23" s="168">
        <v>4625</v>
      </c>
      <c r="H23" s="168">
        <v>2313</v>
      </c>
      <c r="I23" s="168">
        <v>3747</v>
      </c>
      <c r="J23" s="168">
        <f t="shared" si="0"/>
        <v>10685</v>
      </c>
      <c r="K23" s="168">
        <f t="shared" si="1"/>
        <v>1069</v>
      </c>
      <c r="L23" s="168">
        <v>5150</v>
      </c>
      <c r="M23" s="168">
        <v>2575</v>
      </c>
      <c r="N23" s="168">
        <v>4172</v>
      </c>
      <c r="O23" s="168">
        <f t="shared" si="2"/>
        <v>11897</v>
      </c>
      <c r="P23" s="168">
        <f t="shared" si="3"/>
        <v>1190</v>
      </c>
      <c r="Q23" s="168">
        <f t="shared" si="4"/>
        <v>525</v>
      </c>
      <c r="R23" s="168">
        <f t="shared" si="4"/>
        <v>262</v>
      </c>
      <c r="S23" s="168">
        <f t="shared" si="4"/>
        <v>425</v>
      </c>
      <c r="T23" s="168">
        <f t="shared" si="4"/>
        <v>1212</v>
      </c>
      <c r="U23" s="172">
        <f t="shared" si="5"/>
        <v>121.2</v>
      </c>
    </row>
    <row r="24" spans="1:21" s="112" customFormat="1" ht="17.399999999999999">
      <c r="A24" s="167">
        <v>60</v>
      </c>
      <c r="B24" s="168">
        <v>60</v>
      </c>
      <c r="C24" s="168">
        <v>5778</v>
      </c>
      <c r="D24" s="176">
        <v>40780</v>
      </c>
      <c r="E24" s="176">
        <v>39814</v>
      </c>
      <c r="F24" s="176">
        <v>39844</v>
      </c>
      <c r="G24" s="168">
        <v>4625</v>
      </c>
      <c r="H24" s="168">
        <v>2313</v>
      </c>
      <c r="I24" s="168">
        <v>3747</v>
      </c>
      <c r="J24" s="168">
        <f t="shared" si="0"/>
        <v>10685</v>
      </c>
      <c r="K24" s="168">
        <f t="shared" si="1"/>
        <v>1069</v>
      </c>
      <c r="L24" s="168">
        <v>5150</v>
      </c>
      <c r="M24" s="168">
        <v>2575</v>
      </c>
      <c r="N24" s="168">
        <v>4172</v>
      </c>
      <c r="O24" s="168">
        <f t="shared" si="2"/>
        <v>11897</v>
      </c>
      <c r="P24" s="168">
        <f t="shared" si="3"/>
        <v>1190</v>
      </c>
      <c r="Q24" s="168">
        <f t="shared" si="4"/>
        <v>525</v>
      </c>
      <c r="R24" s="168">
        <f t="shared" si="4"/>
        <v>262</v>
      </c>
      <c r="S24" s="168">
        <f t="shared" si="4"/>
        <v>425</v>
      </c>
      <c r="T24" s="168">
        <f t="shared" si="4"/>
        <v>1212</v>
      </c>
      <c r="U24" s="172">
        <f t="shared" si="5"/>
        <v>121.2</v>
      </c>
    </row>
    <row r="25" spans="1:21" s="112" customFormat="1" ht="17.399999999999999">
      <c r="A25" s="167">
        <v>60</v>
      </c>
      <c r="B25" s="168">
        <v>60</v>
      </c>
      <c r="C25" s="168">
        <v>5778</v>
      </c>
      <c r="D25" s="176">
        <v>40780</v>
      </c>
      <c r="E25" s="176">
        <v>39845</v>
      </c>
      <c r="F25" s="176">
        <v>39872</v>
      </c>
      <c r="G25" s="168">
        <v>4625</v>
      </c>
      <c r="H25" s="168">
        <v>2313</v>
      </c>
      <c r="I25" s="168">
        <v>3747</v>
      </c>
      <c r="J25" s="168">
        <f t="shared" si="0"/>
        <v>10685</v>
      </c>
      <c r="K25" s="168">
        <f t="shared" si="1"/>
        <v>1069</v>
      </c>
      <c r="L25" s="168">
        <v>5150</v>
      </c>
      <c r="M25" s="168">
        <v>2575</v>
      </c>
      <c r="N25" s="168">
        <v>4172</v>
      </c>
      <c r="O25" s="168">
        <f t="shared" si="2"/>
        <v>11897</v>
      </c>
      <c r="P25" s="168">
        <f t="shared" si="3"/>
        <v>1190</v>
      </c>
      <c r="Q25" s="168">
        <f t="shared" si="4"/>
        <v>525</v>
      </c>
      <c r="R25" s="168">
        <f t="shared" si="4"/>
        <v>262</v>
      </c>
      <c r="S25" s="168">
        <f t="shared" si="4"/>
        <v>425</v>
      </c>
      <c r="T25" s="168">
        <f t="shared" si="4"/>
        <v>1212</v>
      </c>
      <c r="U25" s="172">
        <f t="shared" si="5"/>
        <v>121.2</v>
      </c>
    </row>
    <row r="26" spans="1:21" s="112" customFormat="1" ht="17.399999999999999">
      <c r="A26" s="167">
        <v>60</v>
      </c>
      <c r="B26" s="168">
        <v>60</v>
      </c>
      <c r="C26" s="168">
        <v>5778</v>
      </c>
      <c r="D26" s="176">
        <v>40780</v>
      </c>
      <c r="E26" s="176">
        <v>39873</v>
      </c>
      <c r="F26" s="176">
        <v>39903</v>
      </c>
      <c r="G26" s="168">
        <v>4625</v>
      </c>
      <c r="H26" s="168">
        <v>2313</v>
      </c>
      <c r="I26" s="168">
        <v>3747</v>
      </c>
      <c r="J26" s="168">
        <f t="shared" si="0"/>
        <v>10685</v>
      </c>
      <c r="K26" s="168">
        <f t="shared" si="1"/>
        <v>1069</v>
      </c>
      <c r="L26" s="168">
        <v>5150</v>
      </c>
      <c r="M26" s="168">
        <v>2575</v>
      </c>
      <c r="N26" s="168">
        <v>4172</v>
      </c>
      <c r="O26" s="168">
        <f t="shared" si="2"/>
        <v>11897</v>
      </c>
      <c r="P26" s="168">
        <f t="shared" si="3"/>
        <v>1190</v>
      </c>
      <c r="Q26" s="168">
        <f t="shared" si="4"/>
        <v>525</v>
      </c>
      <c r="R26" s="168">
        <f t="shared" si="4"/>
        <v>262</v>
      </c>
      <c r="S26" s="168">
        <f t="shared" si="4"/>
        <v>425</v>
      </c>
      <c r="T26" s="168">
        <f t="shared" si="4"/>
        <v>1212</v>
      </c>
      <c r="U26" s="172">
        <f t="shared" si="5"/>
        <v>121.2</v>
      </c>
    </row>
    <row r="27" spans="1:21" ht="4.95" customHeight="1">
      <c r="A27" s="94"/>
      <c r="B27" s="95"/>
      <c r="C27" s="95"/>
      <c r="D27" s="110"/>
      <c r="E27" s="110"/>
      <c r="F27" s="110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155"/>
    </row>
    <row r="28" spans="1:21" s="112" customFormat="1" ht="17.25" customHeight="1">
      <c r="A28" s="167">
        <v>60</v>
      </c>
      <c r="B28" s="168">
        <v>60</v>
      </c>
      <c r="C28" s="168">
        <v>5778</v>
      </c>
      <c r="D28" s="176">
        <v>40780</v>
      </c>
      <c r="E28" s="176">
        <v>39904</v>
      </c>
      <c r="F28" s="168" t="s">
        <v>335</v>
      </c>
      <c r="G28" s="168">
        <v>4625</v>
      </c>
      <c r="H28" s="168">
        <v>2313</v>
      </c>
      <c r="I28" s="168">
        <v>3747</v>
      </c>
      <c r="J28" s="168">
        <f t="shared" si="0"/>
        <v>10685</v>
      </c>
      <c r="K28" s="168">
        <f t="shared" si="1"/>
        <v>1069</v>
      </c>
      <c r="L28" s="168">
        <v>5150</v>
      </c>
      <c r="M28" s="168">
        <v>2575</v>
      </c>
      <c r="N28" s="168">
        <v>4172</v>
      </c>
      <c r="O28" s="168">
        <f t="shared" si="2"/>
        <v>11897</v>
      </c>
      <c r="P28" s="168">
        <f t="shared" si="3"/>
        <v>1190</v>
      </c>
      <c r="Q28" s="168">
        <f t="shared" si="4"/>
        <v>525</v>
      </c>
      <c r="R28" s="168">
        <f t="shared" si="4"/>
        <v>262</v>
      </c>
      <c r="S28" s="168">
        <f t="shared" si="4"/>
        <v>425</v>
      </c>
      <c r="T28" s="168">
        <f t="shared" si="4"/>
        <v>1212</v>
      </c>
      <c r="U28" s="172">
        <f t="shared" si="5"/>
        <v>121.2</v>
      </c>
    </row>
    <row r="29" spans="1:21" s="112" customFormat="1" ht="17.25" customHeight="1">
      <c r="A29" s="167">
        <v>60</v>
      </c>
      <c r="B29" s="168">
        <v>60</v>
      </c>
      <c r="C29" s="168">
        <v>5778</v>
      </c>
      <c r="D29" s="176">
        <v>40780</v>
      </c>
      <c r="E29" s="176">
        <v>39934</v>
      </c>
      <c r="F29" s="176">
        <v>39963</v>
      </c>
      <c r="G29" s="168">
        <v>4625</v>
      </c>
      <c r="H29" s="168">
        <v>2313</v>
      </c>
      <c r="I29" s="168">
        <v>3747</v>
      </c>
      <c r="J29" s="168">
        <f t="shared" si="0"/>
        <v>10685</v>
      </c>
      <c r="K29" s="168">
        <f t="shared" si="1"/>
        <v>1069</v>
      </c>
      <c r="L29" s="168">
        <v>5150</v>
      </c>
      <c r="M29" s="168">
        <v>2575</v>
      </c>
      <c r="N29" s="168">
        <v>4172</v>
      </c>
      <c r="O29" s="168">
        <f t="shared" si="2"/>
        <v>11897</v>
      </c>
      <c r="P29" s="168">
        <f t="shared" si="3"/>
        <v>1190</v>
      </c>
      <c r="Q29" s="168">
        <f t="shared" si="4"/>
        <v>525</v>
      </c>
      <c r="R29" s="168">
        <f t="shared" si="4"/>
        <v>262</v>
      </c>
      <c r="S29" s="168">
        <f t="shared" si="4"/>
        <v>425</v>
      </c>
      <c r="T29" s="168">
        <f t="shared" si="4"/>
        <v>1212</v>
      </c>
      <c r="U29" s="172">
        <f t="shared" si="5"/>
        <v>121.2</v>
      </c>
    </row>
    <row r="30" spans="1:21" s="112" customFormat="1" ht="17.399999999999999">
      <c r="A30" s="167">
        <v>60</v>
      </c>
      <c r="B30" s="168">
        <v>60</v>
      </c>
      <c r="C30" s="168">
        <v>5778</v>
      </c>
      <c r="D30" s="176">
        <v>40780</v>
      </c>
      <c r="E30" s="176">
        <v>39965</v>
      </c>
      <c r="F30" s="176">
        <v>39994</v>
      </c>
      <c r="G30" s="168">
        <v>4625</v>
      </c>
      <c r="H30" s="168">
        <v>2313</v>
      </c>
      <c r="I30" s="168">
        <v>3747</v>
      </c>
      <c r="J30" s="168">
        <f t="shared" si="0"/>
        <v>10685</v>
      </c>
      <c r="K30" s="168">
        <f t="shared" si="1"/>
        <v>1069</v>
      </c>
      <c r="L30" s="168">
        <v>5300</v>
      </c>
      <c r="M30" s="168">
        <v>2650</v>
      </c>
      <c r="N30" s="168">
        <v>4293</v>
      </c>
      <c r="O30" s="168">
        <f t="shared" si="2"/>
        <v>12243</v>
      </c>
      <c r="P30" s="168">
        <f t="shared" si="3"/>
        <v>1224</v>
      </c>
      <c r="Q30" s="168">
        <f t="shared" si="4"/>
        <v>675</v>
      </c>
      <c r="R30" s="168">
        <f t="shared" si="4"/>
        <v>337</v>
      </c>
      <c r="S30" s="168">
        <f t="shared" si="4"/>
        <v>546</v>
      </c>
      <c r="T30" s="168">
        <f t="shared" si="4"/>
        <v>1558</v>
      </c>
      <c r="U30" s="172">
        <f t="shared" si="5"/>
        <v>155.80000000000001</v>
      </c>
    </row>
    <row r="31" spans="1:21" s="112" customFormat="1" ht="17.399999999999999">
      <c r="A31" s="167">
        <v>60</v>
      </c>
      <c r="B31" s="168">
        <v>60</v>
      </c>
      <c r="C31" s="168">
        <v>5778</v>
      </c>
      <c r="D31" s="176">
        <v>40780</v>
      </c>
      <c r="E31" s="176">
        <v>39995</v>
      </c>
      <c r="F31" s="176">
        <v>40025</v>
      </c>
      <c r="G31" s="168">
        <v>4625</v>
      </c>
      <c r="H31" s="168">
        <v>2313</v>
      </c>
      <c r="I31" s="168">
        <v>3747</v>
      </c>
      <c r="J31" s="168">
        <f t="shared" si="0"/>
        <v>10685</v>
      </c>
      <c r="K31" s="168">
        <f t="shared" si="1"/>
        <v>1069</v>
      </c>
      <c r="L31" s="168">
        <v>5300</v>
      </c>
      <c r="M31" s="168">
        <v>2650</v>
      </c>
      <c r="N31" s="168">
        <v>4293</v>
      </c>
      <c r="O31" s="168">
        <f t="shared" si="2"/>
        <v>12243</v>
      </c>
      <c r="P31" s="168">
        <f t="shared" si="3"/>
        <v>1224</v>
      </c>
      <c r="Q31" s="168">
        <f t="shared" si="4"/>
        <v>675</v>
      </c>
      <c r="R31" s="168">
        <f t="shared" si="4"/>
        <v>337</v>
      </c>
      <c r="S31" s="168">
        <f t="shared" si="4"/>
        <v>546</v>
      </c>
      <c r="T31" s="168">
        <f t="shared" si="4"/>
        <v>1558</v>
      </c>
      <c r="U31" s="172">
        <f t="shared" si="5"/>
        <v>155.80000000000001</v>
      </c>
    </row>
    <row r="32" spans="1:21" s="112" customFormat="1" ht="17.399999999999999">
      <c r="A32" s="167">
        <v>60</v>
      </c>
      <c r="B32" s="168">
        <v>60</v>
      </c>
      <c r="C32" s="168">
        <v>5778</v>
      </c>
      <c r="D32" s="176">
        <v>40780</v>
      </c>
      <c r="E32" s="176">
        <v>40026</v>
      </c>
      <c r="F32" s="176">
        <v>40056</v>
      </c>
      <c r="G32" s="168">
        <v>4625</v>
      </c>
      <c r="H32" s="168">
        <v>2313</v>
      </c>
      <c r="I32" s="168">
        <v>3747</v>
      </c>
      <c r="J32" s="168">
        <f t="shared" si="0"/>
        <v>10685</v>
      </c>
      <c r="K32" s="168">
        <f t="shared" si="1"/>
        <v>1069</v>
      </c>
      <c r="L32" s="168">
        <v>5300</v>
      </c>
      <c r="M32" s="168">
        <v>2650</v>
      </c>
      <c r="N32" s="168">
        <v>4293</v>
      </c>
      <c r="O32" s="168">
        <f t="shared" si="2"/>
        <v>12243</v>
      </c>
      <c r="P32" s="168">
        <f t="shared" si="3"/>
        <v>1224</v>
      </c>
      <c r="Q32" s="168">
        <f t="shared" si="4"/>
        <v>675</v>
      </c>
      <c r="R32" s="168">
        <f t="shared" si="4"/>
        <v>337</v>
      </c>
      <c r="S32" s="168">
        <f t="shared" si="4"/>
        <v>546</v>
      </c>
      <c r="T32" s="168">
        <f t="shared" si="4"/>
        <v>1558</v>
      </c>
      <c r="U32" s="172">
        <f t="shared" si="5"/>
        <v>155.80000000000001</v>
      </c>
    </row>
    <row r="33" spans="1:21" s="112" customFormat="1" ht="17.399999999999999">
      <c r="A33" s="167">
        <v>60</v>
      </c>
      <c r="B33" s="168">
        <v>60</v>
      </c>
      <c r="C33" s="168">
        <v>5778</v>
      </c>
      <c r="D33" s="176">
        <v>40780</v>
      </c>
      <c r="E33" s="176">
        <v>40057</v>
      </c>
      <c r="F33" s="176">
        <v>40086</v>
      </c>
      <c r="G33" s="168">
        <v>4625</v>
      </c>
      <c r="H33" s="168">
        <v>2313</v>
      </c>
      <c r="I33" s="168">
        <v>3747</v>
      </c>
      <c r="J33" s="168">
        <f t="shared" si="0"/>
        <v>10685</v>
      </c>
      <c r="K33" s="168">
        <f t="shared" si="1"/>
        <v>1069</v>
      </c>
      <c r="L33" s="168">
        <v>5300</v>
      </c>
      <c r="M33" s="168">
        <v>2650</v>
      </c>
      <c r="N33" s="168">
        <v>4293</v>
      </c>
      <c r="O33" s="168">
        <f t="shared" si="2"/>
        <v>12243</v>
      </c>
      <c r="P33" s="168">
        <f t="shared" si="3"/>
        <v>1224</v>
      </c>
      <c r="Q33" s="168">
        <f t="shared" si="4"/>
        <v>675</v>
      </c>
      <c r="R33" s="168">
        <f t="shared" si="4"/>
        <v>337</v>
      </c>
      <c r="S33" s="168">
        <f t="shared" si="4"/>
        <v>546</v>
      </c>
      <c r="T33" s="168">
        <f t="shared" si="4"/>
        <v>1558</v>
      </c>
      <c r="U33" s="172">
        <f t="shared" si="5"/>
        <v>155.80000000000001</v>
      </c>
    </row>
    <row r="34" spans="1:21" s="112" customFormat="1" ht="17.399999999999999">
      <c r="A34" s="167">
        <v>60</v>
      </c>
      <c r="B34" s="168">
        <v>60</v>
      </c>
      <c r="C34" s="168">
        <v>5778</v>
      </c>
      <c r="D34" s="176">
        <v>40780</v>
      </c>
      <c r="E34" s="176">
        <v>40087</v>
      </c>
      <c r="F34" s="176">
        <v>40117</v>
      </c>
      <c r="G34" s="168">
        <v>4625</v>
      </c>
      <c r="H34" s="168">
        <v>2313</v>
      </c>
      <c r="I34" s="168">
        <v>3747</v>
      </c>
      <c r="J34" s="168">
        <f t="shared" si="0"/>
        <v>10685</v>
      </c>
      <c r="K34" s="168">
        <f t="shared" si="1"/>
        <v>1069</v>
      </c>
      <c r="L34" s="168">
        <v>5300</v>
      </c>
      <c r="M34" s="168">
        <v>2650</v>
      </c>
      <c r="N34" s="168">
        <v>4293</v>
      </c>
      <c r="O34" s="168">
        <f t="shared" si="2"/>
        <v>12243</v>
      </c>
      <c r="P34" s="168">
        <f t="shared" si="3"/>
        <v>1224</v>
      </c>
      <c r="Q34" s="168">
        <f t="shared" si="4"/>
        <v>675</v>
      </c>
      <c r="R34" s="168">
        <f t="shared" si="4"/>
        <v>337</v>
      </c>
      <c r="S34" s="168">
        <f t="shared" si="4"/>
        <v>546</v>
      </c>
      <c r="T34" s="168">
        <f t="shared" si="4"/>
        <v>1558</v>
      </c>
      <c r="U34" s="172">
        <f t="shared" si="5"/>
        <v>155.80000000000001</v>
      </c>
    </row>
    <row r="35" spans="1:21" s="112" customFormat="1" ht="17.399999999999999">
      <c r="A35" s="167">
        <v>60</v>
      </c>
      <c r="B35" s="168">
        <v>60</v>
      </c>
      <c r="C35" s="168">
        <v>5778</v>
      </c>
      <c r="D35" s="176">
        <v>40780</v>
      </c>
      <c r="E35" s="176">
        <v>40118</v>
      </c>
      <c r="F35" s="176">
        <v>40147</v>
      </c>
      <c r="G35" s="168">
        <v>4625</v>
      </c>
      <c r="H35" s="168">
        <v>2313</v>
      </c>
      <c r="I35" s="168">
        <v>3747</v>
      </c>
      <c r="J35" s="168">
        <f t="shared" si="0"/>
        <v>10685</v>
      </c>
      <c r="K35" s="168">
        <f t="shared" si="1"/>
        <v>1069</v>
      </c>
      <c r="L35" s="168">
        <v>5300</v>
      </c>
      <c r="M35" s="168">
        <v>2650</v>
      </c>
      <c r="N35" s="168">
        <v>4293</v>
      </c>
      <c r="O35" s="168">
        <f t="shared" si="2"/>
        <v>12243</v>
      </c>
      <c r="P35" s="168">
        <f t="shared" si="3"/>
        <v>1224</v>
      </c>
      <c r="Q35" s="168">
        <f t="shared" si="4"/>
        <v>675</v>
      </c>
      <c r="R35" s="168">
        <f t="shared" si="4"/>
        <v>337</v>
      </c>
      <c r="S35" s="168">
        <f t="shared" si="4"/>
        <v>546</v>
      </c>
      <c r="T35" s="168">
        <f t="shared" si="4"/>
        <v>1558</v>
      </c>
      <c r="U35" s="172">
        <f t="shared" si="5"/>
        <v>155.80000000000001</v>
      </c>
    </row>
    <row r="36" spans="1:21" s="112" customFormat="1" ht="17.399999999999999">
      <c r="A36" s="167">
        <v>60</v>
      </c>
      <c r="B36" s="168">
        <v>60</v>
      </c>
      <c r="C36" s="168">
        <v>5778</v>
      </c>
      <c r="D36" s="176">
        <v>40780</v>
      </c>
      <c r="E36" s="176">
        <v>40148</v>
      </c>
      <c r="F36" s="176">
        <v>40178</v>
      </c>
      <c r="G36" s="168">
        <v>4625</v>
      </c>
      <c r="H36" s="168">
        <v>2313</v>
      </c>
      <c r="I36" s="168">
        <v>3747</v>
      </c>
      <c r="J36" s="168">
        <f t="shared" si="0"/>
        <v>10685</v>
      </c>
      <c r="K36" s="168">
        <f t="shared" si="1"/>
        <v>1069</v>
      </c>
      <c r="L36" s="168">
        <v>5300</v>
      </c>
      <c r="M36" s="168">
        <v>2650</v>
      </c>
      <c r="N36" s="168">
        <v>4293</v>
      </c>
      <c r="O36" s="168">
        <f t="shared" si="2"/>
        <v>12243</v>
      </c>
      <c r="P36" s="168">
        <f t="shared" si="3"/>
        <v>1224</v>
      </c>
      <c r="Q36" s="168">
        <f t="shared" si="4"/>
        <v>675</v>
      </c>
      <c r="R36" s="168">
        <f t="shared" si="4"/>
        <v>337</v>
      </c>
      <c r="S36" s="168">
        <f t="shared" si="4"/>
        <v>546</v>
      </c>
      <c r="T36" s="168">
        <f t="shared" si="4"/>
        <v>1558</v>
      </c>
      <c r="U36" s="172">
        <f t="shared" si="5"/>
        <v>155.80000000000001</v>
      </c>
    </row>
    <row r="37" spans="1:21" s="112" customFormat="1" ht="17.399999999999999">
      <c r="A37" s="167">
        <v>60</v>
      </c>
      <c r="B37" s="168">
        <v>60</v>
      </c>
      <c r="C37" s="168">
        <v>5778</v>
      </c>
      <c r="D37" s="176">
        <v>40780</v>
      </c>
      <c r="E37" s="176">
        <v>40179</v>
      </c>
      <c r="F37" s="176">
        <v>40209</v>
      </c>
      <c r="G37" s="168">
        <v>4625</v>
      </c>
      <c r="H37" s="168">
        <v>2313</v>
      </c>
      <c r="I37" s="168">
        <v>3747</v>
      </c>
      <c r="J37" s="168">
        <f t="shared" ref="J37:J39" si="6">G37+H37+I37</f>
        <v>10685</v>
      </c>
      <c r="K37" s="168">
        <f t="shared" ref="K37:K39" si="7">ROUND(J37*10%,0)</f>
        <v>1069</v>
      </c>
      <c r="L37" s="168">
        <v>5300</v>
      </c>
      <c r="M37" s="168">
        <v>2650</v>
      </c>
      <c r="N37" s="168">
        <v>4293</v>
      </c>
      <c r="O37" s="168">
        <f t="shared" ref="O37:O39" si="8">L37+M37+N37</f>
        <v>12243</v>
      </c>
      <c r="P37" s="168">
        <f t="shared" ref="P37:P39" si="9">ROUND(O37*10%,0)</f>
        <v>1224</v>
      </c>
      <c r="Q37" s="168">
        <f t="shared" ref="Q37:Q39" si="10">L37-G37</f>
        <v>675</v>
      </c>
      <c r="R37" s="168">
        <f t="shared" ref="R37:R39" si="11">M37-H37</f>
        <v>337</v>
      </c>
      <c r="S37" s="168">
        <f t="shared" ref="S37:S39" si="12">N37-I37</f>
        <v>546</v>
      </c>
      <c r="T37" s="168">
        <f t="shared" ref="T37:T39" si="13">O37-J37</f>
        <v>1558</v>
      </c>
      <c r="U37" s="172">
        <f t="shared" si="5"/>
        <v>155.80000000000001</v>
      </c>
    </row>
    <row r="38" spans="1:21" s="112" customFormat="1" ht="17.399999999999999">
      <c r="A38" s="167">
        <v>60</v>
      </c>
      <c r="B38" s="168">
        <v>60</v>
      </c>
      <c r="C38" s="168">
        <v>5778</v>
      </c>
      <c r="D38" s="176">
        <v>40780</v>
      </c>
      <c r="E38" s="176">
        <v>40210</v>
      </c>
      <c r="F38" s="176">
        <v>40237</v>
      </c>
      <c r="G38" s="168">
        <v>4625</v>
      </c>
      <c r="H38" s="168">
        <v>2313</v>
      </c>
      <c r="I38" s="168">
        <v>3747</v>
      </c>
      <c r="J38" s="168">
        <f t="shared" si="6"/>
        <v>10685</v>
      </c>
      <c r="K38" s="168">
        <f t="shared" si="7"/>
        <v>1069</v>
      </c>
      <c r="L38" s="168">
        <v>5300</v>
      </c>
      <c r="M38" s="168">
        <v>2650</v>
      </c>
      <c r="N38" s="168">
        <v>4293</v>
      </c>
      <c r="O38" s="168">
        <f t="shared" si="8"/>
        <v>12243</v>
      </c>
      <c r="P38" s="168">
        <f t="shared" si="9"/>
        <v>1224</v>
      </c>
      <c r="Q38" s="168">
        <f t="shared" si="10"/>
        <v>675</v>
      </c>
      <c r="R38" s="168">
        <f t="shared" si="11"/>
        <v>337</v>
      </c>
      <c r="S38" s="168">
        <f t="shared" si="12"/>
        <v>546</v>
      </c>
      <c r="T38" s="168">
        <f t="shared" si="13"/>
        <v>1558</v>
      </c>
      <c r="U38" s="172">
        <f t="shared" si="5"/>
        <v>155.80000000000001</v>
      </c>
    </row>
    <row r="39" spans="1:21" s="112" customFormat="1" ht="17.399999999999999">
      <c r="A39" s="167">
        <v>60</v>
      </c>
      <c r="B39" s="168">
        <v>60</v>
      </c>
      <c r="C39" s="168">
        <v>5778</v>
      </c>
      <c r="D39" s="176">
        <v>40780</v>
      </c>
      <c r="E39" s="176">
        <v>40238</v>
      </c>
      <c r="F39" s="176">
        <v>40268</v>
      </c>
      <c r="G39" s="168">
        <v>4625</v>
      </c>
      <c r="H39" s="168">
        <v>2313</v>
      </c>
      <c r="I39" s="168">
        <v>3747</v>
      </c>
      <c r="J39" s="168">
        <f t="shared" si="6"/>
        <v>10685</v>
      </c>
      <c r="K39" s="168">
        <f t="shared" si="7"/>
        <v>1069</v>
      </c>
      <c r="L39" s="168">
        <v>5300</v>
      </c>
      <c r="M39" s="168">
        <v>2650</v>
      </c>
      <c r="N39" s="168">
        <v>4293</v>
      </c>
      <c r="O39" s="168">
        <f t="shared" si="8"/>
        <v>12243</v>
      </c>
      <c r="P39" s="168">
        <f t="shared" si="9"/>
        <v>1224</v>
      </c>
      <c r="Q39" s="168">
        <f t="shared" si="10"/>
        <v>675</v>
      </c>
      <c r="R39" s="168">
        <f t="shared" si="11"/>
        <v>337</v>
      </c>
      <c r="S39" s="168">
        <f t="shared" si="12"/>
        <v>546</v>
      </c>
      <c r="T39" s="168">
        <f t="shared" si="13"/>
        <v>1558</v>
      </c>
      <c r="U39" s="172">
        <f t="shared" si="5"/>
        <v>155.80000000000001</v>
      </c>
    </row>
    <row r="40" spans="1:21" ht="4.95" customHeight="1">
      <c r="A40" s="94"/>
      <c r="B40" s="95"/>
      <c r="C40" s="95"/>
      <c r="D40" s="110"/>
      <c r="E40" s="110"/>
      <c r="F40" s="110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155"/>
    </row>
    <row r="41" spans="1:21" s="112" customFormat="1" ht="17.399999999999999">
      <c r="A41" s="167">
        <v>60</v>
      </c>
      <c r="B41" s="168">
        <v>60</v>
      </c>
      <c r="C41" s="168">
        <v>5778</v>
      </c>
      <c r="D41" s="176">
        <v>40780</v>
      </c>
      <c r="E41" s="176">
        <v>40269</v>
      </c>
      <c r="F41" s="176">
        <v>40298</v>
      </c>
      <c r="G41" s="168">
        <v>4625</v>
      </c>
      <c r="H41" s="168">
        <v>2313</v>
      </c>
      <c r="I41" s="168">
        <v>3747</v>
      </c>
      <c r="J41" s="168">
        <f t="shared" ref="J41:J43" si="14">G41+H41+I41</f>
        <v>10685</v>
      </c>
      <c r="K41" s="168">
        <f t="shared" ref="K41:K43" si="15">ROUND(J41*10%,0)</f>
        <v>1069</v>
      </c>
      <c r="L41" s="168">
        <v>5300</v>
      </c>
      <c r="M41" s="168">
        <v>2650</v>
      </c>
      <c r="N41" s="168">
        <v>4293</v>
      </c>
      <c r="O41" s="168">
        <f t="shared" ref="O41:O43" si="16">L41+M41+N41</f>
        <v>12243</v>
      </c>
      <c r="P41" s="168">
        <f t="shared" ref="P41:P43" si="17">ROUND(O41*10%,0)</f>
        <v>1224</v>
      </c>
      <c r="Q41" s="168">
        <f t="shared" ref="Q41:Q43" si="18">L41-G41</f>
        <v>675</v>
      </c>
      <c r="R41" s="168">
        <f t="shared" ref="R41:R43" si="19">M41-H41</f>
        <v>337</v>
      </c>
      <c r="S41" s="168">
        <f t="shared" ref="S41:S43" si="20">N41-I41</f>
        <v>546</v>
      </c>
      <c r="T41" s="168">
        <f t="shared" ref="T41:T43" si="21">O41-J41</f>
        <v>1558</v>
      </c>
      <c r="U41" s="172">
        <f t="shared" si="5"/>
        <v>155.80000000000001</v>
      </c>
    </row>
    <row r="42" spans="1:21" s="112" customFormat="1" ht="17.399999999999999">
      <c r="A42" s="167">
        <v>60</v>
      </c>
      <c r="B42" s="168">
        <v>60</v>
      </c>
      <c r="C42" s="168">
        <v>5778</v>
      </c>
      <c r="D42" s="176">
        <v>40780</v>
      </c>
      <c r="E42" s="176">
        <v>40299</v>
      </c>
      <c r="F42" s="176">
        <v>40329</v>
      </c>
      <c r="G42" s="168">
        <v>4625</v>
      </c>
      <c r="H42" s="168">
        <v>2313</v>
      </c>
      <c r="I42" s="168">
        <v>3747</v>
      </c>
      <c r="J42" s="168">
        <f t="shared" si="14"/>
        <v>10685</v>
      </c>
      <c r="K42" s="168">
        <f t="shared" si="15"/>
        <v>1069</v>
      </c>
      <c r="L42" s="168">
        <v>5300</v>
      </c>
      <c r="M42" s="168">
        <v>2650</v>
      </c>
      <c r="N42" s="168">
        <v>4293</v>
      </c>
      <c r="O42" s="168">
        <f t="shared" si="16"/>
        <v>12243</v>
      </c>
      <c r="P42" s="168">
        <f t="shared" si="17"/>
        <v>1224</v>
      </c>
      <c r="Q42" s="168">
        <f t="shared" si="18"/>
        <v>675</v>
      </c>
      <c r="R42" s="168">
        <f t="shared" si="19"/>
        <v>337</v>
      </c>
      <c r="S42" s="168">
        <f t="shared" si="20"/>
        <v>546</v>
      </c>
      <c r="T42" s="168">
        <f t="shared" si="21"/>
        <v>1558</v>
      </c>
      <c r="U42" s="172">
        <f t="shared" si="5"/>
        <v>155.80000000000001</v>
      </c>
    </row>
    <row r="43" spans="1:21" s="112" customFormat="1" ht="17.399999999999999">
      <c r="A43" s="167">
        <v>60</v>
      </c>
      <c r="B43" s="168">
        <v>60</v>
      </c>
      <c r="C43" s="168">
        <v>5778</v>
      </c>
      <c r="D43" s="176">
        <v>40780</v>
      </c>
      <c r="E43" s="176">
        <v>40330</v>
      </c>
      <c r="F43" s="176">
        <v>40359</v>
      </c>
      <c r="G43" s="168">
        <v>4625</v>
      </c>
      <c r="H43" s="168">
        <v>2313</v>
      </c>
      <c r="I43" s="168">
        <v>3747</v>
      </c>
      <c r="J43" s="168">
        <f t="shared" si="14"/>
        <v>10685</v>
      </c>
      <c r="K43" s="168">
        <f t="shared" si="15"/>
        <v>1069</v>
      </c>
      <c r="L43" s="168">
        <v>5450</v>
      </c>
      <c r="M43" s="168">
        <v>2725</v>
      </c>
      <c r="N43" s="168">
        <v>4415</v>
      </c>
      <c r="O43" s="168">
        <f t="shared" si="16"/>
        <v>12590</v>
      </c>
      <c r="P43" s="168">
        <f t="shared" si="17"/>
        <v>1259</v>
      </c>
      <c r="Q43" s="168">
        <f t="shared" si="18"/>
        <v>825</v>
      </c>
      <c r="R43" s="168">
        <f t="shared" si="19"/>
        <v>412</v>
      </c>
      <c r="S43" s="168">
        <f t="shared" si="20"/>
        <v>668</v>
      </c>
      <c r="T43" s="168">
        <f t="shared" si="21"/>
        <v>1905</v>
      </c>
      <c r="U43" s="172">
        <f t="shared" si="5"/>
        <v>190.5</v>
      </c>
    </row>
    <row r="44" spans="1:21" ht="4.95" customHeight="1">
      <c r="A44" s="94"/>
      <c r="B44" s="95"/>
      <c r="C44" s="95"/>
      <c r="D44" s="110"/>
      <c r="E44" s="110"/>
      <c r="F44" s="110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155"/>
    </row>
    <row r="45" spans="1:21" ht="18" thickBot="1">
      <c r="A45" s="298" t="s">
        <v>24</v>
      </c>
      <c r="B45" s="299"/>
      <c r="C45" s="299"/>
      <c r="D45" s="299"/>
      <c r="E45" s="299"/>
      <c r="F45" s="299"/>
      <c r="G45" s="113">
        <f>SUBTOTAL(9,G4:G43)</f>
        <v>168600</v>
      </c>
      <c r="H45" s="113">
        <f t="shared" ref="H45:T45" si="22">SUBTOTAL(9,H4:H43)</f>
        <v>84312</v>
      </c>
      <c r="I45" s="113">
        <f t="shared" si="22"/>
        <v>127464</v>
      </c>
      <c r="J45" s="113">
        <f t="shared" si="22"/>
        <v>380376</v>
      </c>
      <c r="K45" s="113">
        <f t="shared" si="22"/>
        <v>38049</v>
      </c>
      <c r="L45" s="113">
        <f t="shared" si="22"/>
        <v>189850</v>
      </c>
      <c r="M45" s="113">
        <f t="shared" si="22"/>
        <v>94925</v>
      </c>
      <c r="N45" s="113">
        <f t="shared" si="22"/>
        <v>143629</v>
      </c>
      <c r="O45" s="113">
        <f t="shared" si="22"/>
        <v>428404</v>
      </c>
      <c r="P45" s="113">
        <f t="shared" si="22"/>
        <v>42846</v>
      </c>
      <c r="Q45" s="113">
        <f t="shared" si="22"/>
        <v>21250</v>
      </c>
      <c r="R45" s="113">
        <f t="shared" si="22"/>
        <v>10613</v>
      </c>
      <c r="S45" s="113">
        <f t="shared" si="22"/>
        <v>15740</v>
      </c>
      <c r="T45" s="113">
        <f t="shared" si="22"/>
        <v>48028</v>
      </c>
      <c r="U45" s="156">
        <f>T45*10%</f>
        <v>4802.8</v>
      </c>
    </row>
  </sheetData>
  <mergeCells count="7">
    <mergeCell ref="A45:F45"/>
    <mergeCell ref="A1:U1"/>
    <mergeCell ref="A2:D2"/>
    <mergeCell ref="E2:F2"/>
    <mergeCell ref="G2:K2"/>
    <mergeCell ref="L2:P2"/>
    <mergeCell ref="Q2:U2"/>
  </mergeCells>
  <printOptions horizontalCentered="1"/>
  <pageMargins left="0.15748031496062992" right="0.15748031496062992" top="1.2598425196850394" bottom="0.74803149606299213" header="0.98425196850393704" footer="0.31496062992125984"/>
  <pageSetup paperSize="8" scale="72" orientation="landscape" r:id="rId1"/>
  <headerFooter>
    <oddFooter>&amp;C&amp;Z&amp;F - &amp;A&amp;RPage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A31C0-1E5D-4470-9674-98932E209923}">
  <sheetPr>
    <tabColor rgb="FF92D050"/>
  </sheetPr>
  <dimension ref="A1:U20"/>
  <sheetViews>
    <sheetView tabSelected="1" zoomScale="90" zoomScaleNormal="90" zoomScaleSheetLayoutView="80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A12" sqref="A12"/>
    </sheetView>
  </sheetViews>
  <sheetFormatPr defaultRowHeight="14.4"/>
  <cols>
    <col min="1" max="23" width="12.6640625" customWidth="1"/>
  </cols>
  <sheetData>
    <row r="1" spans="1:21" ht="18" thickBot="1">
      <c r="A1" s="193" t="s">
        <v>401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5"/>
    </row>
    <row r="2" spans="1:21" ht="17.399999999999999" customHeight="1" thickBot="1">
      <c r="A2" s="196" t="s">
        <v>399</v>
      </c>
      <c r="B2" s="197"/>
      <c r="C2" s="197"/>
      <c r="D2" s="198"/>
      <c r="E2" s="199" t="s">
        <v>395</v>
      </c>
      <c r="F2" s="200"/>
      <c r="G2" s="199" t="s">
        <v>396</v>
      </c>
      <c r="H2" s="201"/>
      <c r="I2" s="201"/>
      <c r="J2" s="201"/>
      <c r="K2" s="200"/>
      <c r="L2" s="199" t="s">
        <v>397</v>
      </c>
      <c r="M2" s="201"/>
      <c r="N2" s="201"/>
      <c r="O2" s="201"/>
      <c r="P2" s="200"/>
      <c r="Q2" s="199" t="s">
        <v>398</v>
      </c>
      <c r="R2" s="201"/>
      <c r="S2" s="201"/>
      <c r="T2" s="201"/>
      <c r="U2" s="200"/>
    </row>
    <row r="3" spans="1:21" ht="18" thickBot="1">
      <c r="A3" s="87" t="s">
        <v>27</v>
      </c>
      <c r="B3" s="87" t="s">
        <v>28</v>
      </c>
      <c r="C3" s="87" t="s">
        <v>29</v>
      </c>
      <c r="D3" s="87" t="s">
        <v>30</v>
      </c>
      <c r="E3" s="87" t="s">
        <v>393</v>
      </c>
      <c r="F3" s="87" t="s">
        <v>394</v>
      </c>
      <c r="G3" s="87" t="s">
        <v>21</v>
      </c>
      <c r="H3" s="87" t="s">
        <v>391</v>
      </c>
      <c r="I3" s="87" t="s">
        <v>23</v>
      </c>
      <c r="J3" s="87" t="s">
        <v>24</v>
      </c>
      <c r="K3" s="87" t="s">
        <v>392</v>
      </c>
      <c r="L3" s="87" t="s">
        <v>21</v>
      </c>
      <c r="M3" s="87" t="s">
        <v>391</v>
      </c>
      <c r="N3" s="87" t="s">
        <v>23</v>
      </c>
      <c r="O3" s="87" t="s">
        <v>24</v>
      </c>
      <c r="P3" s="87" t="s">
        <v>392</v>
      </c>
      <c r="Q3" s="87" t="s">
        <v>21</v>
      </c>
      <c r="R3" s="87" t="s">
        <v>391</v>
      </c>
      <c r="S3" s="87" t="s">
        <v>23</v>
      </c>
      <c r="T3" s="87" t="s">
        <v>24</v>
      </c>
      <c r="U3" s="87" t="s">
        <v>392</v>
      </c>
    </row>
    <row r="4" spans="1:21" s="112" customFormat="1" ht="17.399999999999999">
      <c r="A4" s="160">
        <v>60</v>
      </c>
      <c r="B4" s="161">
        <v>60</v>
      </c>
      <c r="C4" s="161">
        <v>5778</v>
      </c>
      <c r="D4" s="162">
        <v>40780</v>
      </c>
      <c r="E4" s="163">
        <v>39904</v>
      </c>
      <c r="F4" s="162" t="s">
        <v>335</v>
      </c>
      <c r="G4" s="160">
        <v>5150</v>
      </c>
      <c r="H4" s="161">
        <v>2575</v>
      </c>
      <c r="I4" s="161">
        <v>4172</v>
      </c>
      <c r="J4" s="161">
        <f t="shared" ref="J4:J10" si="0">G4+H4+I4</f>
        <v>11897</v>
      </c>
      <c r="K4" s="164">
        <f t="shared" ref="K4:K10" si="1">ROUND(J4*10%,0)</f>
        <v>1190</v>
      </c>
      <c r="L4" s="160">
        <v>9710</v>
      </c>
      <c r="M4" s="161">
        <v>4200</v>
      </c>
      <c r="N4" s="161">
        <v>3060</v>
      </c>
      <c r="O4" s="161">
        <f t="shared" ref="O4:O10" si="2">L4+M4+N4</f>
        <v>16970</v>
      </c>
      <c r="P4" s="164">
        <f t="shared" ref="P4:P10" si="3">ROUND(O4*10%,0)</f>
        <v>1697</v>
      </c>
      <c r="Q4" s="160">
        <f t="shared" ref="Q4:U10" si="4">L4-G4</f>
        <v>4560</v>
      </c>
      <c r="R4" s="161">
        <f t="shared" si="4"/>
        <v>1625</v>
      </c>
      <c r="S4" s="161">
        <f t="shared" si="4"/>
        <v>-1112</v>
      </c>
      <c r="T4" s="161">
        <f t="shared" si="4"/>
        <v>5073</v>
      </c>
      <c r="U4" s="165">
        <f t="shared" si="4"/>
        <v>507</v>
      </c>
    </row>
    <row r="5" spans="1:21" s="112" customFormat="1" ht="17.399999999999999">
      <c r="A5" s="167">
        <v>60</v>
      </c>
      <c r="B5" s="168">
        <v>60</v>
      </c>
      <c r="C5" s="168">
        <v>5778</v>
      </c>
      <c r="D5" s="169">
        <v>40780</v>
      </c>
      <c r="E5" s="170">
        <v>39934</v>
      </c>
      <c r="F5" s="169">
        <v>39963</v>
      </c>
      <c r="G5" s="167">
        <v>5150</v>
      </c>
      <c r="H5" s="168">
        <v>2575</v>
      </c>
      <c r="I5" s="168">
        <v>4172</v>
      </c>
      <c r="J5" s="168">
        <f t="shared" si="0"/>
        <v>11897</v>
      </c>
      <c r="K5" s="171">
        <f t="shared" si="1"/>
        <v>1190</v>
      </c>
      <c r="L5" s="167">
        <v>9710</v>
      </c>
      <c r="M5" s="168">
        <v>4200</v>
      </c>
      <c r="N5" s="168">
        <v>3060</v>
      </c>
      <c r="O5" s="168">
        <f t="shared" si="2"/>
        <v>16970</v>
      </c>
      <c r="P5" s="171">
        <f t="shared" si="3"/>
        <v>1697</v>
      </c>
      <c r="Q5" s="167">
        <f t="shared" si="4"/>
        <v>4560</v>
      </c>
      <c r="R5" s="168">
        <f t="shared" si="4"/>
        <v>1625</v>
      </c>
      <c r="S5" s="168">
        <f t="shared" si="4"/>
        <v>-1112</v>
      </c>
      <c r="T5" s="168">
        <f t="shared" si="4"/>
        <v>5073</v>
      </c>
      <c r="U5" s="172">
        <f t="shared" si="4"/>
        <v>507</v>
      </c>
    </row>
    <row r="6" spans="1:21" s="112" customFormat="1" ht="17.399999999999999">
      <c r="A6" s="167">
        <v>60</v>
      </c>
      <c r="B6" s="168">
        <v>60</v>
      </c>
      <c r="C6" s="168">
        <v>5778</v>
      </c>
      <c r="D6" s="169">
        <v>40780</v>
      </c>
      <c r="E6" s="170">
        <v>39965</v>
      </c>
      <c r="F6" s="169">
        <v>39994</v>
      </c>
      <c r="G6" s="167">
        <v>5300</v>
      </c>
      <c r="H6" s="168">
        <v>2650</v>
      </c>
      <c r="I6" s="168">
        <v>4293</v>
      </c>
      <c r="J6" s="168">
        <f t="shared" si="0"/>
        <v>12243</v>
      </c>
      <c r="K6" s="171">
        <f t="shared" si="1"/>
        <v>1224</v>
      </c>
      <c r="L6" s="167">
        <v>9710</v>
      </c>
      <c r="M6" s="168">
        <v>4200</v>
      </c>
      <c r="N6" s="168">
        <v>3060</v>
      </c>
      <c r="O6" s="168">
        <f t="shared" si="2"/>
        <v>16970</v>
      </c>
      <c r="P6" s="171">
        <f t="shared" si="3"/>
        <v>1697</v>
      </c>
      <c r="Q6" s="167">
        <f t="shared" si="4"/>
        <v>4410</v>
      </c>
      <c r="R6" s="168">
        <f t="shared" si="4"/>
        <v>1550</v>
      </c>
      <c r="S6" s="168">
        <f t="shared" si="4"/>
        <v>-1233</v>
      </c>
      <c r="T6" s="168">
        <f t="shared" si="4"/>
        <v>4727</v>
      </c>
      <c r="U6" s="172">
        <f t="shared" si="4"/>
        <v>473</v>
      </c>
    </row>
    <row r="7" spans="1:21" s="112" customFormat="1" ht="17.399999999999999">
      <c r="A7" s="167">
        <v>60</v>
      </c>
      <c r="B7" s="168">
        <v>60</v>
      </c>
      <c r="C7" s="168">
        <v>5778</v>
      </c>
      <c r="D7" s="169">
        <v>40780</v>
      </c>
      <c r="E7" s="170">
        <v>39995</v>
      </c>
      <c r="F7" s="169">
        <v>40025</v>
      </c>
      <c r="G7" s="167">
        <v>5300</v>
      </c>
      <c r="H7" s="168">
        <v>2650</v>
      </c>
      <c r="I7" s="168">
        <v>4293</v>
      </c>
      <c r="J7" s="168">
        <f t="shared" si="0"/>
        <v>12243</v>
      </c>
      <c r="K7" s="171">
        <f t="shared" si="1"/>
        <v>1224</v>
      </c>
      <c r="L7" s="167">
        <v>10130</v>
      </c>
      <c r="M7" s="168">
        <v>4200</v>
      </c>
      <c r="N7" s="168">
        <v>3869</v>
      </c>
      <c r="O7" s="168">
        <f t="shared" si="2"/>
        <v>18199</v>
      </c>
      <c r="P7" s="171">
        <f t="shared" si="3"/>
        <v>1820</v>
      </c>
      <c r="Q7" s="167">
        <f t="shared" si="4"/>
        <v>4830</v>
      </c>
      <c r="R7" s="168">
        <f t="shared" si="4"/>
        <v>1550</v>
      </c>
      <c r="S7" s="168">
        <f t="shared" si="4"/>
        <v>-424</v>
      </c>
      <c r="T7" s="168">
        <f t="shared" si="4"/>
        <v>5956</v>
      </c>
      <c r="U7" s="172">
        <f t="shared" si="4"/>
        <v>596</v>
      </c>
    </row>
    <row r="8" spans="1:21" s="112" customFormat="1" ht="17.399999999999999">
      <c r="A8" s="167">
        <v>60</v>
      </c>
      <c r="B8" s="168">
        <v>60</v>
      </c>
      <c r="C8" s="168">
        <v>5778</v>
      </c>
      <c r="D8" s="169">
        <v>40780</v>
      </c>
      <c r="E8" s="170">
        <v>40026</v>
      </c>
      <c r="F8" s="169">
        <v>40056</v>
      </c>
      <c r="G8" s="167">
        <v>5300</v>
      </c>
      <c r="H8" s="168">
        <v>2650</v>
      </c>
      <c r="I8" s="168">
        <v>4293</v>
      </c>
      <c r="J8" s="168">
        <f t="shared" si="0"/>
        <v>12243</v>
      </c>
      <c r="K8" s="171">
        <f t="shared" si="1"/>
        <v>1224</v>
      </c>
      <c r="L8" s="167">
        <v>10130</v>
      </c>
      <c r="M8" s="168">
        <v>4200</v>
      </c>
      <c r="N8" s="168">
        <v>3869</v>
      </c>
      <c r="O8" s="168">
        <f t="shared" si="2"/>
        <v>18199</v>
      </c>
      <c r="P8" s="171">
        <f t="shared" si="3"/>
        <v>1820</v>
      </c>
      <c r="Q8" s="167">
        <f t="shared" si="4"/>
        <v>4830</v>
      </c>
      <c r="R8" s="168">
        <f t="shared" si="4"/>
        <v>1550</v>
      </c>
      <c r="S8" s="168">
        <f t="shared" si="4"/>
        <v>-424</v>
      </c>
      <c r="T8" s="168">
        <f t="shared" si="4"/>
        <v>5956</v>
      </c>
      <c r="U8" s="172">
        <f t="shared" si="4"/>
        <v>596</v>
      </c>
    </row>
    <row r="9" spans="1:21" s="112" customFormat="1" ht="17.399999999999999">
      <c r="A9" s="167">
        <v>60</v>
      </c>
      <c r="B9" s="168">
        <v>60</v>
      </c>
      <c r="C9" s="168">
        <v>5778</v>
      </c>
      <c r="D9" s="169">
        <v>40780</v>
      </c>
      <c r="E9" s="170">
        <v>40057</v>
      </c>
      <c r="F9" s="169">
        <v>40086</v>
      </c>
      <c r="G9" s="167">
        <v>5300</v>
      </c>
      <c r="H9" s="168">
        <v>2650</v>
      </c>
      <c r="I9" s="168">
        <v>4293</v>
      </c>
      <c r="J9" s="168">
        <f t="shared" si="0"/>
        <v>12243</v>
      </c>
      <c r="K9" s="171">
        <f t="shared" si="1"/>
        <v>1224</v>
      </c>
      <c r="L9" s="167">
        <v>10130</v>
      </c>
      <c r="M9" s="168">
        <v>4200</v>
      </c>
      <c r="N9" s="168">
        <v>3869</v>
      </c>
      <c r="O9" s="168">
        <f t="shared" si="2"/>
        <v>18199</v>
      </c>
      <c r="P9" s="171">
        <f t="shared" si="3"/>
        <v>1820</v>
      </c>
      <c r="Q9" s="167">
        <f t="shared" si="4"/>
        <v>4830</v>
      </c>
      <c r="R9" s="168">
        <f t="shared" si="4"/>
        <v>1550</v>
      </c>
      <c r="S9" s="168">
        <f t="shared" si="4"/>
        <v>-424</v>
      </c>
      <c r="T9" s="168">
        <f t="shared" si="4"/>
        <v>5956</v>
      </c>
      <c r="U9" s="172">
        <f t="shared" si="4"/>
        <v>596</v>
      </c>
    </row>
    <row r="10" spans="1:21" s="112" customFormat="1" ht="17.399999999999999">
      <c r="A10" s="167">
        <v>60</v>
      </c>
      <c r="B10" s="168">
        <v>60</v>
      </c>
      <c r="C10" s="168">
        <v>5778</v>
      </c>
      <c r="D10" s="169">
        <v>40780</v>
      </c>
      <c r="E10" s="170">
        <v>40087</v>
      </c>
      <c r="F10" s="169">
        <v>40117</v>
      </c>
      <c r="G10" s="167">
        <v>5300</v>
      </c>
      <c r="H10" s="168">
        <v>2650</v>
      </c>
      <c r="I10" s="168">
        <v>4293</v>
      </c>
      <c r="J10" s="168">
        <f t="shared" si="0"/>
        <v>12243</v>
      </c>
      <c r="K10" s="171">
        <f t="shared" si="1"/>
        <v>1224</v>
      </c>
      <c r="L10" s="167">
        <v>10130</v>
      </c>
      <c r="M10" s="168">
        <v>4200</v>
      </c>
      <c r="N10" s="168">
        <v>3869</v>
      </c>
      <c r="O10" s="168">
        <f t="shared" si="2"/>
        <v>18199</v>
      </c>
      <c r="P10" s="171">
        <f t="shared" si="3"/>
        <v>1820</v>
      </c>
      <c r="Q10" s="167">
        <f t="shared" si="4"/>
        <v>4830</v>
      </c>
      <c r="R10" s="168">
        <f t="shared" si="4"/>
        <v>1550</v>
      </c>
      <c r="S10" s="168">
        <f t="shared" si="4"/>
        <v>-424</v>
      </c>
      <c r="T10" s="168">
        <f t="shared" si="4"/>
        <v>5956</v>
      </c>
      <c r="U10" s="172">
        <f t="shared" si="4"/>
        <v>596</v>
      </c>
    </row>
    <row r="11" spans="1:21" ht="4.95" customHeight="1">
      <c r="A11" s="106"/>
      <c r="B11" s="107"/>
      <c r="C11" s="107"/>
      <c r="D11" s="108"/>
      <c r="E11" s="108"/>
      <c r="F11" s="108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9"/>
    </row>
    <row r="12" spans="1:21" s="314" customFormat="1" ht="17.399999999999999">
      <c r="A12" s="94">
        <v>60</v>
      </c>
      <c r="B12" s="95">
        <v>60</v>
      </c>
      <c r="C12" s="95">
        <v>5778</v>
      </c>
      <c r="D12" s="96">
        <v>40780</v>
      </c>
      <c r="E12" s="97">
        <v>39814</v>
      </c>
      <c r="F12" s="96">
        <v>39844</v>
      </c>
      <c r="G12" s="94">
        <v>9710</v>
      </c>
      <c r="H12" s="95">
        <v>4200</v>
      </c>
      <c r="I12" s="95">
        <v>2226</v>
      </c>
      <c r="J12" s="95">
        <f>G12+H12+I12</f>
        <v>16136</v>
      </c>
      <c r="K12" s="98">
        <f>ROUND(J12*10%,0)</f>
        <v>1614</v>
      </c>
      <c r="L12" s="94">
        <v>9710</v>
      </c>
      <c r="M12" s="95">
        <v>4200</v>
      </c>
      <c r="N12" s="95">
        <v>3060</v>
      </c>
      <c r="O12" s="95">
        <f>L12+M12+N12</f>
        <v>16970</v>
      </c>
      <c r="P12" s="98">
        <f>ROUND(O12*10%,0)</f>
        <v>1697</v>
      </c>
      <c r="Q12" s="94">
        <f>L12-G12</f>
        <v>0</v>
      </c>
      <c r="R12" s="95">
        <f>M12-H12</f>
        <v>0</v>
      </c>
      <c r="S12" s="95">
        <f>N12-I12</f>
        <v>834</v>
      </c>
      <c r="T12" s="95">
        <f>O12-J12</f>
        <v>834</v>
      </c>
      <c r="U12" s="99">
        <f>T12*10%</f>
        <v>83.4</v>
      </c>
    </row>
    <row r="13" spans="1:21" ht="17.399999999999999">
      <c r="A13" s="94">
        <v>60</v>
      </c>
      <c r="B13" s="95">
        <v>60</v>
      </c>
      <c r="C13" s="95">
        <v>5778</v>
      </c>
      <c r="D13" s="96">
        <v>40780</v>
      </c>
      <c r="E13" s="97">
        <v>39845</v>
      </c>
      <c r="F13" s="96">
        <v>39872</v>
      </c>
      <c r="G13" s="94">
        <v>9710</v>
      </c>
      <c r="H13" s="95">
        <v>4200</v>
      </c>
      <c r="I13" s="95">
        <v>2226</v>
      </c>
      <c r="J13" s="95">
        <f>G13+H13+I13</f>
        <v>16136</v>
      </c>
      <c r="K13" s="98">
        <f>ROUND(J13*10%,0)</f>
        <v>1614</v>
      </c>
      <c r="L13" s="94">
        <v>9710</v>
      </c>
      <c r="M13" s="95">
        <v>4200</v>
      </c>
      <c r="N13" s="95">
        <v>3060</v>
      </c>
      <c r="O13" s="95">
        <f>L13+M13+N13</f>
        <v>16970</v>
      </c>
      <c r="P13" s="98">
        <f>ROUND(O13*10%,0)</f>
        <v>1697</v>
      </c>
      <c r="Q13" s="94">
        <f>L13-G13</f>
        <v>0</v>
      </c>
      <c r="R13" s="95">
        <f>M13-H13</f>
        <v>0</v>
      </c>
      <c r="S13" s="95">
        <f>N13-I13</f>
        <v>834</v>
      </c>
      <c r="T13" s="95">
        <f>O13-J13</f>
        <v>834</v>
      </c>
      <c r="U13" s="99">
        <f>T13*10%</f>
        <v>83.4</v>
      </c>
    </row>
    <row r="14" spans="1:21" ht="18" thickBot="1">
      <c r="A14" s="100">
        <v>60</v>
      </c>
      <c r="B14" s="101">
        <v>60</v>
      </c>
      <c r="C14" s="101">
        <v>5778</v>
      </c>
      <c r="D14" s="102">
        <v>40780</v>
      </c>
      <c r="E14" s="103">
        <v>39873</v>
      </c>
      <c r="F14" s="102">
        <v>39903</v>
      </c>
      <c r="G14" s="100">
        <v>9710</v>
      </c>
      <c r="H14" s="101">
        <v>4200</v>
      </c>
      <c r="I14" s="101">
        <v>2226</v>
      </c>
      <c r="J14" s="101">
        <f>G14+H14+I14</f>
        <v>16136</v>
      </c>
      <c r="K14" s="104">
        <f>ROUND(J14*10%,0)</f>
        <v>1614</v>
      </c>
      <c r="L14" s="100">
        <v>9710</v>
      </c>
      <c r="M14" s="101">
        <v>4200</v>
      </c>
      <c r="N14" s="95">
        <v>3060</v>
      </c>
      <c r="O14" s="101">
        <f>L14+M14+N14</f>
        <v>16970</v>
      </c>
      <c r="P14" s="104">
        <f>ROUND(O14*10%,0)</f>
        <v>1697</v>
      </c>
      <c r="Q14" s="100">
        <f>L14-G14</f>
        <v>0</v>
      </c>
      <c r="R14" s="101">
        <f>M14-H14</f>
        <v>0</v>
      </c>
      <c r="S14" s="101">
        <f>N14-I14</f>
        <v>834</v>
      </c>
      <c r="T14" s="101">
        <f>O14-J14</f>
        <v>834</v>
      </c>
      <c r="U14" s="105">
        <f>T14*10%</f>
        <v>83.4</v>
      </c>
    </row>
    <row r="15" spans="1:21" ht="4.95" customHeight="1" thickBot="1">
      <c r="A15" s="106"/>
      <c r="B15" s="107"/>
      <c r="C15" s="107"/>
      <c r="D15" s="108"/>
      <c r="E15" s="108"/>
      <c r="F15" s="108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9"/>
    </row>
    <row r="16" spans="1:21" s="112" customFormat="1" ht="18" thickBot="1">
      <c r="A16" s="190" t="s">
        <v>24</v>
      </c>
      <c r="B16" s="191"/>
      <c r="C16" s="191"/>
      <c r="D16" s="191"/>
      <c r="E16" s="191"/>
      <c r="F16" s="192"/>
      <c r="G16" s="87">
        <f>SUBTOTAL(9,G4:G11)</f>
        <v>36800</v>
      </c>
      <c r="H16" s="87">
        <f>SUBTOTAL(9,H4:H11)</f>
        <v>18400</v>
      </c>
      <c r="I16" s="87">
        <f>SUBTOTAL(9,I4:I11)</f>
        <v>29809</v>
      </c>
      <c r="J16" s="87">
        <f>SUBTOTAL(9,J4:J11)</f>
        <v>85009</v>
      </c>
      <c r="K16" s="87">
        <f>SUBTOTAL(9,K4:K11)</f>
        <v>8500</v>
      </c>
      <c r="L16" s="87">
        <f>SUBTOTAL(9,L4:L11)</f>
        <v>69650</v>
      </c>
      <c r="M16" s="87">
        <f>SUBTOTAL(9,M4:M11)</f>
        <v>29400</v>
      </c>
      <c r="N16" s="87">
        <f>SUBTOTAL(9,N4:N11)</f>
        <v>24656</v>
      </c>
      <c r="O16" s="87">
        <f>SUBTOTAL(9,O4:O11)</f>
        <v>123706</v>
      </c>
      <c r="P16" s="87">
        <f>SUBTOTAL(9,P4:P11)</f>
        <v>12371</v>
      </c>
      <c r="Q16" s="87">
        <f>SUBTOTAL(9,Q4:Q11)</f>
        <v>32850</v>
      </c>
      <c r="R16" s="87">
        <f>SUBTOTAL(9,R4:R11)</f>
        <v>11000</v>
      </c>
      <c r="S16" s="87">
        <f>SUBTOTAL(9,S4:S11)</f>
        <v>-5153</v>
      </c>
      <c r="T16" s="87">
        <f>SUBTOTAL(9,T4:T11)</f>
        <v>38697</v>
      </c>
      <c r="U16" s="111">
        <f t="shared" ref="U16" si="5">T16*10%</f>
        <v>3869.7000000000003</v>
      </c>
    </row>
    <row r="18" spans="19:20">
      <c r="S18" s="112" t="s">
        <v>415</v>
      </c>
      <c r="T18" s="112">
        <f>13302-8283</f>
        <v>5019</v>
      </c>
    </row>
    <row r="20" spans="19:20">
      <c r="S20" s="112" t="s">
        <v>416</v>
      </c>
      <c r="T20" s="112">
        <f>T16+T18</f>
        <v>43716</v>
      </c>
    </row>
  </sheetData>
  <mergeCells count="7">
    <mergeCell ref="A16:F16"/>
    <mergeCell ref="A1:U1"/>
    <mergeCell ref="A2:D2"/>
    <mergeCell ref="E2:F2"/>
    <mergeCell ref="G2:K2"/>
    <mergeCell ref="L2:P2"/>
    <mergeCell ref="Q2:U2"/>
  </mergeCells>
  <printOptions horizontalCentered="1"/>
  <pageMargins left="0.15748031496062992" right="0.15748031496062992" top="1.2598425196850394" bottom="0.39370078740157483" header="0.94488188976377963" footer="0.19685039370078741"/>
  <pageSetup paperSize="8" scale="72" orientation="landscape" r:id="rId1"/>
  <headerFooter>
    <oddFooter>&amp;C&amp;Z&amp;F - &amp;A&amp;RPage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4E986-FE5F-4B7B-ABE0-13504B8D6361}">
  <sheetPr>
    <tabColor rgb="FF92D050"/>
  </sheetPr>
  <dimension ref="A1:U28"/>
  <sheetViews>
    <sheetView zoomScale="70" zoomScaleNormal="70" zoomScaleSheetLayoutView="80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T5" sqref="A5:XFD5"/>
    </sheetView>
  </sheetViews>
  <sheetFormatPr defaultRowHeight="14.4"/>
  <cols>
    <col min="1" max="23" width="12.6640625" customWidth="1"/>
  </cols>
  <sheetData>
    <row r="1" spans="1:21" ht="18" thickBot="1">
      <c r="A1" s="193" t="s">
        <v>401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5"/>
    </row>
    <row r="2" spans="1:21" ht="17.399999999999999" customHeight="1" thickBot="1">
      <c r="A2" s="196" t="s">
        <v>399</v>
      </c>
      <c r="B2" s="197"/>
      <c r="C2" s="197"/>
      <c r="D2" s="198"/>
      <c r="E2" s="199" t="s">
        <v>395</v>
      </c>
      <c r="F2" s="200"/>
      <c r="G2" s="199" t="s">
        <v>396</v>
      </c>
      <c r="H2" s="201"/>
      <c r="I2" s="201"/>
      <c r="J2" s="201"/>
      <c r="K2" s="200"/>
      <c r="L2" s="199" t="s">
        <v>397</v>
      </c>
      <c r="M2" s="201"/>
      <c r="N2" s="201"/>
      <c r="O2" s="201"/>
      <c r="P2" s="200"/>
      <c r="Q2" s="199" t="s">
        <v>398</v>
      </c>
      <c r="R2" s="201"/>
      <c r="S2" s="201"/>
      <c r="T2" s="201"/>
      <c r="U2" s="200"/>
    </row>
    <row r="3" spans="1:21" ht="18" thickBot="1">
      <c r="A3" s="87" t="s">
        <v>27</v>
      </c>
      <c r="B3" s="87" t="s">
        <v>28</v>
      </c>
      <c r="C3" s="87" t="s">
        <v>29</v>
      </c>
      <c r="D3" s="87" t="s">
        <v>30</v>
      </c>
      <c r="E3" s="87" t="s">
        <v>393</v>
      </c>
      <c r="F3" s="87" t="s">
        <v>394</v>
      </c>
      <c r="G3" s="87" t="s">
        <v>21</v>
      </c>
      <c r="H3" s="87" t="s">
        <v>391</v>
      </c>
      <c r="I3" s="87" t="s">
        <v>23</v>
      </c>
      <c r="J3" s="87" t="s">
        <v>24</v>
      </c>
      <c r="K3" s="87" t="s">
        <v>392</v>
      </c>
      <c r="L3" s="87" t="s">
        <v>21</v>
      </c>
      <c r="M3" s="87" t="s">
        <v>391</v>
      </c>
      <c r="N3" s="87" t="s">
        <v>23</v>
      </c>
      <c r="O3" s="87" t="s">
        <v>24</v>
      </c>
      <c r="P3" s="87" t="s">
        <v>392</v>
      </c>
      <c r="Q3" s="87" t="s">
        <v>21</v>
      </c>
      <c r="R3" s="87" t="s">
        <v>391</v>
      </c>
      <c r="S3" s="87" t="s">
        <v>23</v>
      </c>
      <c r="T3" s="87" t="s">
        <v>24</v>
      </c>
      <c r="U3" s="153" t="s">
        <v>392</v>
      </c>
    </row>
    <row r="4" spans="1:21" s="112" customFormat="1" ht="19.95" customHeight="1">
      <c r="A4" s="167">
        <v>60</v>
      </c>
      <c r="B4" s="168">
        <v>60</v>
      </c>
      <c r="C4" s="168">
        <v>5778</v>
      </c>
      <c r="D4" s="169">
        <v>40780</v>
      </c>
      <c r="E4" s="170">
        <v>40118</v>
      </c>
      <c r="F4" s="169">
        <v>40147</v>
      </c>
      <c r="G4" s="167">
        <v>5300</v>
      </c>
      <c r="H4" s="168">
        <v>2650</v>
      </c>
      <c r="I4" s="168">
        <v>4293</v>
      </c>
      <c r="J4" s="168">
        <f t="shared" ref="J4:J21" si="0">G4+H4+I4</f>
        <v>12243</v>
      </c>
      <c r="K4" s="171">
        <f t="shared" ref="K4:K21" si="1">ROUND(J4*10%,0)</f>
        <v>1224</v>
      </c>
      <c r="L4" s="167">
        <v>10130</v>
      </c>
      <c r="M4" s="168">
        <v>4200</v>
      </c>
      <c r="N4" s="168">
        <v>3869</v>
      </c>
      <c r="O4" s="168">
        <f t="shared" ref="O4:O21" si="2">L4+M4+N4</f>
        <v>18199</v>
      </c>
      <c r="P4" s="171">
        <f t="shared" ref="P4:P21" si="3">ROUND(O4*10%,0)</f>
        <v>1820</v>
      </c>
      <c r="Q4" s="167">
        <f t="shared" ref="Q4:T21" si="4">L4-G4</f>
        <v>4830</v>
      </c>
      <c r="R4" s="168">
        <f t="shared" si="4"/>
        <v>1550</v>
      </c>
      <c r="S4" s="168">
        <f t="shared" si="4"/>
        <v>-424</v>
      </c>
      <c r="T4" s="168">
        <f t="shared" si="4"/>
        <v>5956</v>
      </c>
      <c r="U4" s="172">
        <f t="shared" ref="U4:U8" si="5">T4*10%</f>
        <v>595.6</v>
      </c>
    </row>
    <row r="5" spans="1:21" s="112" customFormat="1" ht="17.399999999999999">
      <c r="A5" s="167">
        <v>60</v>
      </c>
      <c r="B5" s="168">
        <v>60</v>
      </c>
      <c r="C5" s="168">
        <v>5778</v>
      </c>
      <c r="D5" s="169">
        <v>40780</v>
      </c>
      <c r="E5" s="170">
        <v>40148</v>
      </c>
      <c r="F5" s="169">
        <v>40178</v>
      </c>
      <c r="G5" s="167">
        <v>5300</v>
      </c>
      <c r="H5" s="168">
        <v>2650</v>
      </c>
      <c r="I5" s="168">
        <v>4293</v>
      </c>
      <c r="J5" s="168">
        <f t="shared" si="0"/>
        <v>12243</v>
      </c>
      <c r="K5" s="171">
        <f t="shared" si="1"/>
        <v>1224</v>
      </c>
      <c r="L5" s="167">
        <v>10130</v>
      </c>
      <c r="M5" s="168">
        <v>4200</v>
      </c>
      <c r="N5" s="168">
        <v>3869</v>
      </c>
      <c r="O5" s="168">
        <f t="shared" si="2"/>
        <v>18199</v>
      </c>
      <c r="P5" s="171">
        <f t="shared" si="3"/>
        <v>1820</v>
      </c>
      <c r="Q5" s="167">
        <f t="shared" si="4"/>
        <v>4830</v>
      </c>
      <c r="R5" s="168">
        <f t="shared" si="4"/>
        <v>1550</v>
      </c>
      <c r="S5" s="168">
        <f t="shared" si="4"/>
        <v>-424</v>
      </c>
      <c r="T5" s="168">
        <f t="shared" si="4"/>
        <v>5956</v>
      </c>
      <c r="U5" s="172">
        <f t="shared" si="5"/>
        <v>595.6</v>
      </c>
    </row>
    <row r="6" spans="1:21" ht="17.399999999999999">
      <c r="A6" s="94">
        <v>60</v>
      </c>
      <c r="B6" s="95">
        <v>60</v>
      </c>
      <c r="C6" s="95">
        <v>5778</v>
      </c>
      <c r="D6" s="96">
        <v>40780</v>
      </c>
      <c r="E6" s="97">
        <v>40179</v>
      </c>
      <c r="F6" s="96">
        <v>40209</v>
      </c>
      <c r="G6" s="94">
        <v>5300</v>
      </c>
      <c r="H6" s="95">
        <v>2650</v>
      </c>
      <c r="I6" s="95">
        <v>4293</v>
      </c>
      <c r="J6" s="95">
        <f t="shared" si="0"/>
        <v>12243</v>
      </c>
      <c r="K6" s="98">
        <f t="shared" si="1"/>
        <v>1224</v>
      </c>
      <c r="L6" s="94">
        <v>10130</v>
      </c>
      <c r="M6" s="95">
        <v>4200</v>
      </c>
      <c r="N6" s="95">
        <v>3869</v>
      </c>
      <c r="O6" s="95">
        <f t="shared" si="2"/>
        <v>18199</v>
      </c>
      <c r="P6" s="98">
        <f t="shared" si="3"/>
        <v>1820</v>
      </c>
      <c r="Q6" s="94">
        <f t="shared" si="4"/>
        <v>4830</v>
      </c>
      <c r="R6" s="95">
        <f t="shared" si="4"/>
        <v>1550</v>
      </c>
      <c r="S6" s="95">
        <f t="shared" si="4"/>
        <v>-424</v>
      </c>
      <c r="T6" s="95">
        <f t="shared" si="4"/>
        <v>5956</v>
      </c>
      <c r="U6" s="154">
        <f t="shared" si="5"/>
        <v>595.6</v>
      </c>
    </row>
    <row r="7" spans="1:21" ht="17.399999999999999">
      <c r="A7" s="94">
        <v>60</v>
      </c>
      <c r="B7" s="95">
        <v>60</v>
      </c>
      <c r="C7" s="95">
        <v>5778</v>
      </c>
      <c r="D7" s="96">
        <v>40780</v>
      </c>
      <c r="E7" s="97">
        <v>40210</v>
      </c>
      <c r="F7" s="96">
        <v>40237</v>
      </c>
      <c r="G7" s="94">
        <v>5300</v>
      </c>
      <c r="H7" s="95">
        <v>2650</v>
      </c>
      <c r="I7" s="95">
        <v>4293</v>
      </c>
      <c r="J7" s="95">
        <f t="shared" si="0"/>
        <v>12243</v>
      </c>
      <c r="K7" s="98">
        <f t="shared" si="1"/>
        <v>1224</v>
      </c>
      <c r="L7" s="94">
        <v>10130</v>
      </c>
      <c r="M7" s="95">
        <v>4200</v>
      </c>
      <c r="N7" s="95">
        <v>3869</v>
      </c>
      <c r="O7" s="95">
        <f t="shared" si="2"/>
        <v>18199</v>
      </c>
      <c r="P7" s="98">
        <f t="shared" si="3"/>
        <v>1820</v>
      </c>
      <c r="Q7" s="94">
        <f t="shared" si="4"/>
        <v>4830</v>
      </c>
      <c r="R7" s="95">
        <f t="shared" si="4"/>
        <v>1550</v>
      </c>
      <c r="S7" s="95">
        <f t="shared" si="4"/>
        <v>-424</v>
      </c>
      <c r="T7" s="95">
        <f t="shared" si="4"/>
        <v>5956</v>
      </c>
      <c r="U7" s="154">
        <f t="shared" si="5"/>
        <v>595.6</v>
      </c>
    </row>
    <row r="8" spans="1:21" ht="18" thickBot="1">
      <c r="A8" s="100">
        <v>60</v>
      </c>
      <c r="B8" s="101">
        <v>60</v>
      </c>
      <c r="C8" s="101">
        <v>5778</v>
      </c>
      <c r="D8" s="102">
        <v>40780</v>
      </c>
      <c r="E8" s="103">
        <v>40238</v>
      </c>
      <c r="F8" s="102">
        <v>40268</v>
      </c>
      <c r="G8" s="100">
        <v>5300</v>
      </c>
      <c r="H8" s="101">
        <v>2650</v>
      </c>
      <c r="I8" s="101">
        <v>4293</v>
      </c>
      <c r="J8" s="101">
        <f t="shared" si="0"/>
        <v>12243</v>
      </c>
      <c r="K8" s="104">
        <f t="shared" si="1"/>
        <v>1224</v>
      </c>
      <c r="L8" s="100">
        <v>10130</v>
      </c>
      <c r="M8" s="101">
        <v>4200</v>
      </c>
      <c r="N8" s="101">
        <v>3869</v>
      </c>
      <c r="O8" s="101">
        <f t="shared" si="2"/>
        <v>18199</v>
      </c>
      <c r="P8" s="104">
        <f t="shared" si="3"/>
        <v>1820</v>
      </c>
      <c r="Q8" s="100">
        <f t="shared" si="4"/>
        <v>4830</v>
      </c>
      <c r="R8" s="101">
        <f t="shared" si="4"/>
        <v>1550</v>
      </c>
      <c r="S8" s="101">
        <f t="shared" si="4"/>
        <v>-424</v>
      </c>
      <c r="T8" s="101">
        <f t="shared" si="4"/>
        <v>5956</v>
      </c>
      <c r="U8" s="157">
        <f t="shared" si="5"/>
        <v>595.6</v>
      </c>
    </row>
    <row r="9" spans="1:21" ht="4.95" customHeight="1">
      <c r="A9" s="106"/>
      <c r="B9" s="107"/>
      <c r="C9" s="107"/>
      <c r="D9" s="108"/>
      <c r="E9" s="108"/>
      <c r="F9" s="108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9"/>
    </row>
    <row r="10" spans="1:21" ht="17.399999999999999">
      <c r="A10" s="94">
        <v>60</v>
      </c>
      <c r="B10" s="95">
        <v>60</v>
      </c>
      <c r="C10" s="95">
        <v>5778</v>
      </c>
      <c r="D10" s="96">
        <v>40780</v>
      </c>
      <c r="E10" s="97">
        <v>40269</v>
      </c>
      <c r="F10" s="96">
        <v>40298</v>
      </c>
      <c r="G10" s="94">
        <v>5300</v>
      </c>
      <c r="H10" s="95">
        <v>2650</v>
      </c>
      <c r="I10" s="95">
        <v>4293</v>
      </c>
      <c r="J10" s="95">
        <f t="shared" si="0"/>
        <v>12243</v>
      </c>
      <c r="K10" s="98">
        <f t="shared" si="1"/>
        <v>1224</v>
      </c>
      <c r="L10" s="94">
        <v>10130</v>
      </c>
      <c r="M10" s="95">
        <v>4200</v>
      </c>
      <c r="N10" s="95">
        <v>3869</v>
      </c>
      <c r="O10" s="95">
        <f t="shared" si="2"/>
        <v>18199</v>
      </c>
      <c r="P10" s="98">
        <f t="shared" si="3"/>
        <v>1820</v>
      </c>
      <c r="Q10" s="94">
        <f t="shared" si="4"/>
        <v>4830</v>
      </c>
      <c r="R10" s="95">
        <f t="shared" si="4"/>
        <v>1550</v>
      </c>
      <c r="S10" s="95">
        <f t="shared" si="4"/>
        <v>-424</v>
      </c>
      <c r="T10" s="95">
        <f t="shared" si="4"/>
        <v>5956</v>
      </c>
      <c r="U10" s="154">
        <f t="shared" ref="U10:U21" si="6">T10*10%</f>
        <v>595.6</v>
      </c>
    </row>
    <row r="11" spans="1:21" ht="17.399999999999999">
      <c r="A11" s="94">
        <v>60</v>
      </c>
      <c r="B11" s="95">
        <v>60</v>
      </c>
      <c r="C11" s="95">
        <v>5778</v>
      </c>
      <c r="D11" s="96">
        <v>40780</v>
      </c>
      <c r="E11" s="97">
        <v>40299</v>
      </c>
      <c r="F11" s="96">
        <v>40329</v>
      </c>
      <c r="G11" s="94">
        <v>5300</v>
      </c>
      <c r="H11" s="95">
        <v>2650</v>
      </c>
      <c r="I11" s="95">
        <v>4293</v>
      </c>
      <c r="J11" s="95">
        <f t="shared" si="0"/>
        <v>12243</v>
      </c>
      <c r="K11" s="98">
        <f t="shared" si="1"/>
        <v>1224</v>
      </c>
      <c r="L11" s="94">
        <v>10130</v>
      </c>
      <c r="M11" s="95">
        <v>4200</v>
      </c>
      <c r="N11" s="95">
        <v>3869</v>
      </c>
      <c r="O11" s="95">
        <f t="shared" si="2"/>
        <v>18199</v>
      </c>
      <c r="P11" s="98">
        <f t="shared" si="3"/>
        <v>1820</v>
      </c>
      <c r="Q11" s="94">
        <f t="shared" si="4"/>
        <v>4830</v>
      </c>
      <c r="R11" s="95">
        <f t="shared" si="4"/>
        <v>1550</v>
      </c>
      <c r="S11" s="95">
        <f t="shared" si="4"/>
        <v>-424</v>
      </c>
      <c r="T11" s="95">
        <f t="shared" si="4"/>
        <v>5956</v>
      </c>
      <c r="U11" s="154">
        <f t="shared" si="6"/>
        <v>595.6</v>
      </c>
    </row>
    <row r="12" spans="1:21" ht="17.399999999999999">
      <c r="A12" s="94">
        <v>60</v>
      </c>
      <c r="B12" s="95">
        <v>60</v>
      </c>
      <c r="C12" s="95">
        <v>5778</v>
      </c>
      <c r="D12" s="96">
        <v>40780</v>
      </c>
      <c r="E12" s="97">
        <v>40330</v>
      </c>
      <c r="F12" s="96">
        <v>40359</v>
      </c>
      <c r="G12" s="94">
        <v>5450</v>
      </c>
      <c r="H12" s="95">
        <v>2725</v>
      </c>
      <c r="I12" s="95">
        <v>4415</v>
      </c>
      <c r="J12" s="95">
        <f t="shared" si="0"/>
        <v>12590</v>
      </c>
      <c r="K12" s="98">
        <f t="shared" si="1"/>
        <v>1259</v>
      </c>
      <c r="L12" s="94">
        <v>10130</v>
      </c>
      <c r="M12" s="95">
        <v>4200</v>
      </c>
      <c r="N12" s="95">
        <v>5016</v>
      </c>
      <c r="O12" s="95">
        <f t="shared" si="2"/>
        <v>19346</v>
      </c>
      <c r="P12" s="98">
        <f t="shared" si="3"/>
        <v>1935</v>
      </c>
      <c r="Q12" s="94">
        <f t="shared" si="4"/>
        <v>4680</v>
      </c>
      <c r="R12" s="95">
        <f t="shared" si="4"/>
        <v>1475</v>
      </c>
      <c r="S12" s="95">
        <f t="shared" si="4"/>
        <v>601</v>
      </c>
      <c r="T12" s="95">
        <f t="shared" si="4"/>
        <v>6756</v>
      </c>
      <c r="U12" s="154">
        <f t="shared" si="6"/>
        <v>675.6</v>
      </c>
    </row>
    <row r="13" spans="1:21" ht="17.399999999999999">
      <c r="A13" s="94">
        <v>60</v>
      </c>
      <c r="B13" s="95">
        <v>60</v>
      </c>
      <c r="C13" s="95">
        <v>5778</v>
      </c>
      <c r="D13" s="96">
        <v>40780</v>
      </c>
      <c r="E13" s="97">
        <v>40360</v>
      </c>
      <c r="F13" s="96">
        <v>40390</v>
      </c>
      <c r="G13" s="94">
        <v>5450</v>
      </c>
      <c r="H13" s="95">
        <v>2725</v>
      </c>
      <c r="I13" s="95">
        <v>4415</v>
      </c>
      <c r="J13" s="95">
        <f t="shared" si="0"/>
        <v>12590</v>
      </c>
      <c r="K13" s="98">
        <f t="shared" si="1"/>
        <v>1259</v>
      </c>
      <c r="L13" s="94">
        <v>10560</v>
      </c>
      <c r="M13" s="95">
        <v>4200</v>
      </c>
      <c r="N13" s="95">
        <v>5166</v>
      </c>
      <c r="O13" s="95">
        <f t="shared" si="2"/>
        <v>19926</v>
      </c>
      <c r="P13" s="98">
        <f t="shared" si="3"/>
        <v>1993</v>
      </c>
      <c r="Q13" s="94">
        <f t="shared" si="4"/>
        <v>5110</v>
      </c>
      <c r="R13" s="95">
        <f t="shared" si="4"/>
        <v>1475</v>
      </c>
      <c r="S13" s="95">
        <f t="shared" si="4"/>
        <v>751</v>
      </c>
      <c r="T13" s="95">
        <f t="shared" si="4"/>
        <v>7336</v>
      </c>
      <c r="U13" s="99">
        <f t="shared" si="6"/>
        <v>733.6</v>
      </c>
    </row>
    <row r="14" spans="1:21" ht="17.399999999999999">
      <c r="A14" s="94">
        <v>60</v>
      </c>
      <c r="B14" s="95">
        <v>60</v>
      </c>
      <c r="C14" s="95">
        <v>5778</v>
      </c>
      <c r="D14" s="96">
        <v>40780</v>
      </c>
      <c r="E14" s="97">
        <v>40391</v>
      </c>
      <c r="F14" s="96">
        <v>40421</v>
      </c>
      <c r="G14" s="94">
        <v>5450</v>
      </c>
      <c r="H14" s="95">
        <v>2725</v>
      </c>
      <c r="I14" s="95">
        <v>4415</v>
      </c>
      <c r="J14" s="95">
        <f t="shared" si="0"/>
        <v>12590</v>
      </c>
      <c r="K14" s="98">
        <f t="shared" si="1"/>
        <v>1259</v>
      </c>
      <c r="L14" s="94">
        <v>10560</v>
      </c>
      <c r="M14" s="95">
        <v>4200</v>
      </c>
      <c r="N14" s="95">
        <v>5166</v>
      </c>
      <c r="O14" s="95">
        <f t="shared" si="2"/>
        <v>19926</v>
      </c>
      <c r="P14" s="98">
        <f t="shared" si="3"/>
        <v>1993</v>
      </c>
      <c r="Q14" s="94">
        <f t="shared" si="4"/>
        <v>5110</v>
      </c>
      <c r="R14" s="95">
        <f t="shared" si="4"/>
        <v>1475</v>
      </c>
      <c r="S14" s="95">
        <f t="shared" si="4"/>
        <v>751</v>
      </c>
      <c r="T14" s="95">
        <f t="shared" si="4"/>
        <v>7336</v>
      </c>
      <c r="U14" s="99">
        <f t="shared" si="6"/>
        <v>733.6</v>
      </c>
    </row>
    <row r="15" spans="1:21" ht="17.399999999999999">
      <c r="A15" s="94">
        <v>60</v>
      </c>
      <c r="B15" s="95">
        <v>60</v>
      </c>
      <c r="C15" s="95">
        <v>5778</v>
      </c>
      <c r="D15" s="96">
        <v>40780</v>
      </c>
      <c r="E15" s="97">
        <v>40422</v>
      </c>
      <c r="F15" s="96">
        <v>40451</v>
      </c>
      <c r="G15" s="94">
        <v>5450</v>
      </c>
      <c r="H15" s="95">
        <v>2725</v>
      </c>
      <c r="I15" s="95">
        <v>4415</v>
      </c>
      <c r="J15" s="95">
        <f t="shared" si="0"/>
        <v>12590</v>
      </c>
      <c r="K15" s="98">
        <f t="shared" si="1"/>
        <v>1259</v>
      </c>
      <c r="L15" s="94">
        <v>10560</v>
      </c>
      <c r="M15" s="95">
        <v>4200</v>
      </c>
      <c r="N15" s="95">
        <v>5166</v>
      </c>
      <c r="O15" s="95">
        <f t="shared" si="2"/>
        <v>19926</v>
      </c>
      <c r="P15" s="98">
        <f t="shared" si="3"/>
        <v>1993</v>
      </c>
      <c r="Q15" s="94">
        <f t="shared" si="4"/>
        <v>5110</v>
      </c>
      <c r="R15" s="95">
        <f t="shared" si="4"/>
        <v>1475</v>
      </c>
      <c r="S15" s="95">
        <f t="shared" si="4"/>
        <v>751</v>
      </c>
      <c r="T15" s="95">
        <f t="shared" si="4"/>
        <v>7336</v>
      </c>
      <c r="U15" s="99">
        <f t="shared" si="6"/>
        <v>733.6</v>
      </c>
    </row>
    <row r="16" spans="1:21" ht="17.399999999999999">
      <c r="A16" s="94">
        <v>60</v>
      </c>
      <c r="B16" s="95">
        <v>60</v>
      </c>
      <c r="C16" s="95">
        <v>5778</v>
      </c>
      <c r="D16" s="96">
        <v>40780</v>
      </c>
      <c r="E16" s="97">
        <v>40452</v>
      </c>
      <c r="F16" s="96">
        <v>40482</v>
      </c>
      <c r="G16" s="94">
        <v>5450</v>
      </c>
      <c r="H16" s="95">
        <v>2725</v>
      </c>
      <c r="I16" s="95">
        <v>4415</v>
      </c>
      <c r="J16" s="95">
        <f t="shared" si="0"/>
        <v>12590</v>
      </c>
      <c r="K16" s="98">
        <f t="shared" si="1"/>
        <v>1259</v>
      </c>
      <c r="L16" s="94">
        <v>10560</v>
      </c>
      <c r="M16" s="95">
        <v>4200</v>
      </c>
      <c r="N16" s="95">
        <v>5166</v>
      </c>
      <c r="O16" s="95">
        <f t="shared" si="2"/>
        <v>19926</v>
      </c>
      <c r="P16" s="98">
        <f t="shared" si="3"/>
        <v>1993</v>
      </c>
      <c r="Q16" s="94">
        <f t="shared" si="4"/>
        <v>5110</v>
      </c>
      <c r="R16" s="95">
        <f t="shared" si="4"/>
        <v>1475</v>
      </c>
      <c r="S16" s="95">
        <f t="shared" si="4"/>
        <v>751</v>
      </c>
      <c r="T16" s="95">
        <f t="shared" si="4"/>
        <v>7336</v>
      </c>
      <c r="U16" s="99">
        <f t="shared" si="6"/>
        <v>733.6</v>
      </c>
    </row>
    <row r="17" spans="1:21" ht="17.399999999999999">
      <c r="A17" s="94">
        <v>60</v>
      </c>
      <c r="B17" s="95">
        <v>60</v>
      </c>
      <c r="C17" s="95">
        <v>5778</v>
      </c>
      <c r="D17" s="96">
        <v>40780</v>
      </c>
      <c r="E17" s="97">
        <v>40483</v>
      </c>
      <c r="F17" s="96">
        <v>40512</v>
      </c>
      <c r="G17" s="94">
        <v>5450</v>
      </c>
      <c r="H17" s="95">
        <v>2725</v>
      </c>
      <c r="I17" s="95">
        <v>4415</v>
      </c>
      <c r="J17" s="95">
        <f t="shared" si="0"/>
        <v>12590</v>
      </c>
      <c r="K17" s="98">
        <f t="shared" si="1"/>
        <v>1259</v>
      </c>
      <c r="L17" s="94">
        <v>10560</v>
      </c>
      <c r="M17" s="95">
        <v>4200</v>
      </c>
      <c r="N17" s="95">
        <v>6642</v>
      </c>
      <c r="O17" s="95">
        <f t="shared" si="2"/>
        <v>21402</v>
      </c>
      <c r="P17" s="98">
        <f t="shared" si="3"/>
        <v>2140</v>
      </c>
      <c r="Q17" s="94">
        <f t="shared" si="4"/>
        <v>5110</v>
      </c>
      <c r="R17" s="95">
        <f t="shared" si="4"/>
        <v>1475</v>
      </c>
      <c r="S17" s="95">
        <f t="shared" si="4"/>
        <v>2227</v>
      </c>
      <c r="T17" s="95">
        <f t="shared" si="4"/>
        <v>8812</v>
      </c>
      <c r="U17" s="99">
        <f t="shared" si="6"/>
        <v>881.2</v>
      </c>
    </row>
    <row r="18" spans="1:21" ht="17.399999999999999">
      <c r="A18" s="94">
        <v>60</v>
      </c>
      <c r="B18" s="95">
        <v>60</v>
      </c>
      <c r="C18" s="95">
        <v>5778</v>
      </c>
      <c r="D18" s="96">
        <v>40780</v>
      </c>
      <c r="E18" s="97">
        <v>40513</v>
      </c>
      <c r="F18" s="96">
        <v>40543</v>
      </c>
      <c r="G18" s="94">
        <v>5450</v>
      </c>
      <c r="H18" s="95">
        <v>2725</v>
      </c>
      <c r="I18" s="95">
        <v>4415</v>
      </c>
      <c r="J18" s="95">
        <f t="shared" si="0"/>
        <v>12590</v>
      </c>
      <c r="K18" s="98">
        <f t="shared" si="1"/>
        <v>1259</v>
      </c>
      <c r="L18" s="94">
        <v>10560</v>
      </c>
      <c r="M18" s="95">
        <v>4200</v>
      </c>
      <c r="N18" s="95">
        <v>6642</v>
      </c>
      <c r="O18" s="95">
        <f t="shared" si="2"/>
        <v>21402</v>
      </c>
      <c r="P18" s="98">
        <f t="shared" si="3"/>
        <v>2140</v>
      </c>
      <c r="Q18" s="94">
        <f t="shared" si="4"/>
        <v>5110</v>
      </c>
      <c r="R18" s="95">
        <f t="shared" si="4"/>
        <v>1475</v>
      </c>
      <c r="S18" s="95">
        <f t="shared" si="4"/>
        <v>2227</v>
      </c>
      <c r="T18" s="95">
        <f t="shared" si="4"/>
        <v>8812</v>
      </c>
      <c r="U18" s="99">
        <f t="shared" si="6"/>
        <v>881.2</v>
      </c>
    </row>
    <row r="19" spans="1:21" ht="17.399999999999999">
      <c r="A19" s="94">
        <v>60</v>
      </c>
      <c r="B19" s="95">
        <v>60</v>
      </c>
      <c r="C19" s="95">
        <v>5778</v>
      </c>
      <c r="D19" s="96">
        <v>40780</v>
      </c>
      <c r="E19" s="97">
        <v>40544</v>
      </c>
      <c r="F19" s="96">
        <v>40574</v>
      </c>
      <c r="G19" s="94">
        <v>5450</v>
      </c>
      <c r="H19" s="95">
        <v>2725</v>
      </c>
      <c r="I19" s="95">
        <v>4415</v>
      </c>
      <c r="J19" s="95">
        <f t="shared" si="0"/>
        <v>12590</v>
      </c>
      <c r="K19" s="98">
        <f t="shared" si="1"/>
        <v>1259</v>
      </c>
      <c r="L19" s="94">
        <v>10560</v>
      </c>
      <c r="M19" s="95">
        <v>4200</v>
      </c>
      <c r="N19" s="95">
        <v>6642</v>
      </c>
      <c r="O19" s="95">
        <f t="shared" si="2"/>
        <v>21402</v>
      </c>
      <c r="P19" s="98">
        <f t="shared" si="3"/>
        <v>2140</v>
      </c>
      <c r="Q19" s="94">
        <f t="shared" si="4"/>
        <v>5110</v>
      </c>
      <c r="R19" s="95">
        <f t="shared" si="4"/>
        <v>1475</v>
      </c>
      <c r="S19" s="95">
        <f t="shared" si="4"/>
        <v>2227</v>
      </c>
      <c r="T19" s="95">
        <f t="shared" si="4"/>
        <v>8812</v>
      </c>
      <c r="U19" s="99">
        <f t="shared" si="6"/>
        <v>881.2</v>
      </c>
    </row>
    <row r="20" spans="1:21" ht="17.399999999999999">
      <c r="A20" s="94">
        <v>60</v>
      </c>
      <c r="B20" s="95">
        <v>60</v>
      </c>
      <c r="C20" s="95">
        <v>5778</v>
      </c>
      <c r="D20" s="96">
        <v>40780</v>
      </c>
      <c r="E20" s="97">
        <v>40575</v>
      </c>
      <c r="F20" s="96">
        <v>40602</v>
      </c>
      <c r="G20" s="94">
        <v>5450</v>
      </c>
      <c r="H20" s="95">
        <v>2725</v>
      </c>
      <c r="I20" s="95">
        <v>4415</v>
      </c>
      <c r="J20" s="95">
        <f t="shared" si="0"/>
        <v>12590</v>
      </c>
      <c r="K20" s="98">
        <f t="shared" si="1"/>
        <v>1259</v>
      </c>
      <c r="L20" s="94">
        <v>10560</v>
      </c>
      <c r="M20" s="95">
        <v>4200</v>
      </c>
      <c r="N20" s="95">
        <v>6642</v>
      </c>
      <c r="O20" s="95">
        <f t="shared" si="2"/>
        <v>21402</v>
      </c>
      <c r="P20" s="98">
        <f t="shared" si="3"/>
        <v>2140</v>
      </c>
      <c r="Q20" s="94">
        <f t="shared" si="4"/>
        <v>5110</v>
      </c>
      <c r="R20" s="95">
        <f t="shared" si="4"/>
        <v>1475</v>
      </c>
      <c r="S20" s="95">
        <f t="shared" si="4"/>
        <v>2227</v>
      </c>
      <c r="T20" s="95">
        <f t="shared" si="4"/>
        <v>8812</v>
      </c>
      <c r="U20" s="99">
        <f t="shared" si="6"/>
        <v>881.2</v>
      </c>
    </row>
    <row r="21" spans="1:21" ht="18" thickBot="1">
      <c r="A21" s="100">
        <v>60</v>
      </c>
      <c r="B21" s="101">
        <v>60</v>
      </c>
      <c r="C21" s="101">
        <v>5778</v>
      </c>
      <c r="D21" s="102">
        <v>40780</v>
      </c>
      <c r="E21" s="103">
        <v>40603</v>
      </c>
      <c r="F21" s="102">
        <v>40633</v>
      </c>
      <c r="G21" s="100">
        <v>5450</v>
      </c>
      <c r="H21" s="101">
        <v>2725</v>
      </c>
      <c r="I21" s="101">
        <v>4415</v>
      </c>
      <c r="J21" s="101">
        <f t="shared" si="0"/>
        <v>12590</v>
      </c>
      <c r="K21" s="104">
        <f t="shared" si="1"/>
        <v>1259</v>
      </c>
      <c r="L21" s="100">
        <v>10560</v>
      </c>
      <c r="M21" s="101">
        <v>4200</v>
      </c>
      <c r="N21" s="101">
        <v>6642</v>
      </c>
      <c r="O21" s="101">
        <f t="shared" si="2"/>
        <v>21402</v>
      </c>
      <c r="P21" s="104">
        <f t="shared" si="3"/>
        <v>2140</v>
      </c>
      <c r="Q21" s="100">
        <f t="shared" si="4"/>
        <v>5110</v>
      </c>
      <c r="R21" s="101">
        <f t="shared" si="4"/>
        <v>1475</v>
      </c>
      <c r="S21" s="101">
        <f t="shared" si="4"/>
        <v>2227</v>
      </c>
      <c r="T21" s="101">
        <f t="shared" si="4"/>
        <v>8812</v>
      </c>
      <c r="U21" s="105">
        <f t="shared" si="6"/>
        <v>881.2</v>
      </c>
    </row>
    <row r="22" spans="1:21" ht="4.95" customHeight="1">
      <c r="A22" s="106"/>
      <c r="B22" s="107"/>
      <c r="C22" s="107"/>
      <c r="D22" s="108"/>
      <c r="E22" s="108"/>
      <c r="F22" s="108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7"/>
      <c r="T22" s="107"/>
      <c r="U22" s="109"/>
    </row>
    <row r="23" spans="1:21" ht="17.399999999999999">
      <c r="A23" s="94">
        <v>60</v>
      </c>
      <c r="B23" s="95">
        <v>60</v>
      </c>
      <c r="C23" s="95">
        <v>5778</v>
      </c>
      <c r="D23" s="96">
        <v>40780</v>
      </c>
      <c r="E23" s="97">
        <v>40634</v>
      </c>
      <c r="F23" s="96">
        <v>40663</v>
      </c>
      <c r="G23" s="94">
        <v>5450</v>
      </c>
      <c r="H23" s="95">
        <v>2725</v>
      </c>
      <c r="I23" s="95">
        <v>4415</v>
      </c>
      <c r="J23" s="95">
        <f t="shared" ref="J23:J26" si="7">G23+H23+I23</f>
        <v>12590</v>
      </c>
      <c r="K23" s="98">
        <f t="shared" ref="K23:K26" si="8">ROUND(J23*10%,0)</f>
        <v>1259</v>
      </c>
      <c r="L23" s="94">
        <v>10560</v>
      </c>
      <c r="M23" s="95">
        <v>4200</v>
      </c>
      <c r="N23" s="95">
        <v>6642</v>
      </c>
      <c r="O23" s="95">
        <f t="shared" ref="O23:O26" si="9">L23+M23+N23</f>
        <v>21402</v>
      </c>
      <c r="P23" s="98">
        <f t="shared" ref="P23:P26" si="10">ROUND(O23*10%,0)</f>
        <v>2140</v>
      </c>
      <c r="Q23" s="94">
        <f t="shared" ref="Q23:T26" si="11">L23-G23</f>
        <v>5110</v>
      </c>
      <c r="R23" s="95">
        <f t="shared" si="11"/>
        <v>1475</v>
      </c>
      <c r="S23" s="95">
        <f t="shared" si="11"/>
        <v>2227</v>
      </c>
      <c r="T23" s="95">
        <f t="shared" si="11"/>
        <v>8812</v>
      </c>
      <c r="U23" s="99">
        <f t="shared" ref="U23:U26" si="12">T23*10%</f>
        <v>881.2</v>
      </c>
    </row>
    <row r="24" spans="1:21" ht="17.399999999999999">
      <c r="A24" s="94">
        <v>60</v>
      </c>
      <c r="B24" s="95">
        <v>60</v>
      </c>
      <c r="C24" s="95">
        <v>5778</v>
      </c>
      <c r="D24" s="96">
        <v>40780</v>
      </c>
      <c r="E24" s="97">
        <v>40664</v>
      </c>
      <c r="F24" s="96">
        <v>40694</v>
      </c>
      <c r="G24" s="94">
        <v>5450</v>
      </c>
      <c r="H24" s="95">
        <v>2725</v>
      </c>
      <c r="I24" s="95">
        <v>4415</v>
      </c>
      <c r="J24" s="95">
        <f t="shared" si="7"/>
        <v>12590</v>
      </c>
      <c r="K24" s="98">
        <f t="shared" si="8"/>
        <v>1259</v>
      </c>
      <c r="L24" s="94">
        <v>10560</v>
      </c>
      <c r="M24" s="95">
        <v>4200</v>
      </c>
      <c r="N24" s="95">
        <v>7528</v>
      </c>
      <c r="O24" s="95">
        <f t="shared" si="9"/>
        <v>22288</v>
      </c>
      <c r="P24" s="98">
        <f t="shared" si="10"/>
        <v>2229</v>
      </c>
      <c r="Q24" s="94">
        <f t="shared" si="11"/>
        <v>5110</v>
      </c>
      <c r="R24" s="95">
        <f t="shared" si="11"/>
        <v>1475</v>
      </c>
      <c r="S24" s="95">
        <f t="shared" si="11"/>
        <v>3113</v>
      </c>
      <c r="T24" s="95">
        <f t="shared" si="11"/>
        <v>9698</v>
      </c>
      <c r="U24" s="99">
        <f t="shared" si="12"/>
        <v>969.80000000000007</v>
      </c>
    </row>
    <row r="25" spans="1:21" ht="17.399999999999999">
      <c r="A25" s="94">
        <v>60</v>
      </c>
      <c r="B25" s="95">
        <v>60</v>
      </c>
      <c r="C25" s="95">
        <v>5778</v>
      </c>
      <c r="D25" s="96">
        <v>40780</v>
      </c>
      <c r="E25" s="97">
        <v>40695</v>
      </c>
      <c r="F25" s="96">
        <v>40724</v>
      </c>
      <c r="G25" s="94">
        <v>5450</v>
      </c>
      <c r="H25" s="95">
        <v>2725</v>
      </c>
      <c r="I25" s="95">
        <v>4415</v>
      </c>
      <c r="J25" s="95">
        <f t="shared" si="7"/>
        <v>12590</v>
      </c>
      <c r="K25" s="98">
        <f t="shared" si="8"/>
        <v>1259</v>
      </c>
      <c r="L25" s="94">
        <v>10560</v>
      </c>
      <c r="M25" s="95">
        <v>4200</v>
      </c>
      <c r="N25" s="95">
        <v>7528</v>
      </c>
      <c r="O25" s="95">
        <f t="shared" si="9"/>
        <v>22288</v>
      </c>
      <c r="P25" s="98">
        <f t="shared" si="10"/>
        <v>2229</v>
      </c>
      <c r="Q25" s="94">
        <f t="shared" si="11"/>
        <v>5110</v>
      </c>
      <c r="R25" s="95">
        <f t="shared" si="11"/>
        <v>1475</v>
      </c>
      <c r="S25" s="95">
        <f t="shared" si="11"/>
        <v>3113</v>
      </c>
      <c r="T25" s="95">
        <f t="shared" si="11"/>
        <v>9698</v>
      </c>
      <c r="U25" s="99">
        <f t="shared" si="12"/>
        <v>969.80000000000007</v>
      </c>
    </row>
    <row r="26" spans="1:21" ht="18" thickBot="1">
      <c r="A26" s="100">
        <v>60</v>
      </c>
      <c r="B26" s="101">
        <v>60</v>
      </c>
      <c r="C26" s="101">
        <v>5778</v>
      </c>
      <c r="D26" s="102">
        <v>40780</v>
      </c>
      <c r="E26" s="103">
        <v>40725</v>
      </c>
      <c r="F26" s="102">
        <v>40755</v>
      </c>
      <c r="G26" s="100">
        <v>5450</v>
      </c>
      <c r="H26" s="101">
        <v>2725</v>
      </c>
      <c r="I26" s="101">
        <v>4415</v>
      </c>
      <c r="J26" s="101">
        <f t="shared" si="7"/>
        <v>12590</v>
      </c>
      <c r="K26" s="104">
        <f t="shared" si="8"/>
        <v>1259</v>
      </c>
      <c r="L26" s="100">
        <v>11010</v>
      </c>
      <c r="M26" s="101">
        <v>4200</v>
      </c>
      <c r="N26" s="101">
        <v>7757</v>
      </c>
      <c r="O26" s="101">
        <f t="shared" si="9"/>
        <v>22967</v>
      </c>
      <c r="P26" s="104">
        <f t="shared" si="10"/>
        <v>2297</v>
      </c>
      <c r="Q26" s="100">
        <f t="shared" si="11"/>
        <v>5560</v>
      </c>
      <c r="R26" s="101">
        <f t="shared" si="11"/>
        <v>1475</v>
      </c>
      <c r="S26" s="101">
        <f t="shared" si="11"/>
        <v>3342</v>
      </c>
      <c r="T26" s="101">
        <f t="shared" si="11"/>
        <v>10377</v>
      </c>
      <c r="U26" s="105">
        <f t="shared" si="12"/>
        <v>1037.7</v>
      </c>
    </row>
    <row r="27" spans="1:21" ht="4.95" customHeight="1" thickBot="1">
      <c r="A27" s="106"/>
      <c r="B27" s="107"/>
      <c r="C27" s="107"/>
      <c r="D27" s="108"/>
      <c r="E27" s="108"/>
      <c r="F27" s="108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9"/>
    </row>
    <row r="28" spans="1:21" s="112" customFormat="1" ht="18" thickBot="1">
      <c r="A28" s="190" t="s">
        <v>24</v>
      </c>
      <c r="B28" s="191"/>
      <c r="C28" s="191"/>
      <c r="D28" s="191"/>
      <c r="E28" s="191"/>
      <c r="F28" s="192"/>
      <c r="G28" s="87">
        <f>SUBTOTAL(9,G4:G26)</f>
        <v>113400</v>
      </c>
      <c r="H28" s="87">
        <f t="shared" ref="H28:T28" si="13">SUBTOTAL(9,H4:H26)</f>
        <v>56700</v>
      </c>
      <c r="I28" s="87">
        <f t="shared" si="13"/>
        <v>91861</v>
      </c>
      <c r="J28" s="87">
        <f t="shared" si="13"/>
        <v>261961</v>
      </c>
      <c r="K28" s="87">
        <f t="shared" si="13"/>
        <v>26194</v>
      </c>
      <c r="L28" s="87">
        <f t="shared" si="13"/>
        <v>218770</v>
      </c>
      <c r="M28" s="87">
        <f t="shared" si="13"/>
        <v>88200</v>
      </c>
      <c r="N28" s="87">
        <f t="shared" si="13"/>
        <v>115428</v>
      </c>
      <c r="O28" s="87">
        <f t="shared" si="13"/>
        <v>422398</v>
      </c>
      <c r="P28" s="87">
        <f t="shared" si="13"/>
        <v>42242</v>
      </c>
      <c r="Q28" s="87">
        <f t="shared" si="13"/>
        <v>105370</v>
      </c>
      <c r="R28" s="87">
        <f t="shared" si="13"/>
        <v>31500</v>
      </c>
      <c r="S28" s="87">
        <f t="shared" si="13"/>
        <v>23567</v>
      </c>
      <c r="T28" s="87">
        <f t="shared" si="13"/>
        <v>160437</v>
      </c>
      <c r="U28" s="111">
        <f t="shared" ref="U28" si="14">T28*10%</f>
        <v>16043.7</v>
      </c>
    </row>
  </sheetData>
  <mergeCells count="7">
    <mergeCell ref="A28:F28"/>
    <mergeCell ref="A1:U1"/>
    <mergeCell ref="A2:D2"/>
    <mergeCell ref="E2:F2"/>
    <mergeCell ref="G2:K2"/>
    <mergeCell ref="L2:P2"/>
    <mergeCell ref="Q2:U2"/>
  </mergeCells>
  <printOptions horizontalCentered="1"/>
  <pageMargins left="0.15748031496062992" right="0.15748031496062992" top="1.2598425196850394" bottom="0.35433070866141736" header="1.0236220472440944" footer="0.15748031496062992"/>
  <pageSetup paperSize="8" scale="72" orientation="landscape" r:id="rId1"/>
  <headerFooter>
    <oddFooter>&amp;C&amp;Z&amp;F - &amp;A&amp;RPage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EB7F-2F4E-48B8-9317-4966EE89F6FE}">
  <sheetPr>
    <tabColor rgb="FFFFFF00"/>
  </sheetPr>
  <dimension ref="A1:U25"/>
  <sheetViews>
    <sheetView zoomScale="70" zoomScaleNormal="70" zoomScaleSheetLayoutView="80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H11" sqref="A11:XFD11"/>
    </sheetView>
  </sheetViews>
  <sheetFormatPr defaultRowHeight="14.4"/>
  <cols>
    <col min="1" max="23" width="12.6640625" customWidth="1"/>
  </cols>
  <sheetData>
    <row r="1" spans="1:21" ht="18" thickBot="1">
      <c r="A1" s="193" t="s">
        <v>401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5"/>
    </row>
    <row r="2" spans="1:21" ht="17.399999999999999" customHeight="1" thickBot="1">
      <c r="A2" s="196" t="s">
        <v>399</v>
      </c>
      <c r="B2" s="197"/>
      <c r="C2" s="197"/>
      <c r="D2" s="198"/>
      <c r="E2" s="199" t="s">
        <v>395</v>
      </c>
      <c r="F2" s="200"/>
      <c r="G2" s="199" t="s">
        <v>396</v>
      </c>
      <c r="H2" s="201"/>
      <c r="I2" s="201"/>
      <c r="J2" s="201"/>
      <c r="K2" s="200"/>
      <c r="L2" s="199" t="s">
        <v>397</v>
      </c>
      <c r="M2" s="201"/>
      <c r="N2" s="201"/>
      <c r="O2" s="201"/>
      <c r="P2" s="200"/>
      <c r="Q2" s="199" t="s">
        <v>398</v>
      </c>
      <c r="R2" s="201"/>
      <c r="S2" s="201"/>
      <c r="T2" s="201"/>
      <c r="U2" s="200"/>
    </row>
    <row r="3" spans="1:21" ht="19.95" customHeight="1" thickBot="1">
      <c r="A3" s="87" t="s">
        <v>27</v>
      </c>
      <c r="B3" s="87" t="s">
        <v>28</v>
      </c>
      <c r="C3" s="87" t="s">
        <v>29</v>
      </c>
      <c r="D3" s="87" t="s">
        <v>30</v>
      </c>
      <c r="E3" s="87" t="s">
        <v>393</v>
      </c>
      <c r="F3" s="87" t="s">
        <v>394</v>
      </c>
      <c r="G3" s="87" t="s">
        <v>21</v>
      </c>
      <c r="H3" s="87" t="s">
        <v>391</v>
      </c>
      <c r="I3" s="87" t="s">
        <v>23</v>
      </c>
      <c r="J3" s="87" t="s">
        <v>24</v>
      </c>
      <c r="K3" s="87" t="s">
        <v>392</v>
      </c>
      <c r="L3" s="87" t="s">
        <v>21</v>
      </c>
      <c r="M3" s="87" t="s">
        <v>391</v>
      </c>
      <c r="N3" s="87" t="s">
        <v>23</v>
      </c>
      <c r="O3" s="87" t="s">
        <v>24</v>
      </c>
      <c r="P3" s="87" t="s">
        <v>392</v>
      </c>
      <c r="Q3" s="87" t="s">
        <v>21</v>
      </c>
      <c r="R3" s="87" t="s">
        <v>391</v>
      </c>
      <c r="S3" s="87" t="s">
        <v>23</v>
      </c>
      <c r="T3" s="87" t="s">
        <v>24</v>
      </c>
      <c r="U3" s="153" t="s">
        <v>392</v>
      </c>
    </row>
    <row r="4" spans="1:21" s="112" customFormat="1" ht="19.95" customHeight="1">
      <c r="A4" s="160">
        <v>60</v>
      </c>
      <c r="B4" s="161">
        <v>60</v>
      </c>
      <c r="C4" s="161">
        <v>5778</v>
      </c>
      <c r="D4" s="162">
        <v>40780</v>
      </c>
      <c r="E4" s="163">
        <v>39904</v>
      </c>
      <c r="F4" s="162" t="s">
        <v>335</v>
      </c>
      <c r="G4" s="160">
        <v>5150</v>
      </c>
      <c r="H4" s="161">
        <v>2575</v>
      </c>
      <c r="I4" s="161">
        <v>4172</v>
      </c>
      <c r="J4" s="161">
        <f t="shared" ref="J4:J15" si="0">G4+H4+I4</f>
        <v>11897</v>
      </c>
      <c r="K4" s="164">
        <f t="shared" ref="K4:K15" si="1">ROUND(J4*10%,0)</f>
        <v>1190</v>
      </c>
      <c r="L4" s="160">
        <v>9710</v>
      </c>
      <c r="M4" s="161">
        <v>4200</v>
      </c>
      <c r="N4" s="161">
        <v>3060</v>
      </c>
      <c r="O4" s="161">
        <f t="shared" ref="O4:O15" si="2">L4+M4+N4</f>
        <v>16970</v>
      </c>
      <c r="P4" s="164">
        <f t="shared" ref="P4:P15" si="3">ROUND(O4*10%,0)</f>
        <v>1697</v>
      </c>
      <c r="Q4" s="160">
        <f t="shared" ref="Q4:U15" si="4">L4-G4</f>
        <v>4560</v>
      </c>
      <c r="R4" s="161">
        <f t="shared" si="4"/>
        <v>1625</v>
      </c>
      <c r="S4" s="161">
        <f t="shared" si="4"/>
        <v>-1112</v>
      </c>
      <c r="T4" s="161">
        <f t="shared" si="4"/>
        <v>5073</v>
      </c>
      <c r="U4" s="165">
        <f t="shared" si="4"/>
        <v>507</v>
      </c>
    </row>
    <row r="5" spans="1:21" s="112" customFormat="1" ht="19.95" customHeight="1">
      <c r="A5" s="167">
        <v>60</v>
      </c>
      <c r="B5" s="168">
        <v>60</v>
      </c>
      <c r="C5" s="168">
        <v>5778</v>
      </c>
      <c r="D5" s="169">
        <v>40780</v>
      </c>
      <c r="E5" s="170">
        <v>39934</v>
      </c>
      <c r="F5" s="169">
        <v>39963</v>
      </c>
      <c r="G5" s="167">
        <v>5150</v>
      </c>
      <c r="H5" s="168">
        <v>2575</v>
      </c>
      <c r="I5" s="168">
        <v>4172</v>
      </c>
      <c r="J5" s="168">
        <f t="shared" si="0"/>
        <v>11897</v>
      </c>
      <c r="K5" s="171">
        <f t="shared" si="1"/>
        <v>1190</v>
      </c>
      <c r="L5" s="167">
        <v>9710</v>
      </c>
      <c r="M5" s="168">
        <v>4200</v>
      </c>
      <c r="N5" s="168">
        <v>3060</v>
      </c>
      <c r="O5" s="168">
        <f t="shared" si="2"/>
        <v>16970</v>
      </c>
      <c r="P5" s="171">
        <f t="shared" si="3"/>
        <v>1697</v>
      </c>
      <c r="Q5" s="167">
        <f t="shared" si="4"/>
        <v>4560</v>
      </c>
      <c r="R5" s="168">
        <f t="shared" si="4"/>
        <v>1625</v>
      </c>
      <c r="S5" s="168">
        <f t="shared" si="4"/>
        <v>-1112</v>
      </c>
      <c r="T5" s="168">
        <f t="shared" si="4"/>
        <v>5073</v>
      </c>
      <c r="U5" s="172">
        <f t="shared" si="4"/>
        <v>507</v>
      </c>
    </row>
    <row r="6" spans="1:21" s="112" customFormat="1" ht="17.399999999999999">
      <c r="A6" s="167">
        <v>60</v>
      </c>
      <c r="B6" s="168">
        <v>60</v>
      </c>
      <c r="C6" s="168">
        <v>5778</v>
      </c>
      <c r="D6" s="169">
        <v>40780</v>
      </c>
      <c r="E6" s="170">
        <v>39965</v>
      </c>
      <c r="F6" s="169">
        <v>39994</v>
      </c>
      <c r="G6" s="167">
        <v>5300</v>
      </c>
      <c r="H6" s="168">
        <v>2650</v>
      </c>
      <c r="I6" s="168">
        <v>4293</v>
      </c>
      <c r="J6" s="168">
        <f t="shared" si="0"/>
        <v>12243</v>
      </c>
      <c r="K6" s="171">
        <f t="shared" si="1"/>
        <v>1224</v>
      </c>
      <c r="L6" s="167">
        <v>9710</v>
      </c>
      <c r="M6" s="168">
        <v>4200</v>
      </c>
      <c r="N6" s="168">
        <v>3060</v>
      </c>
      <c r="O6" s="168">
        <f t="shared" si="2"/>
        <v>16970</v>
      </c>
      <c r="P6" s="171">
        <f t="shared" si="3"/>
        <v>1697</v>
      </c>
      <c r="Q6" s="167">
        <f t="shared" si="4"/>
        <v>4410</v>
      </c>
      <c r="R6" s="168">
        <f t="shared" si="4"/>
        <v>1550</v>
      </c>
      <c r="S6" s="168">
        <f t="shared" si="4"/>
        <v>-1233</v>
      </c>
      <c r="T6" s="168">
        <f t="shared" si="4"/>
        <v>4727</v>
      </c>
      <c r="U6" s="172">
        <f t="shared" si="4"/>
        <v>473</v>
      </c>
    </row>
    <row r="7" spans="1:21" s="112" customFormat="1" ht="17.399999999999999">
      <c r="A7" s="167">
        <v>60</v>
      </c>
      <c r="B7" s="168">
        <v>60</v>
      </c>
      <c r="C7" s="168">
        <v>5778</v>
      </c>
      <c r="D7" s="169">
        <v>40780</v>
      </c>
      <c r="E7" s="170">
        <v>39995</v>
      </c>
      <c r="F7" s="169">
        <v>40025</v>
      </c>
      <c r="G7" s="167">
        <v>5300</v>
      </c>
      <c r="H7" s="168">
        <v>2650</v>
      </c>
      <c r="I7" s="168">
        <v>4293</v>
      </c>
      <c r="J7" s="168">
        <f t="shared" si="0"/>
        <v>12243</v>
      </c>
      <c r="K7" s="171">
        <f t="shared" si="1"/>
        <v>1224</v>
      </c>
      <c r="L7" s="167">
        <v>10130</v>
      </c>
      <c r="M7" s="168">
        <v>4200</v>
      </c>
      <c r="N7" s="168">
        <v>3869</v>
      </c>
      <c r="O7" s="168">
        <f t="shared" si="2"/>
        <v>18199</v>
      </c>
      <c r="P7" s="171">
        <f t="shared" si="3"/>
        <v>1820</v>
      </c>
      <c r="Q7" s="167">
        <f t="shared" si="4"/>
        <v>4830</v>
      </c>
      <c r="R7" s="168">
        <f t="shared" si="4"/>
        <v>1550</v>
      </c>
      <c r="S7" s="168">
        <f t="shared" si="4"/>
        <v>-424</v>
      </c>
      <c r="T7" s="168">
        <f t="shared" si="4"/>
        <v>5956</v>
      </c>
      <c r="U7" s="172">
        <f t="shared" si="4"/>
        <v>596</v>
      </c>
    </row>
    <row r="8" spans="1:21" s="112" customFormat="1" ht="17.399999999999999">
      <c r="A8" s="167">
        <v>60</v>
      </c>
      <c r="B8" s="168">
        <v>60</v>
      </c>
      <c r="C8" s="168">
        <v>5778</v>
      </c>
      <c r="D8" s="169">
        <v>40780</v>
      </c>
      <c r="E8" s="170">
        <v>40026</v>
      </c>
      <c r="F8" s="169">
        <v>40056</v>
      </c>
      <c r="G8" s="167">
        <v>5300</v>
      </c>
      <c r="H8" s="168">
        <v>2650</v>
      </c>
      <c r="I8" s="168">
        <v>4293</v>
      </c>
      <c r="J8" s="168">
        <f t="shared" si="0"/>
        <v>12243</v>
      </c>
      <c r="K8" s="171">
        <f t="shared" si="1"/>
        <v>1224</v>
      </c>
      <c r="L8" s="167">
        <v>10130</v>
      </c>
      <c r="M8" s="168">
        <v>4200</v>
      </c>
      <c r="N8" s="168">
        <v>3869</v>
      </c>
      <c r="O8" s="168">
        <f t="shared" si="2"/>
        <v>18199</v>
      </c>
      <c r="P8" s="171">
        <f t="shared" si="3"/>
        <v>1820</v>
      </c>
      <c r="Q8" s="167">
        <f t="shared" si="4"/>
        <v>4830</v>
      </c>
      <c r="R8" s="168">
        <f t="shared" si="4"/>
        <v>1550</v>
      </c>
      <c r="S8" s="168">
        <f t="shared" si="4"/>
        <v>-424</v>
      </c>
      <c r="T8" s="168">
        <f t="shared" si="4"/>
        <v>5956</v>
      </c>
      <c r="U8" s="172">
        <f t="shared" si="4"/>
        <v>596</v>
      </c>
    </row>
    <row r="9" spans="1:21" s="112" customFormat="1" ht="17.399999999999999">
      <c r="A9" s="167">
        <v>60</v>
      </c>
      <c r="B9" s="168">
        <v>60</v>
      </c>
      <c r="C9" s="168">
        <v>5778</v>
      </c>
      <c r="D9" s="169">
        <v>40780</v>
      </c>
      <c r="E9" s="170">
        <v>40057</v>
      </c>
      <c r="F9" s="169">
        <v>40086</v>
      </c>
      <c r="G9" s="167">
        <v>5300</v>
      </c>
      <c r="H9" s="168">
        <v>2650</v>
      </c>
      <c r="I9" s="168">
        <v>4293</v>
      </c>
      <c r="J9" s="168">
        <f t="shared" si="0"/>
        <v>12243</v>
      </c>
      <c r="K9" s="171">
        <f t="shared" si="1"/>
        <v>1224</v>
      </c>
      <c r="L9" s="167">
        <v>10130</v>
      </c>
      <c r="M9" s="168">
        <v>4200</v>
      </c>
      <c r="N9" s="168">
        <v>3869</v>
      </c>
      <c r="O9" s="168">
        <f t="shared" si="2"/>
        <v>18199</v>
      </c>
      <c r="P9" s="171">
        <f t="shared" si="3"/>
        <v>1820</v>
      </c>
      <c r="Q9" s="167">
        <f t="shared" si="4"/>
        <v>4830</v>
      </c>
      <c r="R9" s="168">
        <f t="shared" si="4"/>
        <v>1550</v>
      </c>
      <c r="S9" s="168">
        <f t="shared" si="4"/>
        <v>-424</v>
      </c>
      <c r="T9" s="168">
        <f t="shared" si="4"/>
        <v>5956</v>
      </c>
      <c r="U9" s="172">
        <f t="shared" si="4"/>
        <v>596</v>
      </c>
    </row>
    <row r="10" spans="1:21" s="112" customFormat="1" ht="17.399999999999999">
      <c r="A10" s="167">
        <v>60</v>
      </c>
      <c r="B10" s="168">
        <v>60</v>
      </c>
      <c r="C10" s="168">
        <v>5778</v>
      </c>
      <c r="D10" s="169">
        <v>40780</v>
      </c>
      <c r="E10" s="170">
        <v>40087</v>
      </c>
      <c r="F10" s="169">
        <v>40117</v>
      </c>
      <c r="G10" s="167">
        <v>5300</v>
      </c>
      <c r="H10" s="168">
        <v>2650</v>
      </c>
      <c r="I10" s="168">
        <v>4293</v>
      </c>
      <c r="J10" s="168">
        <f t="shared" si="0"/>
        <v>12243</v>
      </c>
      <c r="K10" s="171">
        <f t="shared" si="1"/>
        <v>1224</v>
      </c>
      <c r="L10" s="167">
        <v>10130</v>
      </c>
      <c r="M10" s="168">
        <v>4200</v>
      </c>
      <c r="N10" s="168">
        <v>3869</v>
      </c>
      <c r="O10" s="168">
        <f t="shared" si="2"/>
        <v>18199</v>
      </c>
      <c r="P10" s="171">
        <f t="shared" si="3"/>
        <v>1820</v>
      </c>
      <c r="Q10" s="167">
        <f t="shared" si="4"/>
        <v>4830</v>
      </c>
      <c r="R10" s="168">
        <f t="shared" si="4"/>
        <v>1550</v>
      </c>
      <c r="S10" s="168">
        <f t="shared" si="4"/>
        <v>-424</v>
      </c>
      <c r="T10" s="168">
        <f t="shared" si="4"/>
        <v>5956</v>
      </c>
      <c r="U10" s="172">
        <f t="shared" si="4"/>
        <v>596</v>
      </c>
    </row>
    <row r="11" spans="1:21" s="112" customFormat="1" ht="17.399999999999999">
      <c r="A11" s="167">
        <v>60</v>
      </c>
      <c r="B11" s="168">
        <v>60</v>
      </c>
      <c r="C11" s="168">
        <v>5778</v>
      </c>
      <c r="D11" s="169">
        <v>40780</v>
      </c>
      <c r="E11" s="170">
        <v>40118</v>
      </c>
      <c r="F11" s="169">
        <v>40147</v>
      </c>
      <c r="G11" s="167">
        <v>5300</v>
      </c>
      <c r="H11" s="168">
        <v>2650</v>
      </c>
      <c r="I11" s="168">
        <v>4293</v>
      </c>
      <c r="J11" s="168">
        <f t="shared" si="0"/>
        <v>12243</v>
      </c>
      <c r="K11" s="171">
        <f t="shared" si="1"/>
        <v>1224</v>
      </c>
      <c r="L11" s="167">
        <v>10130</v>
      </c>
      <c r="M11" s="168">
        <v>4200</v>
      </c>
      <c r="N11" s="168">
        <v>3869</v>
      </c>
      <c r="O11" s="168">
        <f t="shared" si="2"/>
        <v>18199</v>
      </c>
      <c r="P11" s="171">
        <f t="shared" si="3"/>
        <v>1820</v>
      </c>
      <c r="Q11" s="167">
        <f t="shared" si="4"/>
        <v>4830</v>
      </c>
      <c r="R11" s="168">
        <f t="shared" si="4"/>
        <v>1550</v>
      </c>
      <c r="S11" s="168">
        <f t="shared" si="4"/>
        <v>-424</v>
      </c>
      <c r="T11" s="168">
        <f t="shared" si="4"/>
        <v>5956</v>
      </c>
      <c r="U11" s="172">
        <f t="shared" ref="U11:U15" si="5">T11*10%</f>
        <v>595.6</v>
      </c>
    </row>
    <row r="12" spans="1:21" s="112" customFormat="1" ht="17.399999999999999">
      <c r="A12" s="167">
        <v>60</v>
      </c>
      <c r="B12" s="168">
        <v>60</v>
      </c>
      <c r="C12" s="168">
        <v>5778</v>
      </c>
      <c r="D12" s="169">
        <v>40780</v>
      </c>
      <c r="E12" s="170">
        <v>40148</v>
      </c>
      <c r="F12" s="169">
        <v>40178</v>
      </c>
      <c r="G12" s="167">
        <v>5300</v>
      </c>
      <c r="H12" s="168">
        <v>2650</v>
      </c>
      <c r="I12" s="168">
        <v>4293</v>
      </c>
      <c r="J12" s="168">
        <f t="shared" si="0"/>
        <v>12243</v>
      </c>
      <c r="K12" s="171">
        <f t="shared" si="1"/>
        <v>1224</v>
      </c>
      <c r="L12" s="167">
        <v>10130</v>
      </c>
      <c r="M12" s="168">
        <v>4200</v>
      </c>
      <c r="N12" s="168">
        <v>3869</v>
      </c>
      <c r="O12" s="168">
        <f t="shared" si="2"/>
        <v>18199</v>
      </c>
      <c r="P12" s="171">
        <f t="shared" si="3"/>
        <v>1820</v>
      </c>
      <c r="Q12" s="167">
        <f t="shared" si="4"/>
        <v>4830</v>
      </c>
      <c r="R12" s="168">
        <f t="shared" si="4"/>
        <v>1550</v>
      </c>
      <c r="S12" s="168">
        <f t="shared" si="4"/>
        <v>-424</v>
      </c>
      <c r="T12" s="168">
        <f t="shared" si="4"/>
        <v>5956</v>
      </c>
      <c r="U12" s="172">
        <f t="shared" si="5"/>
        <v>595.6</v>
      </c>
    </row>
    <row r="13" spans="1:21" s="112" customFormat="1" ht="17.399999999999999">
      <c r="A13" s="167">
        <v>60</v>
      </c>
      <c r="B13" s="168">
        <v>60</v>
      </c>
      <c r="C13" s="168">
        <v>5778</v>
      </c>
      <c r="D13" s="169">
        <v>40780</v>
      </c>
      <c r="E13" s="170">
        <v>40179</v>
      </c>
      <c r="F13" s="169">
        <v>40209</v>
      </c>
      <c r="G13" s="167">
        <v>5300</v>
      </c>
      <c r="H13" s="168">
        <v>2650</v>
      </c>
      <c r="I13" s="168">
        <v>4293</v>
      </c>
      <c r="J13" s="168">
        <f t="shared" si="0"/>
        <v>12243</v>
      </c>
      <c r="K13" s="171">
        <f t="shared" si="1"/>
        <v>1224</v>
      </c>
      <c r="L13" s="167">
        <v>10130</v>
      </c>
      <c r="M13" s="168">
        <v>4200</v>
      </c>
      <c r="N13" s="168">
        <v>3869</v>
      </c>
      <c r="O13" s="168">
        <f t="shared" si="2"/>
        <v>18199</v>
      </c>
      <c r="P13" s="171">
        <f t="shared" si="3"/>
        <v>1820</v>
      </c>
      <c r="Q13" s="167">
        <f t="shared" si="4"/>
        <v>4830</v>
      </c>
      <c r="R13" s="168">
        <f t="shared" si="4"/>
        <v>1550</v>
      </c>
      <c r="S13" s="168">
        <f t="shared" si="4"/>
        <v>-424</v>
      </c>
      <c r="T13" s="168">
        <f t="shared" si="4"/>
        <v>5956</v>
      </c>
      <c r="U13" s="172">
        <f t="shared" si="5"/>
        <v>595.6</v>
      </c>
    </row>
    <row r="14" spans="1:21" s="112" customFormat="1" ht="17.399999999999999">
      <c r="A14" s="167">
        <v>60</v>
      </c>
      <c r="B14" s="168">
        <v>60</v>
      </c>
      <c r="C14" s="168">
        <v>5778</v>
      </c>
      <c r="D14" s="169">
        <v>40780</v>
      </c>
      <c r="E14" s="170">
        <v>40210</v>
      </c>
      <c r="F14" s="169">
        <v>40237</v>
      </c>
      <c r="G14" s="167">
        <v>5300</v>
      </c>
      <c r="H14" s="168">
        <v>2650</v>
      </c>
      <c r="I14" s="168">
        <v>4293</v>
      </c>
      <c r="J14" s="168">
        <f t="shared" si="0"/>
        <v>12243</v>
      </c>
      <c r="K14" s="171">
        <f t="shared" si="1"/>
        <v>1224</v>
      </c>
      <c r="L14" s="167">
        <v>10130</v>
      </c>
      <c r="M14" s="168">
        <v>4200</v>
      </c>
      <c r="N14" s="168">
        <v>3869</v>
      </c>
      <c r="O14" s="168">
        <f t="shared" si="2"/>
        <v>18199</v>
      </c>
      <c r="P14" s="171">
        <f t="shared" si="3"/>
        <v>1820</v>
      </c>
      <c r="Q14" s="167">
        <f t="shared" si="4"/>
        <v>4830</v>
      </c>
      <c r="R14" s="168">
        <f t="shared" si="4"/>
        <v>1550</v>
      </c>
      <c r="S14" s="168">
        <f t="shared" si="4"/>
        <v>-424</v>
      </c>
      <c r="T14" s="168">
        <f t="shared" si="4"/>
        <v>5956</v>
      </c>
      <c r="U14" s="172">
        <f t="shared" si="5"/>
        <v>595.6</v>
      </c>
    </row>
    <row r="15" spans="1:21" ht="18" thickBot="1">
      <c r="A15" s="100">
        <v>60</v>
      </c>
      <c r="B15" s="101">
        <v>60</v>
      </c>
      <c r="C15" s="101">
        <v>5778</v>
      </c>
      <c r="D15" s="102">
        <v>40780</v>
      </c>
      <c r="E15" s="103">
        <v>40238</v>
      </c>
      <c r="F15" s="102">
        <v>40268</v>
      </c>
      <c r="G15" s="100">
        <v>5300</v>
      </c>
      <c r="H15" s="101">
        <v>2650</v>
      </c>
      <c r="I15" s="101">
        <v>4293</v>
      </c>
      <c r="J15" s="101">
        <f t="shared" si="0"/>
        <v>12243</v>
      </c>
      <c r="K15" s="104">
        <f t="shared" si="1"/>
        <v>1224</v>
      </c>
      <c r="L15" s="100">
        <v>10130</v>
      </c>
      <c r="M15" s="101">
        <v>4200</v>
      </c>
      <c r="N15" s="101">
        <v>3869</v>
      </c>
      <c r="O15" s="101">
        <f t="shared" si="2"/>
        <v>18199</v>
      </c>
      <c r="P15" s="104">
        <f t="shared" si="3"/>
        <v>1820</v>
      </c>
      <c r="Q15" s="100">
        <f t="shared" si="4"/>
        <v>4830</v>
      </c>
      <c r="R15" s="101">
        <f t="shared" si="4"/>
        <v>1550</v>
      </c>
      <c r="S15" s="101">
        <f t="shared" si="4"/>
        <v>-424</v>
      </c>
      <c r="T15" s="101">
        <f t="shared" si="4"/>
        <v>5956</v>
      </c>
      <c r="U15" s="157">
        <f t="shared" si="5"/>
        <v>595.6</v>
      </c>
    </row>
    <row r="16" spans="1:21" ht="4.95" customHeight="1">
      <c r="A16" s="106"/>
      <c r="B16" s="107"/>
      <c r="C16" s="107"/>
      <c r="D16" s="108"/>
      <c r="E16" s="108"/>
      <c r="F16" s="108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9"/>
    </row>
    <row r="17" spans="1:21" ht="17.399999999999999">
      <c r="A17" s="94">
        <v>60</v>
      </c>
      <c r="B17" s="95">
        <v>60</v>
      </c>
      <c r="C17" s="95">
        <v>5778</v>
      </c>
      <c r="D17" s="96">
        <v>40780</v>
      </c>
      <c r="E17" s="97">
        <v>39814</v>
      </c>
      <c r="F17" s="96">
        <v>39844</v>
      </c>
      <c r="G17" s="94">
        <v>9710</v>
      </c>
      <c r="H17" s="95">
        <v>4200</v>
      </c>
      <c r="I17" s="95">
        <v>2226</v>
      </c>
      <c r="J17" s="95">
        <f>G17+H17+I17</f>
        <v>16136</v>
      </c>
      <c r="K17" s="98">
        <f>ROUND(J17*10%,0)</f>
        <v>1614</v>
      </c>
      <c r="L17" s="94">
        <v>9710</v>
      </c>
      <c r="M17" s="95">
        <v>4200</v>
      </c>
      <c r="N17" s="95">
        <v>3060</v>
      </c>
      <c r="O17" s="95">
        <f>L17+M17+N17</f>
        <v>16970</v>
      </c>
      <c r="P17" s="98">
        <f>ROUND(O17*10%,0)</f>
        <v>1697</v>
      </c>
      <c r="Q17" s="94">
        <f t="shared" ref="Q17:T19" si="6">L17-G17</f>
        <v>0</v>
      </c>
      <c r="R17" s="95">
        <f t="shared" si="6"/>
        <v>0</v>
      </c>
      <c r="S17" s="95">
        <f t="shared" si="6"/>
        <v>834</v>
      </c>
      <c r="T17" s="95">
        <f t="shared" si="6"/>
        <v>834</v>
      </c>
      <c r="U17" s="99">
        <f t="shared" ref="U17:U21" si="7">T17*10%</f>
        <v>83.4</v>
      </c>
    </row>
    <row r="18" spans="1:21" ht="17.399999999999999">
      <c r="A18" s="94">
        <v>60</v>
      </c>
      <c r="B18" s="95">
        <v>60</v>
      </c>
      <c r="C18" s="95">
        <v>5778</v>
      </c>
      <c r="D18" s="96">
        <v>40780</v>
      </c>
      <c r="E18" s="97">
        <v>39845</v>
      </c>
      <c r="F18" s="96">
        <v>39872</v>
      </c>
      <c r="G18" s="94">
        <v>9710</v>
      </c>
      <c r="H18" s="95">
        <v>4200</v>
      </c>
      <c r="I18" s="95">
        <v>2226</v>
      </c>
      <c r="J18" s="95">
        <f>G18+H18+I18</f>
        <v>16136</v>
      </c>
      <c r="K18" s="98">
        <f>ROUND(J18*10%,0)</f>
        <v>1614</v>
      </c>
      <c r="L18" s="94">
        <v>9710</v>
      </c>
      <c r="M18" s="95">
        <v>4200</v>
      </c>
      <c r="N18" s="95">
        <v>3060</v>
      </c>
      <c r="O18" s="95">
        <f>L18+M18+N18</f>
        <v>16970</v>
      </c>
      <c r="P18" s="98">
        <f>ROUND(O18*10%,0)</f>
        <v>1697</v>
      </c>
      <c r="Q18" s="94">
        <f t="shared" si="6"/>
        <v>0</v>
      </c>
      <c r="R18" s="95">
        <f t="shared" si="6"/>
        <v>0</v>
      </c>
      <c r="S18" s="95">
        <f t="shared" si="6"/>
        <v>834</v>
      </c>
      <c r="T18" s="95">
        <f t="shared" si="6"/>
        <v>834</v>
      </c>
      <c r="U18" s="99">
        <f t="shared" si="7"/>
        <v>83.4</v>
      </c>
    </row>
    <row r="19" spans="1:21" ht="18" thickBot="1">
      <c r="A19" s="100">
        <v>60</v>
      </c>
      <c r="B19" s="101">
        <v>60</v>
      </c>
      <c r="C19" s="101">
        <v>5778</v>
      </c>
      <c r="D19" s="102">
        <v>40780</v>
      </c>
      <c r="E19" s="103">
        <v>39873</v>
      </c>
      <c r="F19" s="102">
        <v>39903</v>
      </c>
      <c r="G19" s="100">
        <v>9710</v>
      </c>
      <c r="H19" s="101">
        <v>4200</v>
      </c>
      <c r="I19" s="101">
        <v>2226</v>
      </c>
      <c r="J19" s="101">
        <f>G19+H19+I19</f>
        <v>16136</v>
      </c>
      <c r="K19" s="104">
        <f>ROUND(J19*10%,0)</f>
        <v>1614</v>
      </c>
      <c r="L19" s="100">
        <v>9710</v>
      </c>
      <c r="M19" s="101">
        <v>4200</v>
      </c>
      <c r="N19" s="95">
        <v>3060</v>
      </c>
      <c r="O19" s="101">
        <f>L19+M19+N19</f>
        <v>16970</v>
      </c>
      <c r="P19" s="104">
        <f>ROUND(O19*10%,0)</f>
        <v>1697</v>
      </c>
      <c r="Q19" s="100">
        <f t="shared" si="6"/>
        <v>0</v>
      </c>
      <c r="R19" s="101">
        <f t="shared" si="6"/>
        <v>0</v>
      </c>
      <c r="S19" s="101">
        <f t="shared" si="6"/>
        <v>834</v>
      </c>
      <c r="T19" s="101">
        <f t="shared" si="6"/>
        <v>834</v>
      </c>
      <c r="U19" s="105">
        <f t="shared" si="7"/>
        <v>83.4</v>
      </c>
    </row>
    <row r="20" spans="1:21" ht="4.95" customHeight="1" thickBot="1">
      <c r="A20" s="106"/>
      <c r="B20" s="107"/>
      <c r="C20" s="107"/>
      <c r="D20" s="108"/>
      <c r="E20" s="108"/>
      <c r="F20" s="108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7"/>
      <c r="T20" s="107"/>
      <c r="U20" s="109"/>
    </row>
    <row r="21" spans="1:21" s="112" customFormat="1" ht="18" thickBot="1">
      <c r="A21" s="190" t="s">
        <v>24</v>
      </c>
      <c r="B21" s="191"/>
      <c r="C21" s="191"/>
      <c r="D21" s="191"/>
      <c r="E21" s="191"/>
      <c r="F21" s="192"/>
      <c r="G21" s="87">
        <f t="shared" ref="G21:T21" si="8">SUBTOTAL(9,G4:G19)</f>
        <v>92430</v>
      </c>
      <c r="H21" s="87">
        <f t="shared" si="8"/>
        <v>44250</v>
      </c>
      <c r="I21" s="87">
        <f t="shared" si="8"/>
        <v>57952</v>
      </c>
      <c r="J21" s="87">
        <f t="shared" si="8"/>
        <v>194632</v>
      </c>
      <c r="K21" s="87">
        <f t="shared" si="8"/>
        <v>19462</v>
      </c>
      <c r="L21" s="87">
        <f t="shared" si="8"/>
        <v>149430</v>
      </c>
      <c r="M21" s="87">
        <f t="shared" si="8"/>
        <v>63000</v>
      </c>
      <c r="N21" s="87">
        <f t="shared" si="8"/>
        <v>53181</v>
      </c>
      <c r="O21" s="87">
        <f t="shared" si="8"/>
        <v>265611</v>
      </c>
      <c r="P21" s="87">
        <f t="shared" si="8"/>
        <v>26562</v>
      </c>
      <c r="Q21" s="87">
        <f t="shared" si="8"/>
        <v>57000</v>
      </c>
      <c r="R21" s="87">
        <f t="shared" si="8"/>
        <v>18750</v>
      </c>
      <c r="S21" s="87">
        <f t="shared" si="8"/>
        <v>-4771</v>
      </c>
      <c r="T21" s="87">
        <f t="shared" si="8"/>
        <v>70979</v>
      </c>
      <c r="U21" s="111">
        <f t="shared" si="7"/>
        <v>7097.9000000000005</v>
      </c>
    </row>
    <row r="23" spans="1:21">
      <c r="S23" s="112" t="s">
        <v>415</v>
      </c>
      <c r="T23" s="112">
        <f>13302-8283</f>
        <v>5019</v>
      </c>
    </row>
    <row r="25" spans="1:21">
      <c r="S25" s="112" t="s">
        <v>416</v>
      </c>
      <c r="T25" s="112">
        <f>T21+T23</f>
        <v>75998</v>
      </c>
    </row>
  </sheetData>
  <mergeCells count="7">
    <mergeCell ref="A21:F21"/>
    <mergeCell ref="A1:U1"/>
    <mergeCell ref="A2:D2"/>
    <mergeCell ref="E2:F2"/>
    <mergeCell ref="G2:K2"/>
    <mergeCell ref="L2:P2"/>
    <mergeCell ref="Q2:U2"/>
  </mergeCells>
  <printOptions horizontalCentered="1"/>
  <pageMargins left="0.15748031496062992" right="0.15748031496062992" top="1.2598425196850394" bottom="0.39370078740157483" header="0.94488188976377963" footer="0.19685039370078741"/>
  <pageSetup paperSize="8" scale="72" orientation="landscape" r:id="rId1"/>
  <headerFooter>
    <oddFooter>&amp;C&amp;Z&amp;F - &amp;A&amp;RPage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A7B9D-9930-4C00-A74D-97DA6F26E568}">
  <sheetPr>
    <tabColor rgb="FF92D050"/>
  </sheetPr>
  <dimension ref="A1:V38"/>
  <sheetViews>
    <sheetView zoomScale="85" zoomScaleNormal="85" zoomScaleSheetLayoutView="80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A4" sqref="A4"/>
    </sheetView>
  </sheetViews>
  <sheetFormatPr defaultRowHeight="14.4"/>
  <cols>
    <col min="1" max="20" width="12.6640625" customWidth="1"/>
    <col min="21" max="21" width="18" bestFit="1" customWidth="1"/>
    <col min="22" max="23" width="12.6640625" customWidth="1"/>
  </cols>
  <sheetData>
    <row r="1" spans="1:21" ht="18" thickBot="1">
      <c r="A1" s="193" t="s">
        <v>401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5"/>
    </row>
    <row r="2" spans="1:21" ht="17.399999999999999" customHeight="1" thickBot="1">
      <c r="A2" s="196" t="s">
        <v>399</v>
      </c>
      <c r="B2" s="197"/>
      <c r="C2" s="197"/>
      <c r="D2" s="198"/>
      <c r="E2" s="199" t="s">
        <v>395</v>
      </c>
      <c r="F2" s="200"/>
      <c r="G2" s="199" t="s">
        <v>396</v>
      </c>
      <c r="H2" s="201"/>
      <c r="I2" s="201"/>
      <c r="J2" s="201"/>
      <c r="K2" s="200"/>
      <c r="L2" s="199" t="s">
        <v>397</v>
      </c>
      <c r="M2" s="201"/>
      <c r="N2" s="201"/>
      <c r="O2" s="201"/>
      <c r="P2" s="200"/>
      <c r="Q2" s="199" t="s">
        <v>398</v>
      </c>
      <c r="R2" s="201"/>
      <c r="S2" s="201"/>
      <c r="T2" s="201"/>
      <c r="U2" s="200"/>
    </row>
    <row r="3" spans="1:21" ht="18" thickBot="1">
      <c r="A3" s="87" t="s">
        <v>27</v>
      </c>
      <c r="B3" s="87" t="s">
        <v>28</v>
      </c>
      <c r="C3" s="87" t="s">
        <v>29</v>
      </c>
      <c r="D3" s="87" t="s">
        <v>30</v>
      </c>
      <c r="E3" s="87" t="s">
        <v>393</v>
      </c>
      <c r="F3" s="87" t="s">
        <v>394</v>
      </c>
      <c r="G3" s="87" t="s">
        <v>21</v>
      </c>
      <c r="H3" s="87" t="s">
        <v>391</v>
      </c>
      <c r="I3" s="87" t="s">
        <v>23</v>
      </c>
      <c r="J3" s="87" t="s">
        <v>24</v>
      </c>
      <c r="K3" s="87" t="s">
        <v>392</v>
      </c>
      <c r="L3" s="87" t="s">
        <v>21</v>
      </c>
      <c r="M3" s="87" t="s">
        <v>391</v>
      </c>
      <c r="N3" s="87" t="s">
        <v>23</v>
      </c>
      <c r="O3" s="87" t="s">
        <v>24</v>
      </c>
      <c r="P3" s="87" t="s">
        <v>392</v>
      </c>
      <c r="Q3" s="87" t="s">
        <v>21</v>
      </c>
      <c r="R3" s="87" t="s">
        <v>391</v>
      </c>
      <c r="S3" s="87" t="s">
        <v>23</v>
      </c>
      <c r="T3" s="87" t="s">
        <v>24</v>
      </c>
      <c r="U3" s="87" t="s">
        <v>392</v>
      </c>
    </row>
    <row r="4" spans="1:21" ht="17.399999999999999">
      <c r="A4" s="88">
        <v>82</v>
      </c>
      <c r="B4" s="89">
        <v>82</v>
      </c>
      <c r="C4" s="89">
        <v>7996</v>
      </c>
      <c r="D4" s="90">
        <v>40827</v>
      </c>
      <c r="E4" s="91">
        <v>39239</v>
      </c>
      <c r="F4" s="90">
        <v>39263</v>
      </c>
      <c r="G4" s="88">
        <v>4000</v>
      </c>
      <c r="H4" s="89">
        <v>2000</v>
      </c>
      <c r="I4" s="89">
        <v>2100</v>
      </c>
      <c r="J4" s="89">
        <f t="shared" ref="J4:J13" si="0">G4+H4+I4</f>
        <v>8100</v>
      </c>
      <c r="K4" s="92">
        <f t="shared" ref="K4:K26" si="1">ROUND(J4*10%,0)</f>
        <v>810</v>
      </c>
      <c r="L4" s="88">
        <v>7440</v>
      </c>
      <c r="M4" s="89">
        <v>3360</v>
      </c>
      <c r="N4" s="89">
        <v>648</v>
      </c>
      <c r="O4" s="89">
        <f t="shared" ref="O4:O13" si="2">L4+M4+N4</f>
        <v>11448</v>
      </c>
      <c r="P4" s="92">
        <f t="shared" ref="P4:P26" si="3">ROUND(O4*10%,0)</f>
        <v>1145</v>
      </c>
      <c r="Q4" s="88">
        <f t="shared" ref="Q4:Q13" si="4">L4-G4</f>
        <v>3440</v>
      </c>
      <c r="R4" s="89">
        <f t="shared" ref="R4:R13" si="5">M4-H4</f>
        <v>1360</v>
      </c>
      <c r="S4" s="89">
        <f t="shared" ref="S4:S13" si="6">N4-I4</f>
        <v>-1452</v>
      </c>
      <c r="T4" s="89">
        <f t="shared" ref="Q4:T26" si="7">O4-J4</f>
        <v>3348</v>
      </c>
      <c r="U4" s="93">
        <f t="shared" ref="U4:U26" si="8">T4*10%</f>
        <v>334.8</v>
      </c>
    </row>
    <row r="5" spans="1:21" ht="17.399999999999999">
      <c r="A5" s="94">
        <v>82</v>
      </c>
      <c r="B5" s="95">
        <v>82</v>
      </c>
      <c r="C5" s="95">
        <v>7996</v>
      </c>
      <c r="D5" s="96">
        <v>40827</v>
      </c>
      <c r="E5" s="97">
        <v>39264</v>
      </c>
      <c r="F5" s="96">
        <v>39294</v>
      </c>
      <c r="G5" s="94">
        <v>5000</v>
      </c>
      <c r="H5" s="95">
        <v>2500</v>
      </c>
      <c r="I5" s="95">
        <v>3075</v>
      </c>
      <c r="J5" s="95">
        <f t="shared" si="0"/>
        <v>10575</v>
      </c>
      <c r="K5" s="98">
        <f t="shared" si="1"/>
        <v>1058</v>
      </c>
      <c r="L5" s="94">
        <v>9300</v>
      </c>
      <c r="M5" s="95">
        <v>4200</v>
      </c>
      <c r="N5" s="95">
        <v>1215</v>
      </c>
      <c r="O5" s="95">
        <f t="shared" si="2"/>
        <v>14715</v>
      </c>
      <c r="P5" s="98">
        <f t="shared" si="3"/>
        <v>1472</v>
      </c>
      <c r="Q5" s="94">
        <f t="shared" si="4"/>
        <v>4300</v>
      </c>
      <c r="R5" s="95">
        <f t="shared" si="5"/>
        <v>1700</v>
      </c>
      <c r="S5" s="95">
        <f t="shared" si="6"/>
        <v>-1860</v>
      </c>
      <c r="T5" s="95">
        <f t="shared" si="7"/>
        <v>4140</v>
      </c>
      <c r="U5" s="99">
        <f t="shared" si="8"/>
        <v>414</v>
      </c>
    </row>
    <row r="6" spans="1:21" ht="17.399999999999999">
      <c r="A6" s="94">
        <v>82</v>
      </c>
      <c r="B6" s="95">
        <v>82</v>
      </c>
      <c r="C6" s="95">
        <v>7996</v>
      </c>
      <c r="D6" s="96">
        <v>40827</v>
      </c>
      <c r="E6" s="97">
        <v>39295</v>
      </c>
      <c r="F6" s="96">
        <v>39325</v>
      </c>
      <c r="G6" s="94">
        <v>5000</v>
      </c>
      <c r="H6" s="95">
        <v>2500</v>
      </c>
      <c r="I6" s="95">
        <v>3075</v>
      </c>
      <c r="J6" s="95">
        <f t="shared" si="0"/>
        <v>10575</v>
      </c>
      <c r="K6" s="98">
        <f t="shared" si="1"/>
        <v>1058</v>
      </c>
      <c r="L6" s="94">
        <v>9300</v>
      </c>
      <c r="M6" s="95">
        <v>4200</v>
      </c>
      <c r="N6" s="95">
        <v>1215</v>
      </c>
      <c r="O6" s="95">
        <f t="shared" si="2"/>
        <v>14715</v>
      </c>
      <c r="P6" s="98">
        <f t="shared" si="3"/>
        <v>1472</v>
      </c>
      <c r="Q6" s="94">
        <f t="shared" si="4"/>
        <v>4300</v>
      </c>
      <c r="R6" s="95">
        <f t="shared" si="5"/>
        <v>1700</v>
      </c>
      <c r="S6" s="95">
        <f t="shared" si="6"/>
        <v>-1860</v>
      </c>
      <c r="T6" s="95">
        <f t="shared" si="7"/>
        <v>4140</v>
      </c>
      <c r="U6" s="99">
        <f t="shared" si="8"/>
        <v>414</v>
      </c>
    </row>
    <row r="7" spans="1:21" ht="17.399999999999999">
      <c r="A7" s="94">
        <v>82</v>
      </c>
      <c r="B7" s="95">
        <v>82</v>
      </c>
      <c r="C7" s="95">
        <v>7996</v>
      </c>
      <c r="D7" s="96">
        <v>40827</v>
      </c>
      <c r="E7" s="97">
        <v>39326</v>
      </c>
      <c r="F7" s="96">
        <v>39355</v>
      </c>
      <c r="G7" s="94">
        <v>5000</v>
      </c>
      <c r="H7" s="95">
        <v>2500</v>
      </c>
      <c r="I7" s="95">
        <v>3075</v>
      </c>
      <c r="J7" s="95">
        <f t="shared" si="0"/>
        <v>10575</v>
      </c>
      <c r="K7" s="98">
        <f t="shared" si="1"/>
        <v>1058</v>
      </c>
      <c r="L7" s="94">
        <v>9300</v>
      </c>
      <c r="M7" s="95">
        <v>4200</v>
      </c>
      <c r="N7" s="95">
        <v>1215</v>
      </c>
      <c r="O7" s="95">
        <f t="shared" si="2"/>
        <v>14715</v>
      </c>
      <c r="P7" s="98">
        <f t="shared" si="3"/>
        <v>1472</v>
      </c>
      <c r="Q7" s="94">
        <f t="shared" si="4"/>
        <v>4300</v>
      </c>
      <c r="R7" s="95">
        <f t="shared" si="5"/>
        <v>1700</v>
      </c>
      <c r="S7" s="95">
        <f t="shared" si="6"/>
        <v>-1860</v>
      </c>
      <c r="T7" s="95">
        <f t="shared" si="7"/>
        <v>4140</v>
      </c>
      <c r="U7" s="99">
        <f t="shared" si="8"/>
        <v>414</v>
      </c>
    </row>
    <row r="8" spans="1:21" ht="17.399999999999999">
      <c r="A8" s="94">
        <v>82</v>
      </c>
      <c r="B8" s="95">
        <v>82</v>
      </c>
      <c r="C8" s="95">
        <v>7996</v>
      </c>
      <c r="D8" s="96">
        <v>40827</v>
      </c>
      <c r="E8" s="97">
        <v>39356</v>
      </c>
      <c r="F8" s="96">
        <v>39386</v>
      </c>
      <c r="G8" s="94">
        <v>5000</v>
      </c>
      <c r="H8" s="95">
        <v>2500</v>
      </c>
      <c r="I8" s="95">
        <v>3075</v>
      </c>
      <c r="J8" s="95">
        <f t="shared" si="0"/>
        <v>10575</v>
      </c>
      <c r="K8" s="98">
        <f t="shared" si="1"/>
        <v>1058</v>
      </c>
      <c r="L8" s="94">
        <v>9300</v>
      </c>
      <c r="M8" s="95">
        <v>4200</v>
      </c>
      <c r="N8" s="95">
        <v>1215</v>
      </c>
      <c r="O8" s="95">
        <f t="shared" si="2"/>
        <v>14715</v>
      </c>
      <c r="P8" s="98">
        <f t="shared" si="3"/>
        <v>1472</v>
      </c>
      <c r="Q8" s="94">
        <f t="shared" si="4"/>
        <v>4300</v>
      </c>
      <c r="R8" s="95">
        <f t="shared" si="5"/>
        <v>1700</v>
      </c>
      <c r="S8" s="95">
        <f t="shared" si="6"/>
        <v>-1860</v>
      </c>
      <c r="T8" s="95">
        <f t="shared" si="7"/>
        <v>4140</v>
      </c>
      <c r="U8" s="99">
        <f t="shared" si="8"/>
        <v>414</v>
      </c>
    </row>
    <row r="9" spans="1:21" ht="17.399999999999999">
      <c r="A9" s="94">
        <v>82</v>
      </c>
      <c r="B9" s="95">
        <v>82</v>
      </c>
      <c r="C9" s="95">
        <v>7996</v>
      </c>
      <c r="D9" s="96">
        <v>40827</v>
      </c>
      <c r="E9" s="97">
        <v>39387</v>
      </c>
      <c r="F9" s="96">
        <v>39416</v>
      </c>
      <c r="G9" s="94">
        <v>5000</v>
      </c>
      <c r="H9" s="95">
        <v>2500</v>
      </c>
      <c r="I9" s="95">
        <v>3075</v>
      </c>
      <c r="J9" s="95">
        <f t="shared" si="0"/>
        <v>10575</v>
      </c>
      <c r="K9" s="98">
        <f t="shared" si="1"/>
        <v>1058</v>
      </c>
      <c r="L9" s="94">
        <v>9300</v>
      </c>
      <c r="M9" s="95">
        <v>4200</v>
      </c>
      <c r="N9" s="95">
        <v>1215</v>
      </c>
      <c r="O9" s="95">
        <f t="shared" si="2"/>
        <v>14715</v>
      </c>
      <c r="P9" s="98">
        <f t="shared" si="3"/>
        <v>1472</v>
      </c>
      <c r="Q9" s="94">
        <f t="shared" si="4"/>
        <v>4300</v>
      </c>
      <c r="R9" s="95">
        <f t="shared" si="5"/>
        <v>1700</v>
      </c>
      <c r="S9" s="95">
        <f t="shared" si="6"/>
        <v>-1860</v>
      </c>
      <c r="T9" s="95">
        <f t="shared" si="7"/>
        <v>4140</v>
      </c>
      <c r="U9" s="99">
        <f t="shared" si="8"/>
        <v>414</v>
      </c>
    </row>
    <row r="10" spans="1:21" ht="17.399999999999999">
      <c r="A10" s="94">
        <v>82</v>
      </c>
      <c r="B10" s="95">
        <v>82</v>
      </c>
      <c r="C10" s="95">
        <v>7996</v>
      </c>
      <c r="D10" s="96">
        <v>40827</v>
      </c>
      <c r="E10" s="97">
        <v>39417</v>
      </c>
      <c r="F10" s="96">
        <v>39447</v>
      </c>
      <c r="G10" s="94">
        <v>5000</v>
      </c>
      <c r="H10" s="95">
        <v>2500</v>
      </c>
      <c r="I10" s="95">
        <v>3075</v>
      </c>
      <c r="J10" s="95">
        <f t="shared" si="0"/>
        <v>10575</v>
      </c>
      <c r="K10" s="98">
        <f t="shared" si="1"/>
        <v>1058</v>
      </c>
      <c r="L10" s="94">
        <v>9300</v>
      </c>
      <c r="M10" s="95">
        <v>4200</v>
      </c>
      <c r="N10" s="95">
        <v>1215</v>
      </c>
      <c r="O10" s="95">
        <f t="shared" si="2"/>
        <v>14715</v>
      </c>
      <c r="P10" s="98">
        <f t="shared" si="3"/>
        <v>1472</v>
      </c>
      <c r="Q10" s="94">
        <f t="shared" si="4"/>
        <v>4300</v>
      </c>
      <c r="R10" s="95">
        <f t="shared" si="5"/>
        <v>1700</v>
      </c>
      <c r="S10" s="95">
        <f t="shared" si="6"/>
        <v>-1860</v>
      </c>
      <c r="T10" s="95">
        <f t="shared" si="7"/>
        <v>4140</v>
      </c>
      <c r="U10" s="99">
        <f t="shared" si="8"/>
        <v>414</v>
      </c>
    </row>
    <row r="11" spans="1:21" ht="17.399999999999999">
      <c r="A11" s="94">
        <v>82</v>
      </c>
      <c r="B11" s="95">
        <v>82</v>
      </c>
      <c r="C11" s="95">
        <v>7996</v>
      </c>
      <c r="D11" s="96">
        <v>40827</v>
      </c>
      <c r="E11" s="97">
        <v>39448</v>
      </c>
      <c r="F11" s="96">
        <v>39113</v>
      </c>
      <c r="G11" s="94">
        <v>5000</v>
      </c>
      <c r="H11" s="95">
        <v>2500</v>
      </c>
      <c r="I11" s="95">
        <v>3525</v>
      </c>
      <c r="J11" s="95">
        <f t="shared" si="0"/>
        <v>11025</v>
      </c>
      <c r="K11" s="98">
        <f t="shared" si="1"/>
        <v>1103</v>
      </c>
      <c r="L11" s="94">
        <v>9300</v>
      </c>
      <c r="M11" s="95">
        <v>4200</v>
      </c>
      <c r="N11" s="95">
        <v>1620</v>
      </c>
      <c r="O11" s="95">
        <f t="shared" si="2"/>
        <v>15120</v>
      </c>
      <c r="P11" s="98">
        <f t="shared" si="3"/>
        <v>1512</v>
      </c>
      <c r="Q11" s="94">
        <f t="shared" si="4"/>
        <v>4300</v>
      </c>
      <c r="R11" s="95">
        <f t="shared" si="5"/>
        <v>1700</v>
      </c>
      <c r="S11" s="95">
        <f t="shared" si="6"/>
        <v>-1905</v>
      </c>
      <c r="T11" s="95">
        <f t="shared" si="7"/>
        <v>4095</v>
      </c>
      <c r="U11" s="99">
        <f t="shared" si="8"/>
        <v>409.5</v>
      </c>
    </row>
    <row r="12" spans="1:21" ht="17.399999999999999">
      <c r="A12" s="94">
        <v>82</v>
      </c>
      <c r="B12" s="95">
        <v>82</v>
      </c>
      <c r="C12" s="95">
        <v>7996</v>
      </c>
      <c r="D12" s="96">
        <v>40827</v>
      </c>
      <c r="E12" s="97">
        <v>39479</v>
      </c>
      <c r="F12" s="96">
        <v>39506</v>
      </c>
      <c r="G12" s="94">
        <v>5000</v>
      </c>
      <c r="H12" s="95">
        <v>2500</v>
      </c>
      <c r="I12" s="95">
        <v>3525</v>
      </c>
      <c r="J12" s="95">
        <f t="shared" si="0"/>
        <v>11025</v>
      </c>
      <c r="K12" s="98">
        <f t="shared" si="1"/>
        <v>1103</v>
      </c>
      <c r="L12" s="94">
        <v>9300</v>
      </c>
      <c r="M12" s="95">
        <v>4200</v>
      </c>
      <c r="N12" s="95">
        <v>1620</v>
      </c>
      <c r="O12" s="95">
        <f t="shared" si="2"/>
        <v>15120</v>
      </c>
      <c r="P12" s="98">
        <f t="shared" si="3"/>
        <v>1512</v>
      </c>
      <c r="Q12" s="94">
        <f t="shared" si="4"/>
        <v>4300</v>
      </c>
      <c r="R12" s="95">
        <f t="shared" si="5"/>
        <v>1700</v>
      </c>
      <c r="S12" s="95">
        <f t="shared" si="6"/>
        <v>-1905</v>
      </c>
      <c r="T12" s="95">
        <f t="shared" si="7"/>
        <v>4095</v>
      </c>
      <c r="U12" s="99">
        <f t="shared" si="8"/>
        <v>409.5</v>
      </c>
    </row>
    <row r="13" spans="1:21" ht="18" thickBot="1">
      <c r="A13" s="100">
        <v>82</v>
      </c>
      <c r="B13" s="101">
        <v>82</v>
      </c>
      <c r="C13" s="101">
        <v>7996</v>
      </c>
      <c r="D13" s="102">
        <v>40827</v>
      </c>
      <c r="E13" s="103">
        <v>39508</v>
      </c>
      <c r="F13" s="102">
        <v>39538</v>
      </c>
      <c r="G13" s="100">
        <v>5000</v>
      </c>
      <c r="H13" s="101">
        <v>2500</v>
      </c>
      <c r="I13" s="101">
        <v>3525</v>
      </c>
      <c r="J13" s="101">
        <f t="shared" si="0"/>
        <v>11025</v>
      </c>
      <c r="K13" s="104">
        <f t="shared" si="1"/>
        <v>1103</v>
      </c>
      <c r="L13" s="100">
        <v>9300</v>
      </c>
      <c r="M13" s="101">
        <v>4200</v>
      </c>
      <c r="N13" s="101">
        <v>1620</v>
      </c>
      <c r="O13" s="101">
        <f t="shared" si="2"/>
        <v>15120</v>
      </c>
      <c r="P13" s="104">
        <f t="shared" si="3"/>
        <v>1512</v>
      </c>
      <c r="Q13" s="100">
        <f t="shared" si="4"/>
        <v>4300</v>
      </c>
      <c r="R13" s="101">
        <f t="shared" si="5"/>
        <v>1700</v>
      </c>
      <c r="S13" s="101">
        <f t="shared" si="6"/>
        <v>-1905</v>
      </c>
      <c r="T13" s="101">
        <f t="shared" si="7"/>
        <v>4095</v>
      </c>
      <c r="U13" s="105">
        <f t="shared" si="8"/>
        <v>409.5</v>
      </c>
    </row>
    <row r="14" spans="1:21" ht="4.95" customHeight="1" thickBot="1"/>
    <row r="15" spans="1:21" ht="17.399999999999999">
      <c r="A15" s="88">
        <v>82</v>
      </c>
      <c r="B15" s="89">
        <v>82</v>
      </c>
      <c r="C15" s="89">
        <v>7996</v>
      </c>
      <c r="D15" s="90">
        <v>40827</v>
      </c>
      <c r="E15" s="91">
        <v>39539</v>
      </c>
      <c r="F15" s="90">
        <v>39568</v>
      </c>
      <c r="G15" s="88">
        <v>5000</v>
      </c>
      <c r="H15" s="89">
        <v>2500</v>
      </c>
      <c r="I15" s="89">
        <v>3525</v>
      </c>
      <c r="J15" s="89">
        <f t="shared" ref="J15:J26" si="9">G15+H15+I15</f>
        <v>11025</v>
      </c>
      <c r="K15" s="92">
        <f t="shared" si="1"/>
        <v>1103</v>
      </c>
      <c r="L15" s="88">
        <v>9300</v>
      </c>
      <c r="M15" s="89">
        <v>4200</v>
      </c>
      <c r="N15" s="89">
        <v>1620</v>
      </c>
      <c r="O15" s="89">
        <f t="shared" ref="O15:O26" si="10">L15+M15+N15</f>
        <v>15120</v>
      </c>
      <c r="P15" s="92">
        <f t="shared" si="3"/>
        <v>1512</v>
      </c>
      <c r="Q15" s="88">
        <f t="shared" si="7"/>
        <v>4300</v>
      </c>
      <c r="R15" s="89">
        <f t="shared" si="7"/>
        <v>1700</v>
      </c>
      <c r="S15" s="89">
        <f t="shared" si="7"/>
        <v>-1905</v>
      </c>
      <c r="T15" s="89">
        <f t="shared" si="7"/>
        <v>4095</v>
      </c>
      <c r="U15" s="93">
        <f t="shared" si="8"/>
        <v>409.5</v>
      </c>
    </row>
    <row r="16" spans="1:21" ht="17.399999999999999">
      <c r="A16" s="94">
        <v>82</v>
      </c>
      <c r="B16" s="95">
        <v>82</v>
      </c>
      <c r="C16" s="95">
        <v>7996</v>
      </c>
      <c r="D16" s="96">
        <v>40827</v>
      </c>
      <c r="E16" s="97">
        <v>39569</v>
      </c>
      <c r="F16" s="96">
        <v>39599</v>
      </c>
      <c r="G16" s="94">
        <v>5000</v>
      </c>
      <c r="H16" s="95">
        <v>2500</v>
      </c>
      <c r="I16" s="95">
        <v>3525</v>
      </c>
      <c r="J16" s="95">
        <f t="shared" si="9"/>
        <v>11025</v>
      </c>
      <c r="K16" s="98">
        <f t="shared" si="1"/>
        <v>1103</v>
      </c>
      <c r="L16" s="94">
        <v>9300</v>
      </c>
      <c r="M16" s="95">
        <v>4200</v>
      </c>
      <c r="N16" s="95">
        <v>1620</v>
      </c>
      <c r="O16" s="95">
        <f t="shared" si="10"/>
        <v>15120</v>
      </c>
      <c r="P16" s="98">
        <f t="shared" si="3"/>
        <v>1512</v>
      </c>
      <c r="Q16" s="94">
        <f t="shared" si="7"/>
        <v>4300</v>
      </c>
      <c r="R16" s="95">
        <f t="shared" si="7"/>
        <v>1700</v>
      </c>
      <c r="S16" s="95">
        <f t="shared" si="7"/>
        <v>-1905</v>
      </c>
      <c r="T16" s="95">
        <f t="shared" si="7"/>
        <v>4095</v>
      </c>
      <c r="U16" s="99">
        <f t="shared" si="8"/>
        <v>409.5</v>
      </c>
    </row>
    <row r="17" spans="1:21" ht="17.399999999999999">
      <c r="A17" s="94">
        <v>82</v>
      </c>
      <c r="B17" s="95">
        <v>82</v>
      </c>
      <c r="C17" s="95">
        <v>7996</v>
      </c>
      <c r="D17" s="96">
        <v>40827</v>
      </c>
      <c r="E17" s="97">
        <v>39600</v>
      </c>
      <c r="F17" s="96">
        <v>39629</v>
      </c>
      <c r="G17" s="94">
        <v>5150</v>
      </c>
      <c r="H17" s="95">
        <v>2575</v>
      </c>
      <c r="I17" s="95">
        <v>3631</v>
      </c>
      <c r="J17" s="95">
        <f t="shared" si="9"/>
        <v>11356</v>
      </c>
      <c r="K17" s="98">
        <f t="shared" si="1"/>
        <v>1136</v>
      </c>
      <c r="L17" s="94">
        <v>9300</v>
      </c>
      <c r="M17" s="95">
        <v>4200</v>
      </c>
      <c r="N17" s="95">
        <v>1620</v>
      </c>
      <c r="O17" s="95">
        <f t="shared" si="10"/>
        <v>15120</v>
      </c>
      <c r="P17" s="98">
        <f t="shared" si="3"/>
        <v>1512</v>
      </c>
      <c r="Q17" s="94">
        <f t="shared" si="7"/>
        <v>4150</v>
      </c>
      <c r="R17" s="95">
        <f t="shared" si="7"/>
        <v>1625</v>
      </c>
      <c r="S17" s="95">
        <f t="shared" si="7"/>
        <v>-2011</v>
      </c>
      <c r="T17" s="95">
        <f t="shared" si="7"/>
        <v>3764</v>
      </c>
      <c r="U17" s="99">
        <f t="shared" si="8"/>
        <v>376.40000000000003</v>
      </c>
    </row>
    <row r="18" spans="1:21" ht="17.399999999999999">
      <c r="A18" s="94">
        <v>82</v>
      </c>
      <c r="B18" s="95">
        <v>82</v>
      </c>
      <c r="C18" s="95">
        <v>7996</v>
      </c>
      <c r="D18" s="96">
        <v>40827</v>
      </c>
      <c r="E18" s="97">
        <v>39630</v>
      </c>
      <c r="F18" s="96">
        <v>39660</v>
      </c>
      <c r="G18" s="94">
        <v>5150</v>
      </c>
      <c r="H18" s="95">
        <v>2575</v>
      </c>
      <c r="I18" s="95">
        <v>4172</v>
      </c>
      <c r="J18" s="95">
        <f t="shared" si="9"/>
        <v>11897</v>
      </c>
      <c r="K18" s="98">
        <f t="shared" si="1"/>
        <v>1190</v>
      </c>
      <c r="L18" s="94">
        <v>9710</v>
      </c>
      <c r="M18" s="95">
        <v>4200</v>
      </c>
      <c r="N18" s="95">
        <v>2226</v>
      </c>
      <c r="O18" s="95">
        <f t="shared" si="10"/>
        <v>16136</v>
      </c>
      <c r="P18" s="98">
        <f t="shared" si="3"/>
        <v>1614</v>
      </c>
      <c r="Q18" s="94">
        <f t="shared" si="7"/>
        <v>4560</v>
      </c>
      <c r="R18" s="95">
        <f t="shared" si="7"/>
        <v>1625</v>
      </c>
      <c r="S18" s="95">
        <f t="shared" si="7"/>
        <v>-1946</v>
      </c>
      <c r="T18" s="95">
        <f t="shared" si="7"/>
        <v>4239</v>
      </c>
      <c r="U18" s="99">
        <f t="shared" si="8"/>
        <v>423.90000000000003</v>
      </c>
    </row>
    <row r="19" spans="1:21" ht="17.399999999999999">
      <c r="A19" s="94">
        <v>82</v>
      </c>
      <c r="B19" s="95">
        <v>82</v>
      </c>
      <c r="C19" s="95">
        <v>7996</v>
      </c>
      <c r="D19" s="96">
        <v>40827</v>
      </c>
      <c r="E19" s="97">
        <v>39661</v>
      </c>
      <c r="F19" s="96">
        <v>39691</v>
      </c>
      <c r="G19" s="94">
        <v>5150</v>
      </c>
      <c r="H19" s="95">
        <v>2575</v>
      </c>
      <c r="I19" s="95">
        <v>4172</v>
      </c>
      <c r="J19" s="95">
        <f t="shared" si="9"/>
        <v>11897</v>
      </c>
      <c r="K19" s="98">
        <f t="shared" si="1"/>
        <v>1190</v>
      </c>
      <c r="L19" s="94">
        <v>9710</v>
      </c>
      <c r="M19" s="95">
        <v>4200</v>
      </c>
      <c r="N19" s="95">
        <v>2226</v>
      </c>
      <c r="O19" s="95">
        <f t="shared" si="10"/>
        <v>16136</v>
      </c>
      <c r="P19" s="98">
        <f t="shared" si="3"/>
        <v>1614</v>
      </c>
      <c r="Q19" s="94">
        <f t="shared" si="7"/>
        <v>4560</v>
      </c>
      <c r="R19" s="95">
        <f t="shared" si="7"/>
        <v>1625</v>
      </c>
      <c r="S19" s="95">
        <f t="shared" si="7"/>
        <v>-1946</v>
      </c>
      <c r="T19" s="95">
        <f t="shared" si="7"/>
        <v>4239</v>
      </c>
      <c r="U19" s="99">
        <f t="shared" si="8"/>
        <v>423.90000000000003</v>
      </c>
    </row>
    <row r="20" spans="1:21" ht="17.399999999999999">
      <c r="A20" s="94">
        <v>82</v>
      </c>
      <c r="B20" s="95">
        <v>82</v>
      </c>
      <c r="C20" s="95">
        <v>7996</v>
      </c>
      <c r="D20" s="96">
        <v>40827</v>
      </c>
      <c r="E20" s="97">
        <v>39692</v>
      </c>
      <c r="F20" s="96">
        <v>39721</v>
      </c>
      <c r="G20" s="94">
        <v>5150</v>
      </c>
      <c r="H20" s="95">
        <v>2575</v>
      </c>
      <c r="I20" s="95">
        <v>4172</v>
      </c>
      <c r="J20" s="95">
        <f t="shared" si="9"/>
        <v>11897</v>
      </c>
      <c r="K20" s="98">
        <f t="shared" si="1"/>
        <v>1190</v>
      </c>
      <c r="L20" s="94">
        <v>9710</v>
      </c>
      <c r="M20" s="95">
        <v>4200</v>
      </c>
      <c r="N20" s="95">
        <v>2226</v>
      </c>
      <c r="O20" s="95">
        <f t="shared" si="10"/>
        <v>16136</v>
      </c>
      <c r="P20" s="98">
        <f t="shared" si="3"/>
        <v>1614</v>
      </c>
      <c r="Q20" s="94">
        <f t="shared" si="7"/>
        <v>4560</v>
      </c>
      <c r="R20" s="95">
        <f t="shared" si="7"/>
        <v>1625</v>
      </c>
      <c r="S20" s="95">
        <f t="shared" si="7"/>
        <v>-1946</v>
      </c>
      <c r="T20" s="95">
        <f t="shared" si="7"/>
        <v>4239</v>
      </c>
      <c r="U20" s="99">
        <f t="shared" si="8"/>
        <v>423.90000000000003</v>
      </c>
    </row>
    <row r="21" spans="1:21" ht="17.399999999999999">
      <c r="A21" s="94">
        <v>82</v>
      </c>
      <c r="B21" s="95">
        <v>82</v>
      </c>
      <c r="C21" s="95">
        <v>7996</v>
      </c>
      <c r="D21" s="96">
        <v>40827</v>
      </c>
      <c r="E21" s="97">
        <v>39722</v>
      </c>
      <c r="F21" s="96">
        <v>39752</v>
      </c>
      <c r="G21" s="94">
        <v>5150</v>
      </c>
      <c r="H21" s="95">
        <v>2575</v>
      </c>
      <c r="I21" s="95">
        <v>4172</v>
      </c>
      <c r="J21" s="95">
        <f t="shared" si="9"/>
        <v>11897</v>
      </c>
      <c r="K21" s="98">
        <f t="shared" si="1"/>
        <v>1190</v>
      </c>
      <c r="L21" s="94">
        <v>9710</v>
      </c>
      <c r="M21" s="95">
        <v>4200</v>
      </c>
      <c r="N21" s="95">
        <v>2226</v>
      </c>
      <c r="O21" s="95">
        <f t="shared" si="10"/>
        <v>16136</v>
      </c>
      <c r="P21" s="98">
        <f t="shared" si="3"/>
        <v>1614</v>
      </c>
      <c r="Q21" s="94">
        <f t="shared" si="7"/>
        <v>4560</v>
      </c>
      <c r="R21" s="95">
        <f t="shared" si="7"/>
        <v>1625</v>
      </c>
      <c r="S21" s="95">
        <f t="shared" si="7"/>
        <v>-1946</v>
      </c>
      <c r="T21" s="95">
        <f t="shared" si="7"/>
        <v>4239</v>
      </c>
      <c r="U21" s="99">
        <f t="shared" si="8"/>
        <v>423.90000000000003</v>
      </c>
    </row>
    <row r="22" spans="1:21" ht="17.399999999999999">
      <c r="A22" s="94">
        <v>82</v>
      </c>
      <c r="B22" s="95">
        <v>82</v>
      </c>
      <c r="C22" s="95">
        <v>7996</v>
      </c>
      <c r="D22" s="96">
        <v>40827</v>
      </c>
      <c r="E22" s="97">
        <v>39753</v>
      </c>
      <c r="F22" s="96">
        <v>39782</v>
      </c>
      <c r="G22" s="94">
        <v>5150</v>
      </c>
      <c r="H22" s="95">
        <v>2575</v>
      </c>
      <c r="I22" s="95">
        <v>4172</v>
      </c>
      <c r="J22" s="95">
        <f t="shared" si="9"/>
        <v>11897</v>
      </c>
      <c r="K22" s="98">
        <f t="shared" si="1"/>
        <v>1190</v>
      </c>
      <c r="L22" s="94">
        <v>9710</v>
      </c>
      <c r="M22" s="95">
        <v>4200</v>
      </c>
      <c r="N22" s="95">
        <v>2226</v>
      </c>
      <c r="O22" s="95">
        <f t="shared" si="10"/>
        <v>16136</v>
      </c>
      <c r="P22" s="98">
        <f t="shared" si="3"/>
        <v>1614</v>
      </c>
      <c r="Q22" s="94">
        <f t="shared" si="7"/>
        <v>4560</v>
      </c>
      <c r="R22" s="95">
        <f t="shared" si="7"/>
        <v>1625</v>
      </c>
      <c r="S22" s="95">
        <f t="shared" si="7"/>
        <v>-1946</v>
      </c>
      <c r="T22" s="95">
        <f t="shared" si="7"/>
        <v>4239</v>
      </c>
      <c r="U22" s="99">
        <f t="shared" si="8"/>
        <v>423.90000000000003</v>
      </c>
    </row>
    <row r="23" spans="1:21" ht="17.399999999999999">
      <c r="A23" s="94">
        <v>82</v>
      </c>
      <c r="B23" s="95">
        <v>82</v>
      </c>
      <c r="C23" s="95">
        <v>7996</v>
      </c>
      <c r="D23" s="96">
        <v>40827</v>
      </c>
      <c r="E23" s="97">
        <v>39783</v>
      </c>
      <c r="F23" s="96">
        <v>39813</v>
      </c>
      <c r="G23" s="94">
        <v>5150</v>
      </c>
      <c r="H23" s="95">
        <v>2575</v>
      </c>
      <c r="I23" s="95">
        <v>4172</v>
      </c>
      <c r="J23" s="95">
        <f t="shared" si="9"/>
        <v>11897</v>
      </c>
      <c r="K23" s="98">
        <f t="shared" si="1"/>
        <v>1190</v>
      </c>
      <c r="L23" s="94">
        <v>9710</v>
      </c>
      <c r="M23" s="95">
        <v>4200</v>
      </c>
      <c r="N23" s="95">
        <v>2226</v>
      </c>
      <c r="O23" s="95">
        <f t="shared" si="10"/>
        <v>16136</v>
      </c>
      <c r="P23" s="98">
        <f t="shared" si="3"/>
        <v>1614</v>
      </c>
      <c r="Q23" s="94">
        <f t="shared" si="7"/>
        <v>4560</v>
      </c>
      <c r="R23" s="95">
        <f t="shared" si="7"/>
        <v>1625</v>
      </c>
      <c r="S23" s="95">
        <f t="shared" si="7"/>
        <v>-1946</v>
      </c>
      <c r="T23" s="95">
        <f t="shared" si="7"/>
        <v>4239</v>
      </c>
      <c r="U23" s="99">
        <f t="shared" si="8"/>
        <v>423.90000000000003</v>
      </c>
    </row>
    <row r="24" spans="1:21" ht="17.399999999999999">
      <c r="A24" s="94">
        <v>82</v>
      </c>
      <c r="B24" s="95">
        <v>82</v>
      </c>
      <c r="C24" s="95">
        <v>7996</v>
      </c>
      <c r="D24" s="96">
        <v>40827</v>
      </c>
      <c r="E24" s="97">
        <v>39814</v>
      </c>
      <c r="F24" s="96">
        <v>39844</v>
      </c>
      <c r="G24" s="94">
        <v>5150</v>
      </c>
      <c r="H24" s="95">
        <v>2575</v>
      </c>
      <c r="I24" s="95">
        <v>4172</v>
      </c>
      <c r="J24" s="95">
        <f t="shared" si="9"/>
        <v>11897</v>
      </c>
      <c r="K24" s="98">
        <f t="shared" si="1"/>
        <v>1190</v>
      </c>
      <c r="L24" s="94">
        <v>9710</v>
      </c>
      <c r="M24" s="95">
        <v>4200</v>
      </c>
      <c r="N24" s="95">
        <v>2226</v>
      </c>
      <c r="O24" s="95">
        <f t="shared" si="10"/>
        <v>16136</v>
      </c>
      <c r="P24" s="98">
        <f t="shared" si="3"/>
        <v>1614</v>
      </c>
      <c r="Q24" s="94">
        <f t="shared" si="7"/>
        <v>4560</v>
      </c>
      <c r="R24" s="95">
        <f t="shared" si="7"/>
        <v>1625</v>
      </c>
      <c r="S24" s="95">
        <f t="shared" si="7"/>
        <v>-1946</v>
      </c>
      <c r="T24" s="95">
        <f t="shared" si="7"/>
        <v>4239</v>
      </c>
      <c r="U24" s="99">
        <f t="shared" si="8"/>
        <v>423.90000000000003</v>
      </c>
    </row>
    <row r="25" spans="1:21" ht="17.399999999999999">
      <c r="A25" s="94">
        <v>82</v>
      </c>
      <c r="B25" s="95">
        <v>82</v>
      </c>
      <c r="C25" s="95">
        <v>7996</v>
      </c>
      <c r="D25" s="96">
        <v>40827</v>
      </c>
      <c r="E25" s="97">
        <v>39845</v>
      </c>
      <c r="F25" s="96">
        <v>39872</v>
      </c>
      <c r="G25" s="94">
        <v>5150</v>
      </c>
      <c r="H25" s="95">
        <v>2575</v>
      </c>
      <c r="I25" s="95">
        <v>4172</v>
      </c>
      <c r="J25" s="95">
        <f t="shared" si="9"/>
        <v>11897</v>
      </c>
      <c r="K25" s="98">
        <f t="shared" si="1"/>
        <v>1190</v>
      </c>
      <c r="L25" s="94">
        <v>9710</v>
      </c>
      <c r="M25" s="95">
        <v>4200</v>
      </c>
      <c r="N25" s="95">
        <v>2226</v>
      </c>
      <c r="O25" s="95">
        <f t="shared" si="10"/>
        <v>16136</v>
      </c>
      <c r="P25" s="98">
        <f t="shared" si="3"/>
        <v>1614</v>
      </c>
      <c r="Q25" s="94">
        <f t="shared" si="7"/>
        <v>4560</v>
      </c>
      <c r="R25" s="95">
        <f t="shared" si="7"/>
        <v>1625</v>
      </c>
      <c r="S25" s="95">
        <f t="shared" si="7"/>
        <v>-1946</v>
      </c>
      <c r="T25" s="95">
        <f t="shared" si="7"/>
        <v>4239</v>
      </c>
      <c r="U25" s="99">
        <f t="shared" si="8"/>
        <v>423.90000000000003</v>
      </c>
    </row>
    <row r="26" spans="1:21" ht="18" thickBot="1">
      <c r="A26" s="100">
        <v>82</v>
      </c>
      <c r="B26" s="101">
        <v>82</v>
      </c>
      <c r="C26" s="101">
        <v>7996</v>
      </c>
      <c r="D26" s="102">
        <v>40827</v>
      </c>
      <c r="E26" s="103">
        <v>39873</v>
      </c>
      <c r="F26" s="102">
        <v>39903</v>
      </c>
      <c r="G26" s="100">
        <v>5150</v>
      </c>
      <c r="H26" s="101">
        <v>2575</v>
      </c>
      <c r="I26" s="101">
        <v>4172</v>
      </c>
      <c r="J26" s="101">
        <f t="shared" si="9"/>
        <v>11897</v>
      </c>
      <c r="K26" s="104">
        <f t="shared" si="1"/>
        <v>1190</v>
      </c>
      <c r="L26" s="100">
        <v>9710</v>
      </c>
      <c r="M26" s="101">
        <v>4200</v>
      </c>
      <c r="N26" s="101">
        <v>2226</v>
      </c>
      <c r="O26" s="101">
        <f t="shared" si="10"/>
        <v>16136</v>
      </c>
      <c r="P26" s="104">
        <f t="shared" si="3"/>
        <v>1614</v>
      </c>
      <c r="Q26" s="100">
        <f t="shared" si="7"/>
        <v>4560</v>
      </c>
      <c r="R26" s="101">
        <f t="shared" si="7"/>
        <v>1625</v>
      </c>
      <c r="S26" s="101">
        <f t="shared" si="7"/>
        <v>-1946</v>
      </c>
      <c r="T26" s="101">
        <f t="shared" si="7"/>
        <v>4239</v>
      </c>
      <c r="U26" s="105">
        <f t="shared" si="8"/>
        <v>423.90000000000003</v>
      </c>
    </row>
    <row r="27" spans="1:21" ht="4.95" customHeight="1" thickBot="1"/>
    <row r="28" spans="1:21" s="112" customFormat="1" ht="18" thickBot="1">
      <c r="A28" s="190" t="s">
        <v>24</v>
      </c>
      <c r="B28" s="191"/>
      <c r="C28" s="191"/>
      <c r="D28" s="191"/>
      <c r="E28" s="191"/>
      <c r="F28" s="192"/>
      <c r="G28" s="87">
        <f>SUBTOTAL(9,G4:G26)</f>
        <v>110500</v>
      </c>
      <c r="H28" s="87">
        <f t="shared" ref="H28:T28" si="11">SUBTOTAL(9,H4:H26)</f>
        <v>55250</v>
      </c>
      <c r="I28" s="87">
        <f t="shared" si="11"/>
        <v>79354</v>
      </c>
      <c r="J28" s="87">
        <f t="shared" si="11"/>
        <v>245104</v>
      </c>
      <c r="K28" s="87">
        <f t="shared" si="11"/>
        <v>24519</v>
      </c>
      <c r="L28" s="87">
        <f t="shared" si="11"/>
        <v>206430</v>
      </c>
      <c r="M28" s="87">
        <f t="shared" si="11"/>
        <v>91560</v>
      </c>
      <c r="N28" s="87">
        <f t="shared" si="11"/>
        <v>37692</v>
      </c>
      <c r="O28" s="87">
        <f t="shared" si="11"/>
        <v>335682</v>
      </c>
      <c r="P28" s="87">
        <f t="shared" si="11"/>
        <v>33575</v>
      </c>
      <c r="Q28" s="87">
        <f t="shared" si="11"/>
        <v>95930</v>
      </c>
      <c r="R28" s="87">
        <f t="shared" si="11"/>
        <v>36310</v>
      </c>
      <c r="S28" s="87">
        <f t="shared" si="11"/>
        <v>-41662</v>
      </c>
      <c r="T28" s="87">
        <f t="shared" si="11"/>
        <v>90578</v>
      </c>
      <c r="U28" s="111">
        <f>T28*10%</f>
        <v>9057.8000000000011</v>
      </c>
    </row>
    <row r="29" spans="1:21" ht="15" thickBot="1"/>
    <row r="30" spans="1:21">
      <c r="N30" s="306" t="s">
        <v>405</v>
      </c>
      <c r="O30" s="307"/>
      <c r="P30" s="307"/>
      <c r="Q30" s="114">
        <f t="shared" ref="Q30:S30" si="12">Q28</f>
        <v>95930</v>
      </c>
      <c r="R30" s="114">
        <f t="shared" si="12"/>
        <v>36310</v>
      </c>
      <c r="S30" s="114">
        <f t="shared" si="12"/>
        <v>-41662</v>
      </c>
      <c r="T30" s="114">
        <f>T28</f>
        <v>90578</v>
      </c>
      <c r="U30" s="300" t="s">
        <v>414</v>
      </c>
    </row>
    <row r="31" spans="1:21">
      <c r="N31" s="302" t="s">
        <v>406</v>
      </c>
      <c r="O31" s="303"/>
      <c r="P31" s="303"/>
      <c r="Q31" s="116">
        <v>0</v>
      </c>
      <c r="R31" s="116">
        <v>0</v>
      </c>
      <c r="S31" s="116">
        <v>0</v>
      </c>
      <c r="T31" s="116">
        <v>0</v>
      </c>
      <c r="U31" s="301"/>
    </row>
    <row r="32" spans="1:21" s="112" customFormat="1">
      <c r="N32" s="302" t="s">
        <v>407</v>
      </c>
      <c r="O32" s="303"/>
      <c r="P32" s="303"/>
      <c r="Q32" s="116">
        <f t="shared" ref="Q32:S32" si="13">Q30-Q31</f>
        <v>95930</v>
      </c>
      <c r="R32" s="116">
        <f t="shared" si="13"/>
        <v>36310</v>
      </c>
      <c r="S32" s="116">
        <f t="shared" si="13"/>
        <v>-41662</v>
      </c>
      <c r="T32" s="116">
        <f>T30-T31</f>
        <v>90578</v>
      </c>
      <c r="U32" s="117">
        <f t="shared" ref="U32:U37" si="14">T32*10%</f>
        <v>9057.8000000000011</v>
      </c>
    </row>
    <row r="33" spans="1:22" ht="18" thickBot="1">
      <c r="A33" s="100">
        <v>82</v>
      </c>
      <c r="B33" s="101">
        <v>82</v>
      </c>
      <c r="C33" s="101">
        <v>7996</v>
      </c>
      <c r="D33" s="102">
        <v>40827</v>
      </c>
      <c r="N33" s="302" t="s">
        <v>408</v>
      </c>
      <c r="O33" s="303"/>
      <c r="P33" s="115" t="s">
        <v>100</v>
      </c>
      <c r="Q33" s="118">
        <f>Q32/5</f>
        <v>19186</v>
      </c>
      <c r="R33" s="118">
        <f>R32/5</f>
        <v>7262</v>
      </c>
      <c r="S33" s="118">
        <f>S32/5</f>
        <v>-8332.4</v>
      </c>
      <c r="T33" s="116">
        <v>18116</v>
      </c>
      <c r="U33" s="119">
        <f t="shared" si="14"/>
        <v>1811.6000000000001</v>
      </c>
      <c r="V33" t="s">
        <v>477</v>
      </c>
    </row>
    <row r="34" spans="1:22" ht="18" thickBot="1">
      <c r="A34" s="100">
        <v>82</v>
      </c>
      <c r="B34" s="101">
        <v>82</v>
      </c>
      <c r="C34" s="101">
        <v>7997</v>
      </c>
      <c r="D34" s="102">
        <v>40827</v>
      </c>
      <c r="N34" s="302" t="s">
        <v>409</v>
      </c>
      <c r="O34" s="303"/>
      <c r="P34" s="115" t="s">
        <v>114</v>
      </c>
      <c r="Q34" s="118">
        <f>Q32/5</f>
        <v>19186</v>
      </c>
      <c r="R34" s="118">
        <f>R32/5</f>
        <v>7262</v>
      </c>
      <c r="S34" s="118">
        <f>S32/5</f>
        <v>-8332.4</v>
      </c>
      <c r="T34" s="116">
        <v>18116</v>
      </c>
      <c r="U34" s="119">
        <f t="shared" si="14"/>
        <v>1811.6000000000001</v>
      </c>
      <c r="V34" t="s">
        <v>477</v>
      </c>
    </row>
    <row r="35" spans="1:22">
      <c r="N35" s="302" t="s">
        <v>410</v>
      </c>
      <c r="O35" s="303"/>
      <c r="P35" s="115" t="s">
        <v>380</v>
      </c>
      <c r="Q35" s="118">
        <f>Q32/5</f>
        <v>19186</v>
      </c>
      <c r="R35" s="118">
        <f>R32/5</f>
        <v>7262</v>
      </c>
      <c r="S35" s="118">
        <f>S32/5</f>
        <v>-8332.4</v>
      </c>
      <c r="T35" s="116">
        <v>18116</v>
      </c>
      <c r="U35" s="119">
        <f t="shared" si="14"/>
        <v>1811.6000000000001</v>
      </c>
      <c r="V35" t="s">
        <v>477</v>
      </c>
    </row>
    <row r="36" spans="1:22">
      <c r="N36" s="302" t="s">
        <v>411</v>
      </c>
      <c r="O36" s="303"/>
      <c r="P36" s="115" t="s">
        <v>381</v>
      </c>
      <c r="Q36" s="118">
        <f>Q32/5</f>
        <v>19186</v>
      </c>
      <c r="R36" s="118">
        <f>R32/5</f>
        <v>7262</v>
      </c>
      <c r="S36" s="118">
        <f>S32/5</f>
        <v>-8332.4</v>
      </c>
      <c r="T36" s="116">
        <v>18116</v>
      </c>
      <c r="U36" s="119">
        <f t="shared" si="14"/>
        <v>1811.6000000000001</v>
      </c>
      <c r="V36" t="s">
        <v>477</v>
      </c>
    </row>
    <row r="37" spans="1:22" ht="15" thickBot="1">
      <c r="N37" s="304" t="s">
        <v>412</v>
      </c>
      <c r="O37" s="305"/>
      <c r="P37" s="120" t="s">
        <v>413</v>
      </c>
      <c r="Q37" s="121">
        <f>Q32/5</f>
        <v>19186</v>
      </c>
      <c r="R37" s="121">
        <f>R32/5</f>
        <v>7262</v>
      </c>
      <c r="S37" s="121">
        <f>S32/5</f>
        <v>-8332.4</v>
      </c>
      <c r="T37" s="122">
        <v>18116</v>
      </c>
      <c r="U37" s="123">
        <f t="shared" si="14"/>
        <v>1811.6000000000001</v>
      </c>
      <c r="V37" t="s">
        <v>477</v>
      </c>
    </row>
    <row r="38" spans="1:22">
      <c r="R38" s="124"/>
      <c r="S38" s="124"/>
    </row>
  </sheetData>
  <mergeCells count="16">
    <mergeCell ref="A1:U1"/>
    <mergeCell ref="A2:D2"/>
    <mergeCell ref="E2:F2"/>
    <mergeCell ref="G2:K2"/>
    <mergeCell ref="L2:P2"/>
    <mergeCell ref="Q2:U2"/>
    <mergeCell ref="N35:O35"/>
    <mergeCell ref="N36:O36"/>
    <mergeCell ref="N37:O37"/>
    <mergeCell ref="A28:F28"/>
    <mergeCell ref="N30:P30"/>
    <mergeCell ref="U30:U31"/>
    <mergeCell ref="N31:P31"/>
    <mergeCell ref="N32:P32"/>
    <mergeCell ref="N33:O33"/>
    <mergeCell ref="N34:O34"/>
  </mergeCells>
  <printOptions horizontalCentered="1"/>
  <pageMargins left="0.15748031496062992" right="0.23622047244094491" top="1.2204724409448819" bottom="0.74803149606299213" header="0.9055118110236221" footer="0.31496062992125984"/>
  <pageSetup paperSize="8" scale="67" orientation="landscape" r:id="rId1"/>
  <headerFooter>
    <oddFooter>&amp;C&amp;Z&amp;F - &amp;A&amp;RPage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L809"/>
  <sheetViews>
    <sheetView topLeftCell="A77" zoomScale="110" zoomScaleNormal="110" zoomScaleSheetLayoutView="130" workbookViewId="0">
      <selection activeCell="A77" sqref="A77:O77"/>
    </sheetView>
  </sheetViews>
  <sheetFormatPr defaultColWidth="9.109375" defaultRowHeight="14.4" zeroHeight="1"/>
  <cols>
    <col min="1" max="1" width="11.6640625" style="1" customWidth="1"/>
    <col min="2" max="5" width="8.6640625" style="1" customWidth="1"/>
    <col min="6" max="14" width="10.6640625" style="1" customWidth="1"/>
    <col min="15" max="15" width="10.6640625" style="2" customWidth="1"/>
    <col min="16" max="19" width="9.109375" style="1"/>
    <col min="20" max="20" width="11.109375" style="1" bestFit="1" customWidth="1"/>
    <col min="21" max="24" width="9.109375" style="30"/>
    <col min="25" max="25" width="12.33203125" style="30" customWidth="1"/>
    <col min="26" max="26" width="12.109375" style="30" customWidth="1"/>
    <col min="27" max="27" width="12.6640625" style="30" customWidth="1"/>
    <col min="28" max="29" width="11.109375" style="1" bestFit="1" customWidth="1"/>
    <col min="30" max="30" width="14.6640625" style="1" customWidth="1"/>
    <col min="31" max="31" width="13" style="1" customWidth="1"/>
    <col min="32" max="32" width="12.6640625" style="1" bestFit="1" customWidth="1"/>
    <col min="33" max="33" width="10.44140625" style="1" bestFit="1" customWidth="1"/>
    <col min="34" max="37" width="10.33203125" style="1" bestFit="1" customWidth="1"/>
    <col min="38" max="38" width="9.109375" style="1"/>
    <col min="39" max="39" width="9.44140625" style="1" bestFit="1" customWidth="1"/>
    <col min="40" max="43" width="9.109375" style="1"/>
    <col min="44" max="44" width="9.44140625" style="1" bestFit="1" customWidth="1"/>
    <col min="45" max="48" width="9.109375" style="1"/>
    <col min="49" max="49" width="9.44140625" style="1" bestFit="1" customWidth="1"/>
    <col min="50" max="16384" width="9.109375" style="1"/>
  </cols>
  <sheetData>
    <row r="1" spans="1:30" ht="18.600000000000001" hidden="1">
      <c r="A1" s="224" t="s">
        <v>0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</row>
    <row r="2" spans="1:30" ht="18.600000000000001" hidden="1">
      <c r="A2" s="224" t="s">
        <v>1</v>
      </c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</row>
    <row r="4" spans="1:30" hidden="1">
      <c r="A4" s="258" t="s">
        <v>2</v>
      </c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</row>
    <row r="5" spans="1:30" ht="22.5" hidden="1" customHeight="1">
      <c r="A5" s="3" t="s">
        <v>3</v>
      </c>
      <c r="B5" s="4">
        <v>9255</v>
      </c>
      <c r="C5" s="4"/>
      <c r="D5" s="4"/>
      <c r="E5" s="3" t="s">
        <v>4</v>
      </c>
      <c r="F5" s="216" t="s">
        <v>5</v>
      </c>
      <c r="G5" s="278"/>
      <c r="H5" s="278"/>
      <c r="I5" s="278"/>
      <c r="J5" s="278"/>
      <c r="K5" s="278"/>
      <c r="L5" s="278"/>
      <c r="M5" s="278"/>
      <c r="N5" s="217"/>
    </row>
    <row r="6" spans="1:30" ht="15" hidden="1" customHeight="1">
      <c r="A6" s="5"/>
      <c r="E6" s="5"/>
      <c r="F6" s="5"/>
      <c r="G6" s="5"/>
      <c r="H6" s="5"/>
      <c r="I6" s="5"/>
      <c r="J6" s="5"/>
      <c r="K6" s="6"/>
      <c r="L6" s="6"/>
      <c r="M6" s="6"/>
      <c r="N6" s="5"/>
    </row>
    <row r="7" spans="1:30" ht="20.399999999999999" hidden="1">
      <c r="A7" s="3" t="s">
        <v>6</v>
      </c>
      <c r="B7" s="3" t="str">
        <f>VLOOKUP(B5,'[1]DCPS - Year 2011-2012'!$B$1:$FP$65536,2,0)</f>
        <v>06.06.2007</v>
      </c>
      <c r="C7" s="3"/>
      <c r="D7" s="3"/>
      <c r="E7" s="3" t="s">
        <v>7</v>
      </c>
      <c r="F7" s="3"/>
      <c r="G7" s="3"/>
      <c r="H7" s="3" t="s">
        <v>8</v>
      </c>
      <c r="I7" s="27"/>
      <c r="J7" s="27"/>
      <c r="K7" s="216" t="s">
        <v>9</v>
      </c>
      <c r="L7" s="278"/>
      <c r="M7" s="278"/>
      <c r="N7" s="217"/>
    </row>
    <row r="8" spans="1:30" ht="15" hidden="1" customHeight="1">
      <c r="A8" s="5"/>
      <c r="B8" s="5"/>
      <c r="C8" s="5"/>
      <c r="D8" s="5"/>
      <c r="E8" s="5"/>
      <c r="F8" s="5"/>
      <c r="G8" s="5"/>
      <c r="H8" s="5"/>
      <c r="I8" s="5"/>
      <c r="J8" s="5"/>
      <c r="K8" s="6"/>
      <c r="L8" s="6"/>
      <c r="M8" s="6"/>
      <c r="N8" s="5"/>
    </row>
    <row r="9" spans="1:30" hidden="1">
      <c r="A9" s="3" t="s">
        <v>10</v>
      </c>
      <c r="B9" s="7">
        <v>0.08</v>
      </c>
      <c r="C9" s="7"/>
      <c r="D9" s="7"/>
      <c r="E9" s="3" t="s">
        <v>11</v>
      </c>
      <c r="F9" s="7">
        <v>0</v>
      </c>
      <c r="G9" s="216" t="s">
        <v>12</v>
      </c>
      <c r="H9" s="217"/>
      <c r="I9" s="29"/>
      <c r="J9" s="29"/>
      <c r="K9" s="266">
        <v>0</v>
      </c>
      <c r="L9" s="267"/>
      <c r="M9" s="267"/>
      <c r="N9" s="271"/>
    </row>
    <row r="10" spans="1:30" hidden="1">
      <c r="A10" s="5"/>
      <c r="B10" s="5"/>
      <c r="C10" s="5"/>
      <c r="D10" s="5"/>
      <c r="E10" s="5"/>
      <c r="F10" s="5"/>
      <c r="G10" s="5"/>
      <c r="H10" s="5"/>
      <c r="I10" s="5"/>
      <c r="J10" s="5"/>
      <c r="K10" s="6"/>
      <c r="L10" s="6"/>
      <c r="M10" s="6"/>
      <c r="N10" s="5"/>
    </row>
    <row r="11" spans="1:30" ht="72" hidden="1">
      <c r="A11" s="9" t="s">
        <v>13</v>
      </c>
      <c r="B11" s="9" t="s">
        <v>14</v>
      </c>
      <c r="C11" s="9"/>
      <c r="D11" s="9"/>
      <c r="E11" s="9" t="s">
        <v>349</v>
      </c>
      <c r="F11" s="9" t="s">
        <v>15</v>
      </c>
      <c r="G11" s="9" t="s">
        <v>16</v>
      </c>
      <c r="H11" s="9" t="s">
        <v>17</v>
      </c>
      <c r="I11" s="9"/>
      <c r="J11" s="9"/>
      <c r="K11" s="10" t="s">
        <v>18</v>
      </c>
      <c r="L11" s="10"/>
      <c r="M11" s="10"/>
      <c r="N11" s="10" t="s">
        <v>19</v>
      </c>
      <c r="O11" s="11" t="s">
        <v>20</v>
      </c>
      <c r="Q11" s="12" t="s">
        <v>27</v>
      </c>
      <c r="R11" s="12" t="s">
        <v>28</v>
      </c>
      <c r="S11" s="12" t="s">
        <v>29</v>
      </c>
      <c r="T11" s="12" t="s">
        <v>30</v>
      </c>
      <c r="U11" s="12" t="s">
        <v>21</v>
      </c>
      <c r="V11" s="12" t="s">
        <v>22</v>
      </c>
      <c r="W11" s="12" t="s">
        <v>23</v>
      </c>
      <c r="X11" s="12" t="s">
        <v>24</v>
      </c>
      <c r="Y11" s="12" t="s">
        <v>25</v>
      </c>
      <c r="Z11" s="12" t="s">
        <v>336</v>
      </c>
      <c r="AA11" s="12" t="s">
        <v>26</v>
      </c>
      <c r="AB11" s="12" t="s">
        <v>31</v>
      </c>
      <c r="AC11" s="12" t="s">
        <v>32</v>
      </c>
      <c r="AD11" s="12" t="s">
        <v>333</v>
      </c>
    </row>
    <row r="12" spans="1:30" hidden="1">
      <c r="A12" s="3" t="s">
        <v>33</v>
      </c>
      <c r="B12" s="13">
        <v>0</v>
      </c>
      <c r="C12" s="13"/>
      <c r="D12" s="13"/>
      <c r="E12" s="13">
        <v>0</v>
      </c>
      <c r="F12" s="13">
        <v>0</v>
      </c>
      <c r="G12" s="13">
        <f>(E12+B12)+F12</f>
        <v>0</v>
      </c>
      <c r="H12" s="13">
        <v>0</v>
      </c>
      <c r="I12" s="14"/>
      <c r="J12" s="14"/>
      <c r="K12" s="14">
        <f t="shared" ref="K12:K23" si="0">ROUND((H12*8/100)/12,0)</f>
        <v>0</v>
      </c>
      <c r="L12" s="14"/>
      <c r="M12" s="14"/>
      <c r="N12" s="14">
        <f t="shared" ref="N12:N23" si="1">ROUND((K12*8/100)/12,0)</f>
        <v>0</v>
      </c>
      <c r="O12" s="272" t="s">
        <v>34</v>
      </c>
      <c r="Q12" s="1" t="s">
        <v>334</v>
      </c>
      <c r="R12" s="1" t="s">
        <v>334</v>
      </c>
      <c r="S12" s="1" t="s">
        <v>334</v>
      </c>
      <c r="T12" s="1" t="s">
        <v>334</v>
      </c>
      <c r="U12" s="30" t="s">
        <v>334</v>
      </c>
      <c r="V12" s="30" t="s">
        <v>334</v>
      </c>
      <c r="W12" s="30" t="s">
        <v>334</v>
      </c>
      <c r="X12" s="30" t="s">
        <v>334</v>
      </c>
      <c r="Y12" s="30" t="s">
        <v>334</v>
      </c>
      <c r="Z12" s="30" t="s">
        <v>334</v>
      </c>
      <c r="AA12" s="30" t="s">
        <v>334</v>
      </c>
      <c r="AB12" s="1" t="s">
        <v>334</v>
      </c>
      <c r="AC12" s="1" t="s">
        <v>334</v>
      </c>
      <c r="AD12" s="1" t="s">
        <v>334</v>
      </c>
    </row>
    <row r="13" spans="1:30" hidden="1">
      <c r="A13" s="3" t="s">
        <v>35</v>
      </c>
      <c r="B13" s="13">
        <v>0</v>
      </c>
      <c r="C13" s="13"/>
      <c r="D13" s="13"/>
      <c r="E13" s="13">
        <v>0</v>
      </c>
      <c r="F13" s="13">
        <v>0</v>
      </c>
      <c r="G13" s="13">
        <f t="shared" ref="G13:G23" si="2">(E13+B13)+F13</f>
        <v>0</v>
      </c>
      <c r="H13" s="13">
        <v>0</v>
      </c>
      <c r="I13" s="14"/>
      <c r="J13" s="14"/>
      <c r="K13" s="14">
        <f t="shared" si="0"/>
        <v>0</v>
      </c>
      <c r="L13" s="14"/>
      <c r="M13" s="14"/>
      <c r="N13" s="14">
        <f t="shared" si="1"/>
        <v>0</v>
      </c>
      <c r="O13" s="273"/>
      <c r="Q13" s="1" t="s">
        <v>334</v>
      </c>
      <c r="R13" s="1" t="s">
        <v>334</v>
      </c>
      <c r="S13" s="1" t="s">
        <v>334</v>
      </c>
      <c r="T13" s="1" t="s">
        <v>334</v>
      </c>
      <c r="U13" s="30" t="s">
        <v>334</v>
      </c>
      <c r="V13" s="30" t="s">
        <v>334</v>
      </c>
      <c r="W13" s="30" t="s">
        <v>334</v>
      </c>
      <c r="X13" s="30" t="s">
        <v>334</v>
      </c>
      <c r="Y13" s="30" t="s">
        <v>334</v>
      </c>
      <c r="Z13" s="30" t="s">
        <v>334</v>
      </c>
      <c r="AA13" s="30" t="s">
        <v>334</v>
      </c>
      <c r="AB13" s="1" t="s">
        <v>334</v>
      </c>
      <c r="AC13" s="1" t="s">
        <v>334</v>
      </c>
      <c r="AD13" s="1" t="s">
        <v>334</v>
      </c>
    </row>
    <row r="14" spans="1:30" hidden="1">
      <c r="A14" s="3" t="s">
        <v>36</v>
      </c>
      <c r="B14" s="13">
        <v>0</v>
      </c>
      <c r="C14" s="13"/>
      <c r="D14" s="13"/>
      <c r="E14" s="13">
        <f>B14</f>
        <v>0</v>
      </c>
      <c r="F14" s="13">
        <v>0</v>
      </c>
      <c r="G14" s="13">
        <f t="shared" si="2"/>
        <v>0</v>
      </c>
      <c r="H14" s="13">
        <v>0</v>
      </c>
      <c r="I14" s="14"/>
      <c r="J14" s="14"/>
      <c r="K14" s="14">
        <f t="shared" si="0"/>
        <v>0</v>
      </c>
      <c r="L14" s="14"/>
      <c r="M14" s="14"/>
      <c r="N14" s="14">
        <f t="shared" si="1"/>
        <v>0</v>
      </c>
      <c r="O14" s="273"/>
      <c r="Q14" s="1" t="s">
        <v>334</v>
      </c>
      <c r="R14" s="1" t="s">
        <v>334</v>
      </c>
      <c r="S14" s="1" t="s">
        <v>334</v>
      </c>
      <c r="T14" s="1" t="s">
        <v>334</v>
      </c>
      <c r="U14" s="30" t="s">
        <v>334</v>
      </c>
      <c r="V14" s="30" t="s">
        <v>334</v>
      </c>
      <c r="W14" s="30" t="s">
        <v>334</v>
      </c>
      <c r="X14" s="30" t="s">
        <v>334</v>
      </c>
      <c r="Y14" s="30" t="s">
        <v>334</v>
      </c>
      <c r="Z14" s="30" t="s">
        <v>334</v>
      </c>
      <c r="AA14" s="30" t="s">
        <v>334</v>
      </c>
      <c r="AB14" s="1" t="s">
        <v>334</v>
      </c>
      <c r="AC14" s="1" t="s">
        <v>334</v>
      </c>
      <c r="AD14" s="1" t="s">
        <v>334</v>
      </c>
    </row>
    <row r="15" spans="1:30" hidden="1">
      <c r="A15" s="3" t="s">
        <v>37</v>
      </c>
      <c r="B15" s="13">
        <v>0</v>
      </c>
      <c r="C15" s="13"/>
      <c r="D15" s="13"/>
      <c r="E15" s="13">
        <f t="shared" ref="E15:E23" si="3">B15</f>
        <v>0</v>
      </c>
      <c r="F15" s="13">
        <v>0</v>
      </c>
      <c r="G15" s="13">
        <f t="shared" si="2"/>
        <v>0</v>
      </c>
      <c r="H15" s="13">
        <v>0</v>
      </c>
      <c r="I15" s="14"/>
      <c r="J15" s="14"/>
      <c r="K15" s="14">
        <f t="shared" si="0"/>
        <v>0</v>
      </c>
      <c r="L15" s="14"/>
      <c r="M15" s="14"/>
      <c r="N15" s="14">
        <f t="shared" si="1"/>
        <v>0</v>
      </c>
      <c r="O15" s="273"/>
      <c r="Q15" s="1" t="s">
        <v>334</v>
      </c>
      <c r="R15" s="1" t="s">
        <v>334</v>
      </c>
      <c r="S15" s="1" t="s">
        <v>334</v>
      </c>
      <c r="T15" s="1" t="s">
        <v>334</v>
      </c>
      <c r="U15" s="30" t="s">
        <v>334</v>
      </c>
      <c r="V15" s="30" t="s">
        <v>334</v>
      </c>
      <c r="W15" s="30" t="s">
        <v>334</v>
      </c>
      <c r="X15" s="30" t="s">
        <v>334</v>
      </c>
      <c r="Y15" s="30" t="s">
        <v>334</v>
      </c>
      <c r="Z15" s="30" t="s">
        <v>334</v>
      </c>
      <c r="AA15" s="30" t="s">
        <v>334</v>
      </c>
      <c r="AB15" s="1" t="s">
        <v>334</v>
      </c>
      <c r="AC15" s="1" t="s">
        <v>334</v>
      </c>
      <c r="AD15" s="1" t="s">
        <v>334</v>
      </c>
    </row>
    <row r="16" spans="1:30" hidden="1">
      <c r="A16" s="3" t="s">
        <v>38</v>
      </c>
      <c r="B16" s="13">
        <v>0</v>
      </c>
      <c r="C16" s="13"/>
      <c r="D16" s="13"/>
      <c r="E16" s="13">
        <f t="shared" si="3"/>
        <v>0</v>
      </c>
      <c r="F16" s="13">
        <v>0</v>
      </c>
      <c r="G16" s="13">
        <f t="shared" si="2"/>
        <v>0</v>
      </c>
      <c r="H16" s="13">
        <v>0</v>
      </c>
      <c r="I16" s="14"/>
      <c r="J16" s="14"/>
      <c r="K16" s="14">
        <f t="shared" si="0"/>
        <v>0</v>
      </c>
      <c r="L16" s="14"/>
      <c r="M16" s="14"/>
      <c r="N16" s="14">
        <f t="shared" si="1"/>
        <v>0</v>
      </c>
      <c r="O16" s="273"/>
      <c r="Q16" s="1" t="s">
        <v>334</v>
      </c>
      <c r="R16" s="1" t="s">
        <v>334</v>
      </c>
      <c r="S16" s="1" t="s">
        <v>334</v>
      </c>
      <c r="T16" s="1" t="s">
        <v>334</v>
      </c>
      <c r="U16" s="30" t="s">
        <v>334</v>
      </c>
      <c r="V16" s="30" t="s">
        <v>334</v>
      </c>
      <c r="W16" s="30" t="s">
        <v>334</v>
      </c>
      <c r="X16" s="30" t="s">
        <v>334</v>
      </c>
      <c r="Y16" s="30" t="s">
        <v>334</v>
      </c>
      <c r="Z16" s="30" t="s">
        <v>334</v>
      </c>
      <c r="AA16" s="30" t="s">
        <v>334</v>
      </c>
      <c r="AB16" s="1" t="s">
        <v>334</v>
      </c>
      <c r="AC16" s="1" t="s">
        <v>334</v>
      </c>
      <c r="AD16" s="1" t="s">
        <v>334</v>
      </c>
    </row>
    <row r="17" spans="1:30" hidden="1">
      <c r="A17" s="3" t="s">
        <v>39</v>
      </c>
      <c r="B17" s="13">
        <v>0</v>
      </c>
      <c r="C17" s="13"/>
      <c r="D17" s="13"/>
      <c r="E17" s="13">
        <f t="shared" si="3"/>
        <v>0</v>
      </c>
      <c r="F17" s="13">
        <v>0</v>
      </c>
      <c r="G17" s="13">
        <f t="shared" si="2"/>
        <v>0</v>
      </c>
      <c r="H17" s="13">
        <v>0</v>
      </c>
      <c r="I17" s="14"/>
      <c r="J17" s="14"/>
      <c r="K17" s="14">
        <f t="shared" si="0"/>
        <v>0</v>
      </c>
      <c r="L17" s="14"/>
      <c r="M17" s="14"/>
      <c r="N17" s="14">
        <f t="shared" si="1"/>
        <v>0</v>
      </c>
      <c r="O17" s="273"/>
      <c r="Q17" s="1" t="s">
        <v>334</v>
      </c>
      <c r="R17" s="1" t="s">
        <v>334</v>
      </c>
      <c r="S17" s="1" t="s">
        <v>334</v>
      </c>
      <c r="T17" s="1" t="s">
        <v>334</v>
      </c>
      <c r="U17" s="30" t="s">
        <v>334</v>
      </c>
      <c r="V17" s="30" t="s">
        <v>334</v>
      </c>
      <c r="W17" s="30" t="s">
        <v>334</v>
      </c>
      <c r="X17" s="30" t="s">
        <v>334</v>
      </c>
      <c r="Y17" s="30" t="s">
        <v>334</v>
      </c>
      <c r="Z17" s="30" t="s">
        <v>334</v>
      </c>
      <c r="AA17" s="30" t="s">
        <v>334</v>
      </c>
      <c r="AB17" s="1" t="s">
        <v>334</v>
      </c>
      <c r="AC17" s="1" t="s">
        <v>334</v>
      </c>
      <c r="AD17" s="1" t="s">
        <v>334</v>
      </c>
    </row>
    <row r="18" spans="1:30" hidden="1">
      <c r="A18" s="3" t="s">
        <v>40</v>
      </c>
      <c r="B18" s="13">
        <v>0</v>
      </c>
      <c r="C18" s="13"/>
      <c r="D18" s="13"/>
      <c r="E18" s="13">
        <f t="shared" si="3"/>
        <v>0</v>
      </c>
      <c r="F18" s="13">
        <v>0</v>
      </c>
      <c r="G18" s="13">
        <f t="shared" si="2"/>
        <v>0</v>
      </c>
      <c r="H18" s="13">
        <v>0</v>
      </c>
      <c r="I18" s="14"/>
      <c r="J18" s="14"/>
      <c r="K18" s="14">
        <f t="shared" si="0"/>
        <v>0</v>
      </c>
      <c r="L18" s="14"/>
      <c r="M18" s="14"/>
      <c r="N18" s="14">
        <f t="shared" si="1"/>
        <v>0</v>
      </c>
      <c r="O18" s="273"/>
      <c r="Q18" s="1" t="s">
        <v>334</v>
      </c>
      <c r="R18" s="1" t="s">
        <v>334</v>
      </c>
      <c r="S18" s="1" t="s">
        <v>334</v>
      </c>
      <c r="T18" s="1" t="s">
        <v>334</v>
      </c>
      <c r="U18" s="30" t="s">
        <v>334</v>
      </c>
      <c r="V18" s="30" t="s">
        <v>334</v>
      </c>
      <c r="W18" s="30" t="s">
        <v>334</v>
      </c>
      <c r="X18" s="30" t="s">
        <v>334</v>
      </c>
      <c r="Y18" s="30" t="s">
        <v>334</v>
      </c>
      <c r="Z18" s="30" t="s">
        <v>334</v>
      </c>
      <c r="AA18" s="30" t="s">
        <v>334</v>
      </c>
      <c r="AB18" s="1" t="s">
        <v>334</v>
      </c>
      <c r="AC18" s="1" t="s">
        <v>334</v>
      </c>
      <c r="AD18" s="1" t="s">
        <v>334</v>
      </c>
    </row>
    <row r="19" spans="1:30" hidden="1">
      <c r="A19" s="3" t="s">
        <v>41</v>
      </c>
      <c r="B19" s="13">
        <v>0</v>
      </c>
      <c r="C19" s="13"/>
      <c r="D19" s="13"/>
      <c r="E19" s="13">
        <f t="shared" si="3"/>
        <v>0</v>
      </c>
      <c r="F19" s="13">
        <v>0</v>
      </c>
      <c r="G19" s="13">
        <f t="shared" si="2"/>
        <v>0</v>
      </c>
      <c r="H19" s="13">
        <v>0</v>
      </c>
      <c r="I19" s="14"/>
      <c r="J19" s="14"/>
      <c r="K19" s="14">
        <f t="shared" si="0"/>
        <v>0</v>
      </c>
      <c r="L19" s="14"/>
      <c r="M19" s="14"/>
      <c r="N19" s="14">
        <f t="shared" si="1"/>
        <v>0</v>
      </c>
      <c r="O19" s="273"/>
      <c r="Q19" s="1" t="s">
        <v>334</v>
      </c>
      <c r="R19" s="1" t="s">
        <v>334</v>
      </c>
      <c r="S19" s="1" t="s">
        <v>334</v>
      </c>
      <c r="T19" s="1" t="s">
        <v>334</v>
      </c>
      <c r="U19" s="30" t="s">
        <v>334</v>
      </c>
      <c r="V19" s="30" t="s">
        <v>334</v>
      </c>
      <c r="W19" s="30" t="s">
        <v>334</v>
      </c>
      <c r="X19" s="30" t="s">
        <v>334</v>
      </c>
      <c r="Y19" s="30" t="s">
        <v>334</v>
      </c>
      <c r="Z19" s="30" t="s">
        <v>334</v>
      </c>
      <c r="AA19" s="30" t="s">
        <v>334</v>
      </c>
      <c r="AB19" s="1" t="s">
        <v>334</v>
      </c>
      <c r="AC19" s="1" t="s">
        <v>334</v>
      </c>
      <c r="AD19" s="1" t="s">
        <v>334</v>
      </c>
    </row>
    <row r="20" spans="1:30" hidden="1">
      <c r="A20" s="3" t="s">
        <v>42</v>
      </c>
      <c r="B20" s="13">
        <v>0</v>
      </c>
      <c r="C20" s="13"/>
      <c r="D20" s="13"/>
      <c r="E20" s="13">
        <f t="shared" si="3"/>
        <v>0</v>
      </c>
      <c r="F20" s="13">
        <v>0</v>
      </c>
      <c r="G20" s="13">
        <f t="shared" si="2"/>
        <v>0</v>
      </c>
      <c r="H20" s="13">
        <v>0</v>
      </c>
      <c r="I20" s="14"/>
      <c r="J20" s="14"/>
      <c r="K20" s="14">
        <f t="shared" si="0"/>
        <v>0</v>
      </c>
      <c r="L20" s="14"/>
      <c r="M20" s="14"/>
      <c r="N20" s="14">
        <f t="shared" si="1"/>
        <v>0</v>
      </c>
      <c r="O20" s="273"/>
      <c r="Q20" s="1" t="s">
        <v>334</v>
      </c>
      <c r="R20" s="1" t="s">
        <v>334</v>
      </c>
      <c r="S20" s="1" t="s">
        <v>334</v>
      </c>
      <c r="T20" s="1" t="s">
        <v>334</v>
      </c>
      <c r="U20" s="30" t="s">
        <v>334</v>
      </c>
      <c r="V20" s="30" t="s">
        <v>334</v>
      </c>
      <c r="W20" s="30" t="s">
        <v>334</v>
      </c>
      <c r="X20" s="30" t="s">
        <v>334</v>
      </c>
      <c r="Y20" s="30" t="s">
        <v>334</v>
      </c>
      <c r="Z20" s="30" t="s">
        <v>334</v>
      </c>
      <c r="AA20" s="30" t="s">
        <v>334</v>
      </c>
      <c r="AB20" s="1" t="s">
        <v>334</v>
      </c>
      <c r="AC20" s="1" t="s">
        <v>334</v>
      </c>
      <c r="AD20" s="1" t="s">
        <v>334</v>
      </c>
    </row>
    <row r="21" spans="1:30" hidden="1">
      <c r="A21" s="3" t="s">
        <v>43</v>
      </c>
      <c r="B21" s="13">
        <v>0</v>
      </c>
      <c r="C21" s="13"/>
      <c r="D21" s="13"/>
      <c r="E21" s="13">
        <f t="shared" si="3"/>
        <v>0</v>
      </c>
      <c r="F21" s="13">
        <v>0</v>
      </c>
      <c r="G21" s="13">
        <f t="shared" si="2"/>
        <v>0</v>
      </c>
      <c r="H21" s="13">
        <v>0</v>
      </c>
      <c r="I21" s="14"/>
      <c r="J21" s="14"/>
      <c r="K21" s="14">
        <f t="shared" si="0"/>
        <v>0</v>
      </c>
      <c r="L21" s="14"/>
      <c r="M21" s="14"/>
      <c r="N21" s="14">
        <f t="shared" si="1"/>
        <v>0</v>
      </c>
      <c r="O21" s="273"/>
      <c r="Q21" s="1" t="s">
        <v>334</v>
      </c>
      <c r="R21" s="1" t="s">
        <v>334</v>
      </c>
      <c r="S21" s="1" t="s">
        <v>334</v>
      </c>
      <c r="T21" s="1" t="s">
        <v>334</v>
      </c>
      <c r="U21" s="30" t="s">
        <v>334</v>
      </c>
      <c r="V21" s="30" t="s">
        <v>334</v>
      </c>
      <c r="W21" s="30" t="s">
        <v>334</v>
      </c>
      <c r="X21" s="30" t="s">
        <v>334</v>
      </c>
      <c r="Y21" s="30" t="s">
        <v>334</v>
      </c>
      <c r="Z21" s="30" t="s">
        <v>334</v>
      </c>
      <c r="AA21" s="30" t="s">
        <v>334</v>
      </c>
      <c r="AB21" s="1" t="s">
        <v>334</v>
      </c>
      <c r="AC21" s="1" t="s">
        <v>334</v>
      </c>
      <c r="AD21" s="1" t="s">
        <v>334</v>
      </c>
    </row>
    <row r="22" spans="1:30" hidden="1">
      <c r="A22" s="3" t="s">
        <v>44</v>
      </c>
      <c r="B22" s="13">
        <v>0</v>
      </c>
      <c r="C22" s="13"/>
      <c r="D22" s="13"/>
      <c r="E22" s="13">
        <f t="shared" si="3"/>
        <v>0</v>
      </c>
      <c r="F22" s="13">
        <v>0</v>
      </c>
      <c r="G22" s="13">
        <f t="shared" si="2"/>
        <v>0</v>
      </c>
      <c r="H22" s="13">
        <v>0</v>
      </c>
      <c r="I22" s="14"/>
      <c r="J22" s="14"/>
      <c r="K22" s="14">
        <f t="shared" si="0"/>
        <v>0</v>
      </c>
      <c r="L22" s="14"/>
      <c r="M22" s="14"/>
      <c r="N22" s="14">
        <f t="shared" si="1"/>
        <v>0</v>
      </c>
      <c r="O22" s="273"/>
      <c r="Q22" s="1" t="s">
        <v>334</v>
      </c>
      <c r="R22" s="1" t="s">
        <v>334</v>
      </c>
      <c r="S22" s="1" t="s">
        <v>334</v>
      </c>
      <c r="T22" s="1" t="s">
        <v>334</v>
      </c>
      <c r="U22" s="30" t="s">
        <v>334</v>
      </c>
      <c r="V22" s="30" t="s">
        <v>334</v>
      </c>
      <c r="W22" s="30" t="s">
        <v>334</v>
      </c>
      <c r="X22" s="30" t="s">
        <v>334</v>
      </c>
      <c r="Y22" s="30" t="s">
        <v>334</v>
      </c>
      <c r="Z22" s="30" t="s">
        <v>334</v>
      </c>
      <c r="AA22" s="30" t="s">
        <v>334</v>
      </c>
      <c r="AB22" s="1" t="s">
        <v>334</v>
      </c>
      <c r="AC22" s="1" t="s">
        <v>334</v>
      </c>
      <c r="AD22" s="1" t="s">
        <v>334</v>
      </c>
    </row>
    <row r="23" spans="1:30" hidden="1">
      <c r="A23" s="3" t="s">
        <v>45</v>
      </c>
      <c r="B23" s="13">
        <v>0</v>
      </c>
      <c r="C23" s="13"/>
      <c r="D23" s="13"/>
      <c r="E23" s="13">
        <f t="shared" si="3"/>
        <v>0</v>
      </c>
      <c r="F23" s="13">
        <v>0</v>
      </c>
      <c r="G23" s="13">
        <f t="shared" si="2"/>
        <v>0</v>
      </c>
      <c r="H23" s="13">
        <v>0</v>
      </c>
      <c r="I23" s="14"/>
      <c r="J23" s="14"/>
      <c r="K23" s="14">
        <f t="shared" si="0"/>
        <v>0</v>
      </c>
      <c r="L23" s="14"/>
      <c r="M23" s="14"/>
      <c r="N23" s="14">
        <f t="shared" si="1"/>
        <v>0</v>
      </c>
      <c r="O23" s="274"/>
      <c r="Q23" s="1" t="s">
        <v>334</v>
      </c>
      <c r="R23" s="1" t="s">
        <v>334</v>
      </c>
      <c r="S23" s="1" t="s">
        <v>334</v>
      </c>
      <c r="T23" s="1" t="s">
        <v>334</v>
      </c>
      <c r="U23" s="30" t="s">
        <v>334</v>
      </c>
      <c r="V23" s="30" t="s">
        <v>334</v>
      </c>
      <c r="W23" s="30" t="s">
        <v>334</v>
      </c>
      <c r="X23" s="30" t="s">
        <v>334</v>
      </c>
      <c r="Y23" s="30" t="s">
        <v>334</v>
      </c>
      <c r="Z23" s="30" t="s">
        <v>334</v>
      </c>
      <c r="AA23" s="30" t="s">
        <v>334</v>
      </c>
      <c r="AB23" s="1" t="s">
        <v>334</v>
      </c>
      <c r="AC23" s="1" t="s">
        <v>334</v>
      </c>
      <c r="AD23" s="1" t="s">
        <v>334</v>
      </c>
    </row>
    <row r="24" spans="1:30" hidden="1">
      <c r="A24" s="3" t="s">
        <v>46</v>
      </c>
      <c r="B24" s="15">
        <f t="shared" ref="B24:H24" si="4">SUM(B12:B23)</f>
        <v>0</v>
      </c>
      <c r="C24" s="15"/>
      <c r="D24" s="15"/>
      <c r="E24" s="15">
        <f t="shared" si="4"/>
        <v>0</v>
      </c>
      <c r="F24" s="15">
        <f t="shared" si="4"/>
        <v>0</v>
      </c>
      <c r="G24" s="15">
        <f t="shared" si="4"/>
        <v>0</v>
      </c>
      <c r="H24" s="15">
        <f t="shared" si="4"/>
        <v>0</v>
      </c>
      <c r="I24" s="15"/>
      <c r="J24" s="15"/>
      <c r="K24" s="15">
        <f>SUM(K12:K23)</f>
        <v>0</v>
      </c>
      <c r="L24" s="15"/>
      <c r="M24" s="15"/>
      <c r="N24" s="15">
        <f t="shared" ref="N24" si="5">SUM(N12:N23)</f>
        <v>0</v>
      </c>
      <c r="Q24" s="1" t="s">
        <v>334</v>
      </c>
      <c r="R24" s="1" t="s">
        <v>334</v>
      </c>
      <c r="S24" s="1" t="s">
        <v>334</v>
      </c>
      <c r="T24" s="1" t="s">
        <v>334</v>
      </c>
      <c r="U24" s="30" t="s">
        <v>334</v>
      </c>
      <c r="V24" s="30" t="s">
        <v>334</v>
      </c>
      <c r="W24" s="30" t="s">
        <v>334</v>
      </c>
      <c r="X24" s="30" t="s">
        <v>334</v>
      </c>
      <c r="Y24" s="30" t="s">
        <v>334</v>
      </c>
      <c r="Z24" s="30" t="s">
        <v>334</v>
      </c>
      <c r="AA24" s="30" t="s">
        <v>334</v>
      </c>
      <c r="AB24" s="1" t="s">
        <v>334</v>
      </c>
      <c r="AC24" s="1" t="s">
        <v>334</v>
      </c>
      <c r="AD24" s="1" t="s">
        <v>334</v>
      </c>
    </row>
    <row r="25" spans="1:30" hidden="1">
      <c r="A25" s="5"/>
      <c r="B25" s="5"/>
      <c r="C25" s="5"/>
      <c r="D25" s="5"/>
      <c r="E25" s="5"/>
      <c r="F25" s="5"/>
      <c r="G25" s="5"/>
      <c r="H25" s="5"/>
      <c r="I25" s="5"/>
      <c r="J25" s="5"/>
      <c r="K25" s="6"/>
      <c r="L25" s="6"/>
      <c r="M25" s="6"/>
      <c r="N25" s="6"/>
    </row>
    <row r="26" spans="1:30" ht="15" hidden="1" thickBot="1">
      <c r="A26" s="5"/>
      <c r="B26" s="6"/>
      <c r="C26" s="6"/>
      <c r="D26" s="6"/>
      <c r="E26" s="5"/>
      <c r="F26" s="5"/>
      <c r="G26" s="211" t="s">
        <v>47</v>
      </c>
      <c r="H26" s="212"/>
      <c r="I26" s="212"/>
      <c r="J26" s="212"/>
      <c r="K26" s="213"/>
      <c r="L26" s="26"/>
      <c r="M26" s="26"/>
      <c r="N26" s="16">
        <f>K9</f>
        <v>0</v>
      </c>
    </row>
    <row r="27" spans="1:30" ht="15" hidden="1" thickBot="1">
      <c r="A27" s="5"/>
      <c r="B27" s="5"/>
      <c r="C27" s="5"/>
      <c r="D27" s="5"/>
      <c r="E27" s="5"/>
      <c r="F27" s="5"/>
      <c r="G27" s="211" t="s">
        <v>48</v>
      </c>
      <c r="H27" s="212"/>
      <c r="I27" s="212"/>
      <c r="J27" s="212"/>
      <c r="K27" s="213"/>
      <c r="L27" s="26"/>
      <c r="M27" s="26"/>
      <c r="N27" s="16">
        <f>B24+F24</f>
        <v>0</v>
      </c>
    </row>
    <row r="28" spans="1:30" ht="15" hidden="1" thickBot="1">
      <c r="A28" s="5"/>
      <c r="B28" s="5"/>
      <c r="C28" s="5"/>
      <c r="D28" s="5"/>
      <c r="E28" s="5"/>
      <c r="F28" s="5"/>
      <c r="G28" s="211" t="s">
        <v>349</v>
      </c>
      <c r="H28" s="212"/>
      <c r="I28" s="212"/>
      <c r="J28" s="212"/>
      <c r="K28" s="213"/>
      <c r="L28" s="26"/>
      <c r="M28" s="26"/>
      <c r="N28" s="16">
        <f>E24</f>
        <v>0</v>
      </c>
    </row>
    <row r="29" spans="1:30" ht="15" hidden="1" thickBot="1">
      <c r="A29" s="5"/>
      <c r="B29" s="5"/>
      <c r="C29" s="5"/>
      <c r="D29" s="5"/>
      <c r="E29" s="5"/>
      <c r="F29" s="5"/>
      <c r="G29" s="211" t="s">
        <v>49</v>
      </c>
      <c r="H29" s="212"/>
      <c r="I29" s="212"/>
      <c r="J29" s="212"/>
      <c r="K29" s="213"/>
      <c r="L29" s="26"/>
      <c r="M29" s="26"/>
      <c r="N29" s="16">
        <f>SUM(N26:N28)</f>
        <v>0</v>
      </c>
    </row>
    <row r="30" spans="1:30" ht="15" hidden="1" thickBot="1">
      <c r="A30" s="5"/>
      <c r="B30" s="5"/>
      <c r="C30" s="5"/>
      <c r="D30" s="5"/>
      <c r="E30" s="5"/>
      <c r="F30" s="5"/>
      <c r="G30" s="211" t="s">
        <v>50</v>
      </c>
      <c r="H30" s="212"/>
      <c r="I30" s="212"/>
      <c r="J30" s="212"/>
      <c r="K30" s="213"/>
      <c r="L30" s="26"/>
      <c r="M30" s="26"/>
      <c r="N30" s="16">
        <f>H24</f>
        <v>0</v>
      </c>
    </row>
    <row r="31" spans="1:30" ht="15" hidden="1" thickBot="1">
      <c r="A31" s="5"/>
      <c r="B31" s="5"/>
      <c r="C31" s="5"/>
      <c r="D31" s="5"/>
      <c r="E31" s="5"/>
      <c r="F31" s="5"/>
      <c r="G31" s="211" t="s">
        <v>51</v>
      </c>
      <c r="H31" s="212"/>
      <c r="I31" s="212"/>
      <c r="J31" s="212"/>
      <c r="K31" s="213"/>
      <c r="L31" s="26"/>
      <c r="M31" s="26"/>
      <c r="N31" s="16">
        <f>N24</f>
        <v>0</v>
      </c>
    </row>
    <row r="32" spans="1:30" ht="15" hidden="1" thickBot="1">
      <c r="A32" s="5"/>
      <c r="B32" s="5"/>
      <c r="C32" s="5"/>
      <c r="D32" s="5"/>
      <c r="E32" s="5"/>
      <c r="F32" s="5"/>
      <c r="G32" s="211" t="s">
        <v>52</v>
      </c>
      <c r="H32" s="212"/>
      <c r="I32" s="212"/>
      <c r="J32" s="212"/>
      <c r="K32" s="213"/>
      <c r="L32" s="26"/>
      <c r="M32" s="26"/>
      <c r="N32" s="16">
        <f>N29-N30+N31</f>
        <v>0</v>
      </c>
    </row>
    <row r="33" spans="1:15" hidden="1">
      <c r="A33" s="5"/>
      <c r="B33" s="5"/>
      <c r="C33" s="5"/>
      <c r="D33" s="5"/>
      <c r="E33" s="5"/>
      <c r="F33" s="5"/>
      <c r="G33" s="17"/>
      <c r="H33" s="17"/>
      <c r="I33" s="17"/>
      <c r="J33" s="17"/>
      <c r="K33" s="17"/>
      <c r="L33" s="17"/>
      <c r="M33" s="17"/>
      <c r="N33" s="6"/>
    </row>
    <row r="36" spans="1:15" ht="16.8" hidden="1">
      <c r="A36" s="249" t="s">
        <v>53</v>
      </c>
      <c r="B36" s="249"/>
      <c r="C36" s="18"/>
      <c r="D36" s="18"/>
      <c r="E36" s="249" t="s">
        <v>54</v>
      </c>
      <c r="F36" s="249"/>
      <c r="G36" s="249"/>
      <c r="H36" s="250" t="s">
        <v>55</v>
      </c>
      <c r="I36" s="250"/>
      <c r="J36" s="250"/>
      <c r="K36" s="250"/>
      <c r="L36" s="250"/>
      <c r="M36" s="250"/>
      <c r="N36" s="250"/>
    </row>
    <row r="39" spans="1:15" ht="18.600000000000001" hidden="1">
      <c r="A39" s="224" t="s">
        <v>0</v>
      </c>
      <c r="B39" s="224"/>
      <c r="C39" s="224"/>
      <c r="D39" s="224"/>
      <c r="E39" s="224"/>
      <c r="F39" s="224"/>
      <c r="G39" s="224"/>
      <c r="H39" s="224"/>
      <c r="I39" s="224"/>
      <c r="J39" s="224"/>
      <c r="K39" s="224"/>
      <c r="L39" s="224"/>
      <c r="M39" s="224"/>
      <c r="N39" s="224"/>
      <c r="O39" s="224"/>
    </row>
    <row r="40" spans="1:15" ht="18.600000000000001" hidden="1">
      <c r="A40" s="224" t="s">
        <v>1</v>
      </c>
      <c r="B40" s="224"/>
      <c r="C40" s="224"/>
      <c r="D40" s="224"/>
      <c r="E40" s="224"/>
      <c r="F40" s="224"/>
      <c r="G40" s="224"/>
      <c r="H40" s="224"/>
      <c r="I40" s="224"/>
      <c r="J40" s="224"/>
      <c r="K40" s="224"/>
      <c r="L40" s="224"/>
      <c r="M40" s="224"/>
      <c r="N40" s="224"/>
      <c r="O40" s="224"/>
    </row>
    <row r="42" spans="1:15" hidden="1">
      <c r="A42" s="258" t="s">
        <v>56</v>
      </c>
      <c r="B42" s="258"/>
      <c r="C42" s="258"/>
      <c r="D42" s="258"/>
      <c r="E42" s="258"/>
      <c r="F42" s="258"/>
      <c r="G42" s="258"/>
      <c r="H42" s="258"/>
      <c r="I42" s="258"/>
      <c r="J42" s="258"/>
      <c r="K42" s="258"/>
      <c r="L42" s="258"/>
      <c r="M42" s="258"/>
      <c r="N42" s="258"/>
    </row>
    <row r="43" spans="1:15" hidden="1">
      <c r="A43" s="3" t="s">
        <v>3</v>
      </c>
      <c r="B43" s="4">
        <f>B5</f>
        <v>9255</v>
      </c>
      <c r="C43" s="4"/>
      <c r="D43" s="4"/>
      <c r="E43" s="3" t="s">
        <v>4</v>
      </c>
      <c r="F43" s="216" t="str">
        <f>F5</f>
        <v>Mahajan Ganesh Trambak</v>
      </c>
      <c r="G43" s="278"/>
      <c r="H43" s="278"/>
      <c r="I43" s="278"/>
      <c r="J43" s="278"/>
      <c r="K43" s="278"/>
      <c r="L43" s="278"/>
      <c r="M43" s="278"/>
      <c r="N43" s="217"/>
    </row>
    <row r="44" spans="1:15" hidden="1">
      <c r="A44" s="5"/>
      <c r="E44" s="5"/>
      <c r="F44" s="5"/>
      <c r="G44" s="5"/>
      <c r="H44" s="5"/>
      <c r="I44" s="5"/>
      <c r="J44" s="5"/>
      <c r="K44" s="6"/>
      <c r="L44" s="6"/>
      <c r="M44" s="6"/>
      <c r="N44" s="5"/>
    </row>
    <row r="45" spans="1:15" ht="20.399999999999999" hidden="1">
      <c r="A45" s="3" t="s">
        <v>6</v>
      </c>
      <c r="B45" s="3" t="str">
        <f>B7</f>
        <v>06.06.2007</v>
      </c>
      <c r="C45" s="3"/>
      <c r="D45" s="3"/>
      <c r="E45" s="3" t="s">
        <v>7</v>
      </c>
      <c r="F45" s="3"/>
      <c r="G45" s="3"/>
      <c r="H45" s="3" t="s">
        <v>8</v>
      </c>
      <c r="I45" s="27"/>
      <c r="J45" s="27"/>
      <c r="K45" s="216" t="str">
        <f>K7</f>
        <v>Asst. Jr. Engineer</v>
      </c>
      <c r="L45" s="278"/>
      <c r="M45" s="278"/>
      <c r="N45" s="217"/>
    </row>
    <row r="46" spans="1:15" hidden="1">
      <c r="A46" s="5"/>
      <c r="B46" s="5"/>
      <c r="C46" s="5"/>
      <c r="D46" s="5"/>
      <c r="E46" s="5"/>
      <c r="F46" s="5"/>
      <c r="G46" s="5"/>
      <c r="H46" s="5"/>
      <c r="I46" s="5"/>
      <c r="J46" s="5"/>
      <c r="K46" s="6"/>
      <c r="L46" s="6"/>
      <c r="M46" s="6"/>
      <c r="N46" s="5"/>
    </row>
    <row r="47" spans="1:15" hidden="1">
      <c r="A47" s="3" t="s">
        <v>10</v>
      </c>
      <c r="B47" s="7">
        <v>0.08</v>
      </c>
      <c r="C47" s="7"/>
      <c r="D47" s="7"/>
      <c r="E47" s="3" t="s">
        <v>11</v>
      </c>
      <c r="F47" s="7">
        <v>0</v>
      </c>
      <c r="G47" s="216" t="s">
        <v>12</v>
      </c>
      <c r="H47" s="217"/>
      <c r="I47" s="29"/>
      <c r="J47" s="29"/>
      <c r="K47" s="266">
        <f>N32</f>
        <v>0</v>
      </c>
      <c r="L47" s="267"/>
      <c r="M47" s="267"/>
      <c r="N47" s="271"/>
    </row>
    <row r="48" spans="1:15" hidden="1">
      <c r="A48" s="5"/>
      <c r="B48" s="5"/>
      <c r="C48" s="5"/>
      <c r="D48" s="5"/>
      <c r="E48" s="5"/>
      <c r="F48" s="5"/>
      <c r="G48" s="5"/>
      <c r="H48" s="5"/>
      <c r="I48" s="5"/>
      <c r="J48" s="5"/>
      <c r="K48" s="6"/>
      <c r="L48" s="6"/>
      <c r="M48" s="6"/>
      <c r="N48" s="5"/>
    </row>
    <row r="49" spans="1:30" ht="72" hidden="1">
      <c r="A49" s="9" t="s">
        <v>13</v>
      </c>
      <c r="B49" s="9" t="s">
        <v>14</v>
      </c>
      <c r="C49" s="9"/>
      <c r="D49" s="9"/>
      <c r="E49" s="9" t="s">
        <v>349</v>
      </c>
      <c r="F49" s="9" t="s">
        <v>15</v>
      </c>
      <c r="G49" s="9" t="s">
        <v>16</v>
      </c>
      <c r="H49" s="9" t="s">
        <v>17</v>
      </c>
      <c r="I49" s="9"/>
      <c r="J49" s="9"/>
      <c r="K49" s="10" t="s">
        <v>18</v>
      </c>
      <c r="L49" s="10"/>
      <c r="M49" s="10"/>
      <c r="N49" s="10" t="s">
        <v>19</v>
      </c>
      <c r="O49" s="11" t="s">
        <v>20</v>
      </c>
      <c r="Q49" s="12" t="s">
        <v>27</v>
      </c>
      <c r="R49" s="12" t="s">
        <v>28</v>
      </c>
      <c r="S49" s="12" t="s">
        <v>29</v>
      </c>
      <c r="T49" s="12" t="s">
        <v>30</v>
      </c>
      <c r="U49" s="12" t="s">
        <v>21</v>
      </c>
      <c r="V49" s="12" t="s">
        <v>22</v>
      </c>
      <c r="W49" s="12" t="s">
        <v>23</v>
      </c>
      <c r="X49" s="12" t="s">
        <v>24</v>
      </c>
      <c r="Y49" s="12" t="s">
        <v>25</v>
      </c>
      <c r="Z49" s="12" t="s">
        <v>336</v>
      </c>
      <c r="AA49" s="12" t="s">
        <v>26</v>
      </c>
      <c r="AB49" s="12" t="s">
        <v>31</v>
      </c>
      <c r="AC49" s="12" t="s">
        <v>32</v>
      </c>
      <c r="AD49" s="12" t="s">
        <v>333</v>
      </c>
    </row>
    <row r="50" spans="1:30" hidden="1">
      <c r="A50" s="3" t="s">
        <v>57</v>
      </c>
      <c r="B50" s="13">
        <v>0</v>
      </c>
      <c r="C50" s="13"/>
      <c r="D50" s="13"/>
      <c r="E50" s="13">
        <v>0</v>
      </c>
      <c r="F50" s="13">
        <v>0</v>
      </c>
      <c r="G50" s="13">
        <f>(E50+B50)+F50</f>
        <v>0</v>
      </c>
      <c r="H50" s="13">
        <v>0</v>
      </c>
      <c r="I50" s="13"/>
      <c r="J50" s="13"/>
      <c r="K50" s="13">
        <f>(K47+G50)-H50</f>
        <v>0</v>
      </c>
      <c r="L50" s="14"/>
      <c r="M50" s="14"/>
      <c r="N50" s="14">
        <f t="shared" ref="N50:N61" si="6">ROUND((K50*8/100)/12,0)</f>
        <v>0</v>
      </c>
      <c r="O50" s="272" t="s">
        <v>34</v>
      </c>
      <c r="Q50" s="1" t="s">
        <v>334</v>
      </c>
      <c r="R50" s="1" t="s">
        <v>334</v>
      </c>
      <c r="S50" s="1" t="s">
        <v>334</v>
      </c>
      <c r="T50" s="1" t="s">
        <v>334</v>
      </c>
      <c r="U50" s="30" t="s">
        <v>334</v>
      </c>
      <c r="V50" s="30" t="s">
        <v>334</v>
      </c>
      <c r="W50" s="30" t="s">
        <v>334</v>
      </c>
      <c r="X50" s="30" t="s">
        <v>334</v>
      </c>
      <c r="Y50" s="30" t="s">
        <v>334</v>
      </c>
      <c r="Z50" s="30" t="s">
        <v>334</v>
      </c>
      <c r="AA50" s="30" t="s">
        <v>334</v>
      </c>
      <c r="AB50" s="1" t="s">
        <v>334</v>
      </c>
      <c r="AC50" s="1" t="s">
        <v>334</v>
      </c>
      <c r="AD50" s="1" t="s">
        <v>334</v>
      </c>
    </row>
    <row r="51" spans="1:30" hidden="1">
      <c r="A51" s="3" t="s">
        <v>58</v>
      </c>
      <c r="B51" s="13">
        <v>0</v>
      </c>
      <c r="C51" s="13"/>
      <c r="D51" s="13"/>
      <c r="E51" s="13">
        <v>0</v>
      </c>
      <c r="F51" s="13">
        <v>0</v>
      </c>
      <c r="G51" s="13">
        <f t="shared" ref="G51:G61" si="7">(E51+B51)+F51</f>
        <v>0</v>
      </c>
      <c r="H51" s="13">
        <v>0</v>
      </c>
      <c r="I51" s="48"/>
      <c r="J51" s="48"/>
      <c r="K51" s="20">
        <f t="shared" ref="K51:K61" si="8">(K50+G51)-H51</f>
        <v>0</v>
      </c>
      <c r="L51" s="52"/>
      <c r="M51" s="52"/>
      <c r="N51" s="14">
        <f t="shared" si="6"/>
        <v>0</v>
      </c>
      <c r="O51" s="273"/>
      <c r="Q51" s="1" t="s">
        <v>334</v>
      </c>
      <c r="R51" s="1" t="s">
        <v>334</v>
      </c>
      <c r="S51" s="1" t="s">
        <v>334</v>
      </c>
      <c r="T51" s="1" t="s">
        <v>334</v>
      </c>
      <c r="U51" s="30" t="s">
        <v>334</v>
      </c>
      <c r="V51" s="30" t="s">
        <v>334</v>
      </c>
      <c r="W51" s="30" t="s">
        <v>334</v>
      </c>
      <c r="X51" s="30" t="s">
        <v>334</v>
      </c>
      <c r="Y51" s="30" t="s">
        <v>334</v>
      </c>
      <c r="Z51" s="30" t="s">
        <v>334</v>
      </c>
      <c r="AA51" s="30" t="s">
        <v>334</v>
      </c>
      <c r="AB51" s="1" t="s">
        <v>334</v>
      </c>
      <c r="AC51" s="1" t="s">
        <v>334</v>
      </c>
      <c r="AD51" s="1" t="s">
        <v>334</v>
      </c>
    </row>
    <row r="52" spans="1:30" hidden="1">
      <c r="A52" s="3" t="s">
        <v>59</v>
      </c>
      <c r="B52" s="13">
        <v>0</v>
      </c>
      <c r="C52" s="13"/>
      <c r="D52" s="13"/>
      <c r="E52" s="13">
        <f>B52</f>
        <v>0</v>
      </c>
      <c r="F52" s="13">
        <v>0</v>
      </c>
      <c r="G52" s="13">
        <f t="shared" si="7"/>
        <v>0</v>
      </c>
      <c r="H52" s="13">
        <v>0</v>
      </c>
      <c r="I52" s="48"/>
      <c r="J52" s="48"/>
      <c r="K52" s="20">
        <f t="shared" si="8"/>
        <v>0</v>
      </c>
      <c r="L52" s="52"/>
      <c r="M52" s="52"/>
      <c r="N52" s="14">
        <f t="shared" si="6"/>
        <v>0</v>
      </c>
      <c r="O52" s="273"/>
      <c r="Q52" s="1" t="s">
        <v>334</v>
      </c>
      <c r="R52" s="1" t="s">
        <v>334</v>
      </c>
      <c r="S52" s="1" t="s">
        <v>334</v>
      </c>
      <c r="T52" s="1" t="s">
        <v>334</v>
      </c>
      <c r="U52" s="30" t="s">
        <v>334</v>
      </c>
      <c r="V52" s="30" t="s">
        <v>334</v>
      </c>
      <c r="W52" s="30" t="s">
        <v>334</v>
      </c>
      <c r="X52" s="30" t="s">
        <v>334</v>
      </c>
      <c r="Y52" s="30" t="s">
        <v>334</v>
      </c>
      <c r="Z52" s="30" t="s">
        <v>334</v>
      </c>
      <c r="AA52" s="30" t="s">
        <v>334</v>
      </c>
      <c r="AB52" s="1" t="s">
        <v>334</v>
      </c>
      <c r="AC52" s="1" t="s">
        <v>334</v>
      </c>
      <c r="AD52" s="1" t="s">
        <v>334</v>
      </c>
    </row>
    <row r="53" spans="1:30" hidden="1">
      <c r="A53" s="3" t="s">
        <v>60</v>
      </c>
      <c r="B53" s="13">
        <v>0</v>
      </c>
      <c r="C53" s="13"/>
      <c r="D53" s="13"/>
      <c r="E53" s="13">
        <f t="shared" ref="E53:E61" si="9">B53</f>
        <v>0</v>
      </c>
      <c r="F53" s="13">
        <v>0</v>
      </c>
      <c r="G53" s="13">
        <f t="shared" si="7"/>
        <v>0</v>
      </c>
      <c r="H53" s="13">
        <v>0</v>
      </c>
      <c r="I53" s="48"/>
      <c r="J53" s="48"/>
      <c r="K53" s="20">
        <f t="shared" si="8"/>
        <v>0</v>
      </c>
      <c r="L53" s="52"/>
      <c r="M53" s="52"/>
      <c r="N53" s="14">
        <f t="shared" si="6"/>
        <v>0</v>
      </c>
      <c r="O53" s="273"/>
      <c r="Q53" s="1" t="s">
        <v>334</v>
      </c>
      <c r="R53" s="1" t="s">
        <v>334</v>
      </c>
      <c r="S53" s="1" t="s">
        <v>334</v>
      </c>
      <c r="T53" s="1" t="s">
        <v>334</v>
      </c>
      <c r="U53" s="30" t="s">
        <v>334</v>
      </c>
      <c r="V53" s="30" t="s">
        <v>334</v>
      </c>
      <c r="W53" s="30" t="s">
        <v>334</v>
      </c>
      <c r="X53" s="30" t="s">
        <v>334</v>
      </c>
      <c r="Y53" s="30" t="s">
        <v>334</v>
      </c>
      <c r="Z53" s="30" t="s">
        <v>334</v>
      </c>
      <c r="AA53" s="30" t="s">
        <v>334</v>
      </c>
      <c r="AB53" s="1" t="s">
        <v>334</v>
      </c>
      <c r="AC53" s="1" t="s">
        <v>334</v>
      </c>
      <c r="AD53" s="1" t="s">
        <v>334</v>
      </c>
    </row>
    <row r="54" spans="1:30" hidden="1">
      <c r="A54" s="3" t="s">
        <v>61</v>
      </c>
      <c r="B54" s="13">
        <v>0</v>
      </c>
      <c r="C54" s="13"/>
      <c r="D54" s="13"/>
      <c r="E54" s="13">
        <f t="shared" si="9"/>
        <v>0</v>
      </c>
      <c r="F54" s="13">
        <v>0</v>
      </c>
      <c r="G54" s="13">
        <f t="shared" si="7"/>
        <v>0</v>
      </c>
      <c r="H54" s="13">
        <v>0</v>
      </c>
      <c r="I54" s="48"/>
      <c r="J54" s="48"/>
      <c r="K54" s="20">
        <f t="shared" si="8"/>
        <v>0</v>
      </c>
      <c r="L54" s="52"/>
      <c r="M54" s="52"/>
      <c r="N54" s="14">
        <f t="shared" si="6"/>
        <v>0</v>
      </c>
      <c r="O54" s="273"/>
      <c r="Q54" s="1" t="s">
        <v>334</v>
      </c>
      <c r="R54" s="1" t="s">
        <v>334</v>
      </c>
      <c r="S54" s="1" t="s">
        <v>334</v>
      </c>
      <c r="T54" s="1" t="s">
        <v>334</v>
      </c>
      <c r="U54" s="30" t="s">
        <v>334</v>
      </c>
      <c r="V54" s="30" t="s">
        <v>334</v>
      </c>
      <c r="W54" s="30" t="s">
        <v>334</v>
      </c>
      <c r="X54" s="30" t="s">
        <v>334</v>
      </c>
      <c r="Y54" s="30" t="s">
        <v>334</v>
      </c>
      <c r="Z54" s="30" t="s">
        <v>334</v>
      </c>
      <c r="AA54" s="30" t="s">
        <v>334</v>
      </c>
      <c r="AB54" s="1" t="s">
        <v>334</v>
      </c>
      <c r="AC54" s="1" t="s">
        <v>334</v>
      </c>
      <c r="AD54" s="1" t="s">
        <v>334</v>
      </c>
    </row>
    <row r="55" spans="1:30" hidden="1">
      <c r="A55" s="3" t="s">
        <v>62</v>
      </c>
      <c r="B55" s="13">
        <v>0</v>
      </c>
      <c r="C55" s="13"/>
      <c r="D55" s="13"/>
      <c r="E55" s="13">
        <f t="shared" si="9"/>
        <v>0</v>
      </c>
      <c r="F55" s="13">
        <v>0</v>
      </c>
      <c r="G55" s="13">
        <f t="shared" si="7"/>
        <v>0</v>
      </c>
      <c r="H55" s="13">
        <v>0</v>
      </c>
      <c r="I55" s="48"/>
      <c r="J55" s="48"/>
      <c r="K55" s="20">
        <f t="shared" si="8"/>
        <v>0</v>
      </c>
      <c r="L55" s="52"/>
      <c r="M55" s="52"/>
      <c r="N55" s="14">
        <f t="shared" si="6"/>
        <v>0</v>
      </c>
      <c r="O55" s="273"/>
      <c r="Q55" s="1" t="s">
        <v>334</v>
      </c>
      <c r="R55" s="1" t="s">
        <v>334</v>
      </c>
      <c r="S55" s="1" t="s">
        <v>334</v>
      </c>
      <c r="T55" s="1" t="s">
        <v>334</v>
      </c>
      <c r="U55" s="30" t="s">
        <v>334</v>
      </c>
      <c r="V55" s="30" t="s">
        <v>334</v>
      </c>
      <c r="W55" s="30" t="s">
        <v>334</v>
      </c>
      <c r="X55" s="30" t="s">
        <v>334</v>
      </c>
      <c r="Y55" s="30" t="s">
        <v>334</v>
      </c>
      <c r="Z55" s="30" t="s">
        <v>334</v>
      </c>
      <c r="AA55" s="30" t="s">
        <v>334</v>
      </c>
      <c r="AB55" s="1" t="s">
        <v>334</v>
      </c>
      <c r="AC55" s="1" t="s">
        <v>334</v>
      </c>
      <c r="AD55" s="1" t="s">
        <v>334</v>
      </c>
    </row>
    <row r="56" spans="1:30" hidden="1">
      <c r="A56" s="3" t="s">
        <v>63</v>
      </c>
      <c r="B56" s="13">
        <v>0</v>
      </c>
      <c r="C56" s="13"/>
      <c r="D56" s="13"/>
      <c r="E56" s="13">
        <f t="shared" si="9"/>
        <v>0</v>
      </c>
      <c r="F56" s="13">
        <v>0</v>
      </c>
      <c r="G56" s="13">
        <f t="shared" si="7"/>
        <v>0</v>
      </c>
      <c r="H56" s="13">
        <v>0</v>
      </c>
      <c r="I56" s="48"/>
      <c r="J56" s="48"/>
      <c r="K56" s="20">
        <f t="shared" si="8"/>
        <v>0</v>
      </c>
      <c r="L56" s="52"/>
      <c r="M56" s="52"/>
      <c r="N56" s="14">
        <f t="shared" si="6"/>
        <v>0</v>
      </c>
      <c r="O56" s="273"/>
      <c r="Q56" s="1" t="s">
        <v>334</v>
      </c>
      <c r="R56" s="1" t="s">
        <v>334</v>
      </c>
      <c r="S56" s="1" t="s">
        <v>334</v>
      </c>
      <c r="T56" s="1" t="s">
        <v>334</v>
      </c>
      <c r="U56" s="30" t="s">
        <v>334</v>
      </c>
      <c r="V56" s="30" t="s">
        <v>334</v>
      </c>
      <c r="W56" s="30" t="s">
        <v>334</v>
      </c>
      <c r="X56" s="30" t="s">
        <v>334</v>
      </c>
      <c r="Y56" s="30" t="s">
        <v>334</v>
      </c>
      <c r="Z56" s="30" t="s">
        <v>334</v>
      </c>
      <c r="AA56" s="30" t="s">
        <v>334</v>
      </c>
      <c r="AB56" s="1" t="s">
        <v>334</v>
      </c>
      <c r="AC56" s="1" t="s">
        <v>334</v>
      </c>
      <c r="AD56" s="1" t="s">
        <v>334</v>
      </c>
    </row>
    <row r="57" spans="1:30" hidden="1">
      <c r="A57" s="3" t="s">
        <v>64</v>
      </c>
      <c r="B57" s="13">
        <v>0</v>
      </c>
      <c r="C57" s="13"/>
      <c r="D57" s="13"/>
      <c r="E57" s="13">
        <f t="shared" si="9"/>
        <v>0</v>
      </c>
      <c r="F57" s="13">
        <v>0</v>
      </c>
      <c r="G57" s="13">
        <f t="shared" si="7"/>
        <v>0</v>
      </c>
      <c r="H57" s="13">
        <v>0</v>
      </c>
      <c r="I57" s="48"/>
      <c r="J57" s="48"/>
      <c r="K57" s="20">
        <f t="shared" si="8"/>
        <v>0</v>
      </c>
      <c r="L57" s="52"/>
      <c r="M57" s="52"/>
      <c r="N57" s="14">
        <f t="shared" si="6"/>
        <v>0</v>
      </c>
      <c r="O57" s="273"/>
      <c r="Q57" s="1" t="s">
        <v>334</v>
      </c>
      <c r="R57" s="1" t="s">
        <v>334</v>
      </c>
      <c r="S57" s="1" t="s">
        <v>334</v>
      </c>
      <c r="T57" s="1" t="s">
        <v>334</v>
      </c>
      <c r="U57" s="30" t="s">
        <v>334</v>
      </c>
      <c r="V57" s="30" t="s">
        <v>334</v>
      </c>
      <c r="W57" s="30" t="s">
        <v>334</v>
      </c>
      <c r="X57" s="30" t="s">
        <v>334</v>
      </c>
      <c r="Y57" s="30" t="s">
        <v>334</v>
      </c>
      <c r="Z57" s="30" t="s">
        <v>334</v>
      </c>
      <c r="AA57" s="30" t="s">
        <v>334</v>
      </c>
      <c r="AB57" s="1" t="s">
        <v>334</v>
      </c>
      <c r="AC57" s="1" t="s">
        <v>334</v>
      </c>
      <c r="AD57" s="1" t="s">
        <v>334</v>
      </c>
    </row>
    <row r="58" spans="1:30" hidden="1">
      <c r="A58" s="3" t="s">
        <v>65</v>
      </c>
      <c r="B58" s="13">
        <v>0</v>
      </c>
      <c r="C58" s="13"/>
      <c r="D58" s="13"/>
      <c r="E58" s="13">
        <f t="shared" si="9"/>
        <v>0</v>
      </c>
      <c r="F58" s="13">
        <v>0</v>
      </c>
      <c r="G58" s="13">
        <f t="shared" si="7"/>
        <v>0</v>
      </c>
      <c r="H58" s="13">
        <v>0</v>
      </c>
      <c r="I58" s="48"/>
      <c r="J58" s="48"/>
      <c r="K58" s="20">
        <f t="shared" si="8"/>
        <v>0</v>
      </c>
      <c r="L58" s="52"/>
      <c r="M58" s="52"/>
      <c r="N58" s="14">
        <f t="shared" si="6"/>
        <v>0</v>
      </c>
      <c r="O58" s="273"/>
      <c r="Q58" s="1" t="s">
        <v>334</v>
      </c>
      <c r="R58" s="1" t="s">
        <v>334</v>
      </c>
      <c r="S58" s="1" t="s">
        <v>334</v>
      </c>
      <c r="T58" s="1" t="s">
        <v>334</v>
      </c>
      <c r="U58" s="30" t="s">
        <v>334</v>
      </c>
      <c r="V58" s="30" t="s">
        <v>334</v>
      </c>
      <c r="W58" s="30" t="s">
        <v>334</v>
      </c>
      <c r="X58" s="30" t="s">
        <v>334</v>
      </c>
      <c r="Y58" s="30" t="s">
        <v>334</v>
      </c>
      <c r="Z58" s="30" t="s">
        <v>334</v>
      </c>
      <c r="AA58" s="30" t="s">
        <v>334</v>
      </c>
      <c r="AB58" s="1" t="s">
        <v>334</v>
      </c>
      <c r="AC58" s="1" t="s">
        <v>334</v>
      </c>
      <c r="AD58" s="1" t="s">
        <v>334</v>
      </c>
    </row>
    <row r="59" spans="1:30" hidden="1">
      <c r="A59" s="3" t="s">
        <v>66</v>
      </c>
      <c r="B59" s="13">
        <v>0</v>
      </c>
      <c r="C59" s="13"/>
      <c r="D59" s="13"/>
      <c r="E59" s="13">
        <f t="shared" si="9"/>
        <v>0</v>
      </c>
      <c r="F59" s="13">
        <v>0</v>
      </c>
      <c r="G59" s="13">
        <f t="shared" si="7"/>
        <v>0</v>
      </c>
      <c r="H59" s="13">
        <v>0</v>
      </c>
      <c r="I59" s="48"/>
      <c r="J59" s="48"/>
      <c r="K59" s="20">
        <f t="shared" si="8"/>
        <v>0</v>
      </c>
      <c r="L59" s="52"/>
      <c r="M59" s="52"/>
      <c r="N59" s="14">
        <f t="shared" si="6"/>
        <v>0</v>
      </c>
      <c r="O59" s="273"/>
      <c r="Q59" s="1" t="s">
        <v>334</v>
      </c>
      <c r="R59" s="1" t="s">
        <v>334</v>
      </c>
      <c r="S59" s="1" t="s">
        <v>334</v>
      </c>
      <c r="T59" s="1" t="s">
        <v>334</v>
      </c>
      <c r="U59" s="30" t="s">
        <v>334</v>
      </c>
      <c r="V59" s="30" t="s">
        <v>334</v>
      </c>
      <c r="W59" s="30" t="s">
        <v>334</v>
      </c>
      <c r="X59" s="30" t="s">
        <v>334</v>
      </c>
      <c r="Y59" s="30" t="s">
        <v>334</v>
      </c>
      <c r="Z59" s="30" t="s">
        <v>334</v>
      </c>
      <c r="AA59" s="30" t="s">
        <v>334</v>
      </c>
      <c r="AB59" s="1" t="s">
        <v>334</v>
      </c>
      <c r="AC59" s="1" t="s">
        <v>334</v>
      </c>
      <c r="AD59" s="1" t="s">
        <v>334</v>
      </c>
    </row>
    <row r="60" spans="1:30" hidden="1">
      <c r="A60" s="3" t="s">
        <v>67</v>
      </c>
      <c r="B60" s="13">
        <v>0</v>
      </c>
      <c r="C60" s="13"/>
      <c r="D60" s="13"/>
      <c r="E60" s="13">
        <f t="shared" si="9"/>
        <v>0</v>
      </c>
      <c r="F60" s="13">
        <v>0</v>
      </c>
      <c r="G60" s="13">
        <f t="shared" si="7"/>
        <v>0</v>
      </c>
      <c r="H60" s="13">
        <v>0</v>
      </c>
      <c r="I60" s="48"/>
      <c r="J60" s="48"/>
      <c r="K60" s="20">
        <f t="shared" si="8"/>
        <v>0</v>
      </c>
      <c r="L60" s="52"/>
      <c r="M60" s="52"/>
      <c r="N60" s="14">
        <f t="shared" si="6"/>
        <v>0</v>
      </c>
      <c r="O60" s="273"/>
      <c r="Q60" s="1" t="s">
        <v>334</v>
      </c>
      <c r="R60" s="1" t="s">
        <v>334</v>
      </c>
      <c r="S60" s="1" t="s">
        <v>334</v>
      </c>
      <c r="T60" s="1" t="s">
        <v>334</v>
      </c>
      <c r="U60" s="30" t="s">
        <v>334</v>
      </c>
      <c r="V60" s="30" t="s">
        <v>334</v>
      </c>
      <c r="W60" s="30" t="s">
        <v>334</v>
      </c>
      <c r="X60" s="30" t="s">
        <v>334</v>
      </c>
      <c r="Y60" s="30" t="s">
        <v>334</v>
      </c>
      <c r="Z60" s="30" t="s">
        <v>334</v>
      </c>
      <c r="AA60" s="30" t="s">
        <v>334</v>
      </c>
      <c r="AB60" s="1" t="s">
        <v>334</v>
      </c>
      <c r="AC60" s="1" t="s">
        <v>334</v>
      </c>
      <c r="AD60" s="1" t="s">
        <v>334</v>
      </c>
    </row>
    <row r="61" spans="1:30" hidden="1">
      <c r="A61" s="3" t="s">
        <v>68</v>
      </c>
      <c r="B61" s="13">
        <v>0</v>
      </c>
      <c r="C61" s="13"/>
      <c r="D61" s="13"/>
      <c r="E61" s="13">
        <f t="shared" si="9"/>
        <v>0</v>
      </c>
      <c r="F61" s="13">
        <v>0</v>
      </c>
      <c r="G61" s="13">
        <f t="shared" si="7"/>
        <v>0</v>
      </c>
      <c r="H61" s="13">
        <v>0</v>
      </c>
      <c r="I61" s="48"/>
      <c r="J61" s="48"/>
      <c r="K61" s="20">
        <f t="shared" si="8"/>
        <v>0</v>
      </c>
      <c r="L61" s="52"/>
      <c r="M61" s="52"/>
      <c r="N61" s="14">
        <f t="shared" si="6"/>
        <v>0</v>
      </c>
      <c r="O61" s="274"/>
      <c r="Q61" s="1" t="s">
        <v>334</v>
      </c>
      <c r="R61" s="1" t="s">
        <v>334</v>
      </c>
      <c r="S61" s="1" t="s">
        <v>334</v>
      </c>
      <c r="T61" s="1" t="s">
        <v>334</v>
      </c>
      <c r="U61" s="30" t="s">
        <v>334</v>
      </c>
      <c r="V61" s="30" t="s">
        <v>334</v>
      </c>
      <c r="W61" s="30" t="s">
        <v>334</v>
      </c>
      <c r="X61" s="30" t="s">
        <v>334</v>
      </c>
      <c r="Y61" s="30" t="s">
        <v>334</v>
      </c>
      <c r="Z61" s="30" t="s">
        <v>334</v>
      </c>
      <c r="AA61" s="30" t="s">
        <v>334</v>
      </c>
      <c r="AB61" s="1" t="s">
        <v>334</v>
      </c>
      <c r="AC61" s="1" t="s">
        <v>334</v>
      </c>
      <c r="AD61" s="1" t="s">
        <v>334</v>
      </c>
    </row>
    <row r="62" spans="1:30" hidden="1">
      <c r="A62" s="3" t="s">
        <v>69</v>
      </c>
      <c r="B62" s="15">
        <f t="shared" ref="B62:H62" si="10">SUM(B50:B61)</f>
        <v>0</v>
      </c>
      <c r="C62" s="15"/>
      <c r="D62" s="15"/>
      <c r="E62" s="15">
        <f t="shared" si="10"/>
        <v>0</v>
      </c>
      <c r="F62" s="15">
        <f t="shared" si="10"/>
        <v>0</v>
      </c>
      <c r="G62" s="15">
        <f t="shared" si="10"/>
        <v>0</v>
      </c>
      <c r="H62" s="15">
        <f t="shared" si="10"/>
        <v>0</v>
      </c>
      <c r="I62" s="15"/>
      <c r="J62" s="15"/>
      <c r="K62" s="15">
        <f>SUM(K50:K61)</f>
        <v>0</v>
      </c>
      <c r="L62" s="15"/>
      <c r="M62" s="15"/>
      <c r="N62" s="15">
        <f t="shared" ref="N62" si="11">SUM(N50:N61)</f>
        <v>0</v>
      </c>
      <c r="Q62" s="1" t="s">
        <v>334</v>
      </c>
      <c r="R62" s="1" t="s">
        <v>334</v>
      </c>
      <c r="S62" s="1" t="s">
        <v>334</v>
      </c>
      <c r="T62" s="1" t="s">
        <v>334</v>
      </c>
      <c r="U62" s="30" t="s">
        <v>334</v>
      </c>
      <c r="V62" s="30" t="s">
        <v>334</v>
      </c>
      <c r="W62" s="30" t="s">
        <v>334</v>
      </c>
      <c r="X62" s="30" t="s">
        <v>334</v>
      </c>
      <c r="Y62" s="30" t="s">
        <v>334</v>
      </c>
      <c r="Z62" s="30" t="s">
        <v>334</v>
      </c>
      <c r="AA62" s="30" t="s">
        <v>334</v>
      </c>
      <c r="AB62" s="1" t="s">
        <v>334</v>
      </c>
      <c r="AC62" s="1" t="s">
        <v>334</v>
      </c>
      <c r="AD62" s="1" t="s">
        <v>334</v>
      </c>
    </row>
    <row r="63" spans="1:30" hidden="1">
      <c r="A63" s="5"/>
      <c r="B63" s="5"/>
      <c r="C63" s="5"/>
      <c r="D63" s="5"/>
      <c r="E63" s="5"/>
      <c r="F63" s="5"/>
      <c r="G63" s="5"/>
      <c r="H63" s="5"/>
      <c r="I63" s="5"/>
      <c r="J63" s="5"/>
      <c r="K63" s="6"/>
      <c r="L63" s="6"/>
      <c r="M63" s="6"/>
      <c r="N63" s="6"/>
    </row>
    <row r="64" spans="1:30" ht="15" hidden="1" thickBot="1">
      <c r="A64" s="5"/>
      <c r="B64" s="6"/>
      <c r="C64" s="6"/>
      <c r="D64" s="6"/>
      <c r="E64" s="5"/>
      <c r="F64" s="5"/>
      <c r="G64" s="211" t="s">
        <v>47</v>
      </c>
      <c r="H64" s="212"/>
      <c r="I64" s="212"/>
      <c r="J64" s="212"/>
      <c r="K64" s="213"/>
      <c r="L64" s="26"/>
      <c r="M64" s="26"/>
      <c r="N64" s="16">
        <f>K47</f>
        <v>0</v>
      </c>
    </row>
    <row r="65" spans="1:32" ht="15" hidden="1" thickBot="1">
      <c r="A65" s="5"/>
      <c r="B65" s="5"/>
      <c r="C65" s="5"/>
      <c r="D65" s="5"/>
      <c r="E65" s="5"/>
      <c r="F65" s="5"/>
      <c r="G65" s="211" t="s">
        <v>48</v>
      </c>
      <c r="H65" s="212"/>
      <c r="I65" s="212"/>
      <c r="J65" s="212"/>
      <c r="K65" s="213"/>
      <c r="L65" s="26"/>
      <c r="M65" s="26"/>
      <c r="N65" s="16">
        <f>B62+F62</f>
        <v>0</v>
      </c>
    </row>
    <row r="66" spans="1:32" ht="15" hidden="1" thickBot="1">
      <c r="A66" s="5"/>
      <c r="B66" s="5"/>
      <c r="C66" s="5"/>
      <c r="D66" s="5"/>
      <c r="E66" s="5"/>
      <c r="F66" s="5"/>
      <c r="G66" s="211" t="s">
        <v>349</v>
      </c>
      <c r="H66" s="212"/>
      <c r="I66" s="212"/>
      <c r="J66" s="212"/>
      <c r="K66" s="213"/>
      <c r="L66" s="26"/>
      <c r="M66" s="26"/>
      <c r="N66" s="16">
        <f>E62</f>
        <v>0</v>
      </c>
    </row>
    <row r="67" spans="1:32" ht="15" hidden="1" thickBot="1">
      <c r="A67" s="5"/>
      <c r="B67" s="5"/>
      <c r="C67" s="5"/>
      <c r="D67" s="5"/>
      <c r="E67" s="5"/>
      <c r="F67" s="5"/>
      <c r="G67" s="211" t="s">
        <v>49</v>
      </c>
      <c r="H67" s="212"/>
      <c r="I67" s="212"/>
      <c r="J67" s="212"/>
      <c r="K67" s="213"/>
      <c r="L67" s="26"/>
      <c r="M67" s="26"/>
      <c r="N67" s="16">
        <f>SUM(N64:N66)</f>
        <v>0</v>
      </c>
    </row>
    <row r="68" spans="1:32" ht="15" hidden="1" thickBot="1">
      <c r="A68" s="5"/>
      <c r="B68" s="5"/>
      <c r="C68" s="5"/>
      <c r="D68" s="5"/>
      <c r="E68" s="5"/>
      <c r="F68" s="5"/>
      <c r="G68" s="211" t="s">
        <v>50</v>
      </c>
      <c r="H68" s="212"/>
      <c r="I68" s="212"/>
      <c r="J68" s="212"/>
      <c r="K68" s="213"/>
      <c r="L68" s="26"/>
      <c r="M68" s="26"/>
      <c r="N68" s="16">
        <f>H62</f>
        <v>0</v>
      </c>
    </row>
    <row r="69" spans="1:32" ht="15" hidden="1" thickBot="1">
      <c r="A69" s="5"/>
      <c r="B69" s="5"/>
      <c r="C69" s="5"/>
      <c r="D69" s="5"/>
      <c r="E69" s="5"/>
      <c r="F69" s="5"/>
      <c r="G69" s="211" t="s">
        <v>51</v>
      </c>
      <c r="H69" s="212"/>
      <c r="I69" s="212"/>
      <c r="J69" s="212"/>
      <c r="K69" s="213"/>
      <c r="L69" s="26"/>
      <c r="M69" s="26"/>
      <c r="N69" s="16">
        <f>N62</f>
        <v>0</v>
      </c>
    </row>
    <row r="70" spans="1:32" ht="15" hidden="1" thickBot="1">
      <c r="A70" s="5"/>
      <c r="B70" s="5"/>
      <c r="C70" s="5"/>
      <c r="D70" s="5"/>
      <c r="E70" s="5"/>
      <c r="F70" s="5"/>
      <c r="G70" s="211" t="s">
        <v>52</v>
      </c>
      <c r="H70" s="212"/>
      <c r="I70" s="212"/>
      <c r="J70" s="212"/>
      <c r="K70" s="213"/>
      <c r="L70" s="26"/>
      <c r="M70" s="26"/>
      <c r="N70" s="16">
        <f>N67-N68+N69</f>
        <v>0</v>
      </c>
    </row>
    <row r="71" spans="1:32" hidden="1">
      <c r="A71" s="5"/>
      <c r="B71" s="5"/>
      <c r="C71" s="5"/>
      <c r="D71" s="5"/>
      <c r="E71" s="5"/>
      <c r="F71" s="5"/>
      <c r="G71" s="17"/>
      <c r="H71" s="17"/>
      <c r="I71" s="17"/>
      <c r="J71" s="17"/>
      <c r="K71" s="17"/>
      <c r="L71" s="17"/>
      <c r="M71" s="17"/>
      <c r="N71" s="6"/>
    </row>
    <row r="74" spans="1:32" ht="16.8" hidden="1">
      <c r="A74" s="249" t="s">
        <v>53</v>
      </c>
      <c r="B74" s="249"/>
      <c r="C74" s="18"/>
      <c r="D74" s="18"/>
      <c r="E74" s="249" t="s">
        <v>54</v>
      </c>
      <c r="F74" s="249"/>
      <c r="G74" s="249"/>
      <c r="H74" s="250" t="s">
        <v>55</v>
      </c>
      <c r="I74" s="250"/>
      <c r="J74" s="250"/>
      <c r="K74" s="250"/>
      <c r="L74" s="250"/>
      <c r="M74" s="250"/>
      <c r="N74" s="250"/>
    </row>
    <row r="75" spans="1:32" ht="16.8" hidden="1">
      <c r="A75" s="18"/>
      <c r="B75" s="18"/>
      <c r="C75" s="18"/>
      <c r="D75" s="18"/>
      <c r="E75" s="18"/>
      <c r="F75" s="18"/>
      <c r="G75" s="18"/>
      <c r="H75" s="19"/>
      <c r="I75" s="19"/>
      <c r="J75" s="19"/>
      <c r="K75" s="19"/>
      <c r="L75" s="19"/>
      <c r="M75" s="19"/>
      <c r="N75" s="19"/>
    </row>
    <row r="76" spans="1:32" ht="16.8" hidden="1">
      <c r="A76" s="18"/>
      <c r="B76" s="18"/>
      <c r="C76" s="18"/>
      <c r="D76" s="18"/>
      <c r="E76" s="18"/>
      <c r="F76" s="18"/>
      <c r="G76" s="18"/>
      <c r="H76" s="19"/>
      <c r="I76" s="19"/>
      <c r="J76" s="19"/>
      <c r="K76" s="19"/>
      <c r="L76" s="19"/>
      <c r="M76" s="19"/>
      <c r="N76" s="19"/>
    </row>
    <row r="77" spans="1:32" ht="18.75" customHeight="1">
      <c r="A77" s="224" t="s">
        <v>0</v>
      </c>
      <c r="B77" s="224"/>
      <c r="C77" s="224"/>
      <c r="D77" s="224"/>
      <c r="E77" s="224"/>
      <c r="F77" s="224"/>
      <c r="G77" s="224"/>
      <c r="H77" s="224"/>
      <c r="I77" s="224"/>
      <c r="J77" s="224"/>
      <c r="K77" s="224"/>
      <c r="L77" s="224"/>
      <c r="M77" s="224"/>
      <c r="N77" s="224"/>
      <c r="O77" s="224"/>
      <c r="V77" s="309" t="s">
        <v>382</v>
      </c>
      <c r="W77" s="309"/>
      <c r="AA77" s="309" t="s">
        <v>360</v>
      </c>
      <c r="AB77" s="309"/>
      <c r="AD77" s="309" t="s">
        <v>361</v>
      </c>
      <c r="AE77" s="309"/>
    </row>
    <row r="78" spans="1:32" ht="18.600000000000001">
      <c r="A78" s="224" t="s">
        <v>1</v>
      </c>
      <c r="B78" s="224"/>
      <c r="C78" s="224"/>
      <c r="D78" s="224"/>
      <c r="E78" s="224"/>
      <c r="F78" s="224"/>
      <c r="G78" s="224"/>
      <c r="H78" s="224"/>
      <c r="I78" s="224"/>
      <c r="J78" s="224"/>
      <c r="K78" s="224"/>
      <c r="L78" s="224"/>
      <c r="M78" s="224"/>
      <c r="N78" s="224"/>
      <c r="O78" s="224"/>
      <c r="V78" s="309"/>
      <c r="W78" s="309"/>
      <c r="AA78" s="309"/>
      <c r="AB78" s="309"/>
      <c r="AD78" s="309"/>
      <c r="AE78" s="309"/>
    </row>
    <row r="79" spans="1:32">
      <c r="V79" s="309">
        <v>195668</v>
      </c>
      <c r="W79" s="309"/>
      <c r="Z79" s="30" t="s">
        <v>70</v>
      </c>
      <c r="AA79" s="312">
        <f>AA91+AA92+AA93+AA94+AA95+AA96+AA97+AA98+AA99+AA100</f>
        <v>-14513</v>
      </c>
      <c r="AB79" s="312"/>
      <c r="AC79" s="32"/>
      <c r="AD79" s="312">
        <v>0</v>
      </c>
      <c r="AE79" s="312"/>
      <c r="AF79" s="32">
        <f t="shared" ref="AF79:AF84" si="12">AA79+AD79</f>
        <v>-14513</v>
      </c>
    </row>
    <row r="80" spans="1:32" ht="15" thickBot="1">
      <c r="A80" s="225" t="s">
        <v>70</v>
      </c>
      <c r="B80" s="225"/>
      <c r="C80" s="225"/>
      <c r="D80" s="225"/>
      <c r="E80" s="225"/>
      <c r="F80" s="225"/>
      <c r="G80" s="225"/>
      <c r="H80" s="225"/>
      <c r="I80" s="225"/>
      <c r="J80" s="225"/>
      <c r="K80" s="225"/>
      <c r="L80" s="225"/>
      <c r="M80" s="225"/>
      <c r="N80" s="225"/>
      <c r="Z80" s="30" t="s">
        <v>85</v>
      </c>
      <c r="AA80" s="312">
        <f>AA132+AA133+AA134+AA135+AA136+AA137+AA138+AA139+AA140+AA141+AA142+AA143</f>
        <v>-19311</v>
      </c>
      <c r="AB80" s="312"/>
      <c r="AC80" s="32"/>
      <c r="AD80" s="312">
        <v>0</v>
      </c>
      <c r="AE80" s="312"/>
      <c r="AF80" s="32">
        <f t="shared" si="12"/>
        <v>-19311</v>
      </c>
    </row>
    <row r="81" spans="1:38" ht="36" customHeight="1" thickBot="1">
      <c r="A81" s="55" t="s">
        <v>3</v>
      </c>
      <c r="B81" s="53">
        <f>B43</f>
        <v>9255</v>
      </c>
      <c r="C81" s="5"/>
      <c r="D81" s="5"/>
      <c r="E81" s="211" t="s">
        <v>4</v>
      </c>
      <c r="F81" s="213"/>
      <c r="G81" s="5"/>
      <c r="H81" s="211" t="str">
        <f>F43</f>
        <v>Mahajan Ganesh Trambak</v>
      </c>
      <c r="I81" s="212"/>
      <c r="J81" s="212"/>
      <c r="K81" s="212"/>
      <c r="L81" s="212"/>
      <c r="M81" s="212"/>
      <c r="N81" s="212"/>
      <c r="O81" s="213"/>
      <c r="V81" s="309" t="s">
        <v>383</v>
      </c>
      <c r="W81" s="309"/>
      <c r="Z81" s="30" t="s">
        <v>362</v>
      </c>
      <c r="AA81" s="312">
        <f>AA175+AA176+AA177+AA178+AA179+AA180+AA181+AA182+AA183+AA184+AA185</f>
        <v>-8651</v>
      </c>
      <c r="AB81" s="312"/>
      <c r="AC81" s="32"/>
      <c r="AD81" s="312">
        <f>AA186</f>
        <v>180</v>
      </c>
      <c r="AE81" s="312"/>
      <c r="AF81" s="32">
        <f t="shared" si="12"/>
        <v>-8471</v>
      </c>
    </row>
    <row r="82" spans="1:38" ht="15" thickBot="1">
      <c r="A82" s="5"/>
      <c r="E82" s="5"/>
      <c r="F82" s="5"/>
      <c r="G82" s="5"/>
      <c r="H82" s="5"/>
      <c r="I82" s="5"/>
      <c r="J82" s="5"/>
      <c r="K82" s="6"/>
      <c r="L82" s="6"/>
      <c r="M82" s="6"/>
      <c r="N82" s="5"/>
      <c r="V82" s="308">
        <f>L329</f>
        <v>314506</v>
      </c>
      <c r="W82" s="309"/>
      <c r="Z82" s="30" t="s">
        <v>363</v>
      </c>
      <c r="AA82" s="312" t="e">
        <f>#REF!</f>
        <v>#REF!</v>
      </c>
      <c r="AB82" s="312"/>
      <c r="AC82" s="32"/>
      <c r="AD82" s="312">
        <f>AA218+AA219+AA220+AA221+AA222+AA223+AA224+AA224+AA226+AA227+AA228+AA229</f>
        <v>651</v>
      </c>
      <c r="AE82" s="312"/>
      <c r="AF82" s="32" t="e">
        <f t="shared" si="12"/>
        <v>#REF!</v>
      </c>
    </row>
    <row r="83" spans="1:38" ht="36" customHeight="1" thickBot="1">
      <c r="A83" s="55" t="s">
        <v>6</v>
      </c>
      <c r="B83" s="55" t="str">
        <f>B45</f>
        <v>06.06.2007</v>
      </c>
      <c r="C83" s="5"/>
      <c r="D83" s="5"/>
      <c r="E83" s="55" t="s">
        <v>7</v>
      </c>
      <c r="F83" s="55">
        <v>2301</v>
      </c>
      <c r="G83" s="5"/>
      <c r="H83" s="55" t="s">
        <v>8</v>
      </c>
      <c r="I83" s="211" t="str">
        <f>K45</f>
        <v>Asst. Jr. Engineer</v>
      </c>
      <c r="J83" s="212"/>
      <c r="K83" s="212"/>
      <c r="L83" s="212"/>
      <c r="M83" s="212"/>
      <c r="N83" s="212"/>
      <c r="O83" s="213"/>
      <c r="Z83" s="30" t="s">
        <v>128</v>
      </c>
      <c r="AA83" s="312" t="e">
        <f>AA262+AA263+AA264+AA265+#REF!+AA266+AA267+#REF!+#REF!</f>
        <v>#REF!</v>
      </c>
      <c r="AB83" s="312"/>
      <c r="AC83" s="32"/>
      <c r="AD83" s="312" t="e">
        <f>AA261+#REF!+AA268+AA269+AA270+AA271+AA272</f>
        <v>#REF!</v>
      </c>
      <c r="AE83" s="312"/>
      <c r="AF83" s="32" t="e">
        <f t="shared" si="12"/>
        <v>#REF!</v>
      </c>
    </row>
    <row r="84" spans="1:38" ht="30.75" customHeight="1" thickBot="1">
      <c r="A84" s="5"/>
      <c r="B84" s="5"/>
      <c r="C84" s="5"/>
      <c r="D84" s="5"/>
      <c r="E84" s="5"/>
      <c r="F84" s="5"/>
      <c r="G84" s="5"/>
      <c r="H84" s="5"/>
      <c r="I84" s="5"/>
      <c r="J84" s="5"/>
      <c r="K84" s="6"/>
      <c r="L84" s="6"/>
      <c r="M84" s="6"/>
      <c r="N84" s="5"/>
      <c r="V84" s="309" t="s">
        <v>384</v>
      </c>
      <c r="W84" s="309"/>
      <c r="Z84" s="30" t="s">
        <v>143</v>
      </c>
      <c r="AA84" s="312">
        <f>AA308+AA309+AA310+AA311</f>
        <v>-4</v>
      </c>
      <c r="AB84" s="312"/>
      <c r="AC84" s="32"/>
      <c r="AD84" s="312">
        <f>AA305++AA306+AA307+AA312+AA313+AA314</f>
        <v>2532</v>
      </c>
      <c r="AE84" s="312"/>
      <c r="AF84" s="32">
        <f t="shared" si="12"/>
        <v>2528</v>
      </c>
    </row>
    <row r="85" spans="1:38" ht="24" customHeight="1" thickBot="1">
      <c r="A85" s="55" t="s">
        <v>10</v>
      </c>
      <c r="B85" s="58">
        <v>0.08</v>
      </c>
      <c r="C85" s="5"/>
      <c r="D85" s="5"/>
      <c r="E85" s="55" t="s">
        <v>11</v>
      </c>
      <c r="F85" s="58">
        <v>0</v>
      </c>
      <c r="G85" s="5"/>
      <c r="H85" s="239" t="s">
        <v>12</v>
      </c>
      <c r="I85" s="240"/>
      <c r="J85" s="241"/>
      <c r="K85" s="242">
        <f>N70</f>
        <v>0</v>
      </c>
      <c r="L85" s="243"/>
      <c r="M85" s="243"/>
      <c r="N85" s="243"/>
      <c r="O85" s="244"/>
      <c r="V85" s="308">
        <f>V79-V82</f>
        <v>-118838</v>
      </c>
      <c r="W85" s="309"/>
      <c r="Z85" s="30" t="s">
        <v>24</v>
      </c>
      <c r="AA85" s="313" t="e">
        <f>SUM(AA79:AB84)</f>
        <v>#REF!</v>
      </c>
      <c r="AB85" s="313"/>
      <c r="AC85" s="61"/>
      <c r="AD85" s="313" t="e">
        <f>SUM(AD79:AE84)</f>
        <v>#REF!</v>
      </c>
      <c r="AE85" s="313"/>
      <c r="AF85" s="61" t="e">
        <f>AA85+AD85</f>
        <v>#REF!</v>
      </c>
      <c r="AH85" s="1">
        <f>AA101+AA144+AA187+AA230+AA273+AA317</f>
        <v>-43863</v>
      </c>
      <c r="AJ85" s="21" t="e">
        <f>AF85-AH85</f>
        <v>#REF!</v>
      </c>
      <c r="AL85" s="21">
        <f>V85-AH85</f>
        <v>-74975</v>
      </c>
    </row>
    <row r="86" spans="1:38" ht="15" thickBot="1">
      <c r="A86" s="5"/>
      <c r="B86" s="5"/>
      <c r="C86" s="5"/>
      <c r="D86" s="5"/>
      <c r="E86" s="5"/>
      <c r="F86" s="5"/>
      <c r="G86" s="5"/>
      <c r="H86" s="5"/>
      <c r="I86" s="5"/>
      <c r="J86" s="5"/>
      <c r="K86" s="6"/>
      <c r="L86" s="6"/>
      <c r="M86" s="6"/>
      <c r="N86" s="5"/>
    </row>
    <row r="87" spans="1:38" ht="39.9" customHeight="1" thickBot="1">
      <c r="A87" s="235" t="s">
        <v>13</v>
      </c>
      <c r="B87" s="256" t="s">
        <v>14</v>
      </c>
      <c r="C87" s="257"/>
      <c r="D87" s="256" t="s">
        <v>349</v>
      </c>
      <c r="E87" s="257"/>
      <c r="F87" s="235" t="s">
        <v>342</v>
      </c>
      <c r="G87" s="235" t="s">
        <v>16</v>
      </c>
      <c r="H87" s="235" t="s">
        <v>17</v>
      </c>
      <c r="I87" s="235" t="s">
        <v>341</v>
      </c>
      <c r="J87" s="235" t="s">
        <v>354</v>
      </c>
      <c r="K87" s="254" t="s">
        <v>353</v>
      </c>
      <c r="L87" s="254" t="s">
        <v>340</v>
      </c>
      <c r="M87" s="254" t="s">
        <v>355</v>
      </c>
      <c r="N87" s="254" t="s">
        <v>343</v>
      </c>
      <c r="O87" s="247" t="s">
        <v>20</v>
      </c>
      <c r="Q87" s="12" t="s">
        <v>27</v>
      </c>
      <c r="R87" s="12" t="s">
        <v>28</v>
      </c>
      <c r="S87" s="12" t="s">
        <v>29</v>
      </c>
      <c r="T87" s="12" t="s">
        <v>30</v>
      </c>
      <c r="U87" s="12" t="s">
        <v>21</v>
      </c>
      <c r="V87" s="12" t="s">
        <v>22</v>
      </c>
      <c r="W87" s="12" t="s">
        <v>23</v>
      </c>
      <c r="X87" s="12" t="s">
        <v>24</v>
      </c>
      <c r="Y87" s="12" t="s">
        <v>356</v>
      </c>
      <c r="Z87" s="12" t="s">
        <v>336</v>
      </c>
      <c r="AA87" s="12" t="s">
        <v>26</v>
      </c>
      <c r="AB87" s="12" t="s">
        <v>31</v>
      </c>
      <c r="AC87" s="12" t="s">
        <v>32</v>
      </c>
      <c r="AD87" s="12" t="s">
        <v>333</v>
      </c>
      <c r="AF87" s="64">
        <v>39173</v>
      </c>
      <c r="AG87" s="64">
        <v>39203</v>
      </c>
      <c r="AH87" s="64">
        <v>39234</v>
      </c>
    </row>
    <row r="88" spans="1:38" ht="39.9" customHeight="1" thickBot="1">
      <c r="A88" s="236"/>
      <c r="B88" s="55" t="s">
        <v>350</v>
      </c>
      <c r="C88" s="55" t="s">
        <v>351</v>
      </c>
      <c r="D88" s="55" t="s">
        <v>350</v>
      </c>
      <c r="E88" s="55" t="s">
        <v>351</v>
      </c>
      <c r="F88" s="236"/>
      <c r="G88" s="236"/>
      <c r="H88" s="236"/>
      <c r="I88" s="236"/>
      <c r="J88" s="236"/>
      <c r="K88" s="255"/>
      <c r="L88" s="255"/>
      <c r="M88" s="255"/>
      <c r="N88" s="255"/>
      <c r="O88" s="248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F88" s="1">
        <v>26</v>
      </c>
      <c r="AG88" s="1">
        <v>27</v>
      </c>
      <c r="AH88" s="1">
        <v>25</v>
      </c>
    </row>
    <row r="89" spans="1:38" ht="18" customHeight="1">
      <c r="A89" s="51" t="s">
        <v>71</v>
      </c>
      <c r="B89" s="48">
        <v>0</v>
      </c>
      <c r="C89" s="48">
        <v>0</v>
      </c>
      <c r="D89" s="48">
        <f>B89</f>
        <v>0</v>
      </c>
      <c r="E89" s="48">
        <f>C89</f>
        <v>0</v>
      </c>
      <c r="F89" s="48">
        <v>0</v>
      </c>
      <c r="G89" s="48">
        <f>(B89+C89+F89)+(D89+E89)</f>
        <v>0</v>
      </c>
      <c r="H89" s="48">
        <v>0</v>
      </c>
      <c r="I89" s="48">
        <f>(K85+B89+C89+F89)-H89</f>
        <v>0</v>
      </c>
      <c r="J89" s="48">
        <f>(D89+E89)</f>
        <v>0</v>
      </c>
      <c r="K89" s="48">
        <f>(K85+G89)-H89</f>
        <v>0</v>
      </c>
      <c r="L89" s="48">
        <f>ROUND((I89*8/100)/12,0)</f>
        <v>0</v>
      </c>
      <c r="M89" s="48">
        <f>ROUND((J89*8/100)/12,0)</f>
        <v>0</v>
      </c>
      <c r="N89" s="48">
        <f>L89+M89</f>
        <v>0</v>
      </c>
      <c r="O89" s="252" t="s">
        <v>34</v>
      </c>
      <c r="T89" s="22"/>
      <c r="X89" s="30">
        <f>U89+V89+W89</f>
        <v>0</v>
      </c>
      <c r="Y89" s="30">
        <f>ROUND(X89*10%,0)</f>
        <v>0</v>
      </c>
      <c r="Z89" s="30">
        <v>0</v>
      </c>
      <c r="AA89" s="32">
        <f>Z89-Y89</f>
        <v>0</v>
      </c>
      <c r="AB89" s="22">
        <v>39173</v>
      </c>
      <c r="AC89" s="22">
        <v>39202</v>
      </c>
      <c r="AF89" s="1">
        <v>90</v>
      </c>
      <c r="AG89" s="1">
        <v>90</v>
      </c>
      <c r="AH89" s="1">
        <v>90</v>
      </c>
    </row>
    <row r="90" spans="1:38" ht="18" customHeight="1">
      <c r="A90" s="42" t="s">
        <v>72</v>
      </c>
      <c r="B90" s="20">
        <v>0</v>
      </c>
      <c r="C90" s="20">
        <v>0</v>
      </c>
      <c r="D90" s="20">
        <f t="shared" ref="D90:D100" si="13">B90</f>
        <v>0</v>
      </c>
      <c r="E90" s="20">
        <f t="shared" ref="E90:E100" si="14">C90</f>
        <v>0</v>
      </c>
      <c r="F90" s="20">
        <v>0</v>
      </c>
      <c r="G90" s="20">
        <f t="shared" ref="G90:G100" si="15">(B90+C90+F90)+(D90+E90)</f>
        <v>0</v>
      </c>
      <c r="H90" s="20">
        <v>0</v>
      </c>
      <c r="I90" s="20">
        <f>(I89+B90+C90+F90)-H90</f>
        <v>0</v>
      </c>
      <c r="J90" s="20">
        <f>(J89+D90+E90)</f>
        <v>0</v>
      </c>
      <c r="K90" s="20">
        <f t="shared" ref="K90:K100" si="16">(K89+G90)-H90</f>
        <v>0</v>
      </c>
      <c r="L90" s="20">
        <f t="shared" ref="L90:M100" si="17">ROUND((I90*8/100)/12,0)</f>
        <v>0</v>
      </c>
      <c r="M90" s="20">
        <f t="shared" si="17"/>
        <v>0</v>
      </c>
      <c r="N90" s="20">
        <f t="shared" ref="N90:N100" si="18">L90+M90</f>
        <v>0</v>
      </c>
      <c r="O90" s="210"/>
      <c r="T90" s="22"/>
      <c r="X90" s="30">
        <f>U90+V90+W90</f>
        <v>0</v>
      </c>
      <c r="Y90" s="30">
        <f>ROUND(X90*10%,0)</f>
        <v>0</v>
      </c>
      <c r="Z90" s="30">
        <v>0</v>
      </c>
      <c r="AA90" s="32">
        <f>Z90-Y90</f>
        <v>0</v>
      </c>
      <c r="AB90" s="22">
        <v>39203</v>
      </c>
      <c r="AC90" s="22">
        <v>39233</v>
      </c>
      <c r="AF90" s="1">
        <f>AF88*AF89</f>
        <v>2340</v>
      </c>
      <c r="AG90" s="1">
        <f>AG88*AG89</f>
        <v>2430</v>
      </c>
      <c r="AH90" s="1">
        <f>AH88*AH89</f>
        <v>2250</v>
      </c>
      <c r="AI90" s="1">
        <f>AF90+AG90+AH90</f>
        <v>7020</v>
      </c>
    </row>
    <row r="91" spans="1:38" ht="18" customHeight="1">
      <c r="A91" s="42" t="s">
        <v>73</v>
      </c>
      <c r="B91" s="20">
        <v>0</v>
      </c>
      <c r="C91" s="20">
        <f t="shared" ref="C91:C100" si="19">Y91</f>
        <v>1145</v>
      </c>
      <c r="D91" s="20">
        <f t="shared" si="13"/>
        <v>0</v>
      </c>
      <c r="E91" s="20">
        <f t="shared" si="14"/>
        <v>1145</v>
      </c>
      <c r="F91" s="20">
        <v>0</v>
      </c>
      <c r="G91" s="20">
        <f t="shared" si="15"/>
        <v>2290</v>
      </c>
      <c r="H91" s="20">
        <v>0</v>
      </c>
      <c r="I91" s="20">
        <f t="shared" ref="I91:I100" si="20">(I90+B91+C91+F91)-H91</f>
        <v>1145</v>
      </c>
      <c r="J91" s="20">
        <f t="shared" ref="J91:J100" si="21">(J90+D91+E91)</f>
        <v>1145</v>
      </c>
      <c r="K91" s="20">
        <f t="shared" si="16"/>
        <v>2290</v>
      </c>
      <c r="L91" s="20">
        <f t="shared" si="17"/>
        <v>8</v>
      </c>
      <c r="M91" s="20">
        <f t="shared" si="17"/>
        <v>8</v>
      </c>
      <c r="N91" s="20">
        <f t="shared" si="18"/>
        <v>16</v>
      </c>
      <c r="O91" s="210"/>
      <c r="Q91" s="65"/>
      <c r="R91" s="65"/>
      <c r="S91" s="65"/>
      <c r="T91" s="66"/>
      <c r="U91" s="67">
        <v>7440</v>
      </c>
      <c r="V91" s="67">
        <v>3360</v>
      </c>
      <c r="W91" s="67">
        <v>648</v>
      </c>
      <c r="X91" s="67">
        <f>U91+V91+W91</f>
        <v>11448</v>
      </c>
      <c r="Y91" s="67">
        <f>ROUND(X91*10%,0)</f>
        <v>1145</v>
      </c>
      <c r="Z91" s="67">
        <v>0</v>
      </c>
      <c r="AA91" s="68">
        <f>Z91-Y91</f>
        <v>-1145</v>
      </c>
      <c r="AB91" s="66">
        <v>39239</v>
      </c>
      <c r="AC91" s="66">
        <v>39263</v>
      </c>
      <c r="AD91" s="65" t="s">
        <v>74</v>
      </c>
    </row>
    <row r="92" spans="1:38" ht="18" customHeight="1">
      <c r="A92" s="42" t="s">
        <v>75</v>
      </c>
      <c r="B92" s="20">
        <v>0</v>
      </c>
      <c r="C92" s="20">
        <f t="shared" si="19"/>
        <v>1472</v>
      </c>
      <c r="D92" s="20">
        <f t="shared" si="13"/>
        <v>0</v>
      </c>
      <c r="E92" s="20">
        <f t="shared" si="14"/>
        <v>1472</v>
      </c>
      <c r="F92" s="20">
        <v>0</v>
      </c>
      <c r="G92" s="20">
        <f t="shared" si="15"/>
        <v>2944</v>
      </c>
      <c r="H92" s="20">
        <v>0</v>
      </c>
      <c r="I92" s="20">
        <f t="shared" si="20"/>
        <v>2617</v>
      </c>
      <c r="J92" s="20">
        <f t="shared" si="21"/>
        <v>2617</v>
      </c>
      <c r="K92" s="20">
        <f t="shared" si="16"/>
        <v>5234</v>
      </c>
      <c r="L92" s="20">
        <f t="shared" si="17"/>
        <v>17</v>
      </c>
      <c r="M92" s="20">
        <f t="shared" si="17"/>
        <v>17</v>
      </c>
      <c r="N92" s="20">
        <f t="shared" si="18"/>
        <v>34</v>
      </c>
      <c r="O92" s="210"/>
      <c r="Q92" s="65"/>
      <c r="R92" s="65"/>
      <c r="S92" s="65"/>
      <c r="T92" s="66"/>
      <c r="U92" s="67">
        <v>9300</v>
      </c>
      <c r="V92" s="67">
        <v>4200</v>
      </c>
      <c r="W92" s="67">
        <v>1215</v>
      </c>
      <c r="X92" s="67">
        <f>U92+V92+W92</f>
        <v>14715</v>
      </c>
      <c r="Y92" s="67">
        <f>ROUND(X92*10%,0)</f>
        <v>1472</v>
      </c>
      <c r="Z92" s="67">
        <v>0</v>
      </c>
      <c r="AA92" s="68">
        <f t="shared" ref="AA92:AA100" si="22">Z92-Y92</f>
        <v>-1472</v>
      </c>
      <c r="AB92" s="66">
        <v>39264</v>
      </c>
      <c r="AC92" s="66">
        <v>39294</v>
      </c>
      <c r="AD92" s="65" t="s">
        <v>74</v>
      </c>
    </row>
    <row r="93" spans="1:38" ht="18" customHeight="1">
      <c r="A93" s="42" t="s">
        <v>76</v>
      </c>
      <c r="B93" s="20">
        <v>0</v>
      </c>
      <c r="C93" s="20">
        <f t="shared" si="19"/>
        <v>1472</v>
      </c>
      <c r="D93" s="20">
        <f t="shared" si="13"/>
        <v>0</v>
      </c>
      <c r="E93" s="20">
        <f t="shared" si="14"/>
        <v>1472</v>
      </c>
      <c r="F93" s="20">
        <v>0</v>
      </c>
      <c r="G93" s="20">
        <f t="shared" si="15"/>
        <v>2944</v>
      </c>
      <c r="H93" s="20">
        <v>0</v>
      </c>
      <c r="I93" s="20">
        <f t="shared" si="20"/>
        <v>4089</v>
      </c>
      <c r="J93" s="20">
        <f t="shared" si="21"/>
        <v>4089</v>
      </c>
      <c r="K93" s="20">
        <f t="shared" si="16"/>
        <v>8178</v>
      </c>
      <c r="L93" s="20">
        <f t="shared" si="17"/>
        <v>27</v>
      </c>
      <c r="M93" s="20">
        <f t="shared" si="17"/>
        <v>27</v>
      </c>
      <c r="N93" s="20">
        <f t="shared" si="18"/>
        <v>54</v>
      </c>
      <c r="O93" s="210"/>
      <c r="Q93" s="65"/>
      <c r="R93" s="65"/>
      <c r="S93" s="65"/>
      <c r="T93" s="66"/>
      <c r="U93" s="67">
        <v>9300</v>
      </c>
      <c r="V93" s="67">
        <v>4200</v>
      </c>
      <c r="W93" s="67">
        <v>1215</v>
      </c>
      <c r="X93" s="67">
        <f t="shared" ref="X93:X100" si="23">U93+V93+W93</f>
        <v>14715</v>
      </c>
      <c r="Y93" s="67">
        <f t="shared" ref="Y93:Y100" si="24">ROUND(X93*10%,0)</f>
        <v>1472</v>
      </c>
      <c r="Z93" s="67">
        <v>0</v>
      </c>
      <c r="AA93" s="68">
        <f t="shared" si="22"/>
        <v>-1472</v>
      </c>
      <c r="AB93" s="66">
        <v>39295</v>
      </c>
      <c r="AC93" s="66">
        <v>39325</v>
      </c>
      <c r="AD93" s="65" t="s">
        <v>74</v>
      </c>
    </row>
    <row r="94" spans="1:38" ht="18" customHeight="1">
      <c r="A94" s="42" t="s">
        <v>77</v>
      </c>
      <c r="B94" s="20">
        <v>0</v>
      </c>
      <c r="C94" s="20">
        <f t="shared" si="19"/>
        <v>1472</v>
      </c>
      <c r="D94" s="20">
        <f t="shared" si="13"/>
        <v>0</v>
      </c>
      <c r="E94" s="20">
        <f t="shared" si="14"/>
        <v>1472</v>
      </c>
      <c r="F94" s="20">
        <v>0</v>
      </c>
      <c r="G94" s="20">
        <f t="shared" si="15"/>
        <v>2944</v>
      </c>
      <c r="H94" s="20">
        <v>0</v>
      </c>
      <c r="I94" s="20">
        <f t="shared" si="20"/>
        <v>5561</v>
      </c>
      <c r="J94" s="20">
        <f t="shared" si="21"/>
        <v>5561</v>
      </c>
      <c r="K94" s="20">
        <f t="shared" si="16"/>
        <v>11122</v>
      </c>
      <c r="L94" s="20">
        <f t="shared" si="17"/>
        <v>37</v>
      </c>
      <c r="M94" s="20">
        <f t="shared" si="17"/>
        <v>37</v>
      </c>
      <c r="N94" s="20">
        <f t="shared" si="18"/>
        <v>74</v>
      </c>
      <c r="O94" s="210"/>
      <c r="Q94" s="65"/>
      <c r="R94" s="65"/>
      <c r="S94" s="65"/>
      <c r="T94" s="66"/>
      <c r="U94" s="67">
        <v>9300</v>
      </c>
      <c r="V94" s="67">
        <v>4200</v>
      </c>
      <c r="W94" s="67">
        <v>1215</v>
      </c>
      <c r="X94" s="67">
        <f t="shared" si="23"/>
        <v>14715</v>
      </c>
      <c r="Y94" s="67">
        <f t="shared" si="24"/>
        <v>1472</v>
      </c>
      <c r="Z94" s="67">
        <v>0</v>
      </c>
      <c r="AA94" s="68">
        <f t="shared" si="22"/>
        <v>-1472</v>
      </c>
      <c r="AB94" s="66">
        <v>39326</v>
      </c>
      <c r="AC94" s="66">
        <v>39355</v>
      </c>
      <c r="AD94" s="65" t="s">
        <v>74</v>
      </c>
    </row>
    <row r="95" spans="1:38" ht="18" customHeight="1">
      <c r="A95" s="42" t="s">
        <v>78</v>
      </c>
      <c r="B95" s="20">
        <v>0</v>
      </c>
      <c r="C95" s="20">
        <f t="shared" si="19"/>
        <v>1472</v>
      </c>
      <c r="D95" s="20">
        <f t="shared" si="13"/>
        <v>0</v>
      </c>
      <c r="E95" s="20">
        <f t="shared" si="14"/>
        <v>1472</v>
      </c>
      <c r="F95" s="20">
        <v>0</v>
      </c>
      <c r="G95" s="20">
        <f t="shared" si="15"/>
        <v>2944</v>
      </c>
      <c r="H95" s="20">
        <v>0</v>
      </c>
      <c r="I95" s="20">
        <f t="shared" si="20"/>
        <v>7033</v>
      </c>
      <c r="J95" s="20">
        <f t="shared" si="21"/>
        <v>7033</v>
      </c>
      <c r="K95" s="20">
        <f t="shared" si="16"/>
        <v>14066</v>
      </c>
      <c r="L95" s="20">
        <f t="shared" si="17"/>
        <v>47</v>
      </c>
      <c r="M95" s="20">
        <f t="shared" si="17"/>
        <v>47</v>
      </c>
      <c r="N95" s="20">
        <f t="shared" si="18"/>
        <v>94</v>
      </c>
      <c r="O95" s="210"/>
      <c r="Q95" s="65"/>
      <c r="R95" s="65"/>
      <c r="S95" s="65"/>
      <c r="T95" s="66"/>
      <c r="U95" s="67">
        <v>9300</v>
      </c>
      <c r="V95" s="67">
        <v>4200</v>
      </c>
      <c r="W95" s="67">
        <v>1215</v>
      </c>
      <c r="X95" s="67">
        <f t="shared" si="23"/>
        <v>14715</v>
      </c>
      <c r="Y95" s="67">
        <f t="shared" si="24"/>
        <v>1472</v>
      </c>
      <c r="Z95" s="67">
        <v>0</v>
      </c>
      <c r="AA95" s="68">
        <f t="shared" si="22"/>
        <v>-1472</v>
      </c>
      <c r="AB95" s="66">
        <v>39356</v>
      </c>
      <c r="AC95" s="66">
        <v>39386</v>
      </c>
      <c r="AD95" s="65" t="s">
        <v>74</v>
      </c>
    </row>
    <row r="96" spans="1:38" ht="18" customHeight="1">
      <c r="A96" s="42" t="s">
        <v>79</v>
      </c>
      <c r="B96" s="20">
        <v>0</v>
      </c>
      <c r="C96" s="20">
        <f t="shared" si="19"/>
        <v>1472</v>
      </c>
      <c r="D96" s="20">
        <f t="shared" si="13"/>
        <v>0</v>
      </c>
      <c r="E96" s="20">
        <f t="shared" si="14"/>
        <v>1472</v>
      </c>
      <c r="F96" s="20">
        <v>0</v>
      </c>
      <c r="G96" s="20">
        <f t="shared" si="15"/>
        <v>2944</v>
      </c>
      <c r="H96" s="20">
        <v>0</v>
      </c>
      <c r="I96" s="20">
        <f t="shared" si="20"/>
        <v>8505</v>
      </c>
      <c r="J96" s="20">
        <f t="shared" si="21"/>
        <v>8505</v>
      </c>
      <c r="K96" s="20">
        <f t="shared" si="16"/>
        <v>17010</v>
      </c>
      <c r="L96" s="20">
        <f t="shared" si="17"/>
        <v>57</v>
      </c>
      <c r="M96" s="20">
        <f t="shared" si="17"/>
        <v>57</v>
      </c>
      <c r="N96" s="20">
        <f t="shared" si="18"/>
        <v>114</v>
      </c>
      <c r="O96" s="210"/>
      <c r="Q96" s="65"/>
      <c r="R96" s="65"/>
      <c r="S96" s="65"/>
      <c r="T96" s="66"/>
      <c r="U96" s="67">
        <v>9300</v>
      </c>
      <c r="V96" s="67">
        <v>4200</v>
      </c>
      <c r="W96" s="67">
        <v>1215</v>
      </c>
      <c r="X96" s="67">
        <f t="shared" si="23"/>
        <v>14715</v>
      </c>
      <c r="Y96" s="67">
        <f t="shared" si="24"/>
        <v>1472</v>
      </c>
      <c r="Z96" s="67">
        <v>0</v>
      </c>
      <c r="AA96" s="68">
        <f t="shared" si="22"/>
        <v>-1472</v>
      </c>
      <c r="AB96" s="66">
        <v>39387</v>
      </c>
      <c r="AC96" s="66">
        <v>39416</v>
      </c>
      <c r="AD96" s="65" t="s">
        <v>74</v>
      </c>
    </row>
    <row r="97" spans="1:30" ht="18" customHeight="1">
      <c r="A97" s="42" t="s">
        <v>80</v>
      </c>
      <c r="B97" s="20">
        <v>0</v>
      </c>
      <c r="C97" s="20">
        <f t="shared" si="19"/>
        <v>1472</v>
      </c>
      <c r="D97" s="20">
        <f t="shared" si="13"/>
        <v>0</v>
      </c>
      <c r="E97" s="20">
        <f t="shared" si="14"/>
        <v>1472</v>
      </c>
      <c r="F97" s="20">
        <v>0</v>
      </c>
      <c r="G97" s="20">
        <f t="shared" si="15"/>
        <v>2944</v>
      </c>
      <c r="H97" s="20">
        <v>0</v>
      </c>
      <c r="I97" s="20">
        <f t="shared" si="20"/>
        <v>9977</v>
      </c>
      <c r="J97" s="20">
        <f t="shared" si="21"/>
        <v>9977</v>
      </c>
      <c r="K97" s="20">
        <f t="shared" si="16"/>
        <v>19954</v>
      </c>
      <c r="L97" s="20">
        <f t="shared" si="17"/>
        <v>67</v>
      </c>
      <c r="M97" s="20">
        <f t="shared" si="17"/>
        <v>67</v>
      </c>
      <c r="N97" s="20">
        <f t="shared" si="18"/>
        <v>134</v>
      </c>
      <c r="O97" s="210"/>
      <c r="Q97" s="65"/>
      <c r="R97" s="65"/>
      <c r="S97" s="65"/>
      <c r="T97" s="66"/>
      <c r="U97" s="67">
        <v>9300</v>
      </c>
      <c r="V97" s="67">
        <v>4200</v>
      </c>
      <c r="W97" s="67">
        <v>1215</v>
      </c>
      <c r="X97" s="67">
        <f t="shared" si="23"/>
        <v>14715</v>
      </c>
      <c r="Y97" s="67">
        <f t="shared" si="24"/>
        <v>1472</v>
      </c>
      <c r="Z97" s="67">
        <v>0</v>
      </c>
      <c r="AA97" s="68">
        <f t="shared" si="22"/>
        <v>-1472</v>
      </c>
      <c r="AB97" s="66">
        <v>39417</v>
      </c>
      <c r="AC97" s="66">
        <v>39447</v>
      </c>
      <c r="AD97" s="65" t="s">
        <v>74</v>
      </c>
    </row>
    <row r="98" spans="1:30" ht="18" customHeight="1">
      <c r="A98" s="42" t="s">
        <v>81</v>
      </c>
      <c r="B98" s="20">
        <v>0</v>
      </c>
      <c r="C98" s="20">
        <f t="shared" si="19"/>
        <v>1512</v>
      </c>
      <c r="D98" s="20">
        <f t="shared" si="13"/>
        <v>0</v>
      </c>
      <c r="E98" s="20">
        <f t="shared" si="14"/>
        <v>1512</v>
      </c>
      <c r="F98" s="20">
        <v>0</v>
      </c>
      <c r="G98" s="20">
        <f t="shared" si="15"/>
        <v>3024</v>
      </c>
      <c r="H98" s="20">
        <v>0</v>
      </c>
      <c r="I98" s="20">
        <f t="shared" si="20"/>
        <v>11489</v>
      </c>
      <c r="J98" s="20">
        <f t="shared" si="21"/>
        <v>11489</v>
      </c>
      <c r="K98" s="20">
        <f t="shared" si="16"/>
        <v>22978</v>
      </c>
      <c r="L98" s="20">
        <f t="shared" si="17"/>
        <v>77</v>
      </c>
      <c r="M98" s="20">
        <f t="shared" si="17"/>
        <v>77</v>
      </c>
      <c r="N98" s="20">
        <f t="shared" si="18"/>
        <v>154</v>
      </c>
      <c r="O98" s="210"/>
      <c r="Q98" s="65"/>
      <c r="R98" s="65"/>
      <c r="S98" s="65"/>
      <c r="T98" s="66"/>
      <c r="U98" s="67">
        <v>9300</v>
      </c>
      <c r="V98" s="67">
        <v>4200</v>
      </c>
      <c r="W98" s="67">
        <v>1620</v>
      </c>
      <c r="X98" s="67">
        <f t="shared" si="23"/>
        <v>15120</v>
      </c>
      <c r="Y98" s="67">
        <f t="shared" si="24"/>
        <v>1512</v>
      </c>
      <c r="Z98" s="67">
        <v>0</v>
      </c>
      <c r="AA98" s="68">
        <f t="shared" si="22"/>
        <v>-1512</v>
      </c>
      <c r="AB98" s="66">
        <v>39448</v>
      </c>
      <c r="AC98" s="66">
        <v>39113</v>
      </c>
      <c r="AD98" s="65" t="s">
        <v>74</v>
      </c>
    </row>
    <row r="99" spans="1:30" ht="18" customHeight="1">
      <c r="A99" s="42" t="s">
        <v>82</v>
      </c>
      <c r="B99" s="20">
        <v>0</v>
      </c>
      <c r="C99" s="20">
        <f t="shared" si="19"/>
        <v>1512</v>
      </c>
      <c r="D99" s="20">
        <f t="shared" si="13"/>
        <v>0</v>
      </c>
      <c r="E99" s="20">
        <f t="shared" si="14"/>
        <v>1512</v>
      </c>
      <c r="F99" s="20">
        <v>0</v>
      </c>
      <c r="G99" s="20">
        <f t="shared" si="15"/>
        <v>3024</v>
      </c>
      <c r="H99" s="20">
        <v>0</v>
      </c>
      <c r="I99" s="20">
        <f t="shared" si="20"/>
        <v>13001</v>
      </c>
      <c r="J99" s="20">
        <f t="shared" si="21"/>
        <v>13001</v>
      </c>
      <c r="K99" s="20">
        <f t="shared" si="16"/>
        <v>26002</v>
      </c>
      <c r="L99" s="20">
        <f t="shared" si="17"/>
        <v>87</v>
      </c>
      <c r="M99" s="20">
        <f t="shared" si="17"/>
        <v>87</v>
      </c>
      <c r="N99" s="20">
        <f t="shared" si="18"/>
        <v>174</v>
      </c>
      <c r="O99" s="210"/>
      <c r="Q99" s="65"/>
      <c r="R99" s="65"/>
      <c r="S99" s="65"/>
      <c r="T99" s="66"/>
      <c r="U99" s="67">
        <v>9300</v>
      </c>
      <c r="V99" s="67">
        <v>4200</v>
      </c>
      <c r="W99" s="67">
        <v>1620</v>
      </c>
      <c r="X99" s="67">
        <f t="shared" si="23"/>
        <v>15120</v>
      </c>
      <c r="Y99" s="67">
        <f t="shared" si="24"/>
        <v>1512</v>
      </c>
      <c r="Z99" s="67">
        <v>0</v>
      </c>
      <c r="AA99" s="68">
        <f t="shared" si="22"/>
        <v>-1512</v>
      </c>
      <c r="AB99" s="66">
        <v>39479</v>
      </c>
      <c r="AC99" s="66">
        <v>39506</v>
      </c>
      <c r="AD99" s="65" t="s">
        <v>74</v>
      </c>
    </row>
    <row r="100" spans="1:30" ht="18" customHeight="1" thickBot="1">
      <c r="A100" s="50" t="s">
        <v>83</v>
      </c>
      <c r="B100" s="47">
        <v>0</v>
      </c>
      <c r="C100" s="47">
        <f t="shared" si="19"/>
        <v>1512</v>
      </c>
      <c r="D100" s="47">
        <f t="shared" si="13"/>
        <v>0</v>
      </c>
      <c r="E100" s="47">
        <f t="shared" si="14"/>
        <v>1512</v>
      </c>
      <c r="F100" s="47">
        <v>0</v>
      </c>
      <c r="G100" s="47">
        <f t="shared" si="15"/>
        <v>3024</v>
      </c>
      <c r="H100" s="47">
        <v>0</v>
      </c>
      <c r="I100" s="47">
        <f t="shared" si="20"/>
        <v>14513</v>
      </c>
      <c r="J100" s="47">
        <f t="shared" si="21"/>
        <v>14513</v>
      </c>
      <c r="K100" s="47">
        <f t="shared" si="16"/>
        <v>29026</v>
      </c>
      <c r="L100" s="47">
        <f t="shared" si="17"/>
        <v>97</v>
      </c>
      <c r="M100" s="47">
        <f t="shared" si="17"/>
        <v>97</v>
      </c>
      <c r="N100" s="47">
        <f t="shared" si="18"/>
        <v>194</v>
      </c>
      <c r="O100" s="253"/>
      <c r="Q100" s="65"/>
      <c r="R100" s="65"/>
      <c r="S100" s="65"/>
      <c r="T100" s="66"/>
      <c r="U100" s="67">
        <v>9300</v>
      </c>
      <c r="V100" s="67">
        <v>4200</v>
      </c>
      <c r="W100" s="67">
        <v>1620</v>
      </c>
      <c r="X100" s="67">
        <f t="shared" si="23"/>
        <v>15120</v>
      </c>
      <c r="Y100" s="67">
        <f t="shared" si="24"/>
        <v>1512</v>
      </c>
      <c r="Z100" s="67">
        <v>0</v>
      </c>
      <c r="AA100" s="68">
        <f t="shared" si="22"/>
        <v>-1512</v>
      </c>
      <c r="AB100" s="66">
        <v>39508</v>
      </c>
      <c r="AC100" s="66">
        <v>39538</v>
      </c>
      <c r="AD100" s="65" t="s">
        <v>74</v>
      </c>
    </row>
    <row r="101" spans="1:30" ht="18" customHeight="1" thickBot="1">
      <c r="A101" s="55" t="s">
        <v>84</v>
      </c>
      <c r="B101" s="54">
        <f t="shared" ref="B101:H101" si="25">SUM(B89:B100)</f>
        <v>0</v>
      </c>
      <c r="C101" s="54">
        <f t="shared" si="25"/>
        <v>14513</v>
      </c>
      <c r="D101" s="54">
        <f t="shared" si="25"/>
        <v>0</v>
      </c>
      <c r="E101" s="54">
        <f t="shared" si="25"/>
        <v>14513</v>
      </c>
      <c r="F101" s="54">
        <f t="shared" si="25"/>
        <v>0</v>
      </c>
      <c r="G101" s="54">
        <f t="shared" si="25"/>
        <v>29026</v>
      </c>
      <c r="H101" s="54">
        <f t="shared" si="25"/>
        <v>0</v>
      </c>
      <c r="I101" s="54">
        <f>SUM(I89:I100)</f>
        <v>77930</v>
      </c>
      <c r="J101" s="54">
        <f>SUM(J89:J100)</f>
        <v>77930</v>
      </c>
      <c r="K101" s="54">
        <f>SUM(K89:K100)</f>
        <v>155860</v>
      </c>
      <c r="L101" s="54">
        <f t="shared" ref="L101:N101" si="26">SUM(L89:L100)</f>
        <v>521</v>
      </c>
      <c r="M101" s="54">
        <f t="shared" si="26"/>
        <v>521</v>
      </c>
      <c r="N101" s="57">
        <f t="shared" si="26"/>
        <v>1042</v>
      </c>
      <c r="O101" s="56"/>
      <c r="U101" s="31">
        <f t="shared" ref="U101:AA101" si="27">SUM(U89:U100)</f>
        <v>91140</v>
      </c>
      <c r="V101" s="31">
        <f t="shared" si="27"/>
        <v>41160</v>
      </c>
      <c r="W101" s="31">
        <f t="shared" si="27"/>
        <v>12798</v>
      </c>
      <c r="X101" s="31">
        <f t="shared" si="27"/>
        <v>145098</v>
      </c>
      <c r="Y101" s="31">
        <f t="shared" si="27"/>
        <v>14513</v>
      </c>
      <c r="Z101" s="31">
        <f t="shared" si="27"/>
        <v>0</v>
      </c>
      <c r="AA101" s="31">
        <f t="shared" si="27"/>
        <v>-14513</v>
      </c>
    </row>
    <row r="102" spans="1:30" ht="15" thickBo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6"/>
      <c r="L102" s="6"/>
      <c r="M102" s="6"/>
      <c r="N102" s="6"/>
    </row>
    <row r="103" spans="1:30" ht="18" customHeight="1" thickBot="1">
      <c r="A103" s="5"/>
      <c r="B103" s="6"/>
      <c r="C103" s="6"/>
      <c r="D103" s="6"/>
      <c r="E103" s="5"/>
      <c r="F103" s="53">
        <v>1</v>
      </c>
      <c r="G103" s="212" t="s">
        <v>47</v>
      </c>
      <c r="H103" s="212"/>
      <c r="I103" s="212"/>
      <c r="J103" s="212"/>
      <c r="K103" s="213"/>
      <c r="L103" s="54">
        <f>K85</f>
        <v>0</v>
      </c>
      <c r="M103" s="2"/>
      <c r="O103" s="1"/>
      <c r="S103" s="30"/>
      <c r="T103" s="30"/>
      <c r="Z103" s="1"/>
      <c r="AA103" s="1"/>
    </row>
    <row r="104" spans="1:30" ht="18" customHeight="1" thickBot="1">
      <c r="A104" s="5"/>
      <c r="B104" s="5"/>
      <c r="C104" s="5"/>
      <c r="D104" s="5"/>
      <c r="E104" s="5"/>
      <c r="F104" s="53">
        <v>2</v>
      </c>
      <c r="G104" s="212" t="s">
        <v>344</v>
      </c>
      <c r="H104" s="212"/>
      <c r="I104" s="212"/>
      <c r="J104" s="212"/>
      <c r="K104" s="213"/>
      <c r="L104" s="54">
        <f>B101+C101</f>
        <v>14513</v>
      </c>
      <c r="M104" s="2"/>
      <c r="O104" s="1"/>
      <c r="S104" s="30"/>
      <c r="T104" s="30"/>
      <c r="Z104" s="1"/>
      <c r="AA104" s="1"/>
    </row>
    <row r="105" spans="1:30" ht="18" customHeight="1" thickBot="1">
      <c r="A105" s="5"/>
      <c r="B105" s="5"/>
      <c r="C105" s="5"/>
      <c r="D105" s="5"/>
      <c r="E105" s="5"/>
      <c r="F105" s="53">
        <v>3</v>
      </c>
      <c r="G105" s="212" t="s">
        <v>352</v>
      </c>
      <c r="H105" s="212"/>
      <c r="I105" s="212"/>
      <c r="J105" s="212"/>
      <c r="K105" s="213"/>
      <c r="L105" s="54">
        <f>F101</f>
        <v>0</v>
      </c>
      <c r="M105" s="2"/>
      <c r="O105" s="1"/>
      <c r="S105" s="30"/>
      <c r="T105" s="30"/>
      <c r="Z105" s="1"/>
      <c r="AA105" s="1"/>
    </row>
    <row r="106" spans="1:30" ht="18" customHeight="1" thickBot="1">
      <c r="A106" s="5"/>
      <c r="B106" s="5"/>
      <c r="C106" s="5"/>
      <c r="D106" s="5"/>
      <c r="E106" s="5"/>
      <c r="F106" s="53">
        <v>4</v>
      </c>
      <c r="G106" s="212" t="s">
        <v>346</v>
      </c>
      <c r="H106" s="212"/>
      <c r="I106" s="212"/>
      <c r="J106" s="212"/>
      <c r="K106" s="213"/>
      <c r="L106" s="54">
        <f>L104+L105</f>
        <v>14513</v>
      </c>
      <c r="M106" s="2"/>
      <c r="O106" s="1"/>
      <c r="S106" s="30"/>
      <c r="T106" s="30"/>
      <c r="Z106" s="1"/>
      <c r="AA106" s="1"/>
    </row>
    <row r="107" spans="1:30" ht="18" customHeight="1" thickBot="1">
      <c r="A107" s="5"/>
      <c r="B107" s="5"/>
      <c r="C107" s="5"/>
      <c r="D107" s="5"/>
      <c r="E107" s="5"/>
      <c r="F107" s="53">
        <v>5</v>
      </c>
      <c r="G107" s="212" t="s">
        <v>349</v>
      </c>
      <c r="H107" s="212"/>
      <c r="I107" s="212"/>
      <c r="J107" s="212"/>
      <c r="K107" s="213"/>
      <c r="L107" s="54">
        <f>D101+E101</f>
        <v>14513</v>
      </c>
      <c r="M107" s="2"/>
      <c r="O107" s="1"/>
      <c r="S107" s="30"/>
      <c r="T107" s="30"/>
      <c r="Z107" s="1"/>
      <c r="AA107" s="1"/>
    </row>
    <row r="108" spans="1:30" ht="18" customHeight="1" thickBot="1">
      <c r="A108" s="5"/>
      <c r="B108" s="5"/>
      <c r="C108" s="5"/>
      <c r="D108" s="5"/>
      <c r="E108" s="5"/>
      <c r="F108" s="53">
        <v>6</v>
      </c>
      <c r="G108" s="212" t="s">
        <v>347</v>
      </c>
      <c r="H108" s="212"/>
      <c r="I108" s="212"/>
      <c r="J108" s="212"/>
      <c r="K108" s="213"/>
      <c r="L108" s="54">
        <f>L103+L106+L107</f>
        <v>29026</v>
      </c>
      <c r="M108" s="2"/>
      <c r="O108" s="1"/>
      <c r="S108" s="30"/>
      <c r="T108" s="30"/>
      <c r="Z108" s="1"/>
      <c r="AA108" s="1"/>
    </row>
    <row r="109" spans="1:30" ht="18" customHeight="1" thickBot="1">
      <c r="A109" s="5"/>
      <c r="B109" s="5"/>
      <c r="C109" s="5"/>
      <c r="D109" s="5"/>
      <c r="E109" s="5"/>
      <c r="F109" s="53">
        <v>7</v>
      </c>
      <c r="G109" s="212" t="s">
        <v>50</v>
      </c>
      <c r="H109" s="212"/>
      <c r="I109" s="212"/>
      <c r="J109" s="212"/>
      <c r="K109" s="213"/>
      <c r="L109" s="54">
        <f>H101</f>
        <v>0</v>
      </c>
      <c r="M109" s="2"/>
      <c r="O109" s="1"/>
      <c r="S109" s="30"/>
      <c r="T109" s="30"/>
      <c r="Z109" s="1"/>
      <c r="AA109" s="1"/>
    </row>
    <row r="110" spans="1:30" ht="18" customHeight="1" thickBot="1">
      <c r="A110" s="5"/>
      <c r="B110" s="5"/>
      <c r="C110" s="5"/>
      <c r="D110" s="5"/>
      <c r="E110" s="5"/>
      <c r="F110" s="53">
        <v>8</v>
      </c>
      <c r="G110" s="212" t="s">
        <v>340</v>
      </c>
      <c r="H110" s="212"/>
      <c r="I110" s="212"/>
      <c r="J110" s="212"/>
      <c r="K110" s="213"/>
      <c r="L110" s="54">
        <f>L101</f>
        <v>521</v>
      </c>
      <c r="M110" s="2"/>
      <c r="O110" s="1"/>
      <c r="S110" s="30"/>
      <c r="T110" s="30"/>
      <c r="Z110" s="1"/>
      <c r="AA110" s="1"/>
    </row>
    <row r="111" spans="1:30" ht="18" customHeight="1" thickBot="1">
      <c r="A111" s="5"/>
      <c r="B111" s="5"/>
      <c r="C111" s="5"/>
      <c r="D111" s="5"/>
      <c r="E111" s="5"/>
      <c r="F111" s="53">
        <v>9</v>
      </c>
      <c r="G111" s="212" t="s">
        <v>355</v>
      </c>
      <c r="H111" s="212"/>
      <c r="I111" s="212"/>
      <c r="J111" s="212"/>
      <c r="K111" s="213"/>
      <c r="L111" s="54">
        <f>M101</f>
        <v>521</v>
      </c>
      <c r="M111" s="2"/>
      <c r="O111" s="1"/>
      <c r="S111" s="30"/>
      <c r="T111" s="30"/>
      <c r="Z111" s="1"/>
      <c r="AA111" s="1"/>
    </row>
    <row r="112" spans="1:30" ht="18" customHeight="1" thickBot="1">
      <c r="A112" s="5"/>
      <c r="B112" s="5"/>
      <c r="C112" s="5"/>
      <c r="D112" s="5"/>
      <c r="E112" s="5"/>
      <c r="F112" s="53">
        <v>10</v>
      </c>
      <c r="G112" s="212" t="s">
        <v>348</v>
      </c>
      <c r="H112" s="212"/>
      <c r="I112" s="212"/>
      <c r="J112" s="212"/>
      <c r="K112" s="213"/>
      <c r="L112" s="54">
        <f>N101</f>
        <v>1042</v>
      </c>
      <c r="M112" s="2"/>
      <c r="O112" s="1"/>
      <c r="S112" s="30"/>
      <c r="T112" s="30"/>
      <c r="Z112" s="1"/>
      <c r="AA112" s="1"/>
    </row>
    <row r="113" spans="1:27" ht="18" customHeight="1" thickBot="1">
      <c r="A113" s="5"/>
      <c r="B113" s="5"/>
      <c r="C113" s="5"/>
      <c r="D113" s="5"/>
      <c r="E113" s="5"/>
      <c r="F113" s="53">
        <v>11</v>
      </c>
      <c r="G113" s="212" t="s">
        <v>357</v>
      </c>
      <c r="H113" s="212"/>
      <c r="I113" s="212"/>
      <c r="J113" s="212"/>
      <c r="K113" s="213"/>
      <c r="L113" s="54">
        <f>L108-L109+L112</f>
        <v>30068</v>
      </c>
      <c r="M113" s="2"/>
      <c r="O113" s="1"/>
      <c r="S113" s="30"/>
      <c r="T113" s="30"/>
      <c r="Z113" s="1"/>
      <c r="AA113" s="1"/>
    </row>
    <row r="114" spans="1:27">
      <c r="A114" s="5"/>
      <c r="B114" s="5"/>
      <c r="C114" s="5"/>
      <c r="D114" s="5"/>
      <c r="E114" s="5"/>
      <c r="F114" s="5"/>
      <c r="G114" s="17"/>
      <c r="H114" s="17"/>
      <c r="I114" s="17"/>
      <c r="J114" s="17"/>
      <c r="K114" s="17"/>
      <c r="L114" s="17"/>
      <c r="M114" s="17"/>
      <c r="N114" s="6"/>
    </row>
    <row r="115" spans="1:27"/>
    <row r="116" spans="1:27"/>
    <row r="117" spans="1:27" ht="16.8">
      <c r="A117" s="249" t="s">
        <v>53</v>
      </c>
      <c r="B117" s="249"/>
      <c r="C117" s="18"/>
      <c r="D117" s="18"/>
      <c r="E117" s="249" t="s">
        <v>54</v>
      </c>
      <c r="F117" s="249"/>
      <c r="G117" s="249"/>
      <c r="H117" s="250" t="s">
        <v>55</v>
      </c>
      <c r="I117" s="250"/>
      <c r="J117" s="250"/>
      <c r="K117" s="250"/>
      <c r="L117" s="250"/>
      <c r="M117" s="250"/>
      <c r="N117" s="250"/>
    </row>
    <row r="118" spans="1:27"/>
    <row r="119" spans="1:27"/>
    <row r="120" spans="1:27" ht="18.600000000000001">
      <c r="A120" s="224" t="s">
        <v>0</v>
      </c>
      <c r="B120" s="224"/>
      <c r="C120" s="224"/>
      <c r="D120" s="224"/>
      <c r="E120" s="224"/>
      <c r="F120" s="224"/>
      <c r="G120" s="224"/>
      <c r="H120" s="224"/>
      <c r="I120" s="224"/>
      <c r="J120" s="224"/>
      <c r="K120" s="224"/>
      <c r="L120" s="224"/>
      <c r="M120" s="224"/>
      <c r="N120" s="224"/>
      <c r="O120" s="224"/>
      <c r="P120" s="23"/>
    </row>
    <row r="121" spans="1:27" ht="18.600000000000001">
      <c r="A121" s="224" t="s">
        <v>1</v>
      </c>
      <c r="B121" s="224"/>
      <c r="C121" s="224"/>
      <c r="D121" s="224"/>
      <c r="E121" s="224"/>
      <c r="F121" s="224"/>
      <c r="G121" s="224"/>
      <c r="H121" s="224"/>
      <c r="I121" s="224"/>
      <c r="J121" s="224"/>
      <c r="K121" s="224"/>
      <c r="L121" s="224"/>
      <c r="M121" s="224"/>
      <c r="N121" s="224"/>
      <c r="O121" s="224"/>
      <c r="P121" s="23"/>
    </row>
    <row r="122" spans="1:27"/>
    <row r="123" spans="1:27" ht="15" thickBot="1">
      <c r="A123" s="258" t="s">
        <v>85</v>
      </c>
      <c r="B123" s="258"/>
      <c r="C123" s="258"/>
      <c r="D123" s="258"/>
      <c r="E123" s="258"/>
      <c r="F123" s="258"/>
      <c r="G123" s="258"/>
      <c r="H123" s="258"/>
      <c r="I123" s="258"/>
      <c r="J123" s="258"/>
      <c r="K123" s="258"/>
      <c r="L123" s="258"/>
      <c r="M123" s="258"/>
      <c r="N123" s="258"/>
    </row>
    <row r="124" spans="1:27" ht="36" customHeight="1" thickBot="1">
      <c r="A124" s="55" t="s">
        <v>3</v>
      </c>
      <c r="B124" s="53">
        <f>B81</f>
        <v>9255</v>
      </c>
      <c r="C124" s="5"/>
      <c r="D124" s="5"/>
      <c r="E124" s="211" t="s">
        <v>4</v>
      </c>
      <c r="F124" s="213" t="str">
        <f>H81</f>
        <v>Mahajan Ganesh Trambak</v>
      </c>
      <c r="G124" s="5"/>
      <c r="H124" s="211" t="str">
        <f>H81</f>
        <v>Mahajan Ganesh Trambak</v>
      </c>
      <c r="I124" s="212"/>
      <c r="J124" s="212"/>
      <c r="K124" s="212"/>
      <c r="L124" s="212"/>
      <c r="M124" s="212"/>
      <c r="N124" s="212"/>
      <c r="O124" s="213"/>
    </row>
    <row r="125" spans="1:27" ht="15" thickBot="1">
      <c r="A125" s="5"/>
      <c r="E125" s="5"/>
      <c r="F125" s="5"/>
      <c r="G125" s="5"/>
      <c r="H125" s="5"/>
      <c r="I125" s="5"/>
      <c r="J125" s="5"/>
      <c r="K125" s="6"/>
      <c r="L125" s="6"/>
      <c r="M125" s="6"/>
      <c r="N125" s="5"/>
    </row>
    <row r="126" spans="1:27" ht="36" customHeight="1" thickBot="1">
      <c r="A126" s="55" t="s">
        <v>6</v>
      </c>
      <c r="B126" s="55" t="str">
        <f>B83</f>
        <v>06.06.2007</v>
      </c>
      <c r="C126" s="5"/>
      <c r="D126" s="5"/>
      <c r="E126" s="55" t="s">
        <v>7</v>
      </c>
      <c r="F126" s="55">
        <f>F83</f>
        <v>2301</v>
      </c>
      <c r="G126" s="5"/>
      <c r="H126" s="55" t="s">
        <v>8</v>
      </c>
      <c r="I126" s="211" t="str">
        <f>I83</f>
        <v>Asst. Jr. Engineer</v>
      </c>
      <c r="J126" s="212"/>
      <c r="K126" s="212" t="str">
        <f>I83</f>
        <v>Asst. Jr. Engineer</v>
      </c>
      <c r="L126" s="212"/>
      <c r="M126" s="212"/>
      <c r="N126" s="212"/>
      <c r="O126" s="213"/>
    </row>
    <row r="127" spans="1:27" ht="15" thickBo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6"/>
      <c r="L127" s="6"/>
      <c r="M127" s="6"/>
      <c r="N127" s="5"/>
    </row>
    <row r="128" spans="1:27" ht="24" customHeight="1" thickBot="1">
      <c r="A128" s="55" t="s">
        <v>10</v>
      </c>
      <c r="B128" s="58">
        <v>0.08</v>
      </c>
      <c r="C128" s="5"/>
      <c r="D128" s="5"/>
      <c r="E128" s="55" t="s">
        <v>11</v>
      </c>
      <c r="F128" s="58">
        <v>0</v>
      </c>
      <c r="G128" s="5"/>
      <c r="H128" s="239" t="s">
        <v>12</v>
      </c>
      <c r="I128" s="240"/>
      <c r="J128" s="241"/>
      <c r="K128" s="242">
        <f>L113</f>
        <v>30068</v>
      </c>
      <c r="L128" s="243"/>
      <c r="M128" s="243"/>
      <c r="N128" s="243"/>
      <c r="O128" s="244"/>
    </row>
    <row r="129" spans="1:30" ht="15" thickBo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6"/>
      <c r="L129" s="6"/>
      <c r="M129" s="6"/>
      <c r="N129" s="5"/>
    </row>
    <row r="130" spans="1:30" ht="39.9" customHeight="1" thickBot="1">
      <c r="A130" s="235" t="s">
        <v>13</v>
      </c>
      <c r="B130" s="256" t="s">
        <v>14</v>
      </c>
      <c r="C130" s="257"/>
      <c r="D130" s="256" t="s">
        <v>349</v>
      </c>
      <c r="E130" s="257"/>
      <c r="F130" s="235" t="s">
        <v>342</v>
      </c>
      <c r="G130" s="235" t="s">
        <v>16</v>
      </c>
      <c r="H130" s="235" t="s">
        <v>17</v>
      </c>
      <c r="I130" s="235" t="s">
        <v>341</v>
      </c>
      <c r="J130" s="235" t="s">
        <v>354</v>
      </c>
      <c r="K130" s="254" t="s">
        <v>353</v>
      </c>
      <c r="L130" s="254" t="s">
        <v>340</v>
      </c>
      <c r="M130" s="254" t="s">
        <v>355</v>
      </c>
      <c r="N130" s="254" t="s">
        <v>343</v>
      </c>
      <c r="O130" s="247" t="s">
        <v>20</v>
      </c>
      <c r="Q130" s="12" t="s">
        <v>27</v>
      </c>
      <c r="R130" s="12" t="s">
        <v>28</v>
      </c>
      <c r="S130" s="12" t="s">
        <v>29</v>
      </c>
      <c r="T130" s="12" t="s">
        <v>30</v>
      </c>
      <c r="U130" s="12" t="s">
        <v>21</v>
      </c>
      <c r="V130" s="12" t="s">
        <v>22</v>
      </c>
      <c r="W130" s="12" t="s">
        <v>23</v>
      </c>
      <c r="X130" s="12" t="s">
        <v>24</v>
      </c>
      <c r="Y130" s="12" t="s">
        <v>356</v>
      </c>
      <c r="Z130" s="12" t="s">
        <v>336</v>
      </c>
      <c r="AA130" s="12" t="s">
        <v>26</v>
      </c>
      <c r="AB130" s="12" t="s">
        <v>31</v>
      </c>
      <c r="AC130" s="12" t="s">
        <v>32</v>
      </c>
      <c r="AD130" s="12" t="s">
        <v>333</v>
      </c>
    </row>
    <row r="131" spans="1:30" ht="39.9" customHeight="1" thickBot="1">
      <c r="A131" s="236"/>
      <c r="B131" s="55" t="s">
        <v>350</v>
      </c>
      <c r="C131" s="55" t="s">
        <v>351</v>
      </c>
      <c r="D131" s="55" t="s">
        <v>350</v>
      </c>
      <c r="E131" s="55" t="s">
        <v>351</v>
      </c>
      <c r="F131" s="236"/>
      <c r="G131" s="236"/>
      <c r="H131" s="236"/>
      <c r="I131" s="236"/>
      <c r="J131" s="236"/>
      <c r="K131" s="255"/>
      <c r="L131" s="255"/>
      <c r="M131" s="255"/>
      <c r="N131" s="255"/>
      <c r="O131" s="248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</row>
    <row r="132" spans="1:30" ht="18" customHeight="1">
      <c r="A132" s="42" t="s">
        <v>86</v>
      </c>
      <c r="B132" s="20">
        <v>0</v>
      </c>
      <c r="C132" s="20">
        <f t="shared" ref="C132:C142" si="28">Y132</f>
        <v>1512</v>
      </c>
      <c r="D132" s="20">
        <f>B132</f>
        <v>0</v>
      </c>
      <c r="E132" s="20">
        <f>C132</f>
        <v>1512</v>
      </c>
      <c r="F132" s="20">
        <v>0</v>
      </c>
      <c r="G132" s="20">
        <f t="shared" ref="G132:G143" si="29">(B132+C132+F132)+(D132+E132)</f>
        <v>3024</v>
      </c>
      <c r="H132" s="20">
        <v>0</v>
      </c>
      <c r="I132" s="20">
        <f>(K128+B132+C132+F132)-H132</f>
        <v>31580</v>
      </c>
      <c r="J132" s="20">
        <f>(D132+E132)</f>
        <v>1512</v>
      </c>
      <c r="K132" s="20">
        <f>(K128+G132)-H132</f>
        <v>33092</v>
      </c>
      <c r="L132" s="20">
        <f>ROUND((I132*8/100)/12,0)</f>
        <v>211</v>
      </c>
      <c r="M132" s="20">
        <f>ROUND((J132*8/100)/12,0)</f>
        <v>10</v>
      </c>
      <c r="N132" s="20">
        <f>L132+M132</f>
        <v>221</v>
      </c>
      <c r="O132" s="253" t="s">
        <v>34</v>
      </c>
      <c r="Q132" s="65"/>
      <c r="R132" s="65"/>
      <c r="S132" s="65"/>
      <c r="T132" s="66"/>
      <c r="U132" s="67">
        <v>9300</v>
      </c>
      <c r="V132" s="67">
        <v>4200</v>
      </c>
      <c r="W132" s="67">
        <v>1620</v>
      </c>
      <c r="X132" s="67">
        <f t="shared" ref="X132:X143" si="30">U132+V132+W132</f>
        <v>15120</v>
      </c>
      <c r="Y132" s="67">
        <f t="shared" ref="Y132:Y143" si="31">ROUND(X132*10%,0)</f>
        <v>1512</v>
      </c>
      <c r="Z132" s="67">
        <v>0</v>
      </c>
      <c r="AA132" s="68">
        <f t="shared" ref="AA132:AA143" si="32">Z132-Y132</f>
        <v>-1512</v>
      </c>
      <c r="AB132" s="66">
        <v>39539</v>
      </c>
      <c r="AC132" s="66">
        <v>39568</v>
      </c>
      <c r="AD132" s="65" t="s">
        <v>74</v>
      </c>
    </row>
    <row r="133" spans="1:30" ht="18" customHeight="1">
      <c r="A133" s="42" t="s">
        <v>87</v>
      </c>
      <c r="B133" s="20">
        <v>0</v>
      </c>
      <c r="C133" s="20">
        <f t="shared" si="28"/>
        <v>1512</v>
      </c>
      <c r="D133" s="20">
        <f t="shared" ref="D133:D143" si="33">B133</f>
        <v>0</v>
      </c>
      <c r="E133" s="20">
        <f t="shared" ref="E133:E143" si="34">C133</f>
        <v>1512</v>
      </c>
      <c r="F133" s="20">
        <v>0</v>
      </c>
      <c r="G133" s="20">
        <f t="shared" si="29"/>
        <v>3024</v>
      </c>
      <c r="H133" s="20">
        <v>0</v>
      </c>
      <c r="I133" s="20">
        <f>(I132+B133+C133+F133)-H133</f>
        <v>33092</v>
      </c>
      <c r="J133" s="20">
        <f>(J132+D133+E133)</f>
        <v>3024</v>
      </c>
      <c r="K133" s="20">
        <f t="shared" ref="K133" si="35">(K132+G133)-H133</f>
        <v>36116</v>
      </c>
      <c r="L133" s="20">
        <f t="shared" ref="L133" si="36">ROUND((I133*8/100)/12,0)</f>
        <v>221</v>
      </c>
      <c r="M133" s="20">
        <f t="shared" ref="M133" si="37">ROUND((J133*8/100)/12,0)</f>
        <v>20</v>
      </c>
      <c r="N133" s="20">
        <f t="shared" ref="N133:N143" si="38">L133+M133</f>
        <v>241</v>
      </c>
      <c r="O133" s="260"/>
      <c r="Q133" s="65"/>
      <c r="R133" s="65"/>
      <c r="S133" s="65"/>
      <c r="T133" s="66"/>
      <c r="U133" s="67">
        <v>9300</v>
      </c>
      <c r="V133" s="67">
        <v>4200</v>
      </c>
      <c r="W133" s="67">
        <v>1620</v>
      </c>
      <c r="X133" s="67">
        <f t="shared" si="30"/>
        <v>15120</v>
      </c>
      <c r="Y133" s="67">
        <f t="shared" si="31"/>
        <v>1512</v>
      </c>
      <c r="Z133" s="67">
        <v>0</v>
      </c>
      <c r="AA133" s="68">
        <f t="shared" si="32"/>
        <v>-1512</v>
      </c>
      <c r="AB133" s="66">
        <v>39569</v>
      </c>
      <c r="AC133" s="66">
        <v>39599</v>
      </c>
      <c r="AD133" s="65" t="s">
        <v>74</v>
      </c>
    </row>
    <row r="134" spans="1:30" ht="18" customHeight="1">
      <c r="A134" s="42" t="s">
        <v>88</v>
      </c>
      <c r="B134" s="20">
        <v>0</v>
      </c>
      <c r="C134" s="20">
        <f t="shared" si="28"/>
        <v>1512</v>
      </c>
      <c r="D134" s="20">
        <f t="shared" si="33"/>
        <v>0</v>
      </c>
      <c r="E134" s="20">
        <f t="shared" si="34"/>
        <v>1512</v>
      </c>
      <c r="F134" s="20">
        <v>0</v>
      </c>
      <c r="G134" s="20">
        <f t="shared" si="29"/>
        <v>3024</v>
      </c>
      <c r="H134" s="20">
        <v>0</v>
      </c>
      <c r="I134" s="20">
        <f t="shared" ref="I134:I143" si="39">(I133+B134+C134+F134)-H134</f>
        <v>34604</v>
      </c>
      <c r="J134" s="20">
        <f t="shared" ref="J134:J143" si="40">(J133+D134+E134)</f>
        <v>4536</v>
      </c>
      <c r="K134" s="20">
        <f t="shared" ref="K134:K143" si="41">(K133+G134)-H134</f>
        <v>39140</v>
      </c>
      <c r="L134" s="20">
        <f t="shared" ref="L134:L143" si="42">ROUND((I134*8/100)/12,0)</f>
        <v>231</v>
      </c>
      <c r="M134" s="20">
        <f t="shared" ref="M134:M143" si="43">ROUND((J134*8/100)/12,0)</f>
        <v>30</v>
      </c>
      <c r="N134" s="20">
        <f t="shared" si="38"/>
        <v>261</v>
      </c>
      <c r="O134" s="260"/>
      <c r="Q134" s="65"/>
      <c r="R134" s="65"/>
      <c r="S134" s="65"/>
      <c r="T134" s="66"/>
      <c r="U134" s="67">
        <v>9300</v>
      </c>
      <c r="V134" s="67">
        <v>4200</v>
      </c>
      <c r="W134" s="67">
        <v>1620</v>
      </c>
      <c r="X134" s="67">
        <f t="shared" si="30"/>
        <v>15120</v>
      </c>
      <c r="Y134" s="67">
        <f t="shared" si="31"/>
        <v>1512</v>
      </c>
      <c r="Z134" s="67">
        <v>0</v>
      </c>
      <c r="AA134" s="68">
        <f t="shared" si="32"/>
        <v>-1512</v>
      </c>
      <c r="AB134" s="66">
        <v>39600</v>
      </c>
      <c r="AC134" s="66">
        <v>39629</v>
      </c>
      <c r="AD134" s="65" t="s">
        <v>74</v>
      </c>
    </row>
    <row r="135" spans="1:30" ht="18" customHeight="1">
      <c r="A135" s="42" t="s">
        <v>89</v>
      </c>
      <c r="B135" s="20">
        <v>0</v>
      </c>
      <c r="C135" s="20">
        <f t="shared" si="28"/>
        <v>1614</v>
      </c>
      <c r="D135" s="20">
        <f t="shared" si="33"/>
        <v>0</v>
      </c>
      <c r="E135" s="20">
        <f t="shared" si="34"/>
        <v>1614</v>
      </c>
      <c r="F135" s="20">
        <v>0</v>
      </c>
      <c r="G135" s="20">
        <f t="shared" si="29"/>
        <v>3228</v>
      </c>
      <c r="H135" s="20">
        <v>0</v>
      </c>
      <c r="I135" s="20">
        <f t="shared" si="39"/>
        <v>36218</v>
      </c>
      <c r="J135" s="20">
        <f t="shared" si="40"/>
        <v>6150</v>
      </c>
      <c r="K135" s="20">
        <f t="shared" si="41"/>
        <v>42368</v>
      </c>
      <c r="L135" s="20">
        <f t="shared" si="42"/>
        <v>241</v>
      </c>
      <c r="M135" s="20">
        <f t="shared" si="43"/>
        <v>41</v>
      </c>
      <c r="N135" s="20">
        <f t="shared" si="38"/>
        <v>282</v>
      </c>
      <c r="O135" s="260"/>
      <c r="Q135" s="65"/>
      <c r="R135" s="65"/>
      <c r="S135" s="65"/>
      <c r="T135" s="66"/>
      <c r="U135" s="67">
        <v>9710</v>
      </c>
      <c r="V135" s="67">
        <v>4200</v>
      </c>
      <c r="W135" s="67">
        <v>2226</v>
      </c>
      <c r="X135" s="67">
        <f t="shared" si="30"/>
        <v>16136</v>
      </c>
      <c r="Y135" s="67">
        <f t="shared" si="31"/>
        <v>1614</v>
      </c>
      <c r="Z135" s="67">
        <v>0</v>
      </c>
      <c r="AA135" s="68">
        <f t="shared" si="32"/>
        <v>-1614</v>
      </c>
      <c r="AB135" s="66">
        <v>39630</v>
      </c>
      <c r="AC135" s="66">
        <v>39660</v>
      </c>
      <c r="AD135" s="65" t="s">
        <v>74</v>
      </c>
    </row>
    <row r="136" spans="1:30" ht="18" customHeight="1">
      <c r="A136" s="42" t="s">
        <v>90</v>
      </c>
      <c r="B136" s="20">
        <v>0</v>
      </c>
      <c r="C136" s="20">
        <f t="shared" si="28"/>
        <v>1614</v>
      </c>
      <c r="D136" s="20">
        <f t="shared" si="33"/>
        <v>0</v>
      </c>
      <c r="E136" s="20">
        <f t="shared" si="34"/>
        <v>1614</v>
      </c>
      <c r="F136" s="20">
        <v>0</v>
      </c>
      <c r="G136" s="20">
        <f t="shared" si="29"/>
        <v>3228</v>
      </c>
      <c r="H136" s="20">
        <v>0</v>
      </c>
      <c r="I136" s="20">
        <f t="shared" si="39"/>
        <v>37832</v>
      </c>
      <c r="J136" s="20">
        <f t="shared" si="40"/>
        <v>7764</v>
      </c>
      <c r="K136" s="20">
        <f t="shared" si="41"/>
        <v>45596</v>
      </c>
      <c r="L136" s="20">
        <f t="shared" si="42"/>
        <v>252</v>
      </c>
      <c r="M136" s="20">
        <f t="shared" si="43"/>
        <v>52</v>
      </c>
      <c r="N136" s="20">
        <f t="shared" si="38"/>
        <v>304</v>
      </c>
      <c r="O136" s="260"/>
      <c r="Q136" s="65"/>
      <c r="R136" s="65"/>
      <c r="S136" s="65"/>
      <c r="T136" s="66"/>
      <c r="U136" s="67">
        <v>9710</v>
      </c>
      <c r="V136" s="67">
        <v>4200</v>
      </c>
      <c r="W136" s="67">
        <v>2226</v>
      </c>
      <c r="X136" s="67">
        <f t="shared" si="30"/>
        <v>16136</v>
      </c>
      <c r="Y136" s="67">
        <f t="shared" si="31"/>
        <v>1614</v>
      </c>
      <c r="Z136" s="67">
        <v>0</v>
      </c>
      <c r="AA136" s="68">
        <f t="shared" si="32"/>
        <v>-1614</v>
      </c>
      <c r="AB136" s="66">
        <v>39661</v>
      </c>
      <c r="AC136" s="66">
        <v>39691</v>
      </c>
      <c r="AD136" s="65" t="s">
        <v>74</v>
      </c>
    </row>
    <row r="137" spans="1:30" ht="18" customHeight="1">
      <c r="A137" s="42" t="s">
        <v>91</v>
      </c>
      <c r="B137" s="20">
        <v>0</v>
      </c>
      <c r="C137" s="20">
        <f t="shared" si="28"/>
        <v>1614</v>
      </c>
      <c r="D137" s="20">
        <f t="shared" si="33"/>
        <v>0</v>
      </c>
      <c r="E137" s="20">
        <f t="shared" si="34"/>
        <v>1614</v>
      </c>
      <c r="F137" s="20">
        <v>0</v>
      </c>
      <c r="G137" s="20">
        <f t="shared" si="29"/>
        <v>3228</v>
      </c>
      <c r="H137" s="20">
        <v>0</v>
      </c>
      <c r="I137" s="20">
        <f t="shared" si="39"/>
        <v>39446</v>
      </c>
      <c r="J137" s="20">
        <f t="shared" si="40"/>
        <v>9378</v>
      </c>
      <c r="K137" s="20">
        <f t="shared" si="41"/>
        <v>48824</v>
      </c>
      <c r="L137" s="20">
        <f t="shared" si="42"/>
        <v>263</v>
      </c>
      <c r="M137" s="20">
        <f t="shared" si="43"/>
        <v>63</v>
      </c>
      <c r="N137" s="20">
        <f t="shared" si="38"/>
        <v>326</v>
      </c>
      <c r="O137" s="260"/>
      <c r="Q137" s="65"/>
      <c r="R137" s="65"/>
      <c r="S137" s="65"/>
      <c r="T137" s="66"/>
      <c r="U137" s="67">
        <v>9710</v>
      </c>
      <c r="V137" s="67">
        <v>4200</v>
      </c>
      <c r="W137" s="67">
        <v>2226</v>
      </c>
      <c r="X137" s="67">
        <f t="shared" si="30"/>
        <v>16136</v>
      </c>
      <c r="Y137" s="67">
        <f t="shared" si="31"/>
        <v>1614</v>
      </c>
      <c r="Z137" s="67">
        <v>0</v>
      </c>
      <c r="AA137" s="68">
        <f t="shared" si="32"/>
        <v>-1614</v>
      </c>
      <c r="AB137" s="66">
        <v>39692</v>
      </c>
      <c r="AC137" s="66">
        <v>39721</v>
      </c>
      <c r="AD137" s="65" t="s">
        <v>74</v>
      </c>
    </row>
    <row r="138" spans="1:30" ht="18" customHeight="1">
      <c r="A138" s="42" t="s">
        <v>92</v>
      </c>
      <c r="B138" s="20">
        <v>0</v>
      </c>
      <c r="C138" s="20">
        <f t="shared" si="28"/>
        <v>1614</v>
      </c>
      <c r="D138" s="20">
        <f t="shared" si="33"/>
        <v>0</v>
      </c>
      <c r="E138" s="20">
        <f t="shared" si="34"/>
        <v>1614</v>
      </c>
      <c r="F138" s="20">
        <v>0</v>
      </c>
      <c r="G138" s="20">
        <f t="shared" si="29"/>
        <v>3228</v>
      </c>
      <c r="H138" s="20">
        <v>0</v>
      </c>
      <c r="I138" s="20">
        <f t="shared" si="39"/>
        <v>41060</v>
      </c>
      <c r="J138" s="20">
        <f t="shared" si="40"/>
        <v>10992</v>
      </c>
      <c r="K138" s="20">
        <f t="shared" si="41"/>
        <v>52052</v>
      </c>
      <c r="L138" s="20">
        <f t="shared" si="42"/>
        <v>274</v>
      </c>
      <c r="M138" s="20">
        <f t="shared" si="43"/>
        <v>73</v>
      </c>
      <c r="N138" s="20">
        <f t="shared" si="38"/>
        <v>347</v>
      </c>
      <c r="O138" s="260"/>
      <c r="Q138" s="65"/>
      <c r="R138" s="65"/>
      <c r="S138" s="65"/>
      <c r="T138" s="66"/>
      <c r="U138" s="67">
        <v>9710</v>
      </c>
      <c r="V138" s="67">
        <v>4200</v>
      </c>
      <c r="W138" s="67">
        <v>2226</v>
      </c>
      <c r="X138" s="67">
        <f t="shared" si="30"/>
        <v>16136</v>
      </c>
      <c r="Y138" s="67">
        <f t="shared" si="31"/>
        <v>1614</v>
      </c>
      <c r="Z138" s="67">
        <v>0</v>
      </c>
      <c r="AA138" s="68">
        <f t="shared" si="32"/>
        <v>-1614</v>
      </c>
      <c r="AB138" s="66">
        <v>39722</v>
      </c>
      <c r="AC138" s="66">
        <v>39752</v>
      </c>
      <c r="AD138" s="65" t="s">
        <v>74</v>
      </c>
    </row>
    <row r="139" spans="1:30" ht="18" customHeight="1">
      <c r="A139" s="42" t="s">
        <v>93</v>
      </c>
      <c r="B139" s="20">
        <v>0</v>
      </c>
      <c r="C139" s="20">
        <f t="shared" si="28"/>
        <v>1614</v>
      </c>
      <c r="D139" s="20">
        <f t="shared" si="33"/>
        <v>0</v>
      </c>
      <c r="E139" s="20">
        <f t="shared" si="34"/>
        <v>1614</v>
      </c>
      <c r="F139" s="20">
        <v>0</v>
      </c>
      <c r="G139" s="20">
        <f t="shared" si="29"/>
        <v>3228</v>
      </c>
      <c r="H139" s="20">
        <v>0</v>
      </c>
      <c r="I139" s="20">
        <f t="shared" si="39"/>
        <v>42674</v>
      </c>
      <c r="J139" s="20">
        <f t="shared" si="40"/>
        <v>12606</v>
      </c>
      <c r="K139" s="20">
        <f t="shared" si="41"/>
        <v>55280</v>
      </c>
      <c r="L139" s="20">
        <f t="shared" si="42"/>
        <v>284</v>
      </c>
      <c r="M139" s="20">
        <f t="shared" si="43"/>
        <v>84</v>
      </c>
      <c r="N139" s="20">
        <f t="shared" si="38"/>
        <v>368</v>
      </c>
      <c r="O139" s="260"/>
      <c r="Q139" s="65"/>
      <c r="R139" s="65"/>
      <c r="S139" s="65"/>
      <c r="T139" s="66"/>
      <c r="U139" s="67">
        <v>9710</v>
      </c>
      <c r="V139" s="67">
        <v>4200</v>
      </c>
      <c r="W139" s="67">
        <v>2226</v>
      </c>
      <c r="X139" s="67">
        <f t="shared" si="30"/>
        <v>16136</v>
      </c>
      <c r="Y139" s="67">
        <f t="shared" si="31"/>
        <v>1614</v>
      </c>
      <c r="Z139" s="67">
        <v>0</v>
      </c>
      <c r="AA139" s="68">
        <f t="shared" si="32"/>
        <v>-1614</v>
      </c>
      <c r="AB139" s="66">
        <v>39753</v>
      </c>
      <c r="AC139" s="66">
        <v>39782</v>
      </c>
      <c r="AD139" s="65" t="s">
        <v>74</v>
      </c>
    </row>
    <row r="140" spans="1:30" ht="18" customHeight="1">
      <c r="A140" s="42" t="s">
        <v>94</v>
      </c>
      <c r="B140" s="20">
        <v>0</v>
      </c>
      <c r="C140" s="20">
        <f t="shared" si="28"/>
        <v>1614</v>
      </c>
      <c r="D140" s="20">
        <f t="shared" si="33"/>
        <v>0</v>
      </c>
      <c r="E140" s="20">
        <f t="shared" si="34"/>
        <v>1614</v>
      </c>
      <c r="F140" s="20">
        <v>0</v>
      </c>
      <c r="G140" s="20">
        <f t="shared" si="29"/>
        <v>3228</v>
      </c>
      <c r="H140" s="20">
        <v>0</v>
      </c>
      <c r="I140" s="20">
        <f t="shared" si="39"/>
        <v>44288</v>
      </c>
      <c r="J140" s="20">
        <f t="shared" si="40"/>
        <v>14220</v>
      </c>
      <c r="K140" s="20">
        <f t="shared" si="41"/>
        <v>58508</v>
      </c>
      <c r="L140" s="20">
        <f t="shared" si="42"/>
        <v>295</v>
      </c>
      <c r="M140" s="20">
        <f t="shared" si="43"/>
        <v>95</v>
      </c>
      <c r="N140" s="20">
        <f t="shared" si="38"/>
        <v>390</v>
      </c>
      <c r="O140" s="260"/>
      <c r="Q140" s="65"/>
      <c r="R140" s="65"/>
      <c r="S140" s="65"/>
      <c r="T140" s="66"/>
      <c r="U140" s="67">
        <v>9710</v>
      </c>
      <c r="V140" s="67">
        <v>4200</v>
      </c>
      <c r="W140" s="67">
        <v>2226</v>
      </c>
      <c r="X140" s="67">
        <f t="shared" si="30"/>
        <v>16136</v>
      </c>
      <c r="Y140" s="67">
        <f t="shared" si="31"/>
        <v>1614</v>
      </c>
      <c r="Z140" s="67">
        <v>0</v>
      </c>
      <c r="AA140" s="68">
        <f t="shared" si="32"/>
        <v>-1614</v>
      </c>
      <c r="AB140" s="66">
        <v>39783</v>
      </c>
      <c r="AC140" s="66">
        <v>39813</v>
      </c>
      <c r="AD140" s="65" t="s">
        <v>74</v>
      </c>
    </row>
    <row r="141" spans="1:30" ht="18" customHeight="1">
      <c r="A141" s="42" t="s">
        <v>95</v>
      </c>
      <c r="B141" s="20">
        <v>0</v>
      </c>
      <c r="C141" s="20">
        <f t="shared" si="28"/>
        <v>1697</v>
      </c>
      <c r="D141" s="20">
        <f t="shared" si="33"/>
        <v>0</v>
      </c>
      <c r="E141" s="20">
        <f t="shared" si="34"/>
        <v>1697</v>
      </c>
      <c r="F141" s="20">
        <v>0</v>
      </c>
      <c r="G141" s="20">
        <f t="shared" si="29"/>
        <v>3394</v>
      </c>
      <c r="H141" s="20">
        <v>0</v>
      </c>
      <c r="I141" s="20">
        <f t="shared" si="39"/>
        <v>45985</v>
      </c>
      <c r="J141" s="20">
        <f t="shared" si="40"/>
        <v>15917</v>
      </c>
      <c r="K141" s="20">
        <f t="shared" si="41"/>
        <v>61902</v>
      </c>
      <c r="L141" s="20">
        <f t="shared" si="42"/>
        <v>307</v>
      </c>
      <c r="M141" s="20">
        <f t="shared" si="43"/>
        <v>106</v>
      </c>
      <c r="N141" s="20">
        <f t="shared" si="38"/>
        <v>413</v>
      </c>
      <c r="O141" s="260"/>
      <c r="Q141" s="65"/>
      <c r="R141" s="65"/>
      <c r="S141" s="65"/>
      <c r="T141" s="66"/>
      <c r="U141" s="67">
        <v>9710</v>
      </c>
      <c r="V141" s="67">
        <v>4200</v>
      </c>
      <c r="W141" s="67">
        <v>3060</v>
      </c>
      <c r="X141" s="67">
        <f t="shared" si="30"/>
        <v>16970</v>
      </c>
      <c r="Y141" s="67">
        <f t="shared" si="31"/>
        <v>1697</v>
      </c>
      <c r="Z141" s="67">
        <v>0</v>
      </c>
      <c r="AA141" s="68">
        <f t="shared" si="32"/>
        <v>-1697</v>
      </c>
      <c r="AB141" s="66">
        <v>39814</v>
      </c>
      <c r="AC141" s="66">
        <v>39844</v>
      </c>
      <c r="AD141" s="65" t="s">
        <v>74</v>
      </c>
    </row>
    <row r="142" spans="1:30" ht="18" customHeight="1">
      <c r="A142" s="42" t="s">
        <v>96</v>
      </c>
      <c r="B142" s="20">
        <v>0</v>
      </c>
      <c r="C142" s="20">
        <f t="shared" si="28"/>
        <v>1697</v>
      </c>
      <c r="D142" s="20">
        <f t="shared" si="33"/>
        <v>0</v>
      </c>
      <c r="E142" s="20">
        <f t="shared" si="34"/>
        <v>1697</v>
      </c>
      <c r="F142" s="20">
        <v>0</v>
      </c>
      <c r="G142" s="20">
        <f t="shared" si="29"/>
        <v>3394</v>
      </c>
      <c r="H142" s="20">
        <v>0</v>
      </c>
      <c r="I142" s="20">
        <f t="shared" si="39"/>
        <v>47682</v>
      </c>
      <c r="J142" s="20">
        <f t="shared" si="40"/>
        <v>17614</v>
      </c>
      <c r="K142" s="20">
        <f t="shared" si="41"/>
        <v>65296</v>
      </c>
      <c r="L142" s="20">
        <f t="shared" si="42"/>
        <v>318</v>
      </c>
      <c r="M142" s="20">
        <f t="shared" si="43"/>
        <v>117</v>
      </c>
      <c r="N142" s="20">
        <f t="shared" si="38"/>
        <v>435</v>
      </c>
      <c r="O142" s="260"/>
      <c r="Q142" s="65"/>
      <c r="R142" s="65"/>
      <c r="S142" s="65"/>
      <c r="T142" s="66"/>
      <c r="U142" s="67">
        <v>9710</v>
      </c>
      <c r="V142" s="67">
        <v>4200</v>
      </c>
      <c r="W142" s="67">
        <v>3060</v>
      </c>
      <c r="X142" s="67">
        <f t="shared" si="30"/>
        <v>16970</v>
      </c>
      <c r="Y142" s="67">
        <f t="shared" si="31"/>
        <v>1697</v>
      </c>
      <c r="Z142" s="67">
        <v>0</v>
      </c>
      <c r="AA142" s="68">
        <f t="shared" si="32"/>
        <v>-1697</v>
      </c>
      <c r="AB142" s="66">
        <v>39845</v>
      </c>
      <c r="AC142" s="66">
        <v>39872</v>
      </c>
      <c r="AD142" s="65" t="s">
        <v>74</v>
      </c>
    </row>
    <row r="143" spans="1:30" ht="18" customHeight="1" thickBot="1">
      <c r="A143" s="50" t="s">
        <v>97</v>
      </c>
      <c r="B143" s="47">
        <f>Y143</f>
        <v>1697</v>
      </c>
      <c r="C143" s="47">
        <v>0</v>
      </c>
      <c r="D143" s="47">
        <f t="shared" si="33"/>
        <v>1697</v>
      </c>
      <c r="E143" s="47">
        <f t="shared" si="34"/>
        <v>0</v>
      </c>
      <c r="F143" s="47">
        <v>0</v>
      </c>
      <c r="G143" s="47">
        <f t="shared" si="29"/>
        <v>3394</v>
      </c>
      <c r="H143" s="47">
        <v>0</v>
      </c>
      <c r="I143" s="47">
        <f t="shared" si="39"/>
        <v>49379</v>
      </c>
      <c r="J143" s="47">
        <f t="shared" si="40"/>
        <v>19311</v>
      </c>
      <c r="K143" s="47">
        <f t="shared" si="41"/>
        <v>68690</v>
      </c>
      <c r="L143" s="47">
        <f t="shared" si="42"/>
        <v>329</v>
      </c>
      <c r="M143" s="47">
        <f t="shared" si="43"/>
        <v>129</v>
      </c>
      <c r="N143" s="47">
        <f t="shared" si="38"/>
        <v>458</v>
      </c>
      <c r="O143" s="260"/>
      <c r="Q143" s="65"/>
      <c r="R143" s="65"/>
      <c r="S143" s="65"/>
      <c r="T143" s="66"/>
      <c r="U143" s="67">
        <v>9710</v>
      </c>
      <c r="V143" s="67">
        <v>4200</v>
      </c>
      <c r="W143" s="67">
        <v>3060</v>
      </c>
      <c r="X143" s="67">
        <f t="shared" si="30"/>
        <v>16970</v>
      </c>
      <c r="Y143" s="67">
        <f t="shared" si="31"/>
        <v>1697</v>
      </c>
      <c r="Z143" s="67">
        <v>0</v>
      </c>
      <c r="AA143" s="68">
        <f t="shared" si="32"/>
        <v>-1697</v>
      </c>
      <c r="AB143" s="66">
        <v>39873</v>
      </c>
      <c r="AC143" s="66">
        <v>39903</v>
      </c>
      <c r="AD143" s="65" t="s">
        <v>74</v>
      </c>
    </row>
    <row r="144" spans="1:30" ht="18" customHeight="1" thickBot="1">
      <c r="A144" s="55" t="s">
        <v>99</v>
      </c>
      <c r="B144" s="54">
        <f t="shared" ref="B144:N144" si="44">SUM(B132:B143)</f>
        <v>1697</v>
      </c>
      <c r="C144" s="54">
        <f t="shared" si="44"/>
        <v>17614</v>
      </c>
      <c r="D144" s="54">
        <f t="shared" si="44"/>
        <v>1697</v>
      </c>
      <c r="E144" s="54">
        <f t="shared" si="44"/>
        <v>17614</v>
      </c>
      <c r="F144" s="54">
        <f t="shared" si="44"/>
        <v>0</v>
      </c>
      <c r="G144" s="54">
        <f t="shared" si="44"/>
        <v>38622</v>
      </c>
      <c r="H144" s="54">
        <f t="shared" si="44"/>
        <v>0</v>
      </c>
      <c r="I144" s="54">
        <f t="shared" si="44"/>
        <v>483840</v>
      </c>
      <c r="J144" s="54">
        <f t="shared" si="44"/>
        <v>123024</v>
      </c>
      <c r="K144" s="54">
        <f>SUM(K132:K143)</f>
        <v>606864</v>
      </c>
      <c r="L144" s="54">
        <f t="shared" ref="L144:M144" si="45">SUM(L132:L143)</f>
        <v>3226</v>
      </c>
      <c r="M144" s="54">
        <f t="shared" si="45"/>
        <v>820</v>
      </c>
      <c r="N144" s="54">
        <f t="shared" si="44"/>
        <v>4046</v>
      </c>
      <c r="O144" s="56"/>
      <c r="U144" s="31">
        <f t="shared" ref="U144:AA144" si="46">SUM(U132:U143)</f>
        <v>115290</v>
      </c>
      <c r="V144" s="31">
        <f t="shared" si="46"/>
        <v>50400</v>
      </c>
      <c r="W144" s="31">
        <f t="shared" si="46"/>
        <v>27396</v>
      </c>
      <c r="X144" s="31">
        <f t="shared" si="46"/>
        <v>193086</v>
      </c>
      <c r="Y144" s="31">
        <f t="shared" si="46"/>
        <v>19311</v>
      </c>
      <c r="Z144" s="31">
        <f t="shared" si="46"/>
        <v>0</v>
      </c>
      <c r="AA144" s="31">
        <f t="shared" si="46"/>
        <v>-19311</v>
      </c>
    </row>
    <row r="145" spans="1:27" ht="15" thickBo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6"/>
      <c r="L145" s="6"/>
      <c r="M145" s="6"/>
      <c r="N145" s="6"/>
    </row>
    <row r="146" spans="1:27" ht="18" customHeight="1" thickBot="1">
      <c r="A146" s="5"/>
      <c r="B146" s="6"/>
      <c r="C146" s="6"/>
      <c r="D146" s="6"/>
      <c r="E146" s="5"/>
      <c r="F146" s="53">
        <v>1</v>
      </c>
      <c r="G146" s="212" t="s">
        <v>47</v>
      </c>
      <c r="H146" s="212"/>
      <c r="I146" s="212"/>
      <c r="J146" s="212"/>
      <c r="K146" s="213"/>
      <c r="L146" s="54">
        <f>K128</f>
        <v>30068</v>
      </c>
      <c r="M146" s="2"/>
      <c r="O146" s="1"/>
      <c r="S146" s="30"/>
      <c r="T146" s="30"/>
      <c r="Z146" s="1"/>
      <c r="AA146" s="1"/>
    </row>
    <row r="147" spans="1:27" ht="18" customHeight="1" thickBot="1">
      <c r="A147" s="5"/>
      <c r="B147" s="6"/>
      <c r="C147" s="6"/>
      <c r="D147" s="6"/>
      <c r="E147" s="5"/>
      <c r="F147" s="53">
        <v>2</v>
      </c>
      <c r="G147" s="212" t="s">
        <v>344</v>
      </c>
      <c r="H147" s="212"/>
      <c r="I147" s="212"/>
      <c r="J147" s="212"/>
      <c r="K147" s="213"/>
      <c r="L147" s="54">
        <f>B144+C144</f>
        <v>19311</v>
      </c>
      <c r="M147" s="2"/>
      <c r="O147" s="1"/>
      <c r="S147" s="30"/>
      <c r="T147" s="30"/>
      <c r="Z147" s="1"/>
      <c r="AA147" s="1"/>
    </row>
    <row r="148" spans="1:27" ht="18" customHeight="1" thickBot="1">
      <c r="A148" s="5"/>
      <c r="B148" s="6"/>
      <c r="C148" s="6"/>
      <c r="D148" s="6"/>
      <c r="E148" s="5"/>
      <c r="F148" s="53">
        <v>3</v>
      </c>
      <c r="G148" s="212" t="s">
        <v>345</v>
      </c>
      <c r="H148" s="212"/>
      <c r="I148" s="212"/>
      <c r="J148" s="212"/>
      <c r="K148" s="213"/>
      <c r="L148" s="54">
        <f>F144</f>
        <v>0</v>
      </c>
      <c r="M148" s="2"/>
      <c r="O148" s="1"/>
      <c r="S148" s="30"/>
      <c r="T148" s="30"/>
      <c r="Z148" s="1"/>
      <c r="AA148" s="1"/>
    </row>
    <row r="149" spans="1:27" ht="18" customHeight="1" thickBot="1">
      <c r="A149" s="5"/>
      <c r="B149" s="5"/>
      <c r="C149" s="5"/>
      <c r="D149" s="5"/>
      <c r="E149" s="5"/>
      <c r="F149" s="53">
        <v>4</v>
      </c>
      <c r="G149" s="212" t="s">
        <v>346</v>
      </c>
      <c r="H149" s="212"/>
      <c r="I149" s="212"/>
      <c r="J149" s="212"/>
      <c r="K149" s="213"/>
      <c r="L149" s="54">
        <f>L147+L148</f>
        <v>19311</v>
      </c>
      <c r="M149" s="2"/>
      <c r="O149" s="1"/>
      <c r="S149" s="30"/>
      <c r="T149" s="30"/>
      <c r="Z149" s="1"/>
      <c r="AA149" s="1"/>
    </row>
    <row r="150" spans="1:27" ht="18" customHeight="1" thickBot="1">
      <c r="A150" s="5"/>
      <c r="B150" s="5"/>
      <c r="C150" s="5"/>
      <c r="D150" s="5"/>
      <c r="E150" s="5"/>
      <c r="F150" s="53">
        <v>5</v>
      </c>
      <c r="G150" s="212" t="s">
        <v>349</v>
      </c>
      <c r="H150" s="212"/>
      <c r="I150" s="212"/>
      <c r="J150" s="212"/>
      <c r="K150" s="213"/>
      <c r="L150" s="54">
        <f>D144+E144</f>
        <v>19311</v>
      </c>
      <c r="M150" s="2"/>
      <c r="O150" s="1"/>
      <c r="S150" s="30"/>
      <c r="T150" s="30"/>
      <c r="Z150" s="1"/>
      <c r="AA150" s="1"/>
    </row>
    <row r="151" spans="1:27" ht="18" customHeight="1" thickBot="1">
      <c r="A151" s="5"/>
      <c r="B151" s="5"/>
      <c r="C151" s="5"/>
      <c r="D151" s="5"/>
      <c r="E151" s="5"/>
      <c r="F151" s="53">
        <v>6</v>
      </c>
      <c r="G151" s="212" t="s">
        <v>347</v>
      </c>
      <c r="H151" s="212"/>
      <c r="I151" s="212"/>
      <c r="J151" s="212"/>
      <c r="K151" s="213"/>
      <c r="L151" s="54">
        <f>L146+L149+L150</f>
        <v>68690</v>
      </c>
      <c r="M151" s="2"/>
      <c r="O151" s="1"/>
      <c r="S151" s="30"/>
      <c r="T151" s="30"/>
      <c r="Z151" s="1"/>
      <c r="AA151" s="1"/>
    </row>
    <row r="152" spans="1:27" ht="18" customHeight="1" thickBot="1">
      <c r="A152" s="5"/>
      <c r="B152" s="5"/>
      <c r="C152" s="5"/>
      <c r="D152" s="5"/>
      <c r="E152" s="5"/>
      <c r="F152" s="53">
        <v>7</v>
      </c>
      <c r="G152" s="212" t="s">
        <v>50</v>
      </c>
      <c r="H152" s="212"/>
      <c r="I152" s="212"/>
      <c r="J152" s="212"/>
      <c r="K152" s="213"/>
      <c r="L152" s="54">
        <f>H144</f>
        <v>0</v>
      </c>
      <c r="M152" s="2"/>
      <c r="O152" s="1"/>
      <c r="S152" s="30"/>
      <c r="T152" s="30"/>
      <c r="Z152" s="1"/>
      <c r="AA152" s="1"/>
    </row>
    <row r="153" spans="1:27" ht="18" customHeight="1" thickBot="1">
      <c r="A153" s="5"/>
      <c r="B153" s="5"/>
      <c r="C153" s="5"/>
      <c r="D153" s="5"/>
      <c r="E153" s="5"/>
      <c r="F153" s="53">
        <v>8</v>
      </c>
      <c r="G153" s="212" t="s">
        <v>340</v>
      </c>
      <c r="H153" s="212"/>
      <c r="I153" s="212"/>
      <c r="J153" s="212"/>
      <c r="K153" s="213"/>
      <c r="L153" s="54">
        <f>L144</f>
        <v>3226</v>
      </c>
      <c r="M153" s="2"/>
      <c r="O153" s="1"/>
      <c r="S153" s="30"/>
      <c r="T153" s="30"/>
      <c r="Z153" s="1"/>
      <c r="AA153" s="1"/>
    </row>
    <row r="154" spans="1:27" ht="18" customHeight="1" thickBot="1">
      <c r="A154" s="5"/>
      <c r="B154" s="5"/>
      <c r="C154" s="5"/>
      <c r="D154" s="5"/>
      <c r="E154" s="5"/>
      <c r="F154" s="53">
        <v>9</v>
      </c>
      <c r="G154" s="212" t="s">
        <v>355</v>
      </c>
      <c r="H154" s="212"/>
      <c r="I154" s="212"/>
      <c r="J154" s="212"/>
      <c r="K154" s="213"/>
      <c r="L154" s="54">
        <f>M144</f>
        <v>820</v>
      </c>
      <c r="M154" s="2"/>
      <c r="O154" s="1"/>
      <c r="S154" s="30"/>
      <c r="T154" s="30"/>
      <c r="Z154" s="1"/>
      <c r="AA154" s="1"/>
    </row>
    <row r="155" spans="1:27" ht="18" customHeight="1" thickBot="1">
      <c r="A155" s="5"/>
      <c r="B155" s="5"/>
      <c r="C155" s="5"/>
      <c r="D155" s="5"/>
      <c r="E155" s="5"/>
      <c r="F155" s="53">
        <v>10</v>
      </c>
      <c r="G155" s="212" t="s">
        <v>348</v>
      </c>
      <c r="H155" s="212"/>
      <c r="I155" s="212"/>
      <c r="J155" s="212"/>
      <c r="K155" s="213"/>
      <c r="L155" s="54">
        <f>N144</f>
        <v>4046</v>
      </c>
      <c r="M155" s="2"/>
      <c r="O155" s="1"/>
      <c r="S155" s="30"/>
      <c r="T155" s="30"/>
      <c r="Z155" s="1"/>
      <c r="AA155" s="1"/>
    </row>
    <row r="156" spans="1:27" ht="18" customHeight="1" thickBot="1">
      <c r="A156" s="5"/>
      <c r="B156" s="5"/>
      <c r="C156" s="5"/>
      <c r="D156" s="5"/>
      <c r="E156" s="5"/>
      <c r="F156" s="53">
        <v>11</v>
      </c>
      <c r="G156" s="212" t="s">
        <v>358</v>
      </c>
      <c r="H156" s="212"/>
      <c r="I156" s="212"/>
      <c r="J156" s="212"/>
      <c r="K156" s="213"/>
      <c r="L156" s="54">
        <f>L151-L152+L155</f>
        <v>72736</v>
      </c>
      <c r="M156" s="2"/>
      <c r="O156" s="1"/>
      <c r="S156" s="30"/>
      <c r="T156" s="30"/>
      <c r="Z156" s="1"/>
      <c r="AA156" s="1"/>
    </row>
    <row r="157" spans="1:27">
      <c r="A157" s="5"/>
      <c r="B157" s="5"/>
      <c r="C157" s="5"/>
      <c r="D157" s="5"/>
      <c r="E157" s="5"/>
      <c r="F157" s="5"/>
      <c r="G157" s="17"/>
      <c r="H157" s="17"/>
      <c r="I157" s="17"/>
      <c r="J157" s="17"/>
      <c r="K157" s="17"/>
      <c r="L157" s="17"/>
      <c r="M157" s="17"/>
      <c r="N157" s="6"/>
    </row>
    <row r="158" spans="1:27"/>
    <row r="159" spans="1:27"/>
    <row r="160" spans="1:27" ht="16.8">
      <c r="A160" s="249" t="s">
        <v>53</v>
      </c>
      <c r="B160" s="249"/>
      <c r="C160" s="18"/>
      <c r="D160" s="18"/>
      <c r="E160" s="249" t="s">
        <v>54</v>
      </c>
      <c r="F160" s="249"/>
      <c r="G160" s="249"/>
      <c r="H160" s="250" t="s">
        <v>55</v>
      </c>
      <c r="I160" s="250"/>
      <c r="J160" s="250"/>
      <c r="K160" s="250"/>
      <c r="L160" s="250"/>
      <c r="M160" s="250"/>
      <c r="N160" s="250"/>
    </row>
    <row r="161" spans="1:30" ht="16.8">
      <c r="A161" s="18"/>
      <c r="B161" s="18"/>
      <c r="C161" s="18"/>
      <c r="D161" s="18"/>
      <c r="E161" s="18"/>
      <c r="F161" s="18"/>
      <c r="G161" s="19"/>
      <c r="H161" s="19"/>
      <c r="I161" s="19"/>
      <c r="J161" s="19"/>
    </row>
    <row r="162" spans="1:30" ht="16.8">
      <c r="A162" s="18"/>
      <c r="B162" s="18"/>
      <c r="C162" s="18"/>
      <c r="D162" s="18"/>
      <c r="E162" s="18"/>
      <c r="F162" s="18"/>
      <c r="G162" s="19"/>
      <c r="H162" s="19"/>
      <c r="I162" s="19"/>
      <c r="J162" s="19"/>
    </row>
    <row r="163" spans="1:30" ht="18.600000000000001">
      <c r="A163" s="224" t="s">
        <v>0</v>
      </c>
      <c r="B163" s="224"/>
      <c r="C163" s="224"/>
      <c r="D163" s="224"/>
      <c r="E163" s="224"/>
      <c r="F163" s="224"/>
      <c r="G163" s="224"/>
      <c r="H163" s="224"/>
      <c r="I163" s="224"/>
      <c r="J163" s="224"/>
      <c r="K163" s="224"/>
      <c r="L163" s="224"/>
      <c r="M163" s="224"/>
      <c r="N163" s="224"/>
      <c r="O163" s="224"/>
    </row>
    <row r="164" spans="1:30" ht="18.600000000000001">
      <c r="A164" s="224" t="s">
        <v>1</v>
      </c>
      <c r="B164" s="224"/>
      <c r="C164" s="224"/>
      <c r="D164" s="224"/>
      <c r="E164" s="224"/>
      <c r="F164" s="224"/>
      <c r="G164" s="224"/>
      <c r="H164" s="224"/>
      <c r="I164" s="224"/>
      <c r="J164" s="224"/>
      <c r="K164" s="224"/>
      <c r="L164" s="224"/>
      <c r="M164" s="224"/>
      <c r="N164" s="224"/>
      <c r="O164" s="224"/>
    </row>
    <row r="165" spans="1:30"/>
    <row r="166" spans="1:30" ht="15" thickBot="1">
      <c r="A166" s="225" t="s">
        <v>100</v>
      </c>
      <c r="B166" s="225"/>
      <c r="C166" s="225"/>
      <c r="D166" s="225"/>
      <c r="E166" s="225"/>
      <c r="F166" s="225"/>
      <c r="G166" s="225"/>
      <c r="H166" s="225"/>
      <c r="I166" s="225"/>
      <c r="J166" s="225"/>
      <c r="K166" s="225"/>
      <c r="L166" s="225"/>
      <c r="M166" s="225"/>
      <c r="N166" s="225"/>
    </row>
    <row r="167" spans="1:30" ht="36" customHeight="1" thickBot="1">
      <c r="A167" s="55" t="s">
        <v>3</v>
      </c>
      <c r="B167" s="53">
        <f>B124</f>
        <v>9255</v>
      </c>
      <c r="C167" s="5"/>
      <c r="D167" s="5"/>
      <c r="E167" s="211" t="s">
        <v>4</v>
      </c>
      <c r="F167" s="213" t="str">
        <f>F124</f>
        <v>Mahajan Ganesh Trambak</v>
      </c>
      <c r="G167" s="5"/>
      <c r="H167" s="211" t="str">
        <f>H124</f>
        <v>Mahajan Ganesh Trambak</v>
      </c>
      <c r="I167" s="212"/>
      <c r="J167" s="212"/>
      <c r="K167" s="212"/>
      <c r="L167" s="212"/>
      <c r="M167" s="212"/>
      <c r="N167" s="212"/>
      <c r="O167" s="213"/>
    </row>
    <row r="168" spans="1:30" ht="15" thickBot="1">
      <c r="A168" s="5"/>
      <c r="E168" s="5"/>
      <c r="F168" s="5"/>
      <c r="G168" s="5"/>
      <c r="H168" s="5"/>
      <c r="I168" s="5"/>
      <c r="J168" s="5"/>
      <c r="K168" s="6"/>
      <c r="L168" s="6"/>
      <c r="M168" s="6"/>
      <c r="N168" s="5"/>
    </row>
    <row r="169" spans="1:30" ht="36" customHeight="1" thickBot="1">
      <c r="A169" s="55" t="s">
        <v>6</v>
      </c>
      <c r="B169" s="55" t="str">
        <f>B126</f>
        <v>06.06.2007</v>
      </c>
      <c r="C169" s="5"/>
      <c r="D169" s="5"/>
      <c r="E169" s="55" t="s">
        <v>7</v>
      </c>
      <c r="F169" s="55">
        <f>F126</f>
        <v>2301</v>
      </c>
      <c r="G169" s="5"/>
      <c r="H169" s="55" t="s">
        <v>8</v>
      </c>
      <c r="I169" s="211" t="str">
        <f>I126</f>
        <v>Asst. Jr. Engineer</v>
      </c>
      <c r="J169" s="212"/>
      <c r="K169" s="212" t="str">
        <f>K126</f>
        <v>Asst. Jr. Engineer</v>
      </c>
      <c r="L169" s="212"/>
      <c r="M169" s="212"/>
      <c r="N169" s="212"/>
      <c r="O169" s="213"/>
    </row>
    <row r="170" spans="1:30" ht="15" thickBo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6"/>
      <c r="L170" s="6"/>
      <c r="M170" s="6"/>
      <c r="N170" s="5"/>
    </row>
    <row r="171" spans="1:30" ht="24" customHeight="1" thickBot="1">
      <c r="A171" s="55" t="s">
        <v>10</v>
      </c>
      <c r="B171" s="58">
        <v>0.08</v>
      </c>
      <c r="C171" s="5"/>
      <c r="D171" s="5"/>
      <c r="E171" s="55" t="s">
        <v>11</v>
      </c>
      <c r="F171" s="58">
        <v>0</v>
      </c>
      <c r="G171" s="5"/>
      <c r="H171" s="239" t="s">
        <v>12</v>
      </c>
      <c r="I171" s="240"/>
      <c r="J171" s="241"/>
      <c r="K171" s="242">
        <f>L156</f>
        <v>72736</v>
      </c>
      <c r="L171" s="243"/>
      <c r="M171" s="243"/>
      <c r="N171" s="243"/>
      <c r="O171" s="244"/>
    </row>
    <row r="172" spans="1:30" ht="15" thickBo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6"/>
      <c r="L172" s="6"/>
      <c r="M172" s="6"/>
      <c r="N172" s="5"/>
    </row>
    <row r="173" spans="1:30" ht="39.9" customHeight="1" thickBot="1">
      <c r="A173" s="235" t="s">
        <v>13</v>
      </c>
      <c r="B173" s="256" t="s">
        <v>14</v>
      </c>
      <c r="C173" s="257"/>
      <c r="D173" s="256" t="s">
        <v>349</v>
      </c>
      <c r="E173" s="257"/>
      <c r="F173" s="235" t="s">
        <v>342</v>
      </c>
      <c r="G173" s="235" t="s">
        <v>16</v>
      </c>
      <c r="H173" s="235" t="s">
        <v>17</v>
      </c>
      <c r="I173" s="235" t="s">
        <v>341</v>
      </c>
      <c r="J173" s="235" t="s">
        <v>354</v>
      </c>
      <c r="K173" s="254" t="s">
        <v>353</v>
      </c>
      <c r="L173" s="254" t="s">
        <v>340</v>
      </c>
      <c r="M173" s="254" t="s">
        <v>355</v>
      </c>
      <c r="N173" s="254" t="s">
        <v>343</v>
      </c>
      <c r="O173" s="247" t="s">
        <v>20</v>
      </c>
      <c r="Q173" s="12" t="s">
        <v>27</v>
      </c>
      <c r="R173" s="12" t="s">
        <v>28</v>
      </c>
      <c r="S173" s="12" t="s">
        <v>29</v>
      </c>
      <c r="T173" s="12" t="s">
        <v>30</v>
      </c>
      <c r="U173" s="12" t="s">
        <v>21</v>
      </c>
      <c r="V173" s="12" t="s">
        <v>22</v>
      </c>
      <c r="W173" s="12" t="s">
        <v>23</v>
      </c>
      <c r="X173" s="12" t="s">
        <v>24</v>
      </c>
      <c r="Y173" s="12" t="s">
        <v>356</v>
      </c>
      <c r="Z173" s="12" t="s">
        <v>336</v>
      </c>
      <c r="AA173" s="12" t="s">
        <v>26</v>
      </c>
      <c r="AB173" s="12" t="s">
        <v>31</v>
      </c>
      <c r="AC173" s="12" t="s">
        <v>32</v>
      </c>
      <c r="AD173" s="12" t="s">
        <v>333</v>
      </c>
    </row>
    <row r="174" spans="1:30" ht="39.9" customHeight="1" thickBot="1">
      <c r="A174" s="236"/>
      <c r="B174" s="55" t="s">
        <v>350</v>
      </c>
      <c r="C174" s="55" t="s">
        <v>351</v>
      </c>
      <c r="D174" s="55" t="s">
        <v>350</v>
      </c>
      <c r="E174" s="55" t="s">
        <v>351</v>
      </c>
      <c r="F174" s="236"/>
      <c r="G174" s="236"/>
      <c r="H174" s="236"/>
      <c r="I174" s="236"/>
      <c r="J174" s="236"/>
      <c r="K174" s="255"/>
      <c r="L174" s="255"/>
      <c r="M174" s="255"/>
      <c r="N174" s="255"/>
      <c r="O174" s="248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</row>
    <row r="175" spans="1:30" ht="15.75" customHeight="1">
      <c r="A175" s="42" t="s">
        <v>101</v>
      </c>
      <c r="B175" s="20">
        <f>Y175</f>
        <v>1697</v>
      </c>
      <c r="C175" s="20">
        <v>0</v>
      </c>
      <c r="D175" s="20">
        <f>B175</f>
        <v>1697</v>
      </c>
      <c r="E175" s="20">
        <f>C175</f>
        <v>0</v>
      </c>
      <c r="F175" s="20">
        <v>0</v>
      </c>
      <c r="G175" s="20">
        <f t="shared" ref="G175:G186" si="47">(B175+C175+F175)+(D175+E175)</f>
        <v>3394</v>
      </c>
      <c r="H175" s="20">
        <v>0</v>
      </c>
      <c r="I175" s="20">
        <f>(K171+B175+C175+F175)-H175</f>
        <v>74433</v>
      </c>
      <c r="J175" s="20">
        <f>(D175+E175)</f>
        <v>1697</v>
      </c>
      <c r="K175" s="20">
        <f>(K171+G175)-H175</f>
        <v>76130</v>
      </c>
      <c r="L175" s="20">
        <f>ROUND((I175*8/100)/12,0)</f>
        <v>496</v>
      </c>
      <c r="M175" s="20">
        <f>ROUND((J175*8/100)/12,0)</f>
        <v>11</v>
      </c>
      <c r="N175" s="20">
        <f t="shared" ref="N175:N186" si="48">L175+M175</f>
        <v>507</v>
      </c>
      <c r="O175" s="210" t="s">
        <v>34</v>
      </c>
      <c r="Q175" s="65"/>
      <c r="R175" s="65"/>
      <c r="S175" s="65"/>
      <c r="T175" s="66"/>
      <c r="U175" s="67">
        <v>9710</v>
      </c>
      <c r="V175" s="67">
        <v>4200</v>
      </c>
      <c r="W175" s="67">
        <v>3060</v>
      </c>
      <c r="X175" s="67">
        <f t="shared" ref="X175:X186" si="49">U175+V175+W175</f>
        <v>16970</v>
      </c>
      <c r="Y175" s="67">
        <f t="shared" ref="Y175:Y186" si="50">ROUND(X175*10%,0)</f>
        <v>1697</v>
      </c>
      <c r="Z175" s="67">
        <v>1000</v>
      </c>
      <c r="AA175" s="67">
        <f t="shared" ref="AA175:AA186" si="51">Z175-Y175</f>
        <v>-697</v>
      </c>
      <c r="AB175" s="66">
        <v>39904</v>
      </c>
      <c r="AC175" s="65" t="s">
        <v>335</v>
      </c>
      <c r="AD175" s="65" t="s">
        <v>74</v>
      </c>
    </row>
    <row r="176" spans="1:30" ht="15.75" customHeight="1">
      <c r="A176" s="42" t="s">
        <v>102</v>
      </c>
      <c r="B176" s="20">
        <f t="shared" ref="B176:B186" si="52">Y176</f>
        <v>1697</v>
      </c>
      <c r="C176" s="20">
        <v>0</v>
      </c>
      <c r="D176" s="20">
        <f t="shared" ref="D176:D186" si="53">B176</f>
        <v>1697</v>
      </c>
      <c r="E176" s="20">
        <f t="shared" ref="E176:E186" si="54">C176</f>
        <v>0</v>
      </c>
      <c r="F176" s="20">
        <v>0</v>
      </c>
      <c r="G176" s="20">
        <f t="shared" si="47"/>
        <v>3394</v>
      </c>
      <c r="H176" s="20">
        <v>0</v>
      </c>
      <c r="I176" s="20">
        <f>(I175+B176+C176+F176)-H176</f>
        <v>76130</v>
      </c>
      <c r="J176" s="20">
        <f>(J175+D176+E176)</f>
        <v>3394</v>
      </c>
      <c r="K176" s="20">
        <f t="shared" ref="K176:K177" si="55">(K175+G176)-H176</f>
        <v>79524</v>
      </c>
      <c r="L176" s="20">
        <f t="shared" ref="L176:L177" si="56">ROUND((I176*8/100)/12,0)</f>
        <v>508</v>
      </c>
      <c r="M176" s="20">
        <f t="shared" ref="M176:M177" si="57">ROUND((J176*8/100)/12,0)</f>
        <v>23</v>
      </c>
      <c r="N176" s="20">
        <f t="shared" si="48"/>
        <v>531</v>
      </c>
      <c r="O176" s="210"/>
      <c r="Q176" s="65"/>
      <c r="R176" s="65"/>
      <c r="S176" s="65"/>
      <c r="T176" s="66"/>
      <c r="U176" s="67">
        <v>9710</v>
      </c>
      <c r="V176" s="67">
        <v>4200</v>
      </c>
      <c r="W176" s="67">
        <v>3060</v>
      </c>
      <c r="X176" s="67">
        <f t="shared" si="49"/>
        <v>16970</v>
      </c>
      <c r="Y176" s="67">
        <f t="shared" si="50"/>
        <v>1697</v>
      </c>
      <c r="Z176" s="67">
        <v>1000</v>
      </c>
      <c r="AA176" s="67">
        <f t="shared" si="51"/>
        <v>-697</v>
      </c>
      <c r="AB176" s="66">
        <v>39934</v>
      </c>
      <c r="AC176" s="66">
        <v>39963</v>
      </c>
      <c r="AD176" s="65" t="s">
        <v>74</v>
      </c>
    </row>
    <row r="177" spans="1:30" ht="15.75" customHeight="1">
      <c r="A177" s="42" t="s">
        <v>103</v>
      </c>
      <c r="B177" s="20">
        <f t="shared" si="52"/>
        <v>1697</v>
      </c>
      <c r="C177" s="20">
        <v>0</v>
      </c>
      <c r="D177" s="20">
        <f t="shared" si="53"/>
        <v>1697</v>
      </c>
      <c r="E177" s="20">
        <f t="shared" si="54"/>
        <v>0</v>
      </c>
      <c r="F177" s="20">
        <v>0</v>
      </c>
      <c r="G177" s="20">
        <f t="shared" si="47"/>
        <v>3394</v>
      </c>
      <c r="H177" s="20">
        <v>0</v>
      </c>
      <c r="I177" s="20">
        <f t="shared" ref="I177" si="58">(I176+B177+C177+F177)-H177</f>
        <v>77827</v>
      </c>
      <c r="J177" s="20">
        <f t="shared" ref="J177" si="59">(J176+D177+E177)</f>
        <v>5091</v>
      </c>
      <c r="K177" s="20">
        <f t="shared" si="55"/>
        <v>82918</v>
      </c>
      <c r="L177" s="20">
        <f t="shared" si="56"/>
        <v>519</v>
      </c>
      <c r="M177" s="20">
        <f t="shared" si="57"/>
        <v>34</v>
      </c>
      <c r="N177" s="20">
        <f t="shared" si="48"/>
        <v>553</v>
      </c>
      <c r="O177" s="210"/>
      <c r="Q177" s="65"/>
      <c r="R177" s="65"/>
      <c r="S177" s="65"/>
      <c r="T177" s="66"/>
      <c r="U177" s="67">
        <v>9710</v>
      </c>
      <c r="V177" s="67">
        <v>4200</v>
      </c>
      <c r="W177" s="67">
        <v>3060</v>
      </c>
      <c r="X177" s="67">
        <f t="shared" si="49"/>
        <v>16970</v>
      </c>
      <c r="Y177" s="67">
        <f t="shared" si="50"/>
        <v>1697</v>
      </c>
      <c r="Z177" s="67">
        <v>1000</v>
      </c>
      <c r="AA177" s="67">
        <f t="shared" si="51"/>
        <v>-697</v>
      </c>
      <c r="AB177" s="66">
        <v>39965</v>
      </c>
      <c r="AC177" s="66">
        <v>39994</v>
      </c>
      <c r="AD177" s="65" t="s">
        <v>74</v>
      </c>
    </row>
    <row r="178" spans="1:30" ht="15.75" customHeight="1">
      <c r="A178" s="42" t="s">
        <v>104</v>
      </c>
      <c r="B178" s="20">
        <f t="shared" si="52"/>
        <v>1820</v>
      </c>
      <c r="C178" s="20">
        <v>0</v>
      </c>
      <c r="D178" s="20">
        <f t="shared" si="53"/>
        <v>1820</v>
      </c>
      <c r="E178" s="20">
        <f t="shared" si="54"/>
        <v>0</v>
      </c>
      <c r="F178" s="20">
        <v>0</v>
      </c>
      <c r="G178" s="20">
        <f t="shared" si="47"/>
        <v>3640</v>
      </c>
      <c r="H178" s="20">
        <v>0</v>
      </c>
      <c r="I178" s="20">
        <f t="shared" ref="I178:I186" si="60">(I177+B178+C178+F178)-H178</f>
        <v>79647</v>
      </c>
      <c r="J178" s="20">
        <f t="shared" ref="J178:J186" si="61">(J177+D178+E178)</f>
        <v>6911</v>
      </c>
      <c r="K178" s="20">
        <f t="shared" ref="K178:K186" si="62">(K177+G178)-H178</f>
        <v>86558</v>
      </c>
      <c r="L178" s="20">
        <f t="shared" ref="L178:L186" si="63">ROUND((I178*8/100)/12,0)</f>
        <v>531</v>
      </c>
      <c r="M178" s="20">
        <f t="shared" ref="M178:M186" si="64">ROUND((J178*8/100)/12,0)</f>
        <v>46</v>
      </c>
      <c r="N178" s="20">
        <f t="shared" si="48"/>
        <v>577</v>
      </c>
      <c r="O178" s="210"/>
      <c r="Q178" s="65"/>
      <c r="R178" s="65"/>
      <c r="S178" s="65"/>
      <c r="T178" s="66"/>
      <c r="U178" s="67">
        <v>10130</v>
      </c>
      <c r="V178" s="67">
        <v>4200</v>
      </c>
      <c r="W178" s="67">
        <v>3869</v>
      </c>
      <c r="X178" s="67">
        <f t="shared" si="49"/>
        <v>18199</v>
      </c>
      <c r="Y178" s="67">
        <f t="shared" si="50"/>
        <v>1820</v>
      </c>
      <c r="Z178" s="67">
        <v>1000</v>
      </c>
      <c r="AA178" s="67">
        <f t="shared" si="51"/>
        <v>-820</v>
      </c>
      <c r="AB178" s="66">
        <v>39995</v>
      </c>
      <c r="AC178" s="66">
        <v>40025</v>
      </c>
      <c r="AD178" s="65" t="s">
        <v>74</v>
      </c>
    </row>
    <row r="179" spans="1:30" ht="15.75" customHeight="1">
      <c r="A179" s="42" t="s">
        <v>105</v>
      </c>
      <c r="B179" s="20">
        <f t="shared" si="52"/>
        <v>1820</v>
      </c>
      <c r="C179" s="20">
        <v>0</v>
      </c>
      <c r="D179" s="20">
        <f t="shared" si="53"/>
        <v>1820</v>
      </c>
      <c r="E179" s="20">
        <f t="shared" si="54"/>
        <v>0</v>
      </c>
      <c r="F179" s="20">
        <v>0</v>
      </c>
      <c r="G179" s="20">
        <f t="shared" si="47"/>
        <v>3640</v>
      </c>
      <c r="H179" s="20">
        <v>0</v>
      </c>
      <c r="I179" s="20">
        <f t="shared" si="60"/>
        <v>81467</v>
      </c>
      <c r="J179" s="20">
        <f t="shared" si="61"/>
        <v>8731</v>
      </c>
      <c r="K179" s="20">
        <f t="shared" si="62"/>
        <v>90198</v>
      </c>
      <c r="L179" s="20">
        <f t="shared" si="63"/>
        <v>543</v>
      </c>
      <c r="M179" s="20">
        <f t="shared" si="64"/>
        <v>58</v>
      </c>
      <c r="N179" s="20">
        <f t="shared" si="48"/>
        <v>601</v>
      </c>
      <c r="O179" s="210"/>
      <c r="Q179" s="65"/>
      <c r="R179" s="65"/>
      <c r="S179" s="65"/>
      <c r="T179" s="66"/>
      <c r="U179" s="67">
        <v>10130</v>
      </c>
      <c r="V179" s="67">
        <v>4200</v>
      </c>
      <c r="W179" s="67">
        <v>3869</v>
      </c>
      <c r="X179" s="67">
        <f t="shared" si="49"/>
        <v>18199</v>
      </c>
      <c r="Y179" s="67">
        <f t="shared" si="50"/>
        <v>1820</v>
      </c>
      <c r="Z179" s="67">
        <v>1000</v>
      </c>
      <c r="AA179" s="67">
        <f t="shared" si="51"/>
        <v>-820</v>
      </c>
      <c r="AB179" s="66">
        <v>40026</v>
      </c>
      <c r="AC179" s="66">
        <v>40056</v>
      </c>
      <c r="AD179" s="65" t="s">
        <v>74</v>
      </c>
    </row>
    <row r="180" spans="1:30" ht="15.75" customHeight="1">
      <c r="A180" s="42" t="s">
        <v>106</v>
      </c>
      <c r="B180" s="20">
        <f t="shared" si="52"/>
        <v>1820</v>
      </c>
      <c r="C180" s="20">
        <v>0</v>
      </c>
      <c r="D180" s="20">
        <f t="shared" si="53"/>
        <v>1820</v>
      </c>
      <c r="E180" s="20">
        <f t="shared" si="54"/>
        <v>0</v>
      </c>
      <c r="F180" s="20">
        <v>0</v>
      </c>
      <c r="G180" s="20">
        <f t="shared" si="47"/>
        <v>3640</v>
      </c>
      <c r="H180" s="20">
        <v>0</v>
      </c>
      <c r="I180" s="20">
        <f t="shared" si="60"/>
        <v>83287</v>
      </c>
      <c r="J180" s="20">
        <f t="shared" si="61"/>
        <v>10551</v>
      </c>
      <c r="K180" s="20">
        <f t="shared" si="62"/>
        <v>93838</v>
      </c>
      <c r="L180" s="20">
        <f t="shared" si="63"/>
        <v>555</v>
      </c>
      <c r="M180" s="20">
        <f t="shared" si="64"/>
        <v>70</v>
      </c>
      <c r="N180" s="20">
        <f t="shared" si="48"/>
        <v>625</v>
      </c>
      <c r="O180" s="210"/>
      <c r="Q180" s="65"/>
      <c r="R180" s="65"/>
      <c r="S180" s="65"/>
      <c r="T180" s="66"/>
      <c r="U180" s="67">
        <v>10130</v>
      </c>
      <c r="V180" s="67">
        <v>4200</v>
      </c>
      <c r="W180" s="67">
        <v>3869</v>
      </c>
      <c r="X180" s="67">
        <f t="shared" si="49"/>
        <v>18199</v>
      </c>
      <c r="Y180" s="67">
        <f t="shared" si="50"/>
        <v>1820</v>
      </c>
      <c r="Z180" s="67">
        <v>1000</v>
      </c>
      <c r="AA180" s="67">
        <f t="shared" si="51"/>
        <v>-820</v>
      </c>
      <c r="AB180" s="66">
        <v>40057</v>
      </c>
      <c r="AC180" s="66">
        <v>40086</v>
      </c>
      <c r="AD180" s="65" t="s">
        <v>74</v>
      </c>
    </row>
    <row r="181" spans="1:30" ht="15.75" customHeight="1">
      <c r="A181" s="42" t="s">
        <v>107</v>
      </c>
      <c r="B181" s="20">
        <f t="shared" si="52"/>
        <v>1820</v>
      </c>
      <c r="C181" s="20">
        <v>0</v>
      </c>
      <c r="D181" s="20">
        <f t="shared" si="53"/>
        <v>1820</v>
      </c>
      <c r="E181" s="20">
        <f t="shared" si="54"/>
        <v>0</v>
      </c>
      <c r="F181" s="20">
        <v>0</v>
      </c>
      <c r="G181" s="20">
        <f t="shared" si="47"/>
        <v>3640</v>
      </c>
      <c r="H181" s="20">
        <v>0</v>
      </c>
      <c r="I181" s="20">
        <f t="shared" si="60"/>
        <v>85107</v>
      </c>
      <c r="J181" s="20">
        <f t="shared" si="61"/>
        <v>12371</v>
      </c>
      <c r="K181" s="20">
        <f t="shared" si="62"/>
        <v>97478</v>
      </c>
      <c r="L181" s="20">
        <f t="shared" si="63"/>
        <v>567</v>
      </c>
      <c r="M181" s="20">
        <f t="shared" si="64"/>
        <v>82</v>
      </c>
      <c r="N181" s="20">
        <f t="shared" si="48"/>
        <v>649</v>
      </c>
      <c r="O181" s="210"/>
      <c r="Q181" s="65"/>
      <c r="R181" s="65"/>
      <c r="S181" s="65"/>
      <c r="T181" s="66"/>
      <c r="U181" s="67">
        <v>10130</v>
      </c>
      <c r="V181" s="67">
        <v>4200</v>
      </c>
      <c r="W181" s="67">
        <v>3869</v>
      </c>
      <c r="X181" s="67">
        <f t="shared" si="49"/>
        <v>18199</v>
      </c>
      <c r="Y181" s="67">
        <f t="shared" si="50"/>
        <v>1820</v>
      </c>
      <c r="Z181" s="67">
        <v>1000</v>
      </c>
      <c r="AA181" s="67">
        <f t="shared" si="51"/>
        <v>-820</v>
      </c>
      <c r="AB181" s="66">
        <v>40087</v>
      </c>
      <c r="AC181" s="66">
        <v>40117</v>
      </c>
      <c r="AD181" s="65" t="s">
        <v>74</v>
      </c>
    </row>
    <row r="182" spans="1:30" ht="15.75" customHeight="1">
      <c r="A182" s="42" t="s">
        <v>108</v>
      </c>
      <c r="B182" s="20">
        <f t="shared" si="52"/>
        <v>1820</v>
      </c>
      <c r="C182" s="20">
        <v>0</v>
      </c>
      <c r="D182" s="20">
        <f t="shared" si="53"/>
        <v>1820</v>
      </c>
      <c r="E182" s="20">
        <f t="shared" si="54"/>
        <v>0</v>
      </c>
      <c r="F182" s="20">
        <v>0</v>
      </c>
      <c r="G182" s="20">
        <f t="shared" si="47"/>
        <v>3640</v>
      </c>
      <c r="H182" s="20">
        <v>0</v>
      </c>
      <c r="I182" s="20">
        <f t="shared" si="60"/>
        <v>86927</v>
      </c>
      <c r="J182" s="20">
        <f t="shared" si="61"/>
        <v>14191</v>
      </c>
      <c r="K182" s="20">
        <f t="shared" si="62"/>
        <v>101118</v>
      </c>
      <c r="L182" s="20">
        <f t="shared" si="63"/>
        <v>580</v>
      </c>
      <c r="M182" s="20">
        <f t="shared" si="64"/>
        <v>95</v>
      </c>
      <c r="N182" s="20">
        <f t="shared" si="48"/>
        <v>675</v>
      </c>
      <c r="O182" s="210"/>
      <c r="Q182" s="65"/>
      <c r="R182" s="65"/>
      <c r="S182" s="65"/>
      <c r="T182" s="66"/>
      <c r="U182" s="67">
        <v>10130</v>
      </c>
      <c r="V182" s="67">
        <v>4200</v>
      </c>
      <c r="W182" s="67">
        <v>3869</v>
      </c>
      <c r="X182" s="67">
        <f t="shared" si="49"/>
        <v>18199</v>
      </c>
      <c r="Y182" s="67">
        <f t="shared" si="50"/>
        <v>1820</v>
      </c>
      <c r="Z182" s="67">
        <v>1000</v>
      </c>
      <c r="AA182" s="67">
        <f t="shared" si="51"/>
        <v>-820</v>
      </c>
      <c r="AB182" s="66">
        <v>40118</v>
      </c>
      <c r="AC182" s="66">
        <v>40147</v>
      </c>
      <c r="AD182" s="65" t="s">
        <v>74</v>
      </c>
    </row>
    <row r="183" spans="1:30" ht="15.75" customHeight="1">
      <c r="A183" s="42" t="s">
        <v>109</v>
      </c>
      <c r="B183" s="20">
        <f t="shared" si="52"/>
        <v>1820</v>
      </c>
      <c r="C183" s="20">
        <v>0</v>
      </c>
      <c r="D183" s="20">
        <f t="shared" si="53"/>
        <v>1820</v>
      </c>
      <c r="E183" s="20">
        <f t="shared" si="54"/>
        <v>0</v>
      </c>
      <c r="F183" s="20">
        <v>0</v>
      </c>
      <c r="G183" s="20">
        <f t="shared" si="47"/>
        <v>3640</v>
      </c>
      <c r="H183" s="20">
        <v>0</v>
      </c>
      <c r="I183" s="20">
        <f t="shared" si="60"/>
        <v>88747</v>
      </c>
      <c r="J183" s="20">
        <f t="shared" si="61"/>
        <v>16011</v>
      </c>
      <c r="K183" s="20">
        <f t="shared" si="62"/>
        <v>104758</v>
      </c>
      <c r="L183" s="20">
        <f t="shared" si="63"/>
        <v>592</v>
      </c>
      <c r="M183" s="20">
        <f t="shared" si="64"/>
        <v>107</v>
      </c>
      <c r="N183" s="20">
        <f t="shared" si="48"/>
        <v>699</v>
      </c>
      <c r="O183" s="210"/>
      <c r="Q183" s="65"/>
      <c r="R183" s="65"/>
      <c r="S183" s="65"/>
      <c r="T183" s="66"/>
      <c r="U183" s="67">
        <v>10130</v>
      </c>
      <c r="V183" s="67">
        <v>4200</v>
      </c>
      <c r="W183" s="67">
        <v>3869</v>
      </c>
      <c r="X183" s="67">
        <f t="shared" si="49"/>
        <v>18199</v>
      </c>
      <c r="Y183" s="67">
        <f t="shared" si="50"/>
        <v>1820</v>
      </c>
      <c r="Z183" s="67">
        <v>1000</v>
      </c>
      <c r="AA183" s="67">
        <f t="shared" si="51"/>
        <v>-820</v>
      </c>
      <c r="AB183" s="66">
        <v>40148</v>
      </c>
      <c r="AC183" s="66">
        <v>40178</v>
      </c>
      <c r="AD183" s="65" t="s">
        <v>74</v>
      </c>
    </row>
    <row r="184" spans="1:30" ht="15.75" customHeight="1">
      <c r="A184" s="42" t="s">
        <v>110</v>
      </c>
      <c r="B184" s="20">
        <f t="shared" si="52"/>
        <v>1820</v>
      </c>
      <c r="C184" s="20">
        <v>0</v>
      </c>
      <c r="D184" s="20">
        <f t="shared" si="53"/>
        <v>1820</v>
      </c>
      <c r="E184" s="20">
        <f t="shared" si="54"/>
        <v>0</v>
      </c>
      <c r="F184" s="20">
        <v>0</v>
      </c>
      <c r="G184" s="20">
        <f t="shared" si="47"/>
        <v>3640</v>
      </c>
      <c r="H184" s="20">
        <v>0</v>
      </c>
      <c r="I184" s="20">
        <f t="shared" si="60"/>
        <v>90567</v>
      </c>
      <c r="J184" s="20">
        <f t="shared" si="61"/>
        <v>17831</v>
      </c>
      <c r="K184" s="20">
        <f t="shared" si="62"/>
        <v>108398</v>
      </c>
      <c r="L184" s="20">
        <f t="shared" si="63"/>
        <v>604</v>
      </c>
      <c r="M184" s="20">
        <f t="shared" si="64"/>
        <v>119</v>
      </c>
      <c r="N184" s="20">
        <f t="shared" si="48"/>
        <v>723</v>
      </c>
      <c r="O184" s="210"/>
      <c r="Q184" s="65"/>
      <c r="R184" s="65"/>
      <c r="S184" s="65"/>
      <c r="T184" s="66"/>
      <c r="U184" s="67">
        <v>10130</v>
      </c>
      <c r="V184" s="67">
        <v>4200</v>
      </c>
      <c r="W184" s="67">
        <v>3869</v>
      </c>
      <c r="X184" s="67">
        <f t="shared" si="49"/>
        <v>18199</v>
      </c>
      <c r="Y184" s="67">
        <f t="shared" si="50"/>
        <v>1820</v>
      </c>
      <c r="Z184" s="67">
        <v>1000</v>
      </c>
      <c r="AA184" s="67">
        <f t="shared" si="51"/>
        <v>-820</v>
      </c>
      <c r="AB184" s="66">
        <v>40179</v>
      </c>
      <c r="AC184" s="66">
        <v>40209</v>
      </c>
      <c r="AD184" s="65" t="s">
        <v>74</v>
      </c>
    </row>
    <row r="185" spans="1:30" ht="15.75" customHeight="1">
      <c r="A185" s="42" t="s">
        <v>111</v>
      </c>
      <c r="B185" s="20">
        <f t="shared" si="52"/>
        <v>1820</v>
      </c>
      <c r="C185" s="20">
        <v>0</v>
      </c>
      <c r="D185" s="20">
        <f t="shared" si="53"/>
        <v>1820</v>
      </c>
      <c r="E185" s="20">
        <f t="shared" si="54"/>
        <v>0</v>
      </c>
      <c r="F185" s="20">
        <v>0</v>
      </c>
      <c r="G185" s="20">
        <f t="shared" si="47"/>
        <v>3640</v>
      </c>
      <c r="H185" s="20">
        <v>0</v>
      </c>
      <c r="I185" s="20">
        <f t="shared" si="60"/>
        <v>92387</v>
      </c>
      <c r="J185" s="20">
        <f t="shared" si="61"/>
        <v>19651</v>
      </c>
      <c r="K185" s="20">
        <f t="shared" si="62"/>
        <v>112038</v>
      </c>
      <c r="L185" s="20">
        <f t="shared" si="63"/>
        <v>616</v>
      </c>
      <c r="M185" s="20">
        <f t="shared" si="64"/>
        <v>131</v>
      </c>
      <c r="N185" s="20">
        <f t="shared" si="48"/>
        <v>747</v>
      </c>
      <c r="O185" s="210"/>
      <c r="Q185" s="65"/>
      <c r="R185" s="65"/>
      <c r="S185" s="65"/>
      <c r="T185" s="66"/>
      <c r="U185" s="67">
        <v>10130</v>
      </c>
      <c r="V185" s="67">
        <v>4200</v>
      </c>
      <c r="W185" s="67">
        <v>3869</v>
      </c>
      <c r="X185" s="67">
        <f t="shared" si="49"/>
        <v>18199</v>
      </c>
      <c r="Y185" s="67">
        <f t="shared" si="50"/>
        <v>1820</v>
      </c>
      <c r="Z185" s="67">
        <v>1000</v>
      </c>
      <c r="AA185" s="67">
        <f t="shared" si="51"/>
        <v>-820</v>
      </c>
      <c r="AB185" s="66">
        <v>40210</v>
      </c>
      <c r="AC185" s="66">
        <v>40235</v>
      </c>
      <c r="AD185" s="65" t="s">
        <v>74</v>
      </c>
    </row>
    <row r="186" spans="1:30" ht="15.75" customHeight="1" thickBot="1">
      <c r="A186" s="50" t="s">
        <v>112</v>
      </c>
      <c r="B186" s="47">
        <f t="shared" si="52"/>
        <v>1820</v>
      </c>
      <c r="C186" s="47">
        <v>0</v>
      </c>
      <c r="D186" s="47">
        <f t="shared" si="53"/>
        <v>1820</v>
      </c>
      <c r="E186" s="47">
        <f t="shared" si="54"/>
        <v>0</v>
      </c>
      <c r="F186" s="47">
        <v>0</v>
      </c>
      <c r="G186" s="47">
        <f t="shared" si="47"/>
        <v>3640</v>
      </c>
      <c r="H186" s="47">
        <v>0</v>
      </c>
      <c r="I186" s="47">
        <f t="shared" si="60"/>
        <v>94207</v>
      </c>
      <c r="J186" s="47">
        <f t="shared" si="61"/>
        <v>21471</v>
      </c>
      <c r="K186" s="47">
        <f t="shared" si="62"/>
        <v>115678</v>
      </c>
      <c r="L186" s="47">
        <f t="shared" si="63"/>
        <v>628</v>
      </c>
      <c r="M186" s="47">
        <f t="shared" si="64"/>
        <v>143</v>
      </c>
      <c r="N186" s="47">
        <f t="shared" si="48"/>
        <v>771</v>
      </c>
      <c r="O186" s="253"/>
      <c r="Q186" s="65"/>
      <c r="R186" s="65"/>
      <c r="S186" s="65"/>
      <c r="T186" s="66"/>
      <c r="U186" s="67">
        <v>10130</v>
      </c>
      <c r="V186" s="67">
        <v>4200</v>
      </c>
      <c r="W186" s="67">
        <v>3869</v>
      </c>
      <c r="X186" s="67">
        <f t="shared" si="49"/>
        <v>18199</v>
      </c>
      <c r="Y186" s="67">
        <f t="shared" si="50"/>
        <v>1820</v>
      </c>
      <c r="Z186" s="67">
        <v>2000</v>
      </c>
      <c r="AA186" s="67">
        <f t="shared" si="51"/>
        <v>180</v>
      </c>
      <c r="AB186" s="66">
        <v>40238</v>
      </c>
      <c r="AC186" s="66">
        <v>40268</v>
      </c>
      <c r="AD186" s="65" t="s">
        <v>74</v>
      </c>
    </row>
    <row r="187" spans="1:30" ht="15" thickBot="1">
      <c r="A187" s="55" t="s">
        <v>113</v>
      </c>
      <c r="B187" s="54">
        <f t="shared" ref="B187:M187" si="65">SUM(B175:B186)</f>
        <v>21471</v>
      </c>
      <c r="C187" s="54">
        <f t="shared" si="65"/>
        <v>0</v>
      </c>
      <c r="D187" s="54">
        <f t="shared" si="65"/>
        <v>21471</v>
      </c>
      <c r="E187" s="54">
        <f t="shared" si="65"/>
        <v>0</v>
      </c>
      <c r="F187" s="54">
        <f t="shared" si="65"/>
        <v>0</v>
      </c>
      <c r="G187" s="54">
        <f t="shared" si="65"/>
        <v>42942</v>
      </c>
      <c r="H187" s="54">
        <f t="shared" si="65"/>
        <v>0</v>
      </c>
      <c r="I187" s="54">
        <f t="shared" si="65"/>
        <v>1010733</v>
      </c>
      <c r="J187" s="54">
        <f t="shared" si="65"/>
        <v>137901</v>
      </c>
      <c r="K187" s="54">
        <f t="shared" si="65"/>
        <v>1148634</v>
      </c>
      <c r="L187" s="54">
        <f t="shared" si="65"/>
        <v>6739</v>
      </c>
      <c r="M187" s="54">
        <f t="shared" si="65"/>
        <v>919</v>
      </c>
      <c r="N187" s="54">
        <f>SUM(N175:N186)</f>
        <v>7658</v>
      </c>
      <c r="O187" s="56"/>
      <c r="P187" s="12"/>
      <c r="U187" s="31">
        <f t="shared" ref="U187:AA187" si="66">SUM(U175:U186)</f>
        <v>120300</v>
      </c>
      <c r="V187" s="31">
        <f t="shared" si="66"/>
        <v>50400</v>
      </c>
      <c r="W187" s="31">
        <f t="shared" si="66"/>
        <v>44001</v>
      </c>
      <c r="X187" s="31">
        <f t="shared" si="66"/>
        <v>214701</v>
      </c>
      <c r="Y187" s="31">
        <f t="shared" si="66"/>
        <v>21471</v>
      </c>
      <c r="Z187" s="31">
        <f t="shared" si="66"/>
        <v>13000</v>
      </c>
      <c r="AA187" s="31">
        <f t="shared" si="66"/>
        <v>-8471</v>
      </c>
    </row>
    <row r="188" spans="1:30" ht="15" thickBot="1">
      <c r="A188" s="5"/>
      <c r="B188" s="5"/>
      <c r="C188" s="5"/>
      <c r="D188" s="5"/>
      <c r="E188" s="5"/>
      <c r="H188" s="21"/>
      <c r="I188" s="21"/>
      <c r="J188" s="21"/>
      <c r="K188" s="6"/>
      <c r="L188" s="6"/>
      <c r="M188" s="6"/>
      <c r="N188" s="5"/>
    </row>
    <row r="189" spans="1:30" ht="15.75" customHeight="1" thickBot="1">
      <c r="A189" s="5"/>
      <c r="B189" s="6"/>
      <c r="C189" s="6"/>
      <c r="D189" s="6"/>
      <c r="E189" s="5"/>
      <c r="F189" s="53">
        <v>1</v>
      </c>
      <c r="G189" s="211" t="s">
        <v>47</v>
      </c>
      <c r="H189" s="212"/>
      <c r="I189" s="212"/>
      <c r="J189" s="212"/>
      <c r="K189" s="213"/>
      <c r="L189" s="54">
        <f>K171</f>
        <v>72736</v>
      </c>
      <c r="M189" s="2"/>
      <c r="O189" s="1"/>
      <c r="S189" s="30"/>
      <c r="T189" s="30"/>
      <c r="Z189" s="1"/>
      <c r="AA189" s="1"/>
    </row>
    <row r="190" spans="1:30" ht="15.75" customHeight="1" thickBot="1">
      <c r="A190" s="5"/>
      <c r="B190" s="6"/>
      <c r="C190" s="6"/>
      <c r="D190" s="6"/>
      <c r="E190" s="5"/>
      <c r="F190" s="53">
        <v>2</v>
      </c>
      <c r="G190" s="211" t="s">
        <v>344</v>
      </c>
      <c r="H190" s="212"/>
      <c r="I190" s="212"/>
      <c r="J190" s="212"/>
      <c r="K190" s="213"/>
      <c r="L190" s="54">
        <f>B187+C187</f>
        <v>21471</v>
      </c>
      <c r="M190" s="2"/>
      <c r="O190" s="1"/>
      <c r="S190" s="30"/>
      <c r="T190" s="30"/>
      <c r="Z190" s="1"/>
      <c r="AA190" s="1"/>
    </row>
    <row r="191" spans="1:30" ht="15.75" customHeight="1" thickBot="1">
      <c r="A191" s="5"/>
      <c r="B191" s="6"/>
      <c r="C191" s="6"/>
      <c r="D191" s="6"/>
      <c r="E191" s="5"/>
      <c r="F191" s="53">
        <v>3</v>
      </c>
      <c r="G191" s="211" t="s">
        <v>345</v>
      </c>
      <c r="H191" s="212"/>
      <c r="I191" s="212"/>
      <c r="J191" s="212"/>
      <c r="K191" s="213"/>
      <c r="L191" s="54">
        <f>F187</f>
        <v>0</v>
      </c>
      <c r="M191" s="2"/>
      <c r="O191" s="1"/>
      <c r="S191" s="30"/>
      <c r="T191" s="30"/>
      <c r="Z191" s="1"/>
      <c r="AA191" s="1"/>
    </row>
    <row r="192" spans="1:30" ht="15.75" customHeight="1" thickBot="1">
      <c r="A192" s="5"/>
      <c r="B192" s="6"/>
      <c r="C192" s="6"/>
      <c r="D192" s="6"/>
      <c r="E192" s="5"/>
      <c r="F192" s="53">
        <v>4</v>
      </c>
      <c r="G192" s="211" t="s">
        <v>346</v>
      </c>
      <c r="H192" s="212"/>
      <c r="I192" s="212"/>
      <c r="J192" s="212"/>
      <c r="K192" s="213"/>
      <c r="L192" s="54">
        <f>L190+L191</f>
        <v>21471</v>
      </c>
      <c r="M192" s="2"/>
      <c r="O192" s="1"/>
      <c r="S192" s="30"/>
      <c r="T192" s="30"/>
      <c r="Z192" s="1"/>
      <c r="AA192" s="1"/>
    </row>
    <row r="193" spans="1:27" ht="15" thickBot="1">
      <c r="A193" s="5"/>
      <c r="B193" s="6"/>
      <c r="C193" s="6"/>
      <c r="D193" s="6"/>
      <c r="E193" s="5"/>
      <c r="F193" s="53">
        <v>5</v>
      </c>
      <c r="G193" s="211" t="s">
        <v>349</v>
      </c>
      <c r="H193" s="212"/>
      <c r="I193" s="212"/>
      <c r="J193" s="212"/>
      <c r="K193" s="213"/>
      <c r="L193" s="54">
        <f>D187+E187</f>
        <v>21471</v>
      </c>
      <c r="M193" s="2"/>
      <c r="O193" s="1"/>
      <c r="S193" s="30"/>
      <c r="T193" s="30"/>
      <c r="Z193" s="1"/>
      <c r="AA193" s="1"/>
    </row>
    <row r="194" spans="1:27" ht="15.75" customHeight="1" thickBot="1">
      <c r="A194" s="5"/>
      <c r="B194" s="5"/>
      <c r="C194" s="5"/>
      <c r="D194" s="5"/>
      <c r="E194" s="5"/>
      <c r="F194" s="53">
        <v>6</v>
      </c>
      <c r="G194" s="211" t="s">
        <v>347</v>
      </c>
      <c r="H194" s="212"/>
      <c r="I194" s="212"/>
      <c r="J194" s="212"/>
      <c r="K194" s="213"/>
      <c r="L194" s="54">
        <f>L189+L192+L193</f>
        <v>115678</v>
      </c>
      <c r="M194" s="2"/>
      <c r="O194" s="1"/>
      <c r="S194" s="30"/>
      <c r="T194" s="30"/>
      <c r="Z194" s="1"/>
      <c r="AA194" s="1"/>
    </row>
    <row r="195" spans="1:27" ht="15.75" customHeight="1" thickBot="1">
      <c r="A195" s="5"/>
      <c r="B195" s="5"/>
      <c r="C195" s="5"/>
      <c r="D195" s="5"/>
      <c r="E195" s="5"/>
      <c r="F195" s="53">
        <v>7</v>
      </c>
      <c r="G195" s="211" t="s">
        <v>50</v>
      </c>
      <c r="H195" s="212"/>
      <c r="I195" s="212"/>
      <c r="J195" s="212"/>
      <c r="K195" s="213"/>
      <c r="L195" s="54">
        <f>H187</f>
        <v>0</v>
      </c>
      <c r="M195" s="2"/>
      <c r="O195" s="1"/>
      <c r="S195" s="30"/>
      <c r="T195" s="30"/>
      <c r="Z195" s="1"/>
      <c r="AA195" s="1"/>
    </row>
    <row r="196" spans="1:27" ht="15.75" customHeight="1" thickBot="1">
      <c r="A196" s="5"/>
      <c r="B196" s="5"/>
      <c r="C196" s="5"/>
      <c r="D196" s="5"/>
      <c r="E196" s="5"/>
      <c r="F196" s="53">
        <v>8</v>
      </c>
      <c r="G196" s="211" t="s">
        <v>340</v>
      </c>
      <c r="H196" s="212"/>
      <c r="I196" s="212"/>
      <c r="J196" s="212"/>
      <c r="K196" s="213"/>
      <c r="L196" s="54">
        <f>L187</f>
        <v>6739</v>
      </c>
      <c r="M196" s="2"/>
      <c r="O196" s="1"/>
      <c r="S196" s="30"/>
      <c r="T196" s="30"/>
      <c r="Z196" s="1"/>
      <c r="AA196" s="1"/>
    </row>
    <row r="197" spans="1:27" ht="15.75" customHeight="1" thickBot="1">
      <c r="A197" s="5"/>
      <c r="B197" s="5"/>
      <c r="C197" s="5"/>
      <c r="D197" s="5"/>
      <c r="E197" s="5"/>
      <c r="F197" s="53">
        <v>9</v>
      </c>
      <c r="G197" s="211" t="s">
        <v>355</v>
      </c>
      <c r="H197" s="212"/>
      <c r="I197" s="212"/>
      <c r="J197" s="212"/>
      <c r="K197" s="213"/>
      <c r="L197" s="54">
        <f>M187</f>
        <v>919</v>
      </c>
      <c r="M197" s="2"/>
      <c r="O197" s="1"/>
      <c r="S197" s="30"/>
      <c r="T197" s="30"/>
      <c r="Z197" s="1"/>
      <c r="AA197" s="1"/>
    </row>
    <row r="198" spans="1:27" ht="15.75" customHeight="1" thickBot="1">
      <c r="A198" s="5"/>
      <c r="B198" s="5"/>
      <c r="C198" s="5"/>
      <c r="D198" s="5"/>
      <c r="E198" s="5"/>
      <c r="F198" s="53">
        <v>10</v>
      </c>
      <c r="G198" s="211" t="s">
        <v>348</v>
      </c>
      <c r="H198" s="212"/>
      <c r="I198" s="212"/>
      <c r="J198" s="212"/>
      <c r="K198" s="213"/>
      <c r="L198" s="54">
        <f>N187</f>
        <v>7658</v>
      </c>
      <c r="M198" s="2"/>
      <c r="O198" s="1"/>
      <c r="S198" s="30"/>
      <c r="T198" s="30"/>
      <c r="Z198" s="1"/>
      <c r="AA198" s="1"/>
    </row>
    <row r="199" spans="1:27" ht="15.75" customHeight="1" thickBot="1">
      <c r="A199" s="5"/>
      <c r="B199" s="5"/>
      <c r="C199" s="5"/>
      <c r="D199" s="5"/>
      <c r="E199" s="5"/>
      <c r="F199" s="53">
        <v>11</v>
      </c>
      <c r="G199" s="212" t="s">
        <v>359</v>
      </c>
      <c r="H199" s="212"/>
      <c r="I199" s="212"/>
      <c r="J199" s="212"/>
      <c r="K199" s="213"/>
      <c r="L199" s="54">
        <f>L194-L195+L198</f>
        <v>123336</v>
      </c>
      <c r="M199" s="2"/>
      <c r="O199" s="1"/>
      <c r="S199" s="30"/>
      <c r="T199" s="30"/>
      <c r="Z199" s="1"/>
      <c r="AA199" s="1"/>
    </row>
    <row r="200" spans="1:27">
      <c r="A200" s="5"/>
      <c r="B200" s="5"/>
      <c r="C200" s="5"/>
      <c r="D200" s="5"/>
      <c r="E200" s="5"/>
      <c r="F200" s="5"/>
      <c r="G200" s="17"/>
      <c r="H200" s="17"/>
      <c r="I200" s="17"/>
      <c r="J200" s="17"/>
      <c r="K200" s="17"/>
      <c r="L200" s="17"/>
      <c r="M200" s="17"/>
      <c r="N200" s="6"/>
    </row>
    <row r="201" spans="1:27"/>
    <row r="202" spans="1:27"/>
    <row r="203" spans="1:27" ht="16.8">
      <c r="A203" s="249" t="s">
        <v>53</v>
      </c>
      <c r="B203" s="249"/>
      <c r="C203" s="18"/>
      <c r="D203" s="18"/>
      <c r="E203" s="249" t="s">
        <v>54</v>
      </c>
      <c r="F203" s="249"/>
      <c r="G203" s="249"/>
      <c r="H203" s="250" t="s">
        <v>55</v>
      </c>
      <c r="I203" s="250"/>
      <c r="J203" s="250"/>
      <c r="K203" s="250"/>
      <c r="L203" s="250"/>
      <c r="M203" s="250"/>
      <c r="N203" s="250"/>
    </row>
    <row r="204" spans="1:27" ht="16.8">
      <c r="A204" s="18"/>
      <c r="B204" s="18"/>
      <c r="C204" s="18"/>
      <c r="D204" s="18"/>
      <c r="E204" s="18"/>
      <c r="F204" s="18"/>
      <c r="G204" s="19"/>
      <c r="H204" s="19"/>
      <c r="I204" s="19"/>
      <c r="J204" s="19"/>
    </row>
    <row r="205" spans="1:27" ht="16.8">
      <c r="A205" s="18"/>
      <c r="B205" s="18"/>
      <c r="C205" s="18"/>
      <c r="D205" s="18"/>
      <c r="E205" s="18"/>
      <c r="F205" s="18"/>
      <c r="G205" s="19"/>
      <c r="H205" s="19"/>
      <c r="I205" s="19"/>
      <c r="J205" s="19"/>
    </row>
    <row r="206" spans="1:27" ht="18.600000000000001">
      <c r="A206" s="224" t="s">
        <v>0</v>
      </c>
      <c r="B206" s="224"/>
      <c r="C206" s="224"/>
      <c r="D206" s="224"/>
      <c r="E206" s="224"/>
      <c r="F206" s="224"/>
      <c r="G206" s="224"/>
      <c r="H206" s="224"/>
      <c r="I206" s="224"/>
      <c r="J206" s="224"/>
      <c r="K206" s="224"/>
      <c r="L206" s="224"/>
      <c r="M206" s="224"/>
      <c r="N206" s="224"/>
      <c r="O206" s="224"/>
    </row>
    <row r="207" spans="1:27" ht="18.600000000000001">
      <c r="A207" s="224" t="s">
        <v>1</v>
      </c>
      <c r="B207" s="224"/>
      <c r="C207" s="224"/>
      <c r="D207" s="224"/>
      <c r="E207" s="224"/>
      <c r="F207" s="224"/>
      <c r="G207" s="224"/>
      <c r="H207" s="224"/>
      <c r="I207" s="224"/>
      <c r="J207" s="224"/>
      <c r="K207" s="224"/>
      <c r="L207" s="224"/>
      <c r="M207" s="224"/>
      <c r="N207" s="224"/>
      <c r="O207" s="224"/>
    </row>
    <row r="208" spans="1:27"/>
    <row r="209" spans="1:34" ht="15" thickBot="1">
      <c r="A209" s="225" t="s">
        <v>114</v>
      </c>
      <c r="B209" s="225"/>
      <c r="C209" s="225"/>
      <c r="D209" s="225"/>
      <c r="E209" s="225"/>
      <c r="F209" s="225"/>
      <c r="G209" s="225"/>
      <c r="H209" s="225"/>
      <c r="I209" s="225"/>
      <c r="J209" s="225"/>
      <c r="K209" s="225"/>
      <c r="L209" s="225"/>
      <c r="M209" s="225"/>
      <c r="N209" s="225"/>
    </row>
    <row r="210" spans="1:34" ht="36" customHeight="1" thickBot="1">
      <c r="A210" s="55" t="s">
        <v>3</v>
      </c>
      <c r="B210" s="53">
        <f>B167</f>
        <v>9255</v>
      </c>
      <c r="C210" s="5"/>
      <c r="D210" s="5"/>
      <c r="E210" s="211" t="s">
        <v>4</v>
      </c>
      <c r="F210" s="213" t="str">
        <f>F167</f>
        <v>Mahajan Ganesh Trambak</v>
      </c>
      <c r="G210" s="5"/>
      <c r="H210" s="211" t="str">
        <f>H167</f>
        <v>Mahajan Ganesh Trambak</v>
      </c>
      <c r="I210" s="212"/>
      <c r="J210" s="212"/>
      <c r="K210" s="212"/>
      <c r="L210" s="212"/>
      <c r="M210" s="212"/>
      <c r="N210" s="212"/>
      <c r="O210" s="213"/>
    </row>
    <row r="211" spans="1:34" ht="15" thickBot="1">
      <c r="A211" s="5"/>
      <c r="E211" s="5"/>
      <c r="F211" s="5"/>
      <c r="G211" s="5"/>
      <c r="H211" s="5"/>
      <c r="I211" s="5"/>
      <c r="J211" s="5"/>
      <c r="K211" s="6"/>
      <c r="L211" s="6"/>
      <c r="M211" s="6"/>
      <c r="N211" s="5"/>
      <c r="AH211" s="1" t="s">
        <v>384</v>
      </c>
    </row>
    <row r="212" spans="1:34" ht="36" customHeight="1" thickBot="1">
      <c r="A212" s="55" t="s">
        <v>6</v>
      </c>
      <c r="B212" s="55" t="str">
        <f>B169</f>
        <v>06.06.2007</v>
      </c>
      <c r="C212" s="5"/>
      <c r="D212" s="5"/>
      <c r="E212" s="55" t="s">
        <v>7</v>
      </c>
      <c r="F212" s="55">
        <f>F169</f>
        <v>2301</v>
      </c>
      <c r="G212" s="5"/>
      <c r="H212" s="55" t="s">
        <v>8</v>
      </c>
      <c r="I212" s="211" t="str">
        <f>I169</f>
        <v>Asst. Jr. Engineer</v>
      </c>
      <c r="J212" s="212"/>
      <c r="K212" s="212" t="str">
        <f>K169</f>
        <v>Asst. Jr. Engineer</v>
      </c>
      <c r="L212" s="212"/>
      <c r="M212" s="212"/>
      <c r="N212" s="212"/>
      <c r="O212" s="213"/>
    </row>
    <row r="213" spans="1:34" ht="15" thickBo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6"/>
      <c r="L213" s="6"/>
      <c r="M213" s="6"/>
      <c r="N213" s="5"/>
    </row>
    <row r="214" spans="1:34" ht="24" customHeight="1" thickBot="1">
      <c r="A214" s="55" t="s">
        <v>10</v>
      </c>
      <c r="B214" s="58">
        <v>0.08</v>
      </c>
      <c r="C214" s="5"/>
      <c r="D214" s="5"/>
      <c r="E214" s="55" t="s">
        <v>11</v>
      </c>
      <c r="F214" s="58">
        <v>0</v>
      </c>
      <c r="G214" s="5"/>
      <c r="H214" s="239" t="s">
        <v>12</v>
      </c>
      <c r="I214" s="240"/>
      <c r="J214" s="241"/>
      <c r="K214" s="242">
        <f>L199</f>
        <v>123336</v>
      </c>
      <c r="L214" s="243"/>
      <c r="M214" s="243"/>
      <c r="N214" s="243"/>
      <c r="O214" s="244"/>
    </row>
    <row r="215" spans="1:34" ht="15" thickBo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6"/>
      <c r="L215" s="6"/>
      <c r="M215" s="6"/>
      <c r="N215" s="5"/>
    </row>
    <row r="216" spans="1:34" ht="39.9" customHeight="1" thickBot="1">
      <c r="A216" s="235" t="s">
        <v>13</v>
      </c>
      <c r="B216" s="256" t="s">
        <v>14</v>
      </c>
      <c r="C216" s="257"/>
      <c r="D216" s="256" t="s">
        <v>349</v>
      </c>
      <c r="E216" s="257"/>
      <c r="F216" s="235" t="s">
        <v>342</v>
      </c>
      <c r="G216" s="235" t="s">
        <v>16</v>
      </c>
      <c r="H216" s="235" t="s">
        <v>17</v>
      </c>
      <c r="I216" s="235" t="s">
        <v>341</v>
      </c>
      <c r="J216" s="235" t="s">
        <v>354</v>
      </c>
      <c r="K216" s="254" t="s">
        <v>353</v>
      </c>
      <c r="L216" s="254" t="s">
        <v>340</v>
      </c>
      <c r="M216" s="254" t="s">
        <v>355</v>
      </c>
      <c r="N216" s="254" t="s">
        <v>343</v>
      </c>
      <c r="O216" s="247" t="s">
        <v>20</v>
      </c>
      <c r="Q216" s="12" t="s">
        <v>27</v>
      </c>
      <c r="R216" s="12" t="s">
        <v>28</v>
      </c>
      <c r="S216" s="12" t="s">
        <v>29</v>
      </c>
      <c r="T216" s="12" t="s">
        <v>30</v>
      </c>
      <c r="U216" s="12" t="s">
        <v>21</v>
      </c>
      <c r="V216" s="12" t="s">
        <v>22</v>
      </c>
      <c r="W216" s="12" t="s">
        <v>23</v>
      </c>
      <c r="X216" s="12" t="s">
        <v>24</v>
      </c>
      <c r="Y216" s="12" t="s">
        <v>356</v>
      </c>
      <c r="Z216" s="12" t="s">
        <v>336</v>
      </c>
      <c r="AA216" s="12" t="s">
        <v>26</v>
      </c>
      <c r="AB216" s="12" t="s">
        <v>31</v>
      </c>
      <c r="AC216" s="12" t="s">
        <v>32</v>
      </c>
      <c r="AD216" s="12" t="s">
        <v>333</v>
      </c>
    </row>
    <row r="217" spans="1:34" ht="39.9" customHeight="1" thickBot="1">
      <c r="A217" s="236"/>
      <c r="B217" s="55" t="s">
        <v>350</v>
      </c>
      <c r="C217" s="55" t="s">
        <v>351</v>
      </c>
      <c r="D217" s="55" t="s">
        <v>350</v>
      </c>
      <c r="E217" s="55" t="s">
        <v>351</v>
      </c>
      <c r="F217" s="236"/>
      <c r="G217" s="236"/>
      <c r="H217" s="236"/>
      <c r="I217" s="236"/>
      <c r="J217" s="236"/>
      <c r="K217" s="255"/>
      <c r="L217" s="255"/>
      <c r="M217" s="255"/>
      <c r="N217" s="255"/>
      <c r="O217" s="248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</row>
    <row r="218" spans="1:34" ht="18" customHeight="1">
      <c r="A218" s="42" t="s">
        <v>115</v>
      </c>
      <c r="B218" s="20">
        <f>Y218</f>
        <v>1820</v>
      </c>
      <c r="C218" s="20">
        <v>0</v>
      </c>
      <c r="D218" s="20">
        <f>B218</f>
        <v>1820</v>
      </c>
      <c r="E218" s="20">
        <f>C218</f>
        <v>0</v>
      </c>
      <c r="F218" s="20">
        <v>0</v>
      </c>
      <c r="G218" s="20">
        <f t="shared" ref="G218:G220" si="67">(B218+C218+F218)+(D218+E218)</f>
        <v>3640</v>
      </c>
      <c r="H218" s="20">
        <v>0</v>
      </c>
      <c r="I218" s="20">
        <f>(K214+B218+C218+F218)-H218</f>
        <v>125156</v>
      </c>
      <c r="J218" s="20">
        <f>(D218+E218)</f>
        <v>1820</v>
      </c>
      <c r="K218" s="20">
        <f>(K214+G218)-H218</f>
        <v>126976</v>
      </c>
      <c r="L218" s="20">
        <f>ROUND((I218*8/100)/12,0)</f>
        <v>834</v>
      </c>
      <c r="M218" s="20">
        <f>ROUND((J218*8/100)/12,0)</f>
        <v>12</v>
      </c>
      <c r="N218" s="20">
        <f>L218+M218</f>
        <v>846</v>
      </c>
      <c r="O218" s="310" t="s">
        <v>34</v>
      </c>
      <c r="Q218" s="65"/>
      <c r="R218" s="65"/>
      <c r="S218" s="65"/>
      <c r="T218" s="66"/>
      <c r="U218" s="67">
        <v>10130</v>
      </c>
      <c r="V218" s="67">
        <v>4200</v>
      </c>
      <c r="W218" s="67">
        <v>3869</v>
      </c>
      <c r="X218" s="67">
        <f t="shared" ref="X218" si="68">U218+V218+W218</f>
        <v>18199</v>
      </c>
      <c r="Y218" s="67">
        <f t="shared" ref="Y218" si="69">ROUND(X218*10%,0)</f>
        <v>1820</v>
      </c>
      <c r="Z218" s="67">
        <v>2000</v>
      </c>
      <c r="AA218" s="67">
        <f t="shared" ref="AA218" si="70">Z218-Y218</f>
        <v>180</v>
      </c>
      <c r="AB218" s="66">
        <v>40269</v>
      </c>
      <c r="AC218" s="66">
        <v>40298</v>
      </c>
      <c r="AD218" s="65" t="s">
        <v>74</v>
      </c>
    </row>
    <row r="219" spans="1:34" ht="18" customHeight="1">
      <c r="A219" s="42" t="s">
        <v>116</v>
      </c>
      <c r="B219" s="20">
        <f>Y219</f>
        <v>1069</v>
      </c>
      <c r="C219" s="20">
        <v>0</v>
      </c>
      <c r="D219" s="20">
        <f t="shared" ref="D219" si="71">B219</f>
        <v>1069</v>
      </c>
      <c r="E219" s="20">
        <f t="shared" ref="E219" si="72">C219</f>
        <v>0</v>
      </c>
      <c r="F219" s="20">
        <v>0</v>
      </c>
      <c r="G219" s="20">
        <f t="shared" ref="G219" si="73">(B219+C219+F219)+(D219+E219)</f>
        <v>2138</v>
      </c>
      <c r="H219" s="20">
        <v>0</v>
      </c>
      <c r="I219" s="20">
        <f>(B219+C219+F219)-H219</f>
        <v>1069</v>
      </c>
      <c r="J219" s="20">
        <f>(D219+E219)</f>
        <v>1069</v>
      </c>
      <c r="K219" s="20">
        <f>(G219)-H219</f>
        <v>2138</v>
      </c>
      <c r="L219" s="20">
        <f t="shared" ref="L219" si="74">ROUND((I219*8/100)/12,0)</f>
        <v>7</v>
      </c>
      <c r="M219" s="20">
        <f t="shared" ref="M219" si="75">ROUND((J219*8/100)/12,0)</f>
        <v>7</v>
      </c>
      <c r="N219" s="20">
        <f t="shared" ref="N219" si="76">L219+M219</f>
        <v>14</v>
      </c>
      <c r="O219" s="260"/>
      <c r="Q219" s="65"/>
      <c r="R219" s="65"/>
      <c r="S219" s="65"/>
      <c r="T219" s="66"/>
      <c r="U219" s="67">
        <v>10130</v>
      </c>
      <c r="V219" s="67">
        <v>4200</v>
      </c>
      <c r="W219" s="67">
        <v>3869</v>
      </c>
      <c r="X219" s="67">
        <v>10685</v>
      </c>
      <c r="Y219" s="67">
        <v>1069</v>
      </c>
      <c r="Z219" s="67">
        <v>2000</v>
      </c>
      <c r="AA219" s="67">
        <v>931</v>
      </c>
      <c r="AB219" s="66">
        <v>40299</v>
      </c>
      <c r="AC219" s="66">
        <v>40329</v>
      </c>
      <c r="AD219" s="65" t="s">
        <v>74</v>
      </c>
    </row>
    <row r="220" spans="1:34" ht="18" customHeight="1">
      <c r="A220" s="42" t="s">
        <v>117</v>
      </c>
      <c r="B220" s="20">
        <f>Y220</f>
        <v>1935</v>
      </c>
      <c r="C220" s="20">
        <v>0</v>
      </c>
      <c r="D220" s="20">
        <f t="shared" ref="D220:D229" si="77">B220</f>
        <v>1935</v>
      </c>
      <c r="E220" s="20">
        <f t="shared" ref="E220:E229" si="78">C220</f>
        <v>0</v>
      </c>
      <c r="F220" s="20">
        <v>0</v>
      </c>
      <c r="G220" s="20">
        <f t="shared" si="67"/>
        <v>3870</v>
      </c>
      <c r="H220" s="20">
        <v>0</v>
      </c>
      <c r="I220" s="20">
        <f>(I219+B220+C220+F220)-H220</f>
        <v>3004</v>
      </c>
      <c r="J220" s="20">
        <f>(J219+D220+E220)</f>
        <v>3004</v>
      </c>
      <c r="K220" s="20">
        <f>(K219+G220)-H220</f>
        <v>6008</v>
      </c>
      <c r="L220" s="20">
        <f t="shared" ref="L220" si="79">ROUND((I220*8/100)/12,0)</f>
        <v>20</v>
      </c>
      <c r="M220" s="20">
        <f t="shared" ref="M220" si="80">ROUND((J220*8/100)/12,0)</f>
        <v>20</v>
      </c>
      <c r="N220" s="20">
        <f t="shared" ref="N220:N229" si="81">L220+M220</f>
        <v>40</v>
      </c>
      <c r="O220" s="260"/>
      <c r="Q220" s="65"/>
      <c r="R220" s="65"/>
      <c r="S220" s="65"/>
      <c r="T220" s="66"/>
      <c r="U220" s="67">
        <v>10130</v>
      </c>
      <c r="V220" s="67">
        <v>4200</v>
      </c>
      <c r="W220" s="67">
        <v>5016</v>
      </c>
      <c r="X220" s="67">
        <f t="shared" ref="X220:X229" si="82">U220+V220+W220</f>
        <v>19346</v>
      </c>
      <c r="Y220" s="67">
        <f t="shared" ref="Y220:Y229" si="83">ROUND(X220*10%,0)</f>
        <v>1935</v>
      </c>
      <c r="Z220" s="67">
        <v>2000</v>
      </c>
      <c r="AA220" s="67">
        <f t="shared" ref="AA220:AA229" si="84">Z220-Y220</f>
        <v>65</v>
      </c>
      <c r="AB220" s="66">
        <v>40330</v>
      </c>
      <c r="AC220" s="66">
        <v>40359</v>
      </c>
      <c r="AD220" s="65" t="s">
        <v>74</v>
      </c>
    </row>
    <row r="221" spans="1:34" ht="18" customHeight="1">
      <c r="A221" s="42" t="s">
        <v>118</v>
      </c>
      <c r="B221" s="20">
        <f t="shared" ref="B221:B229" si="85">Y221</f>
        <v>1993</v>
      </c>
      <c r="C221" s="20">
        <v>0</v>
      </c>
      <c r="D221" s="20">
        <f t="shared" si="77"/>
        <v>1993</v>
      </c>
      <c r="E221" s="20">
        <f t="shared" si="78"/>
        <v>0</v>
      </c>
      <c r="F221" s="20">
        <v>0</v>
      </c>
      <c r="G221" s="20">
        <f t="shared" ref="G221:G229" si="86">(B221+C221+F221)+(D221+E221)</f>
        <v>3986</v>
      </c>
      <c r="H221" s="20">
        <v>0</v>
      </c>
      <c r="I221" s="20">
        <f t="shared" ref="I221:I229" si="87">(I220+B221+C221+F221)-H221</f>
        <v>4997</v>
      </c>
      <c r="J221" s="20">
        <f t="shared" ref="J221:J229" si="88">(J220+D221+E221)</f>
        <v>4997</v>
      </c>
      <c r="K221" s="20">
        <f t="shared" ref="K221:K229" si="89">(K220+G221)-H221</f>
        <v>9994</v>
      </c>
      <c r="L221" s="20">
        <f t="shared" ref="L221:L229" si="90">ROUND((I221*8/100)/12,0)</f>
        <v>33</v>
      </c>
      <c r="M221" s="20">
        <f t="shared" ref="M221:M229" si="91">ROUND((J221*8/100)/12,0)</f>
        <v>33</v>
      </c>
      <c r="N221" s="20">
        <f t="shared" si="81"/>
        <v>66</v>
      </c>
      <c r="O221" s="260"/>
      <c r="Q221" s="65"/>
      <c r="R221" s="65"/>
      <c r="S221" s="65"/>
      <c r="T221" s="66"/>
      <c r="U221" s="67">
        <v>10560</v>
      </c>
      <c r="V221" s="67">
        <v>4200</v>
      </c>
      <c r="W221" s="67">
        <v>5166</v>
      </c>
      <c r="X221" s="67">
        <f t="shared" si="82"/>
        <v>19926</v>
      </c>
      <c r="Y221" s="67">
        <f t="shared" si="83"/>
        <v>1993</v>
      </c>
      <c r="Z221" s="67">
        <v>2000</v>
      </c>
      <c r="AA221" s="67">
        <f t="shared" si="84"/>
        <v>7</v>
      </c>
      <c r="AB221" s="66">
        <v>40360</v>
      </c>
      <c r="AC221" s="66">
        <v>40390</v>
      </c>
      <c r="AD221" s="65" t="s">
        <v>74</v>
      </c>
    </row>
    <row r="222" spans="1:34" ht="18" customHeight="1">
      <c r="A222" s="42" t="s">
        <v>119</v>
      </c>
      <c r="B222" s="20">
        <f t="shared" si="85"/>
        <v>1993</v>
      </c>
      <c r="C222" s="20">
        <v>0</v>
      </c>
      <c r="D222" s="20">
        <f t="shared" si="77"/>
        <v>1993</v>
      </c>
      <c r="E222" s="20">
        <f t="shared" si="78"/>
        <v>0</v>
      </c>
      <c r="F222" s="20">
        <v>0</v>
      </c>
      <c r="G222" s="20">
        <f t="shared" si="86"/>
        <v>3986</v>
      </c>
      <c r="H222" s="20">
        <v>0</v>
      </c>
      <c r="I222" s="20">
        <f t="shared" si="87"/>
        <v>6990</v>
      </c>
      <c r="J222" s="20">
        <f t="shared" si="88"/>
        <v>6990</v>
      </c>
      <c r="K222" s="20">
        <f t="shared" si="89"/>
        <v>13980</v>
      </c>
      <c r="L222" s="20">
        <f t="shared" si="90"/>
        <v>47</v>
      </c>
      <c r="M222" s="20">
        <f t="shared" si="91"/>
        <v>47</v>
      </c>
      <c r="N222" s="20">
        <f t="shared" si="81"/>
        <v>94</v>
      </c>
      <c r="O222" s="260"/>
      <c r="Q222" s="65"/>
      <c r="R222" s="65"/>
      <c r="S222" s="65"/>
      <c r="T222" s="66"/>
      <c r="U222" s="67">
        <v>10560</v>
      </c>
      <c r="V222" s="67">
        <v>4200</v>
      </c>
      <c r="W222" s="67">
        <v>5166</v>
      </c>
      <c r="X222" s="67">
        <f t="shared" si="82"/>
        <v>19926</v>
      </c>
      <c r="Y222" s="67">
        <f t="shared" si="83"/>
        <v>1993</v>
      </c>
      <c r="Z222" s="67">
        <v>2000</v>
      </c>
      <c r="AA222" s="67">
        <f t="shared" si="84"/>
        <v>7</v>
      </c>
      <c r="AB222" s="66">
        <v>40391</v>
      </c>
      <c r="AC222" s="66">
        <v>40421</v>
      </c>
      <c r="AD222" s="65" t="s">
        <v>74</v>
      </c>
    </row>
    <row r="223" spans="1:34" ht="18" customHeight="1">
      <c r="A223" s="42" t="s">
        <v>120</v>
      </c>
      <c r="B223" s="20">
        <f t="shared" si="85"/>
        <v>1993</v>
      </c>
      <c r="C223" s="20">
        <v>0</v>
      </c>
      <c r="D223" s="20">
        <f t="shared" si="77"/>
        <v>1993</v>
      </c>
      <c r="E223" s="20">
        <f t="shared" si="78"/>
        <v>0</v>
      </c>
      <c r="F223" s="20">
        <v>0</v>
      </c>
      <c r="G223" s="20">
        <f t="shared" si="86"/>
        <v>3986</v>
      </c>
      <c r="H223" s="20">
        <v>0</v>
      </c>
      <c r="I223" s="20">
        <f t="shared" si="87"/>
        <v>8983</v>
      </c>
      <c r="J223" s="20">
        <f t="shared" si="88"/>
        <v>8983</v>
      </c>
      <c r="K223" s="20">
        <f t="shared" si="89"/>
        <v>17966</v>
      </c>
      <c r="L223" s="20">
        <f t="shared" si="90"/>
        <v>60</v>
      </c>
      <c r="M223" s="20">
        <f t="shared" si="91"/>
        <v>60</v>
      </c>
      <c r="N223" s="20">
        <f t="shared" si="81"/>
        <v>120</v>
      </c>
      <c r="O223" s="260"/>
      <c r="Q223" s="65"/>
      <c r="R223" s="65"/>
      <c r="S223" s="65"/>
      <c r="T223" s="66"/>
      <c r="U223" s="67">
        <v>10560</v>
      </c>
      <c r="V223" s="67">
        <v>4200</v>
      </c>
      <c r="W223" s="67">
        <v>5166</v>
      </c>
      <c r="X223" s="67">
        <f t="shared" si="82"/>
        <v>19926</v>
      </c>
      <c r="Y223" s="67">
        <f t="shared" si="83"/>
        <v>1993</v>
      </c>
      <c r="Z223" s="67">
        <v>2000</v>
      </c>
      <c r="AA223" s="67">
        <f t="shared" si="84"/>
        <v>7</v>
      </c>
      <c r="AB223" s="66">
        <v>40422</v>
      </c>
      <c r="AC223" s="66">
        <v>40451</v>
      </c>
      <c r="AD223" s="65" t="s">
        <v>74</v>
      </c>
    </row>
    <row r="224" spans="1:34" ht="18" customHeight="1">
      <c r="A224" s="42" t="s">
        <v>121</v>
      </c>
      <c r="B224" s="20">
        <f t="shared" si="85"/>
        <v>1993</v>
      </c>
      <c r="C224" s="20">
        <v>0</v>
      </c>
      <c r="D224" s="20">
        <f t="shared" si="77"/>
        <v>1993</v>
      </c>
      <c r="E224" s="20">
        <f t="shared" si="78"/>
        <v>0</v>
      </c>
      <c r="F224" s="20">
        <v>0</v>
      </c>
      <c r="G224" s="20">
        <f t="shared" si="86"/>
        <v>3986</v>
      </c>
      <c r="H224" s="20">
        <v>0</v>
      </c>
      <c r="I224" s="20">
        <f t="shared" si="87"/>
        <v>10976</v>
      </c>
      <c r="J224" s="20">
        <f t="shared" si="88"/>
        <v>10976</v>
      </c>
      <c r="K224" s="20">
        <f t="shared" si="89"/>
        <v>21952</v>
      </c>
      <c r="L224" s="20">
        <f t="shared" si="90"/>
        <v>73</v>
      </c>
      <c r="M224" s="20">
        <f t="shared" si="91"/>
        <v>73</v>
      </c>
      <c r="N224" s="20">
        <f t="shared" si="81"/>
        <v>146</v>
      </c>
      <c r="O224" s="260"/>
      <c r="Q224" s="65"/>
      <c r="R224" s="65"/>
      <c r="S224" s="65"/>
      <c r="T224" s="66"/>
      <c r="U224" s="67">
        <v>10560</v>
      </c>
      <c r="V224" s="67">
        <v>4200</v>
      </c>
      <c r="W224" s="67">
        <v>5166</v>
      </c>
      <c r="X224" s="67">
        <f t="shared" si="82"/>
        <v>19926</v>
      </c>
      <c r="Y224" s="67">
        <f t="shared" si="83"/>
        <v>1993</v>
      </c>
      <c r="Z224" s="67">
        <v>2000</v>
      </c>
      <c r="AA224" s="67">
        <f t="shared" si="84"/>
        <v>7</v>
      </c>
      <c r="AB224" s="66">
        <v>40452</v>
      </c>
      <c r="AC224" s="66">
        <v>40482</v>
      </c>
      <c r="AD224" s="65" t="s">
        <v>74</v>
      </c>
    </row>
    <row r="225" spans="1:30" ht="18" customHeight="1">
      <c r="A225" s="42" t="s">
        <v>122</v>
      </c>
      <c r="B225" s="20">
        <f t="shared" si="85"/>
        <v>2140</v>
      </c>
      <c r="C225" s="20">
        <v>0</v>
      </c>
      <c r="D225" s="20">
        <f t="shared" si="77"/>
        <v>2140</v>
      </c>
      <c r="E225" s="20">
        <f t="shared" si="78"/>
        <v>0</v>
      </c>
      <c r="F225" s="20">
        <v>0</v>
      </c>
      <c r="G225" s="20">
        <f t="shared" si="86"/>
        <v>4280</v>
      </c>
      <c r="H225" s="20">
        <v>0</v>
      </c>
      <c r="I225" s="20">
        <f t="shared" si="87"/>
        <v>13116</v>
      </c>
      <c r="J225" s="20">
        <f t="shared" si="88"/>
        <v>13116</v>
      </c>
      <c r="K225" s="20">
        <f t="shared" si="89"/>
        <v>26232</v>
      </c>
      <c r="L225" s="20">
        <f t="shared" si="90"/>
        <v>87</v>
      </c>
      <c r="M225" s="20">
        <f t="shared" si="91"/>
        <v>87</v>
      </c>
      <c r="N225" s="20">
        <f t="shared" si="81"/>
        <v>174</v>
      </c>
      <c r="O225" s="260"/>
      <c r="Q225" s="65"/>
      <c r="R225" s="65"/>
      <c r="S225" s="65"/>
      <c r="T225" s="66"/>
      <c r="U225" s="67">
        <v>10560</v>
      </c>
      <c r="V225" s="67">
        <v>4200</v>
      </c>
      <c r="W225" s="67">
        <v>6642</v>
      </c>
      <c r="X225" s="67">
        <f t="shared" si="82"/>
        <v>21402</v>
      </c>
      <c r="Y225" s="67">
        <f t="shared" si="83"/>
        <v>2140</v>
      </c>
      <c r="Z225" s="67">
        <v>2000</v>
      </c>
      <c r="AA225" s="67">
        <f t="shared" si="84"/>
        <v>-140</v>
      </c>
      <c r="AB225" s="66">
        <v>40483</v>
      </c>
      <c r="AC225" s="66">
        <v>40512</v>
      </c>
      <c r="AD225" s="65" t="s">
        <v>74</v>
      </c>
    </row>
    <row r="226" spans="1:30" ht="18" customHeight="1">
      <c r="A226" s="42" t="s">
        <v>123</v>
      </c>
      <c r="B226" s="20">
        <f t="shared" si="85"/>
        <v>2140</v>
      </c>
      <c r="C226" s="20">
        <v>0</v>
      </c>
      <c r="D226" s="20">
        <f t="shared" si="77"/>
        <v>2140</v>
      </c>
      <c r="E226" s="20">
        <f t="shared" si="78"/>
        <v>0</v>
      </c>
      <c r="F226" s="20">
        <v>0</v>
      </c>
      <c r="G226" s="20">
        <f t="shared" si="86"/>
        <v>4280</v>
      </c>
      <c r="H226" s="20">
        <v>0</v>
      </c>
      <c r="I226" s="20">
        <f t="shared" si="87"/>
        <v>15256</v>
      </c>
      <c r="J226" s="20">
        <f t="shared" si="88"/>
        <v>15256</v>
      </c>
      <c r="K226" s="20">
        <f t="shared" si="89"/>
        <v>30512</v>
      </c>
      <c r="L226" s="20">
        <f t="shared" si="90"/>
        <v>102</v>
      </c>
      <c r="M226" s="20">
        <f t="shared" si="91"/>
        <v>102</v>
      </c>
      <c r="N226" s="20">
        <f t="shared" si="81"/>
        <v>204</v>
      </c>
      <c r="O226" s="260"/>
      <c r="Q226" s="65"/>
      <c r="R226" s="65"/>
      <c r="S226" s="65"/>
      <c r="T226" s="66"/>
      <c r="U226" s="67">
        <v>10560</v>
      </c>
      <c r="V226" s="67">
        <v>4200</v>
      </c>
      <c r="W226" s="67">
        <v>6642</v>
      </c>
      <c r="X226" s="67">
        <f t="shared" si="82"/>
        <v>21402</v>
      </c>
      <c r="Y226" s="67">
        <f t="shared" si="83"/>
        <v>2140</v>
      </c>
      <c r="Z226" s="67">
        <v>2000</v>
      </c>
      <c r="AA226" s="67">
        <f t="shared" si="84"/>
        <v>-140</v>
      </c>
      <c r="AB226" s="66">
        <v>40513</v>
      </c>
      <c r="AC226" s="66">
        <v>40543</v>
      </c>
      <c r="AD226" s="65" t="s">
        <v>74</v>
      </c>
    </row>
    <row r="227" spans="1:30" ht="18" customHeight="1">
      <c r="A227" s="42" t="s">
        <v>124</v>
      </c>
      <c r="B227" s="20">
        <f t="shared" si="85"/>
        <v>2140</v>
      </c>
      <c r="C227" s="20">
        <v>0</v>
      </c>
      <c r="D227" s="20">
        <f t="shared" si="77"/>
        <v>2140</v>
      </c>
      <c r="E227" s="20">
        <f t="shared" si="78"/>
        <v>0</v>
      </c>
      <c r="F227" s="20">
        <v>0</v>
      </c>
      <c r="G227" s="20">
        <f t="shared" si="86"/>
        <v>4280</v>
      </c>
      <c r="H227" s="20">
        <v>0</v>
      </c>
      <c r="I227" s="20">
        <f t="shared" si="87"/>
        <v>17396</v>
      </c>
      <c r="J227" s="20">
        <f t="shared" si="88"/>
        <v>17396</v>
      </c>
      <c r="K227" s="20">
        <f t="shared" si="89"/>
        <v>34792</v>
      </c>
      <c r="L227" s="20">
        <f t="shared" si="90"/>
        <v>116</v>
      </c>
      <c r="M227" s="20">
        <f t="shared" si="91"/>
        <v>116</v>
      </c>
      <c r="N227" s="20">
        <f t="shared" si="81"/>
        <v>232</v>
      </c>
      <c r="O227" s="260"/>
      <c r="Q227" s="65"/>
      <c r="R227" s="65"/>
      <c r="S227" s="65"/>
      <c r="T227" s="66"/>
      <c r="U227" s="67">
        <v>10560</v>
      </c>
      <c r="V227" s="67">
        <v>4200</v>
      </c>
      <c r="W227" s="67">
        <v>6642</v>
      </c>
      <c r="X227" s="67">
        <f t="shared" si="82"/>
        <v>21402</v>
      </c>
      <c r="Y227" s="67">
        <f t="shared" si="83"/>
        <v>2140</v>
      </c>
      <c r="Z227" s="67">
        <v>2000</v>
      </c>
      <c r="AA227" s="67">
        <f t="shared" si="84"/>
        <v>-140</v>
      </c>
      <c r="AB227" s="66">
        <v>40544</v>
      </c>
      <c r="AC227" s="66">
        <v>40574</v>
      </c>
      <c r="AD227" s="65" t="s">
        <v>74</v>
      </c>
    </row>
    <row r="228" spans="1:30" ht="18" customHeight="1">
      <c r="A228" s="42" t="s">
        <v>125</v>
      </c>
      <c r="B228" s="20">
        <f t="shared" si="85"/>
        <v>2140</v>
      </c>
      <c r="C228" s="20">
        <v>0</v>
      </c>
      <c r="D228" s="20">
        <f t="shared" si="77"/>
        <v>2140</v>
      </c>
      <c r="E228" s="20">
        <f t="shared" si="78"/>
        <v>0</v>
      </c>
      <c r="F228" s="20">
        <v>0</v>
      </c>
      <c r="G228" s="20">
        <f t="shared" si="86"/>
        <v>4280</v>
      </c>
      <c r="H228" s="20">
        <v>0</v>
      </c>
      <c r="I228" s="20">
        <f t="shared" si="87"/>
        <v>19536</v>
      </c>
      <c r="J228" s="20">
        <f t="shared" si="88"/>
        <v>19536</v>
      </c>
      <c r="K228" s="20">
        <f t="shared" si="89"/>
        <v>39072</v>
      </c>
      <c r="L228" s="20">
        <f t="shared" si="90"/>
        <v>130</v>
      </c>
      <c r="M228" s="20">
        <f t="shared" si="91"/>
        <v>130</v>
      </c>
      <c r="N228" s="20">
        <f t="shared" si="81"/>
        <v>260</v>
      </c>
      <c r="O228" s="260"/>
      <c r="Q228" s="65"/>
      <c r="R228" s="65"/>
      <c r="S228" s="65"/>
      <c r="T228" s="66"/>
      <c r="U228" s="67">
        <v>10560</v>
      </c>
      <c r="V228" s="67">
        <v>4200</v>
      </c>
      <c r="W228" s="67">
        <v>6642</v>
      </c>
      <c r="X228" s="67">
        <f t="shared" si="82"/>
        <v>21402</v>
      </c>
      <c r="Y228" s="67">
        <f t="shared" si="83"/>
        <v>2140</v>
      </c>
      <c r="Z228" s="67">
        <v>2000</v>
      </c>
      <c r="AA228" s="67">
        <f t="shared" si="84"/>
        <v>-140</v>
      </c>
      <c r="AB228" s="66">
        <v>40575</v>
      </c>
      <c r="AC228" s="66">
        <v>40602</v>
      </c>
      <c r="AD228" s="65" t="s">
        <v>74</v>
      </c>
    </row>
    <row r="229" spans="1:30" ht="18" customHeight="1">
      <c r="A229" s="42" t="s">
        <v>126</v>
      </c>
      <c r="B229" s="20">
        <f t="shared" si="85"/>
        <v>2140</v>
      </c>
      <c r="C229" s="20">
        <v>0</v>
      </c>
      <c r="D229" s="20">
        <f t="shared" si="77"/>
        <v>2140</v>
      </c>
      <c r="E229" s="20">
        <f t="shared" si="78"/>
        <v>0</v>
      </c>
      <c r="F229" s="20">
        <v>0</v>
      </c>
      <c r="G229" s="20">
        <f t="shared" si="86"/>
        <v>4280</v>
      </c>
      <c r="H229" s="20">
        <v>0</v>
      </c>
      <c r="I229" s="20">
        <f t="shared" si="87"/>
        <v>21676</v>
      </c>
      <c r="J229" s="20">
        <f t="shared" si="88"/>
        <v>21676</v>
      </c>
      <c r="K229" s="20">
        <f t="shared" si="89"/>
        <v>43352</v>
      </c>
      <c r="L229" s="20">
        <f t="shared" si="90"/>
        <v>145</v>
      </c>
      <c r="M229" s="20">
        <f t="shared" si="91"/>
        <v>145</v>
      </c>
      <c r="N229" s="20">
        <f t="shared" si="81"/>
        <v>290</v>
      </c>
      <c r="O229" s="260"/>
      <c r="Q229" s="65"/>
      <c r="R229" s="65"/>
      <c r="S229" s="65"/>
      <c r="T229" s="66"/>
      <c r="U229" s="67">
        <v>10560</v>
      </c>
      <c r="V229" s="67">
        <v>4200</v>
      </c>
      <c r="W229" s="67">
        <v>6642</v>
      </c>
      <c r="X229" s="67">
        <f t="shared" si="82"/>
        <v>21402</v>
      </c>
      <c r="Y229" s="67">
        <f t="shared" si="83"/>
        <v>2140</v>
      </c>
      <c r="Z229" s="67">
        <v>2000</v>
      </c>
      <c r="AA229" s="67">
        <f t="shared" si="84"/>
        <v>-140</v>
      </c>
      <c r="AB229" s="66">
        <v>40603</v>
      </c>
      <c r="AC229" s="66">
        <v>40633</v>
      </c>
      <c r="AD229" s="65" t="s">
        <v>74</v>
      </c>
    </row>
    <row r="230" spans="1:30" ht="18" customHeight="1" thickBot="1">
      <c r="A230" s="43" t="s">
        <v>127</v>
      </c>
      <c r="B230" s="44">
        <f t="shared" ref="B230:N230" si="92">SUM(B218:B229)</f>
        <v>23496</v>
      </c>
      <c r="C230" s="44">
        <f t="shared" si="92"/>
        <v>0</v>
      </c>
      <c r="D230" s="44">
        <f t="shared" si="92"/>
        <v>23496</v>
      </c>
      <c r="E230" s="44">
        <f t="shared" si="92"/>
        <v>0</v>
      </c>
      <c r="F230" s="44">
        <f t="shared" si="92"/>
        <v>0</v>
      </c>
      <c r="G230" s="44">
        <f t="shared" si="92"/>
        <v>46992</v>
      </c>
      <c r="H230" s="44">
        <f t="shared" si="92"/>
        <v>0</v>
      </c>
      <c r="I230" s="44">
        <f t="shared" si="92"/>
        <v>248155</v>
      </c>
      <c r="J230" s="44">
        <f t="shared" si="92"/>
        <v>124819</v>
      </c>
      <c r="K230" s="44">
        <f t="shared" si="92"/>
        <v>372974</v>
      </c>
      <c r="L230" s="44">
        <f t="shared" si="92"/>
        <v>1654</v>
      </c>
      <c r="M230" s="44">
        <f t="shared" si="92"/>
        <v>832</v>
      </c>
      <c r="N230" s="44">
        <f t="shared" si="92"/>
        <v>2486</v>
      </c>
      <c r="O230" s="311"/>
      <c r="U230" s="31">
        <f t="shared" ref="U230:AA230" si="93">SUM(U218:U229)</f>
        <v>125430</v>
      </c>
      <c r="V230" s="31">
        <f t="shared" si="93"/>
        <v>50400</v>
      </c>
      <c r="W230" s="31">
        <f t="shared" si="93"/>
        <v>66628</v>
      </c>
      <c r="X230" s="31">
        <f t="shared" si="93"/>
        <v>234944</v>
      </c>
      <c r="Y230" s="31">
        <f t="shared" si="93"/>
        <v>23496</v>
      </c>
      <c r="Z230" s="31">
        <f t="shared" si="93"/>
        <v>24000</v>
      </c>
      <c r="AA230" s="31">
        <f t="shared" si="93"/>
        <v>504</v>
      </c>
    </row>
    <row r="231" spans="1:30" ht="15" thickBot="1">
      <c r="A231" s="5"/>
      <c r="B231" s="5"/>
      <c r="C231" s="5"/>
      <c r="D231" s="5"/>
      <c r="E231" s="5"/>
      <c r="G231" s="5"/>
      <c r="H231" s="5"/>
      <c r="I231" s="5"/>
      <c r="J231" s="5"/>
      <c r="N231" s="21"/>
    </row>
    <row r="232" spans="1:30" ht="18" customHeight="1" thickBot="1">
      <c r="A232" s="5"/>
      <c r="B232" s="6"/>
      <c r="C232" s="6"/>
      <c r="D232" s="6"/>
      <c r="E232" s="5"/>
      <c r="F232" s="53">
        <v>1</v>
      </c>
      <c r="G232" s="211" t="s">
        <v>47</v>
      </c>
      <c r="H232" s="212"/>
      <c r="I232" s="212"/>
      <c r="J232" s="212"/>
      <c r="K232" s="213"/>
      <c r="L232" s="54">
        <f>K214</f>
        <v>123336</v>
      </c>
      <c r="M232" s="2"/>
      <c r="O232" s="1"/>
      <c r="S232" s="30"/>
      <c r="T232" s="30"/>
      <c r="Z232" s="1"/>
      <c r="AA232" s="1"/>
    </row>
    <row r="233" spans="1:30" ht="18" customHeight="1" thickBot="1">
      <c r="A233" s="5"/>
      <c r="B233" s="6"/>
      <c r="C233" s="6"/>
      <c r="D233" s="6"/>
      <c r="E233" s="5"/>
      <c r="F233" s="53">
        <v>2</v>
      </c>
      <c r="G233" s="211" t="s">
        <v>344</v>
      </c>
      <c r="H233" s="212"/>
      <c r="I233" s="212"/>
      <c r="J233" s="212"/>
      <c r="K233" s="213"/>
      <c r="L233" s="54">
        <f>B230+C230</f>
        <v>23496</v>
      </c>
      <c r="M233" s="2"/>
      <c r="O233" s="1"/>
      <c r="S233" s="30"/>
      <c r="T233" s="30"/>
      <c r="Z233" s="1"/>
      <c r="AA233" s="1"/>
    </row>
    <row r="234" spans="1:30" ht="18" customHeight="1" thickBot="1">
      <c r="A234" s="5"/>
      <c r="B234" s="6"/>
      <c r="C234" s="6"/>
      <c r="D234" s="6"/>
      <c r="E234" s="5"/>
      <c r="F234" s="53">
        <v>3</v>
      </c>
      <c r="G234" s="211" t="s">
        <v>345</v>
      </c>
      <c r="H234" s="212"/>
      <c r="I234" s="212"/>
      <c r="J234" s="212"/>
      <c r="K234" s="213"/>
      <c r="L234" s="54">
        <f>F230</f>
        <v>0</v>
      </c>
      <c r="M234" s="2"/>
      <c r="O234" s="1"/>
      <c r="S234" s="30"/>
      <c r="T234" s="30"/>
      <c r="Z234" s="1"/>
      <c r="AA234" s="1"/>
    </row>
    <row r="235" spans="1:30" ht="18" customHeight="1" thickBot="1">
      <c r="A235" s="5"/>
      <c r="B235" s="6"/>
      <c r="C235" s="6"/>
      <c r="D235" s="6"/>
      <c r="E235" s="5"/>
      <c r="F235" s="53">
        <v>4</v>
      </c>
      <c r="G235" s="211" t="s">
        <v>346</v>
      </c>
      <c r="H235" s="212"/>
      <c r="I235" s="212"/>
      <c r="J235" s="212"/>
      <c r="K235" s="213"/>
      <c r="L235" s="54">
        <f>L233+L234</f>
        <v>23496</v>
      </c>
      <c r="M235" s="2"/>
      <c r="O235" s="1"/>
      <c r="S235" s="30"/>
      <c r="T235" s="30"/>
      <c r="Z235" s="1"/>
      <c r="AA235" s="1"/>
    </row>
    <row r="236" spans="1:30" ht="18" customHeight="1" thickBot="1">
      <c r="A236" s="5"/>
      <c r="B236" s="6"/>
      <c r="C236" s="6"/>
      <c r="D236" s="6"/>
      <c r="E236" s="5"/>
      <c r="F236" s="53">
        <v>5</v>
      </c>
      <c r="G236" s="211" t="s">
        <v>349</v>
      </c>
      <c r="H236" s="212"/>
      <c r="I236" s="212"/>
      <c r="J236" s="212"/>
      <c r="K236" s="213"/>
      <c r="L236" s="54">
        <f>D230+E230</f>
        <v>23496</v>
      </c>
      <c r="M236" s="2"/>
      <c r="O236" s="1"/>
      <c r="S236" s="30"/>
      <c r="T236" s="30"/>
      <c r="Z236" s="1"/>
      <c r="AA236" s="1"/>
    </row>
    <row r="237" spans="1:30" ht="18" customHeight="1" thickBot="1">
      <c r="A237" s="5"/>
      <c r="B237" s="5"/>
      <c r="C237" s="5"/>
      <c r="D237" s="5"/>
      <c r="E237" s="5"/>
      <c r="F237" s="53">
        <v>6</v>
      </c>
      <c r="G237" s="211" t="s">
        <v>347</v>
      </c>
      <c r="H237" s="212"/>
      <c r="I237" s="212"/>
      <c r="J237" s="212"/>
      <c r="K237" s="213"/>
      <c r="L237" s="54">
        <f>L232+L235+L236</f>
        <v>170328</v>
      </c>
      <c r="M237" s="2"/>
      <c r="O237" s="1"/>
      <c r="S237" s="30"/>
      <c r="T237" s="30"/>
      <c r="Z237" s="1"/>
      <c r="AA237" s="1"/>
    </row>
    <row r="238" spans="1:30" ht="18" customHeight="1" thickBot="1">
      <c r="A238" s="5"/>
      <c r="B238" s="5"/>
      <c r="C238" s="5"/>
      <c r="D238" s="5"/>
      <c r="E238" s="5"/>
      <c r="F238" s="53">
        <v>7</v>
      </c>
      <c r="G238" s="211" t="s">
        <v>50</v>
      </c>
      <c r="H238" s="212"/>
      <c r="I238" s="212"/>
      <c r="J238" s="212"/>
      <c r="K238" s="213"/>
      <c r="L238" s="54">
        <f>H230</f>
        <v>0</v>
      </c>
      <c r="M238" s="2"/>
      <c r="O238" s="1"/>
      <c r="S238" s="30"/>
      <c r="T238" s="30"/>
      <c r="Z238" s="1"/>
      <c r="AA238" s="1"/>
    </row>
    <row r="239" spans="1:30" ht="18" customHeight="1" thickBot="1">
      <c r="A239" s="5"/>
      <c r="B239" s="5"/>
      <c r="C239" s="5"/>
      <c r="D239" s="5"/>
      <c r="E239" s="5"/>
      <c r="F239" s="53">
        <v>8</v>
      </c>
      <c r="G239" s="211" t="s">
        <v>340</v>
      </c>
      <c r="H239" s="212"/>
      <c r="I239" s="212"/>
      <c r="J239" s="212"/>
      <c r="K239" s="213"/>
      <c r="L239" s="54">
        <f>L230</f>
        <v>1654</v>
      </c>
      <c r="M239" s="2"/>
      <c r="O239" s="1"/>
      <c r="S239" s="30"/>
      <c r="T239" s="30"/>
      <c r="Z239" s="1"/>
      <c r="AA239" s="1"/>
    </row>
    <row r="240" spans="1:30" ht="18" customHeight="1" thickBot="1">
      <c r="A240" s="5"/>
      <c r="B240" s="5"/>
      <c r="C240" s="5"/>
      <c r="D240" s="5"/>
      <c r="E240" s="5"/>
      <c r="F240" s="53">
        <v>9</v>
      </c>
      <c r="G240" s="211" t="s">
        <v>355</v>
      </c>
      <c r="H240" s="212"/>
      <c r="I240" s="212"/>
      <c r="J240" s="212"/>
      <c r="K240" s="213"/>
      <c r="L240" s="54">
        <f>M230</f>
        <v>832</v>
      </c>
      <c r="M240" s="2"/>
      <c r="O240" s="1"/>
      <c r="S240" s="30"/>
      <c r="T240" s="30"/>
      <c r="Z240" s="1"/>
      <c r="AA240" s="1"/>
    </row>
    <row r="241" spans="1:34" ht="18" customHeight="1" thickBot="1">
      <c r="A241" s="5"/>
      <c r="B241" s="5"/>
      <c r="C241" s="5"/>
      <c r="D241" s="5"/>
      <c r="E241" s="5"/>
      <c r="F241" s="53">
        <v>10</v>
      </c>
      <c r="G241" s="211" t="s">
        <v>348</v>
      </c>
      <c r="H241" s="212"/>
      <c r="I241" s="212"/>
      <c r="J241" s="212"/>
      <c r="K241" s="213"/>
      <c r="L241" s="54">
        <f>N230</f>
        <v>2486</v>
      </c>
      <c r="M241" s="2"/>
      <c r="O241" s="1"/>
      <c r="S241" s="30"/>
      <c r="T241" s="30"/>
      <c r="Z241" s="1"/>
      <c r="AA241" s="1"/>
    </row>
    <row r="242" spans="1:34" ht="18" customHeight="1" thickBot="1">
      <c r="A242" s="5"/>
      <c r="B242" s="5"/>
      <c r="C242" s="5"/>
      <c r="D242" s="5"/>
      <c r="E242" s="5"/>
      <c r="F242" s="53">
        <v>11</v>
      </c>
      <c r="G242" s="212" t="s">
        <v>359</v>
      </c>
      <c r="H242" s="212"/>
      <c r="I242" s="212"/>
      <c r="J242" s="212"/>
      <c r="K242" s="213"/>
      <c r="L242" s="54">
        <f>L237-L238+L241</f>
        <v>172814</v>
      </c>
      <c r="M242" s="2"/>
      <c r="O242" s="1"/>
      <c r="S242" s="30"/>
      <c r="T242" s="30"/>
      <c r="Z242" s="1"/>
      <c r="AA242" s="1"/>
    </row>
    <row r="243" spans="1:34">
      <c r="A243" s="5"/>
      <c r="B243" s="5"/>
      <c r="C243" s="5"/>
      <c r="D243" s="5"/>
      <c r="E243" s="5"/>
      <c r="F243" s="5"/>
      <c r="G243" s="17"/>
      <c r="H243" s="17"/>
      <c r="I243" s="17"/>
      <c r="J243" s="17"/>
      <c r="K243" s="17"/>
      <c r="L243" s="17"/>
      <c r="M243" s="17"/>
      <c r="N243" s="6"/>
    </row>
    <row r="244" spans="1:34"/>
    <row r="245" spans="1:34"/>
    <row r="246" spans="1:34" ht="16.8">
      <c r="A246" s="249" t="s">
        <v>53</v>
      </c>
      <c r="B246" s="249"/>
      <c r="C246" s="18"/>
      <c r="D246" s="18"/>
      <c r="E246" s="249" t="s">
        <v>54</v>
      </c>
      <c r="F246" s="249"/>
      <c r="G246" s="249"/>
      <c r="H246" s="250" t="s">
        <v>55</v>
      </c>
      <c r="I246" s="250"/>
      <c r="J246" s="250"/>
      <c r="K246" s="250"/>
      <c r="L246" s="250"/>
      <c r="M246" s="250"/>
      <c r="N246" s="250"/>
    </row>
    <row r="247" spans="1:34" ht="16.8">
      <c r="A247" s="18"/>
      <c r="B247" s="18"/>
      <c r="C247" s="18"/>
      <c r="D247" s="18"/>
      <c r="E247" s="18"/>
      <c r="F247" s="18"/>
      <c r="G247" s="19"/>
      <c r="H247" s="19"/>
      <c r="I247" s="19"/>
      <c r="J247" s="19"/>
    </row>
    <row r="248" spans="1:34" ht="16.8">
      <c r="A248" s="18"/>
      <c r="B248" s="18"/>
      <c r="C248" s="18"/>
      <c r="D248" s="18"/>
      <c r="E248" s="18"/>
      <c r="F248" s="18"/>
      <c r="G248" s="19"/>
      <c r="H248" s="19"/>
      <c r="I248" s="19"/>
      <c r="J248" s="19"/>
    </row>
    <row r="249" spans="1:34" ht="18.600000000000001">
      <c r="A249" s="224" t="s">
        <v>0</v>
      </c>
      <c r="B249" s="224"/>
      <c r="C249" s="224"/>
      <c r="D249" s="224"/>
      <c r="E249" s="224"/>
      <c r="F249" s="224"/>
      <c r="G249" s="224"/>
      <c r="H249" s="224"/>
      <c r="I249" s="224"/>
      <c r="J249" s="224"/>
      <c r="K249" s="224"/>
      <c r="L249" s="224"/>
      <c r="M249" s="224"/>
      <c r="N249" s="224"/>
      <c r="O249" s="224"/>
      <c r="AG249" s="22"/>
      <c r="AH249" s="22"/>
    </row>
    <row r="250" spans="1:34" ht="18.600000000000001">
      <c r="A250" s="224" t="s">
        <v>1</v>
      </c>
      <c r="B250" s="224"/>
      <c r="C250" s="224"/>
      <c r="D250" s="224"/>
      <c r="E250" s="224"/>
      <c r="F250" s="224"/>
      <c r="G250" s="224"/>
      <c r="H250" s="224"/>
      <c r="I250" s="224"/>
      <c r="J250" s="224"/>
      <c r="K250" s="224"/>
      <c r="L250" s="224"/>
      <c r="M250" s="224"/>
      <c r="N250" s="224"/>
      <c r="O250" s="224"/>
      <c r="AG250" s="22"/>
      <c r="AH250" s="22"/>
    </row>
    <row r="251" spans="1:34">
      <c r="AG251" s="22"/>
      <c r="AH251" s="22"/>
    </row>
    <row r="252" spans="1:34" ht="15" thickBot="1">
      <c r="A252" s="225" t="s">
        <v>128</v>
      </c>
      <c r="B252" s="225"/>
      <c r="C252" s="225"/>
      <c r="D252" s="225"/>
      <c r="E252" s="225"/>
      <c r="F252" s="225"/>
      <c r="G252" s="225"/>
      <c r="H252" s="225"/>
      <c r="I252" s="225"/>
      <c r="J252" s="225"/>
      <c r="K252" s="225"/>
      <c r="L252" s="225"/>
      <c r="M252" s="225"/>
      <c r="N252" s="225"/>
    </row>
    <row r="253" spans="1:34" ht="36" customHeight="1" thickBot="1">
      <c r="A253" s="55" t="s">
        <v>3</v>
      </c>
      <c r="B253" s="53">
        <f>B210</f>
        <v>9255</v>
      </c>
      <c r="C253" s="5"/>
      <c r="D253" s="5"/>
      <c r="E253" s="211" t="s">
        <v>4</v>
      </c>
      <c r="F253" s="213" t="str">
        <f>F210</f>
        <v>Mahajan Ganesh Trambak</v>
      </c>
      <c r="G253" s="5"/>
      <c r="H253" s="211" t="str">
        <f>H210</f>
        <v>Mahajan Ganesh Trambak</v>
      </c>
      <c r="I253" s="212"/>
      <c r="J253" s="212"/>
      <c r="K253" s="212"/>
      <c r="L253" s="212"/>
      <c r="M253" s="212"/>
      <c r="N253" s="212"/>
      <c r="O253" s="213"/>
    </row>
    <row r="254" spans="1:34" ht="15" thickBo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6"/>
      <c r="L254" s="6"/>
      <c r="M254" s="6"/>
      <c r="N254" s="5"/>
    </row>
    <row r="255" spans="1:34" ht="36" customHeight="1" thickBot="1">
      <c r="A255" s="55" t="s">
        <v>6</v>
      </c>
      <c r="B255" s="55" t="str">
        <f>B212</f>
        <v>06.06.2007</v>
      </c>
      <c r="C255" s="5"/>
      <c r="D255" s="5"/>
      <c r="E255" s="55" t="s">
        <v>7</v>
      </c>
      <c r="F255" s="55"/>
      <c r="G255" s="5"/>
      <c r="H255" s="55" t="s">
        <v>8</v>
      </c>
      <c r="I255" s="211" t="str">
        <f>I212</f>
        <v>Asst. Jr. Engineer</v>
      </c>
      <c r="J255" s="212"/>
      <c r="K255" s="212" t="str">
        <f>K212</f>
        <v>Asst. Jr. Engineer</v>
      </c>
      <c r="L255" s="212"/>
      <c r="M255" s="212"/>
      <c r="N255" s="212"/>
      <c r="O255" s="213"/>
    </row>
    <row r="256" spans="1:34" ht="15" thickBo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6"/>
      <c r="L256" s="6"/>
      <c r="M256" s="6"/>
      <c r="N256" s="5"/>
    </row>
    <row r="257" spans="1:30" ht="24" customHeight="1" thickBot="1">
      <c r="A257" s="55" t="s">
        <v>10</v>
      </c>
      <c r="B257" s="58">
        <v>0.08</v>
      </c>
      <c r="C257" s="5"/>
      <c r="D257" s="5"/>
      <c r="E257" s="55" t="s">
        <v>11</v>
      </c>
      <c r="F257" s="58">
        <v>8.5999999999999993E-2</v>
      </c>
      <c r="G257" s="5"/>
      <c r="H257" s="239" t="s">
        <v>12</v>
      </c>
      <c r="I257" s="240"/>
      <c r="J257" s="241"/>
      <c r="K257" s="242">
        <f>L242</f>
        <v>172814</v>
      </c>
      <c r="L257" s="243"/>
      <c r="M257" s="243"/>
      <c r="N257" s="243"/>
      <c r="O257" s="244"/>
    </row>
    <row r="258" spans="1:30" ht="15" thickBo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6"/>
      <c r="L258" s="6"/>
      <c r="M258" s="6"/>
      <c r="N258" s="5"/>
    </row>
    <row r="259" spans="1:30" ht="39.9" customHeight="1" thickBot="1">
      <c r="A259" s="235" t="s">
        <v>13</v>
      </c>
      <c r="B259" s="256" t="s">
        <v>14</v>
      </c>
      <c r="C259" s="257"/>
      <c r="D259" s="256" t="s">
        <v>349</v>
      </c>
      <c r="E259" s="257"/>
      <c r="F259" s="235" t="s">
        <v>342</v>
      </c>
      <c r="G259" s="235" t="s">
        <v>16</v>
      </c>
      <c r="H259" s="235" t="s">
        <v>17</v>
      </c>
      <c r="I259" s="235" t="s">
        <v>341</v>
      </c>
      <c r="J259" s="235" t="s">
        <v>354</v>
      </c>
      <c r="K259" s="254" t="s">
        <v>353</v>
      </c>
      <c r="L259" s="254" t="s">
        <v>340</v>
      </c>
      <c r="M259" s="254" t="s">
        <v>355</v>
      </c>
      <c r="N259" s="254" t="s">
        <v>343</v>
      </c>
      <c r="O259" s="247" t="s">
        <v>20</v>
      </c>
      <c r="Q259" s="12" t="s">
        <v>27</v>
      </c>
      <c r="R259" s="12" t="s">
        <v>28</v>
      </c>
      <c r="S259" s="12" t="s">
        <v>29</v>
      </c>
      <c r="T259" s="12" t="s">
        <v>30</v>
      </c>
      <c r="U259" s="12" t="s">
        <v>21</v>
      </c>
      <c r="V259" s="12" t="s">
        <v>22</v>
      </c>
      <c r="W259" s="12" t="s">
        <v>23</v>
      </c>
      <c r="X259" s="12" t="s">
        <v>24</v>
      </c>
      <c r="Y259" s="12" t="s">
        <v>356</v>
      </c>
      <c r="Z259" s="12" t="s">
        <v>336</v>
      </c>
      <c r="AA259" s="12" t="s">
        <v>26</v>
      </c>
      <c r="AB259" s="12" t="s">
        <v>31</v>
      </c>
      <c r="AC259" s="12" t="s">
        <v>32</v>
      </c>
      <c r="AD259" s="12" t="s">
        <v>333</v>
      </c>
    </row>
    <row r="260" spans="1:30" ht="39.9" customHeight="1" thickBot="1">
      <c r="A260" s="236"/>
      <c r="B260" s="55" t="s">
        <v>350</v>
      </c>
      <c r="C260" s="55" t="s">
        <v>351</v>
      </c>
      <c r="D260" s="55" t="s">
        <v>350</v>
      </c>
      <c r="E260" s="55" t="s">
        <v>351</v>
      </c>
      <c r="F260" s="236"/>
      <c r="G260" s="236"/>
      <c r="H260" s="236"/>
      <c r="I260" s="236"/>
      <c r="J260" s="236"/>
      <c r="K260" s="255"/>
      <c r="L260" s="255"/>
      <c r="M260" s="255"/>
      <c r="N260" s="255"/>
      <c r="O260" s="248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</row>
    <row r="261" spans="1:30" ht="18" customHeight="1">
      <c r="A261" s="42" t="s">
        <v>129</v>
      </c>
      <c r="B261" s="20">
        <f>Y261</f>
        <v>2140</v>
      </c>
      <c r="C261" s="20">
        <v>0</v>
      </c>
      <c r="D261" s="20">
        <f>B261</f>
        <v>2140</v>
      </c>
      <c r="E261" s="20">
        <f>C261</f>
        <v>0</v>
      </c>
      <c r="F261" s="20">
        <v>0</v>
      </c>
      <c r="G261" s="20">
        <f t="shared" ref="G261:G272" si="94">(B261+C261+F261)+(D261+E261)</f>
        <v>4280</v>
      </c>
      <c r="H261" s="20">
        <v>0</v>
      </c>
      <c r="I261" s="20">
        <f>(K257+B261+C261+F261)-H261</f>
        <v>174954</v>
      </c>
      <c r="J261" s="20">
        <f>(D261+E261)</f>
        <v>2140</v>
      </c>
      <c r="K261" s="20">
        <f>(K257+G261)-H261</f>
        <v>177094</v>
      </c>
      <c r="L261" s="20">
        <f>ROUND((I261*8/100)/12,0)</f>
        <v>1166</v>
      </c>
      <c r="M261" s="20">
        <f>ROUND((J261*8/100)/12,0)</f>
        <v>14</v>
      </c>
      <c r="N261" s="20">
        <f>L261+M261</f>
        <v>1180</v>
      </c>
      <c r="O261" s="69" t="s">
        <v>34</v>
      </c>
      <c r="T261" s="22"/>
      <c r="U261" s="30">
        <v>10560</v>
      </c>
      <c r="V261" s="30">
        <v>4200</v>
      </c>
      <c r="W261" s="30">
        <v>6642</v>
      </c>
      <c r="X261" s="30">
        <f t="shared" ref="X261:X272" si="95">U261+V261+W261</f>
        <v>21402</v>
      </c>
      <c r="Y261" s="30">
        <f t="shared" ref="Y261:Y272" si="96">ROUND(X261*10%,0)</f>
        <v>2140</v>
      </c>
      <c r="Z261" s="30">
        <v>2000</v>
      </c>
      <c r="AA261" s="30">
        <f t="shared" ref="AA261:AA272" si="97">Z261-Y261</f>
        <v>-140</v>
      </c>
      <c r="AB261" s="22">
        <v>40634</v>
      </c>
      <c r="AC261" s="22">
        <v>40663</v>
      </c>
      <c r="AD261" s="1" t="s">
        <v>74</v>
      </c>
    </row>
    <row r="262" spans="1:30" ht="18" customHeight="1">
      <c r="A262" s="42" t="s">
        <v>130</v>
      </c>
      <c r="B262" s="20">
        <f t="shared" ref="B262:B272" si="98">Y262</f>
        <v>2229</v>
      </c>
      <c r="C262" s="20">
        <v>0</v>
      </c>
      <c r="D262" s="20">
        <f t="shared" ref="D262:D272" si="99">B262</f>
        <v>2229</v>
      </c>
      <c r="E262" s="20">
        <f t="shared" ref="E262:E272" si="100">C262</f>
        <v>0</v>
      </c>
      <c r="F262" s="20">
        <v>0</v>
      </c>
      <c r="G262" s="20">
        <f t="shared" si="94"/>
        <v>4458</v>
      </c>
      <c r="H262" s="20">
        <v>0</v>
      </c>
      <c r="I262" s="20">
        <f>(I261+B262+C262+F262)-H262</f>
        <v>177183</v>
      </c>
      <c r="J262" s="20">
        <f>(J261+D262+E262)</f>
        <v>4369</v>
      </c>
      <c r="K262" s="20">
        <f t="shared" ref="K262:K272" si="101">(K261+G262)-H262</f>
        <v>181552</v>
      </c>
      <c r="L262" s="20">
        <f t="shared" ref="L262:L268" si="102">ROUND((I262*8/100)/12,0)</f>
        <v>1181</v>
      </c>
      <c r="M262" s="20">
        <f t="shared" ref="M262:M268" si="103">ROUND((J262*8/100)/12,0)</f>
        <v>29</v>
      </c>
      <c r="N262" s="20">
        <f t="shared" ref="N262:N272" si="104">L262+M262</f>
        <v>1210</v>
      </c>
      <c r="O262" s="69"/>
      <c r="T262" s="22"/>
      <c r="U262" s="30">
        <v>10560</v>
      </c>
      <c r="V262" s="30">
        <v>4200</v>
      </c>
      <c r="W262" s="30">
        <v>7528</v>
      </c>
      <c r="X262" s="30">
        <f t="shared" si="95"/>
        <v>22288</v>
      </c>
      <c r="Y262" s="30">
        <f t="shared" si="96"/>
        <v>2229</v>
      </c>
      <c r="Z262" s="30">
        <v>837</v>
      </c>
      <c r="AA262" s="30">
        <f t="shared" si="97"/>
        <v>-1392</v>
      </c>
      <c r="AB262" s="22">
        <v>40664</v>
      </c>
      <c r="AC262" s="22">
        <v>40693</v>
      </c>
      <c r="AD262" s="1" t="s">
        <v>74</v>
      </c>
    </row>
    <row r="263" spans="1:30" ht="18" customHeight="1">
      <c r="A263" s="42" t="s">
        <v>131</v>
      </c>
      <c r="B263" s="20">
        <f t="shared" si="98"/>
        <v>2229</v>
      </c>
      <c r="C263" s="20">
        <v>0</v>
      </c>
      <c r="D263" s="20">
        <f t="shared" si="99"/>
        <v>2229</v>
      </c>
      <c r="E263" s="20">
        <f t="shared" si="100"/>
        <v>0</v>
      </c>
      <c r="F263" s="20">
        <v>0</v>
      </c>
      <c r="G263" s="20">
        <f t="shared" si="94"/>
        <v>4458</v>
      </c>
      <c r="H263" s="20">
        <v>0</v>
      </c>
      <c r="I263" s="20">
        <f t="shared" ref="I263" si="105">(I262+B263+C263+F263)-H263</f>
        <v>179412</v>
      </c>
      <c r="J263" s="20">
        <f t="shared" ref="J263" si="106">(J262+D263+E263)</f>
        <v>6598</v>
      </c>
      <c r="K263" s="20">
        <f t="shared" si="101"/>
        <v>186010</v>
      </c>
      <c r="L263" s="20">
        <f t="shared" si="102"/>
        <v>1196</v>
      </c>
      <c r="M263" s="20">
        <f t="shared" si="103"/>
        <v>44</v>
      </c>
      <c r="N263" s="20">
        <f t="shared" si="104"/>
        <v>1240</v>
      </c>
      <c r="O263" s="69"/>
      <c r="T263" s="22"/>
      <c r="U263" s="30">
        <v>10560</v>
      </c>
      <c r="V263" s="30">
        <v>4200</v>
      </c>
      <c r="W263" s="30">
        <v>7528</v>
      </c>
      <c r="X263" s="30">
        <f t="shared" si="95"/>
        <v>22288</v>
      </c>
      <c r="Y263" s="30">
        <f t="shared" si="96"/>
        <v>2229</v>
      </c>
      <c r="Z263" s="30">
        <v>837</v>
      </c>
      <c r="AA263" s="30">
        <f t="shared" si="97"/>
        <v>-1392</v>
      </c>
      <c r="AB263" s="22">
        <v>40695</v>
      </c>
      <c r="AC263" s="22">
        <v>40724</v>
      </c>
      <c r="AD263" s="1" t="s">
        <v>74</v>
      </c>
    </row>
    <row r="264" spans="1:30" ht="18" customHeight="1">
      <c r="A264" s="42" t="s">
        <v>132</v>
      </c>
      <c r="B264" s="20">
        <f t="shared" si="98"/>
        <v>2297</v>
      </c>
      <c r="C264" s="20">
        <v>0</v>
      </c>
      <c r="D264" s="20">
        <f t="shared" si="99"/>
        <v>2297</v>
      </c>
      <c r="E264" s="20">
        <f t="shared" si="100"/>
        <v>0</v>
      </c>
      <c r="F264" s="20">
        <v>0</v>
      </c>
      <c r="G264" s="20">
        <f t="shared" si="94"/>
        <v>4594</v>
      </c>
      <c r="H264" s="20">
        <v>0</v>
      </c>
      <c r="I264" s="20">
        <f t="shared" ref="I264" si="107">(I263+B264+C264+F264)-H264</f>
        <v>181709</v>
      </c>
      <c r="J264" s="20">
        <f t="shared" ref="J264:J272" si="108">(J263+D264+E264)</f>
        <v>8895</v>
      </c>
      <c r="K264" s="20">
        <f t="shared" si="101"/>
        <v>190604</v>
      </c>
      <c r="L264" s="20">
        <f t="shared" si="102"/>
        <v>1211</v>
      </c>
      <c r="M264" s="20">
        <f t="shared" si="103"/>
        <v>59</v>
      </c>
      <c r="N264" s="20">
        <f t="shared" si="104"/>
        <v>1270</v>
      </c>
      <c r="O264" s="69"/>
      <c r="T264" s="22"/>
      <c r="U264" s="30">
        <v>11010</v>
      </c>
      <c r="V264" s="30">
        <v>4200</v>
      </c>
      <c r="W264" s="30">
        <v>7757</v>
      </c>
      <c r="X264" s="30">
        <f t="shared" si="95"/>
        <v>22967</v>
      </c>
      <c r="Y264" s="30">
        <f t="shared" si="96"/>
        <v>2297</v>
      </c>
      <c r="Z264" s="30">
        <v>837</v>
      </c>
      <c r="AA264" s="30">
        <f t="shared" si="97"/>
        <v>-1460</v>
      </c>
      <c r="AB264" s="22">
        <v>40725</v>
      </c>
      <c r="AC264" s="22">
        <v>40755</v>
      </c>
      <c r="AD264" s="1" t="s">
        <v>74</v>
      </c>
    </row>
    <row r="265" spans="1:30" ht="18" customHeight="1">
      <c r="A265" s="42" t="s">
        <v>133</v>
      </c>
      <c r="B265" s="20">
        <f>Y265</f>
        <v>2439</v>
      </c>
      <c r="C265" s="20">
        <v>0</v>
      </c>
      <c r="D265" s="20">
        <f>B265</f>
        <v>2439</v>
      </c>
      <c r="E265" s="20">
        <f>C265</f>
        <v>0</v>
      </c>
      <c r="F265" s="20">
        <v>0</v>
      </c>
      <c r="G265" s="20">
        <f t="shared" si="94"/>
        <v>4878</v>
      </c>
      <c r="H265" s="20">
        <v>0</v>
      </c>
      <c r="I265" s="20">
        <f t="shared" ref="I265:I272" si="109">(I264+B265+C265+F265)-H265</f>
        <v>184148</v>
      </c>
      <c r="J265" s="20">
        <f t="shared" si="108"/>
        <v>11334</v>
      </c>
      <c r="K265" s="20">
        <f t="shared" si="101"/>
        <v>195482</v>
      </c>
      <c r="L265" s="20">
        <f t="shared" si="102"/>
        <v>1228</v>
      </c>
      <c r="M265" s="20">
        <f t="shared" si="103"/>
        <v>76</v>
      </c>
      <c r="N265" s="20">
        <f t="shared" si="104"/>
        <v>1304</v>
      </c>
      <c r="O265" s="69"/>
      <c r="Q265" s="1">
        <v>64</v>
      </c>
      <c r="R265" s="1">
        <v>64</v>
      </c>
      <c r="S265" s="1">
        <v>9096</v>
      </c>
      <c r="T265" s="22">
        <v>40785</v>
      </c>
      <c r="U265" s="30">
        <v>10560</v>
      </c>
      <c r="V265" s="30">
        <v>5280</v>
      </c>
      <c r="W265" s="30">
        <v>8554</v>
      </c>
      <c r="X265" s="30">
        <f t="shared" si="95"/>
        <v>24394</v>
      </c>
      <c r="Y265" s="30">
        <f t="shared" si="96"/>
        <v>2439</v>
      </c>
      <c r="Z265" s="30">
        <v>2331</v>
      </c>
      <c r="AA265" s="30">
        <f t="shared" si="97"/>
        <v>-108</v>
      </c>
      <c r="AB265" s="22">
        <v>44409</v>
      </c>
      <c r="AC265" s="22">
        <v>40786</v>
      </c>
      <c r="AD265" s="1" t="s">
        <v>98</v>
      </c>
    </row>
    <row r="266" spans="1:30" ht="18" customHeight="1">
      <c r="A266" s="42" t="s">
        <v>134</v>
      </c>
      <c r="B266" s="20">
        <f t="shared" si="98"/>
        <v>2439</v>
      </c>
      <c r="C266" s="20">
        <v>0</v>
      </c>
      <c r="D266" s="20">
        <f t="shared" si="99"/>
        <v>2439</v>
      </c>
      <c r="E266" s="20">
        <f t="shared" si="100"/>
        <v>0</v>
      </c>
      <c r="F266" s="20">
        <v>0</v>
      </c>
      <c r="G266" s="20">
        <f t="shared" si="94"/>
        <v>4878</v>
      </c>
      <c r="H266" s="20">
        <v>0</v>
      </c>
      <c r="I266" s="20">
        <f t="shared" si="109"/>
        <v>186587</v>
      </c>
      <c r="J266" s="20">
        <f t="shared" si="108"/>
        <v>13773</v>
      </c>
      <c r="K266" s="20">
        <f t="shared" si="101"/>
        <v>200360</v>
      </c>
      <c r="L266" s="20">
        <f t="shared" si="102"/>
        <v>1244</v>
      </c>
      <c r="M266" s="20">
        <f t="shared" si="103"/>
        <v>92</v>
      </c>
      <c r="N266" s="20">
        <f t="shared" si="104"/>
        <v>1336</v>
      </c>
      <c r="O266" s="69"/>
      <c r="Q266" s="1">
        <v>77</v>
      </c>
      <c r="R266" s="1">
        <v>77</v>
      </c>
      <c r="S266" s="1">
        <v>7357</v>
      </c>
      <c r="T266" s="22">
        <v>40816</v>
      </c>
      <c r="U266" s="30">
        <v>10560</v>
      </c>
      <c r="V266" s="30">
        <v>5280</v>
      </c>
      <c r="W266" s="30">
        <v>8554</v>
      </c>
      <c r="X266" s="30">
        <f t="shared" si="95"/>
        <v>24394</v>
      </c>
      <c r="Y266" s="30">
        <f t="shared" si="96"/>
        <v>2439</v>
      </c>
      <c r="Z266" s="30">
        <v>2331</v>
      </c>
      <c r="AA266" s="30">
        <f t="shared" si="97"/>
        <v>-108</v>
      </c>
      <c r="AB266" s="22">
        <v>40787</v>
      </c>
      <c r="AC266" s="22">
        <v>40816</v>
      </c>
      <c r="AD266" s="1" t="s">
        <v>98</v>
      </c>
    </row>
    <row r="267" spans="1:30" ht="18" customHeight="1">
      <c r="A267" s="42" t="s">
        <v>135</v>
      </c>
      <c r="B267" s="20">
        <f t="shared" si="98"/>
        <v>2332</v>
      </c>
      <c r="C267" s="20">
        <v>0</v>
      </c>
      <c r="D267" s="20">
        <f t="shared" si="99"/>
        <v>2332</v>
      </c>
      <c r="E267" s="20">
        <f t="shared" si="100"/>
        <v>0</v>
      </c>
      <c r="F267" s="20">
        <v>0</v>
      </c>
      <c r="G267" s="20">
        <f t="shared" si="94"/>
        <v>4664</v>
      </c>
      <c r="H267" s="20">
        <v>0</v>
      </c>
      <c r="I267" s="20">
        <f t="shared" si="109"/>
        <v>188919</v>
      </c>
      <c r="J267" s="20">
        <f t="shared" si="108"/>
        <v>16105</v>
      </c>
      <c r="K267" s="20">
        <f t="shared" si="101"/>
        <v>205024</v>
      </c>
      <c r="L267" s="20">
        <f t="shared" si="102"/>
        <v>1259</v>
      </c>
      <c r="M267" s="20">
        <f t="shared" si="103"/>
        <v>107</v>
      </c>
      <c r="N267" s="20">
        <f t="shared" si="104"/>
        <v>1366</v>
      </c>
      <c r="O267" s="69"/>
      <c r="Q267" s="1">
        <v>89</v>
      </c>
      <c r="R267" s="1">
        <v>89</v>
      </c>
      <c r="S267" s="1">
        <v>8648</v>
      </c>
      <c r="T267" s="22">
        <v>40833</v>
      </c>
      <c r="U267" s="30">
        <v>10560</v>
      </c>
      <c r="V267" s="30">
        <v>4200</v>
      </c>
      <c r="W267" s="30">
        <v>8561</v>
      </c>
      <c r="X267" s="30">
        <f t="shared" si="95"/>
        <v>23321</v>
      </c>
      <c r="Y267" s="30">
        <f t="shared" si="96"/>
        <v>2332</v>
      </c>
      <c r="Z267" s="30">
        <v>2332</v>
      </c>
      <c r="AA267" s="30">
        <f t="shared" si="97"/>
        <v>0</v>
      </c>
      <c r="AB267" s="22">
        <v>40817</v>
      </c>
      <c r="AC267" s="22">
        <v>40847</v>
      </c>
      <c r="AD267" s="1" t="s">
        <v>98</v>
      </c>
    </row>
    <row r="268" spans="1:30" ht="18" customHeight="1">
      <c r="A268" s="42" t="s">
        <v>136</v>
      </c>
      <c r="B268" s="20">
        <f t="shared" si="98"/>
        <v>2332</v>
      </c>
      <c r="C268" s="20">
        <v>0</v>
      </c>
      <c r="D268" s="20">
        <f t="shared" si="99"/>
        <v>2332</v>
      </c>
      <c r="E268" s="20">
        <f t="shared" si="100"/>
        <v>0</v>
      </c>
      <c r="F268" s="20">
        <v>0</v>
      </c>
      <c r="G268" s="20">
        <f t="shared" si="94"/>
        <v>4664</v>
      </c>
      <c r="H268" s="20">
        <v>0</v>
      </c>
      <c r="I268" s="20">
        <f t="shared" si="109"/>
        <v>191251</v>
      </c>
      <c r="J268" s="20">
        <f t="shared" si="108"/>
        <v>18437</v>
      </c>
      <c r="K268" s="20">
        <f t="shared" si="101"/>
        <v>209688</v>
      </c>
      <c r="L268" s="20">
        <f t="shared" si="102"/>
        <v>1275</v>
      </c>
      <c r="M268" s="20">
        <f t="shared" si="103"/>
        <v>123</v>
      </c>
      <c r="N268" s="20">
        <f t="shared" si="104"/>
        <v>1398</v>
      </c>
      <c r="O268" s="69"/>
      <c r="Q268" s="1">
        <v>107</v>
      </c>
      <c r="R268" s="1">
        <v>107</v>
      </c>
      <c r="S268" s="1">
        <v>10873</v>
      </c>
      <c r="T268" s="22">
        <v>40877</v>
      </c>
      <c r="U268" s="30">
        <v>10560</v>
      </c>
      <c r="V268" s="30">
        <v>4200</v>
      </c>
      <c r="W268" s="30">
        <v>8561</v>
      </c>
      <c r="X268" s="30">
        <f t="shared" si="95"/>
        <v>23321</v>
      </c>
      <c r="Y268" s="30">
        <f t="shared" si="96"/>
        <v>2332</v>
      </c>
      <c r="Z268" s="30">
        <v>2332</v>
      </c>
      <c r="AA268" s="30">
        <f t="shared" si="97"/>
        <v>0</v>
      </c>
      <c r="AB268" s="22">
        <v>40848</v>
      </c>
      <c r="AC268" s="22">
        <v>40877</v>
      </c>
      <c r="AD268" s="1" t="s">
        <v>98</v>
      </c>
    </row>
    <row r="269" spans="1:30" ht="18" customHeight="1">
      <c r="A269" s="42" t="s">
        <v>137</v>
      </c>
      <c r="B269" s="20">
        <f t="shared" si="98"/>
        <v>2332</v>
      </c>
      <c r="C269" s="20">
        <v>0</v>
      </c>
      <c r="D269" s="20">
        <f t="shared" si="99"/>
        <v>2332</v>
      </c>
      <c r="E269" s="20">
        <f t="shared" si="100"/>
        <v>0</v>
      </c>
      <c r="F269" s="20">
        <v>0</v>
      </c>
      <c r="G269" s="20">
        <f t="shared" si="94"/>
        <v>4664</v>
      </c>
      <c r="H269" s="20">
        <v>0</v>
      </c>
      <c r="I269" s="20">
        <f t="shared" si="109"/>
        <v>193583</v>
      </c>
      <c r="J269" s="20">
        <f t="shared" si="108"/>
        <v>20769</v>
      </c>
      <c r="K269" s="20">
        <f t="shared" si="101"/>
        <v>214352</v>
      </c>
      <c r="L269" s="20">
        <f>ROUND((I269*8.6/100)/12,0)</f>
        <v>1387</v>
      </c>
      <c r="M269" s="20">
        <f>ROUND((J269*8.6/100)/12,0)</f>
        <v>149</v>
      </c>
      <c r="N269" s="20">
        <f t="shared" si="104"/>
        <v>1536</v>
      </c>
      <c r="O269" s="210" t="s">
        <v>138</v>
      </c>
      <c r="Q269" s="1">
        <v>119</v>
      </c>
      <c r="R269" s="1">
        <v>119</v>
      </c>
      <c r="S269" s="1">
        <v>12224</v>
      </c>
      <c r="T269" s="22">
        <v>40907</v>
      </c>
      <c r="U269" s="30">
        <v>10560</v>
      </c>
      <c r="V269" s="30">
        <v>4200</v>
      </c>
      <c r="W269" s="30">
        <v>8561</v>
      </c>
      <c r="X269" s="30">
        <f t="shared" si="95"/>
        <v>23321</v>
      </c>
      <c r="Y269" s="30">
        <f t="shared" si="96"/>
        <v>2332</v>
      </c>
      <c r="Z269" s="30">
        <v>2332</v>
      </c>
      <c r="AA269" s="30">
        <f t="shared" si="97"/>
        <v>0</v>
      </c>
      <c r="AB269" s="22">
        <v>40878</v>
      </c>
      <c r="AC269" s="22">
        <v>40908</v>
      </c>
      <c r="AD269" s="1" t="s">
        <v>98</v>
      </c>
    </row>
    <row r="270" spans="1:30" ht="18" customHeight="1">
      <c r="A270" s="42" t="s">
        <v>139</v>
      </c>
      <c r="B270" s="20">
        <f t="shared" si="98"/>
        <v>2332</v>
      </c>
      <c r="C270" s="20">
        <v>0</v>
      </c>
      <c r="D270" s="20">
        <f t="shared" si="99"/>
        <v>2332</v>
      </c>
      <c r="E270" s="20">
        <f t="shared" si="100"/>
        <v>0</v>
      </c>
      <c r="F270" s="20">
        <v>0</v>
      </c>
      <c r="G270" s="20">
        <f t="shared" si="94"/>
        <v>4664</v>
      </c>
      <c r="H270" s="20">
        <v>0</v>
      </c>
      <c r="I270" s="20">
        <f t="shared" si="109"/>
        <v>195915</v>
      </c>
      <c r="J270" s="20">
        <f t="shared" si="108"/>
        <v>23101</v>
      </c>
      <c r="K270" s="20">
        <f t="shared" si="101"/>
        <v>219016</v>
      </c>
      <c r="L270" s="20">
        <f t="shared" ref="L270:L272" si="110">ROUND((I270*8.6/100)/12,0)</f>
        <v>1404</v>
      </c>
      <c r="M270" s="20">
        <f t="shared" ref="M270:M272" si="111">ROUND((J270*8.6/100)/12,0)</f>
        <v>166</v>
      </c>
      <c r="N270" s="20">
        <f t="shared" si="104"/>
        <v>1570</v>
      </c>
      <c r="O270" s="210"/>
      <c r="Q270" s="1">
        <v>131</v>
      </c>
      <c r="R270" s="1">
        <v>131</v>
      </c>
      <c r="S270" s="1">
        <v>13549</v>
      </c>
      <c r="T270" s="22">
        <v>40939</v>
      </c>
      <c r="U270" s="30">
        <v>10560</v>
      </c>
      <c r="V270" s="30">
        <v>4200</v>
      </c>
      <c r="W270" s="30">
        <v>8561</v>
      </c>
      <c r="X270" s="30">
        <f t="shared" si="95"/>
        <v>23321</v>
      </c>
      <c r="Y270" s="30">
        <f t="shared" si="96"/>
        <v>2332</v>
      </c>
      <c r="Z270" s="30">
        <v>2332</v>
      </c>
      <c r="AA270" s="30">
        <f t="shared" si="97"/>
        <v>0</v>
      </c>
      <c r="AB270" s="22">
        <v>40909</v>
      </c>
      <c r="AC270" s="22">
        <v>40939</v>
      </c>
      <c r="AD270" s="1" t="s">
        <v>98</v>
      </c>
    </row>
    <row r="271" spans="1:30" ht="18" customHeight="1">
      <c r="A271" s="42" t="s">
        <v>140</v>
      </c>
      <c r="B271" s="20">
        <f t="shared" si="98"/>
        <v>2332</v>
      </c>
      <c r="C271" s="20">
        <v>0</v>
      </c>
      <c r="D271" s="20">
        <f t="shared" si="99"/>
        <v>2332</v>
      </c>
      <c r="E271" s="20">
        <f t="shared" si="100"/>
        <v>0</v>
      </c>
      <c r="F271" s="20">
        <v>0</v>
      </c>
      <c r="G271" s="20">
        <f t="shared" si="94"/>
        <v>4664</v>
      </c>
      <c r="H271" s="20">
        <v>0</v>
      </c>
      <c r="I271" s="20">
        <f t="shared" si="109"/>
        <v>198247</v>
      </c>
      <c r="J271" s="20">
        <f t="shared" si="108"/>
        <v>25433</v>
      </c>
      <c r="K271" s="20">
        <f t="shared" si="101"/>
        <v>223680</v>
      </c>
      <c r="L271" s="20">
        <f t="shared" si="110"/>
        <v>1421</v>
      </c>
      <c r="M271" s="20">
        <f t="shared" si="111"/>
        <v>182</v>
      </c>
      <c r="N271" s="20">
        <f t="shared" si="104"/>
        <v>1603</v>
      </c>
      <c r="O271" s="210"/>
      <c r="Q271" s="1">
        <v>140</v>
      </c>
      <c r="R271" s="1">
        <v>140</v>
      </c>
      <c r="S271" s="1">
        <v>14518</v>
      </c>
      <c r="T271" s="22">
        <v>40968</v>
      </c>
      <c r="U271" s="30">
        <v>10560</v>
      </c>
      <c r="V271" s="30">
        <v>4200</v>
      </c>
      <c r="W271" s="30">
        <v>8561</v>
      </c>
      <c r="X271" s="30">
        <f t="shared" si="95"/>
        <v>23321</v>
      </c>
      <c r="Y271" s="30">
        <f t="shared" si="96"/>
        <v>2332</v>
      </c>
      <c r="Z271" s="30">
        <v>2332</v>
      </c>
      <c r="AA271" s="30">
        <f t="shared" si="97"/>
        <v>0</v>
      </c>
      <c r="AB271" s="22">
        <v>40940</v>
      </c>
      <c r="AC271" s="22">
        <v>40968</v>
      </c>
      <c r="AD271" s="1" t="s">
        <v>98</v>
      </c>
    </row>
    <row r="272" spans="1:30" ht="18" customHeight="1">
      <c r="A272" s="42" t="s">
        <v>141</v>
      </c>
      <c r="B272" s="20">
        <f t="shared" si="98"/>
        <v>2332</v>
      </c>
      <c r="C272" s="20">
        <v>0</v>
      </c>
      <c r="D272" s="20">
        <f t="shared" si="99"/>
        <v>2332</v>
      </c>
      <c r="E272" s="20">
        <f t="shared" si="100"/>
        <v>0</v>
      </c>
      <c r="F272" s="20">
        <v>0</v>
      </c>
      <c r="G272" s="20">
        <f t="shared" si="94"/>
        <v>4664</v>
      </c>
      <c r="H272" s="20">
        <v>0</v>
      </c>
      <c r="I272" s="20">
        <f t="shared" si="109"/>
        <v>200579</v>
      </c>
      <c r="J272" s="20">
        <f t="shared" si="108"/>
        <v>27765</v>
      </c>
      <c r="K272" s="20">
        <f t="shared" si="101"/>
        <v>228344</v>
      </c>
      <c r="L272" s="20">
        <f t="shared" si="110"/>
        <v>1437</v>
      </c>
      <c r="M272" s="20">
        <f t="shared" si="111"/>
        <v>199</v>
      </c>
      <c r="N272" s="20">
        <f t="shared" si="104"/>
        <v>1636</v>
      </c>
      <c r="O272" s="210"/>
      <c r="Q272" s="1">
        <v>3</v>
      </c>
      <c r="R272" s="1">
        <v>3</v>
      </c>
      <c r="S272" s="1">
        <v>102</v>
      </c>
      <c r="T272" s="22">
        <v>41002</v>
      </c>
      <c r="U272" s="30">
        <v>10560</v>
      </c>
      <c r="V272" s="30">
        <v>4200</v>
      </c>
      <c r="W272" s="30">
        <v>8561</v>
      </c>
      <c r="X272" s="30">
        <f t="shared" si="95"/>
        <v>23321</v>
      </c>
      <c r="Y272" s="30">
        <f t="shared" si="96"/>
        <v>2332</v>
      </c>
      <c r="Z272" s="30">
        <v>2332</v>
      </c>
      <c r="AA272" s="30">
        <f t="shared" si="97"/>
        <v>0</v>
      </c>
      <c r="AB272" s="22">
        <v>40969</v>
      </c>
      <c r="AC272" s="22">
        <v>40999</v>
      </c>
      <c r="AD272" s="1" t="s">
        <v>98</v>
      </c>
    </row>
    <row r="273" spans="1:27" ht="18" customHeight="1" thickBot="1">
      <c r="A273" s="43" t="s">
        <v>142</v>
      </c>
      <c r="B273" s="44">
        <f t="shared" ref="B273:N273" si="112">SUM(B261:B272)</f>
        <v>27765</v>
      </c>
      <c r="C273" s="44">
        <f t="shared" si="112"/>
        <v>0</v>
      </c>
      <c r="D273" s="44">
        <f t="shared" si="112"/>
        <v>27765</v>
      </c>
      <c r="E273" s="44">
        <f t="shared" si="112"/>
        <v>0</v>
      </c>
      <c r="F273" s="44">
        <f t="shared" si="112"/>
        <v>0</v>
      </c>
      <c r="G273" s="44">
        <f t="shared" si="112"/>
        <v>55530</v>
      </c>
      <c r="H273" s="44">
        <f t="shared" si="112"/>
        <v>0</v>
      </c>
      <c r="I273" s="44">
        <f t="shared" si="112"/>
        <v>2252487</v>
      </c>
      <c r="J273" s="44">
        <f t="shared" si="112"/>
        <v>178719</v>
      </c>
      <c r="K273" s="44">
        <f t="shared" si="112"/>
        <v>2431206</v>
      </c>
      <c r="L273" s="44">
        <f t="shared" si="112"/>
        <v>15409</v>
      </c>
      <c r="M273" s="44">
        <f t="shared" si="112"/>
        <v>1240</v>
      </c>
      <c r="N273" s="44">
        <f t="shared" si="112"/>
        <v>16649</v>
      </c>
      <c r="O273" s="45"/>
      <c r="U273" s="31">
        <f t="shared" ref="U273:AA273" si="113">SUM(U261:U272)</f>
        <v>127170</v>
      </c>
      <c r="V273" s="31">
        <f t="shared" si="113"/>
        <v>52560</v>
      </c>
      <c r="W273" s="31">
        <f t="shared" si="113"/>
        <v>97929</v>
      </c>
      <c r="X273" s="31">
        <f t="shared" si="113"/>
        <v>277659</v>
      </c>
      <c r="Y273" s="31">
        <f t="shared" si="113"/>
        <v>27765</v>
      </c>
      <c r="Z273" s="31">
        <f t="shared" si="113"/>
        <v>23165</v>
      </c>
      <c r="AA273" s="31">
        <f t="shared" si="113"/>
        <v>-4600</v>
      </c>
    </row>
    <row r="274" spans="1:27" ht="15" thickBot="1">
      <c r="A274" s="5"/>
      <c r="B274" s="5"/>
      <c r="C274" s="5"/>
      <c r="D274" s="5"/>
      <c r="E274" s="5"/>
      <c r="F274" s="6"/>
      <c r="G274" s="5"/>
      <c r="H274" s="5"/>
      <c r="I274" s="5"/>
      <c r="J274" s="5"/>
      <c r="K274" s="6"/>
      <c r="L274" s="6"/>
      <c r="M274" s="6"/>
      <c r="N274" s="5"/>
    </row>
    <row r="275" spans="1:27" ht="18" customHeight="1" thickBot="1">
      <c r="A275" s="5"/>
      <c r="B275" s="6"/>
      <c r="C275" s="6"/>
      <c r="D275" s="6"/>
      <c r="E275" s="5"/>
      <c r="F275" s="53">
        <v>1</v>
      </c>
      <c r="G275" s="211" t="s">
        <v>47</v>
      </c>
      <c r="H275" s="212"/>
      <c r="I275" s="212"/>
      <c r="J275" s="212"/>
      <c r="K275" s="213"/>
      <c r="L275" s="54">
        <f>K257</f>
        <v>172814</v>
      </c>
      <c r="M275" s="2"/>
      <c r="O275" s="1"/>
      <c r="S275" s="30"/>
      <c r="T275" s="30"/>
      <c r="Z275" s="1"/>
      <c r="AA275" s="1"/>
    </row>
    <row r="276" spans="1:27" ht="18" customHeight="1" thickBot="1">
      <c r="A276" s="5"/>
      <c r="B276" s="5"/>
      <c r="C276" s="5"/>
      <c r="D276" s="5"/>
      <c r="E276" s="5"/>
      <c r="F276" s="53">
        <v>2</v>
      </c>
      <c r="G276" s="211" t="s">
        <v>344</v>
      </c>
      <c r="H276" s="212"/>
      <c r="I276" s="212"/>
      <c r="J276" s="212"/>
      <c r="K276" s="213"/>
      <c r="L276" s="54">
        <f>B273+C273</f>
        <v>27765</v>
      </c>
      <c r="M276" s="2"/>
      <c r="O276" s="1"/>
      <c r="S276" s="30"/>
      <c r="T276" s="30"/>
      <c r="Z276" s="1"/>
      <c r="AA276" s="1"/>
    </row>
    <row r="277" spans="1:27" ht="18" customHeight="1" thickBot="1">
      <c r="A277" s="5"/>
      <c r="B277" s="5"/>
      <c r="C277" s="5"/>
      <c r="D277" s="5"/>
      <c r="E277" s="5"/>
      <c r="F277" s="53">
        <v>3</v>
      </c>
      <c r="G277" s="211" t="s">
        <v>345</v>
      </c>
      <c r="H277" s="212"/>
      <c r="I277" s="212"/>
      <c r="J277" s="212"/>
      <c r="K277" s="213"/>
      <c r="L277" s="54">
        <f>F273</f>
        <v>0</v>
      </c>
      <c r="M277" s="2"/>
      <c r="O277" s="1"/>
      <c r="S277" s="30"/>
      <c r="T277" s="30"/>
      <c r="Z277" s="1"/>
      <c r="AA277" s="1"/>
    </row>
    <row r="278" spans="1:27" ht="18" customHeight="1" thickBot="1">
      <c r="A278" s="5"/>
      <c r="B278" s="5"/>
      <c r="C278" s="5"/>
      <c r="D278" s="5"/>
      <c r="E278" s="5"/>
      <c r="F278" s="53">
        <v>4</v>
      </c>
      <c r="G278" s="211" t="s">
        <v>346</v>
      </c>
      <c r="H278" s="212"/>
      <c r="I278" s="212"/>
      <c r="J278" s="212"/>
      <c r="K278" s="213"/>
      <c r="L278" s="54">
        <f>L276+L277</f>
        <v>27765</v>
      </c>
      <c r="M278" s="2"/>
      <c r="O278" s="1"/>
      <c r="S278" s="30"/>
      <c r="T278" s="30"/>
      <c r="Z278" s="1"/>
      <c r="AA278" s="1"/>
    </row>
    <row r="279" spans="1:27" ht="18" customHeight="1" thickBot="1">
      <c r="A279" s="5"/>
      <c r="B279" s="5"/>
      <c r="C279" s="5"/>
      <c r="D279" s="5"/>
      <c r="E279" s="5"/>
      <c r="F279" s="53">
        <v>5</v>
      </c>
      <c r="G279" s="211" t="s">
        <v>349</v>
      </c>
      <c r="H279" s="212"/>
      <c r="I279" s="212"/>
      <c r="J279" s="212"/>
      <c r="K279" s="213"/>
      <c r="L279" s="54">
        <f>D273+E273</f>
        <v>27765</v>
      </c>
      <c r="M279" s="2"/>
      <c r="O279" s="1"/>
      <c r="S279" s="30"/>
      <c r="T279" s="30"/>
      <c r="Z279" s="1"/>
      <c r="AA279" s="1"/>
    </row>
    <row r="280" spans="1:27" ht="18" customHeight="1" thickBot="1">
      <c r="A280" s="5"/>
      <c r="B280" s="5"/>
      <c r="C280" s="5"/>
      <c r="D280" s="5"/>
      <c r="E280" s="5"/>
      <c r="F280" s="53">
        <v>6</v>
      </c>
      <c r="G280" s="211" t="s">
        <v>347</v>
      </c>
      <c r="H280" s="212"/>
      <c r="I280" s="212"/>
      <c r="J280" s="212"/>
      <c r="K280" s="213"/>
      <c r="L280" s="54">
        <f>L275+L278+L279</f>
        <v>228344</v>
      </c>
      <c r="M280" s="2"/>
      <c r="O280" s="1"/>
      <c r="S280" s="30"/>
      <c r="T280" s="30"/>
      <c r="Z280" s="1"/>
      <c r="AA280" s="1"/>
    </row>
    <row r="281" spans="1:27" ht="18" customHeight="1" thickBot="1">
      <c r="A281" s="5"/>
      <c r="B281" s="5"/>
      <c r="C281" s="5"/>
      <c r="D281" s="5"/>
      <c r="E281" s="5"/>
      <c r="F281" s="53">
        <v>7</v>
      </c>
      <c r="G281" s="211" t="s">
        <v>50</v>
      </c>
      <c r="H281" s="212"/>
      <c r="I281" s="212"/>
      <c r="J281" s="212"/>
      <c r="K281" s="213"/>
      <c r="L281" s="54">
        <f>H273</f>
        <v>0</v>
      </c>
      <c r="M281" s="2"/>
      <c r="O281" s="1"/>
      <c r="S281" s="30"/>
      <c r="T281" s="30"/>
      <c r="Z281" s="1"/>
      <c r="AA281" s="1"/>
    </row>
    <row r="282" spans="1:27" ht="18" customHeight="1" thickBot="1">
      <c r="A282" s="5"/>
      <c r="B282" s="5"/>
      <c r="C282" s="5"/>
      <c r="D282" s="5"/>
      <c r="E282" s="5"/>
      <c r="F282" s="53">
        <v>8</v>
      </c>
      <c r="G282" s="211" t="s">
        <v>340</v>
      </c>
      <c r="H282" s="212"/>
      <c r="I282" s="212"/>
      <c r="J282" s="212"/>
      <c r="K282" s="213"/>
      <c r="L282" s="54">
        <f>L273</f>
        <v>15409</v>
      </c>
      <c r="M282" s="2"/>
      <c r="O282" s="1"/>
      <c r="S282" s="30"/>
      <c r="T282" s="30"/>
      <c r="Z282" s="1"/>
      <c r="AA282" s="1"/>
    </row>
    <row r="283" spans="1:27" ht="18" customHeight="1" thickBot="1">
      <c r="A283" s="5"/>
      <c r="B283" s="5"/>
      <c r="C283" s="5"/>
      <c r="D283" s="5"/>
      <c r="E283" s="5"/>
      <c r="F283" s="53">
        <v>9</v>
      </c>
      <c r="G283" s="211" t="s">
        <v>355</v>
      </c>
      <c r="H283" s="212"/>
      <c r="I283" s="212"/>
      <c r="J283" s="212"/>
      <c r="K283" s="213"/>
      <c r="L283" s="54">
        <f>M273</f>
        <v>1240</v>
      </c>
      <c r="M283" s="2"/>
      <c r="O283" s="1"/>
      <c r="S283" s="30"/>
      <c r="T283" s="30"/>
      <c r="Z283" s="1"/>
      <c r="AA283" s="1"/>
    </row>
    <row r="284" spans="1:27" ht="18" customHeight="1" thickBot="1">
      <c r="A284" s="5"/>
      <c r="B284" s="5"/>
      <c r="C284" s="5"/>
      <c r="D284" s="5"/>
      <c r="E284" s="5"/>
      <c r="F284" s="53">
        <v>10</v>
      </c>
      <c r="G284" s="211" t="s">
        <v>348</v>
      </c>
      <c r="H284" s="212"/>
      <c r="I284" s="212"/>
      <c r="J284" s="212"/>
      <c r="K284" s="213"/>
      <c r="L284" s="54">
        <f>N273</f>
        <v>16649</v>
      </c>
      <c r="M284" s="2"/>
      <c r="O284" s="1"/>
      <c r="S284" s="30"/>
      <c r="T284" s="30"/>
      <c r="Z284" s="1"/>
      <c r="AA284" s="1"/>
    </row>
    <row r="285" spans="1:27" ht="18" customHeight="1" thickBot="1">
      <c r="A285" s="5"/>
      <c r="B285" s="5"/>
      <c r="C285" s="5"/>
      <c r="D285" s="5"/>
      <c r="E285" s="5"/>
      <c r="F285" s="53">
        <v>11</v>
      </c>
      <c r="G285" s="212" t="s">
        <v>359</v>
      </c>
      <c r="H285" s="212"/>
      <c r="I285" s="212"/>
      <c r="J285" s="212"/>
      <c r="K285" s="213"/>
      <c r="L285" s="54">
        <f>L280-L281+L284</f>
        <v>244993</v>
      </c>
      <c r="M285" s="2"/>
      <c r="O285" s="1"/>
      <c r="S285" s="30"/>
      <c r="T285" s="30"/>
      <c r="Z285" s="1"/>
      <c r="AA285" s="1"/>
    </row>
    <row r="286" spans="1:27">
      <c r="A286" s="5"/>
      <c r="B286" s="5"/>
      <c r="C286" s="5"/>
      <c r="D286" s="5"/>
      <c r="E286" s="5"/>
      <c r="F286" s="5"/>
      <c r="G286" s="17"/>
      <c r="H286" s="17"/>
      <c r="I286" s="17"/>
      <c r="J286" s="17"/>
      <c r="K286" s="17"/>
      <c r="L286" s="17"/>
      <c r="M286" s="17"/>
      <c r="N286" s="6"/>
    </row>
    <row r="287" spans="1:27">
      <c r="A287" s="5"/>
      <c r="B287" s="5"/>
      <c r="C287" s="5"/>
      <c r="D287" s="5"/>
      <c r="E287" s="5"/>
      <c r="F287" s="5"/>
      <c r="G287" s="17"/>
      <c r="H287" s="17"/>
      <c r="I287" s="17"/>
      <c r="J287" s="17"/>
      <c r="K287" s="17"/>
      <c r="L287" s="17"/>
      <c r="M287" s="17"/>
      <c r="N287" s="6"/>
    </row>
    <row r="288" spans="1:27"/>
    <row r="289" spans="1:30"/>
    <row r="290" spans="1:30" ht="16.8">
      <c r="A290" s="249" t="s">
        <v>53</v>
      </c>
      <c r="B290" s="249"/>
      <c r="C290" s="18"/>
      <c r="D290" s="18"/>
      <c r="E290" s="249" t="s">
        <v>54</v>
      </c>
      <c r="F290" s="249"/>
      <c r="G290" s="249"/>
      <c r="H290" s="250" t="s">
        <v>55</v>
      </c>
      <c r="I290" s="250"/>
      <c r="J290" s="250"/>
      <c r="K290" s="250"/>
      <c r="L290" s="250"/>
      <c r="M290" s="250"/>
      <c r="N290" s="250"/>
    </row>
    <row r="291" spans="1:30" ht="16.8">
      <c r="A291" s="18"/>
      <c r="B291" s="18"/>
      <c r="C291" s="18"/>
      <c r="D291" s="18"/>
      <c r="E291" s="18"/>
      <c r="F291" s="18"/>
      <c r="G291" s="19"/>
      <c r="H291" s="19"/>
      <c r="I291" s="19"/>
      <c r="J291" s="19"/>
    </row>
    <row r="292" spans="1:30" ht="16.8">
      <c r="A292" s="18"/>
      <c r="B292" s="18"/>
      <c r="C292" s="18"/>
      <c r="D292" s="18"/>
      <c r="E292" s="18"/>
      <c r="F292" s="18"/>
      <c r="G292" s="19"/>
      <c r="H292" s="19"/>
      <c r="I292" s="19"/>
      <c r="J292" s="19"/>
    </row>
    <row r="293" spans="1:30" ht="18.600000000000001">
      <c r="A293" s="224" t="s">
        <v>0</v>
      </c>
      <c r="B293" s="224"/>
      <c r="C293" s="224"/>
      <c r="D293" s="224"/>
      <c r="E293" s="224"/>
      <c r="F293" s="224"/>
      <c r="G293" s="224"/>
      <c r="H293" s="224"/>
      <c r="I293" s="224"/>
      <c r="J293" s="224"/>
      <c r="K293" s="224"/>
      <c r="L293" s="224"/>
      <c r="M293" s="224"/>
      <c r="N293" s="224"/>
      <c r="O293" s="224"/>
    </row>
    <row r="294" spans="1:30" ht="18.600000000000001">
      <c r="A294" s="224" t="s">
        <v>1</v>
      </c>
      <c r="B294" s="224"/>
      <c r="C294" s="224"/>
      <c r="D294" s="224"/>
      <c r="E294" s="224"/>
      <c r="F294" s="224"/>
      <c r="G294" s="224"/>
      <c r="H294" s="224"/>
      <c r="I294" s="224"/>
      <c r="J294" s="224"/>
      <c r="K294" s="224"/>
      <c r="L294" s="224"/>
      <c r="M294" s="224"/>
      <c r="N294" s="224"/>
      <c r="O294" s="224"/>
    </row>
    <row r="295" spans="1:30"/>
    <row r="296" spans="1:30">
      <c r="A296" s="225" t="s">
        <v>143</v>
      </c>
      <c r="B296" s="225"/>
      <c r="C296" s="225"/>
      <c r="D296" s="225"/>
      <c r="E296" s="225"/>
      <c r="F296" s="225"/>
      <c r="G296" s="225"/>
      <c r="H296" s="225"/>
      <c r="I296" s="225"/>
      <c r="J296" s="225"/>
      <c r="K296" s="225"/>
      <c r="L296" s="225"/>
      <c r="M296" s="225"/>
      <c r="N296" s="225"/>
    </row>
    <row r="297" spans="1:30" s="12" customFormat="1" ht="36" customHeight="1">
      <c r="A297" s="3" t="s">
        <v>3</v>
      </c>
      <c r="B297" s="3">
        <f>B265</f>
        <v>2439</v>
      </c>
      <c r="C297" s="3"/>
      <c r="D297" s="3"/>
      <c r="E297" s="3" t="s">
        <v>4</v>
      </c>
      <c r="F297" s="215" t="str">
        <f>F253</f>
        <v>Mahajan Ganesh Trambak</v>
      </c>
      <c r="G297" s="215"/>
      <c r="H297" s="215"/>
      <c r="I297" s="215"/>
      <c r="J297" s="215"/>
      <c r="K297" s="215"/>
      <c r="L297" s="215"/>
      <c r="M297" s="215"/>
      <c r="N297" s="215"/>
      <c r="O297" s="62"/>
      <c r="U297" s="31"/>
      <c r="V297" s="31"/>
      <c r="W297" s="31"/>
      <c r="X297" s="31"/>
      <c r="Y297" s="31"/>
      <c r="Z297" s="31"/>
      <c r="AA297" s="31"/>
    </row>
    <row r="298" spans="1:30" s="12" customForma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63"/>
      <c r="L298" s="63"/>
      <c r="M298" s="63"/>
      <c r="N298" s="17"/>
      <c r="O298" s="62"/>
      <c r="U298" s="31"/>
      <c r="V298" s="31"/>
      <c r="W298" s="31"/>
      <c r="X298" s="31"/>
      <c r="Y298" s="31"/>
      <c r="Z298" s="31"/>
      <c r="AA298" s="31"/>
    </row>
    <row r="299" spans="1:30" s="12" customFormat="1" ht="36" customHeight="1">
      <c r="A299" s="3" t="s">
        <v>6</v>
      </c>
      <c r="B299" s="3">
        <f>B266</f>
        <v>2439</v>
      </c>
      <c r="C299" s="3"/>
      <c r="D299" s="3"/>
      <c r="E299" s="3" t="s">
        <v>7</v>
      </c>
      <c r="F299" s="216"/>
      <c r="G299" s="217"/>
      <c r="H299" s="3" t="s">
        <v>8</v>
      </c>
      <c r="I299" s="3"/>
      <c r="J299" s="3"/>
      <c r="K299" s="218" t="str">
        <f>I255</f>
        <v>Asst. Jr. Engineer</v>
      </c>
      <c r="L299" s="218"/>
      <c r="M299" s="218"/>
      <c r="N299" s="218"/>
      <c r="O299" s="62"/>
      <c r="U299" s="31"/>
      <c r="V299" s="31"/>
      <c r="W299" s="31"/>
      <c r="X299" s="31"/>
      <c r="Y299" s="31"/>
      <c r="Z299" s="31"/>
      <c r="AA299" s="31"/>
    </row>
    <row r="300" spans="1:30" s="12" customForma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63"/>
      <c r="L300" s="63"/>
      <c r="M300" s="63"/>
      <c r="N300" s="17"/>
      <c r="O300" s="62"/>
      <c r="U300" s="31"/>
      <c r="V300" s="31"/>
      <c r="W300" s="31"/>
      <c r="X300" s="31"/>
      <c r="Y300" s="31"/>
      <c r="Z300" s="31"/>
      <c r="AA300" s="31"/>
    </row>
    <row r="301" spans="1:30" s="12" customFormat="1" ht="24" customHeight="1">
      <c r="A301" s="3" t="s">
        <v>10</v>
      </c>
      <c r="B301" s="7">
        <v>0.08</v>
      </c>
      <c r="C301" s="7"/>
      <c r="D301" s="7"/>
      <c r="E301" s="3"/>
      <c r="F301" s="7"/>
      <c r="G301" s="216" t="s">
        <v>12</v>
      </c>
      <c r="H301" s="217"/>
      <c r="I301" s="29"/>
      <c r="J301" s="29"/>
      <c r="K301" s="266">
        <f>L285</f>
        <v>244993</v>
      </c>
      <c r="L301" s="267"/>
      <c r="M301" s="267"/>
      <c r="N301" s="217"/>
      <c r="O301" s="62"/>
      <c r="U301" s="31"/>
      <c r="V301" s="31"/>
      <c r="W301" s="31"/>
      <c r="X301" s="31"/>
      <c r="Y301" s="31"/>
      <c r="Z301" s="31"/>
      <c r="AA301" s="31"/>
    </row>
    <row r="302" spans="1:30" ht="15" thickBo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6"/>
      <c r="L302" s="6"/>
      <c r="M302" s="6"/>
      <c r="N302" s="5"/>
    </row>
    <row r="303" spans="1:30" ht="39.9" customHeight="1" thickBot="1">
      <c r="A303" s="235" t="s">
        <v>13</v>
      </c>
      <c r="B303" s="256" t="s">
        <v>14</v>
      </c>
      <c r="C303" s="257"/>
      <c r="D303" s="256" t="s">
        <v>349</v>
      </c>
      <c r="E303" s="257"/>
      <c r="F303" s="235" t="s">
        <v>342</v>
      </c>
      <c r="G303" s="235" t="s">
        <v>16</v>
      </c>
      <c r="H303" s="235" t="s">
        <v>17</v>
      </c>
      <c r="I303" s="235" t="s">
        <v>341</v>
      </c>
      <c r="J303" s="235" t="s">
        <v>354</v>
      </c>
      <c r="K303" s="254" t="s">
        <v>353</v>
      </c>
      <c r="L303" s="254" t="s">
        <v>340</v>
      </c>
      <c r="M303" s="254" t="s">
        <v>355</v>
      </c>
      <c r="N303" s="254" t="s">
        <v>343</v>
      </c>
      <c r="O303" s="247" t="s">
        <v>20</v>
      </c>
      <c r="Q303" s="12" t="s">
        <v>27</v>
      </c>
      <c r="R303" s="12" t="s">
        <v>28</v>
      </c>
      <c r="S303" s="12" t="s">
        <v>29</v>
      </c>
      <c r="T303" s="12" t="s">
        <v>30</v>
      </c>
      <c r="U303" s="12" t="s">
        <v>21</v>
      </c>
      <c r="V303" s="12" t="s">
        <v>22</v>
      </c>
      <c r="W303" s="12" t="s">
        <v>23</v>
      </c>
      <c r="X303" s="12" t="s">
        <v>24</v>
      </c>
      <c r="Y303" s="12" t="s">
        <v>356</v>
      </c>
      <c r="Z303" s="12" t="s">
        <v>336</v>
      </c>
      <c r="AA303" s="12" t="s">
        <v>26</v>
      </c>
      <c r="AB303" s="12" t="s">
        <v>31</v>
      </c>
      <c r="AC303" s="12" t="s">
        <v>32</v>
      </c>
      <c r="AD303" s="12" t="s">
        <v>333</v>
      </c>
    </row>
    <row r="304" spans="1:30" ht="39.9" customHeight="1" thickBot="1">
      <c r="A304" s="236"/>
      <c r="B304" s="55" t="s">
        <v>350</v>
      </c>
      <c r="C304" s="55" t="s">
        <v>351</v>
      </c>
      <c r="D304" s="55" t="s">
        <v>350</v>
      </c>
      <c r="E304" s="55" t="s">
        <v>351</v>
      </c>
      <c r="F304" s="236"/>
      <c r="G304" s="236"/>
      <c r="H304" s="236"/>
      <c r="I304" s="236"/>
      <c r="J304" s="236"/>
      <c r="K304" s="255"/>
      <c r="L304" s="255"/>
      <c r="M304" s="255"/>
      <c r="N304" s="255"/>
      <c r="O304" s="248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</row>
    <row r="305" spans="1:31" ht="18" customHeight="1">
      <c r="A305" s="46" t="s">
        <v>144</v>
      </c>
      <c r="B305" s="20">
        <f>Y305</f>
        <v>2435</v>
      </c>
      <c r="C305" s="20">
        <v>0</v>
      </c>
      <c r="D305" s="20">
        <f>B305</f>
        <v>2435</v>
      </c>
      <c r="E305" s="20">
        <f>C305</f>
        <v>0</v>
      </c>
      <c r="F305" s="20">
        <v>0</v>
      </c>
      <c r="G305" s="20">
        <f t="shared" ref="G305:G316" si="114">(B305+C305+F305)+(D305+E305)</f>
        <v>4870</v>
      </c>
      <c r="H305" s="20">
        <v>0</v>
      </c>
      <c r="I305" s="20">
        <f>(K301+B305+C305+F305)-H305</f>
        <v>247428</v>
      </c>
      <c r="J305" s="20">
        <f>(D305+E305)</f>
        <v>2435</v>
      </c>
      <c r="K305" s="20">
        <f>(K301+G305)-H305</f>
        <v>249863</v>
      </c>
      <c r="L305" s="20">
        <f>ROUND((I305*8.8/100)/12,0)</f>
        <v>1814</v>
      </c>
      <c r="M305" s="20">
        <f>ROUND((J305*8.8/100)/12,0)</f>
        <v>18</v>
      </c>
      <c r="N305" s="20">
        <f>L305+M305</f>
        <v>1832</v>
      </c>
      <c r="O305" s="210" t="s">
        <v>145</v>
      </c>
      <c r="Q305" s="1">
        <v>10</v>
      </c>
      <c r="R305" s="1">
        <v>10</v>
      </c>
      <c r="S305" s="1">
        <v>722</v>
      </c>
      <c r="T305" s="22">
        <v>41029</v>
      </c>
      <c r="U305" s="30">
        <v>10560</v>
      </c>
      <c r="V305" s="30">
        <v>4200</v>
      </c>
      <c r="W305" s="30">
        <v>9594</v>
      </c>
      <c r="X305" s="30">
        <f t="shared" ref="X305" si="115">U305+V305+W305</f>
        <v>24354</v>
      </c>
      <c r="Y305" s="30">
        <f t="shared" ref="Y305" si="116">ROUND(X305*10%,0)</f>
        <v>2435</v>
      </c>
      <c r="Z305" s="30">
        <v>2435</v>
      </c>
      <c r="AA305" s="30">
        <f t="shared" ref="AA305" si="117">Z305-Y305</f>
        <v>0</v>
      </c>
      <c r="AB305" s="22">
        <v>41000</v>
      </c>
      <c r="AC305" s="22">
        <v>41029</v>
      </c>
      <c r="AD305" s="1" t="s">
        <v>98</v>
      </c>
    </row>
    <row r="306" spans="1:31" ht="18" customHeight="1">
      <c r="A306" s="46" t="s">
        <v>146</v>
      </c>
      <c r="B306" s="20">
        <f t="shared" ref="B306:B314" si="118">Y306</f>
        <v>2435</v>
      </c>
      <c r="C306" s="20">
        <v>0</v>
      </c>
      <c r="D306" s="20">
        <f t="shared" ref="D306:D316" si="119">B306</f>
        <v>2435</v>
      </c>
      <c r="E306" s="20">
        <f t="shared" ref="E306:E316" si="120">C306</f>
        <v>0</v>
      </c>
      <c r="F306" s="20">
        <v>0</v>
      </c>
      <c r="G306" s="20">
        <f t="shared" si="114"/>
        <v>4870</v>
      </c>
      <c r="H306" s="20">
        <v>0</v>
      </c>
      <c r="I306" s="20">
        <f>(I305+B306+C306+F306)-H306</f>
        <v>249863</v>
      </c>
      <c r="J306" s="20">
        <f>(J305+D306+E306)</f>
        <v>4870</v>
      </c>
      <c r="K306" s="20">
        <f>(K305+G306)-H306</f>
        <v>254733</v>
      </c>
      <c r="L306" s="20">
        <f>ROUND((I306*8.8/100)/12,0)</f>
        <v>1832</v>
      </c>
      <c r="M306" s="20">
        <f>ROUND((J306*8.8/100)/12,0)</f>
        <v>36</v>
      </c>
      <c r="N306" s="20">
        <f t="shared" ref="N306:N316" si="121">L306+M306</f>
        <v>1868</v>
      </c>
      <c r="O306" s="210"/>
      <c r="Q306" s="1">
        <v>22</v>
      </c>
      <c r="R306" s="1">
        <v>22</v>
      </c>
      <c r="S306" s="1">
        <v>1899</v>
      </c>
      <c r="T306" s="22">
        <v>41060</v>
      </c>
      <c r="U306" s="30">
        <v>10560</v>
      </c>
      <c r="V306" s="30">
        <v>4200</v>
      </c>
      <c r="W306" s="30">
        <v>9594</v>
      </c>
      <c r="X306" s="30">
        <f t="shared" ref="X306:X314" si="122">U306+V306+W306</f>
        <v>24354</v>
      </c>
      <c r="Y306" s="30">
        <f t="shared" ref="Y306:Y314" si="123">ROUND(X306*10%,0)</f>
        <v>2435</v>
      </c>
      <c r="Z306" s="30">
        <v>2435</v>
      </c>
      <c r="AA306" s="30">
        <f t="shared" ref="AA306:AA314" si="124">Z306-Y306</f>
        <v>0</v>
      </c>
      <c r="AB306" s="22">
        <v>41030</v>
      </c>
      <c r="AC306" s="22">
        <v>41060</v>
      </c>
      <c r="AD306" s="1" t="s">
        <v>98</v>
      </c>
    </row>
    <row r="307" spans="1:31" ht="18" customHeight="1">
      <c r="A307" s="46" t="s">
        <v>147</v>
      </c>
      <c r="B307" s="20">
        <f t="shared" si="118"/>
        <v>2435</v>
      </c>
      <c r="C307" s="20">
        <v>0</v>
      </c>
      <c r="D307" s="20">
        <f t="shared" si="119"/>
        <v>2435</v>
      </c>
      <c r="E307" s="20">
        <f t="shared" si="120"/>
        <v>0</v>
      </c>
      <c r="F307" s="20">
        <v>0</v>
      </c>
      <c r="G307" s="20">
        <f t="shared" si="114"/>
        <v>4870</v>
      </c>
      <c r="H307" s="20">
        <v>0</v>
      </c>
      <c r="I307" s="20">
        <f t="shared" ref="I307:I316" si="125">(I306+B307+C307+F307)-H307</f>
        <v>252298</v>
      </c>
      <c r="J307" s="20">
        <f t="shared" ref="J307:J316" si="126">(J306+D307+E307)</f>
        <v>7305</v>
      </c>
      <c r="K307" s="20">
        <f t="shared" ref="K307:K316" si="127">(K306+G307)-H307</f>
        <v>259603</v>
      </c>
      <c r="L307" s="20">
        <f t="shared" ref="L307:L316" si="128">ROUND((I307*8.8/100)/12,0)</f>
        <v>1850</v>
      </c>
      <c r="M307" s="20">
        <f t="shared" ref="M307:M316" si="129">ROUND((J307*8.8/100)/12,0)</f>
        <v>54</v>
      </c>
      <c r="N307" s="20">
        <f t="shared" si="121"/>
        <v>1904</v>
      </c>
      <c r="O307" s="210"/>
      <c r="Q307" s="1">
        <v>33</v>
      </c>
      <c r="R307" s="1">
        <v>33</v>
      </c>
      <c r="S307" s="1">
        <v>2982</v>
      </c>
      <c r="T307" s="22">
        <v>41089</v>
      </c>
      <c r="U307" s="30">
        <v>10560</v>
      </c>
      <c r="V307" s="30">
        <v>4200</v>
      </c>
      <c r="W307" s="30">
        <v>9594</v>
      </c>
      <c r="X307" s="30">
        <f t="shared" si="122"/>
        <v>24354</v>
      </c>
      <c r="Y307" s="30">
        <f t="shared" si="123"/>
        <v>2435</v>
      </c>
      <c r="Z307" s="30">
        <v>2435</v>
      </c>
      <c r="AA307" s="30">
        <f t="shared" si="124"/>
        <v>0</v>
      </c>
      <c r="AB307" s="22">
        <v>41061</v>
      </c>
      <c r="AC307" s="22">
        <v>41090</v>
      </c>
      <c r="AD307" s="1" t="s">
        <v>98</v>
      </c>
    </row>
    <row r="308" spans="1:31" ht="18" customHeight="1">
      <c r="A308" s="46" t="s">
        <v>148</v>
      </c>
      <c r="B308" s="20">
        <f t="shared" si="118"/>
        <v>2510</v>
      </c>
      <c r="C308" s="20">
        <v>0</v>
      </c>
      <c r="D308" s="20">
        <f t="shared" si="119"/>
        <v>2510</v>
      </c>
      <c r="E308" s="20">
        <f t="shared" si="120"/>
        <v>0</v>
      </c>
      <c r="F308" s="20">
        <v>0</v>
      </c>
      <c r="G308" s="20">
        <f t="shared" si="114"/>
        <v>5020</v>
      </c>
      <c r="H308" s="20">
        <v>0</v>
      </c>
      <c r="I308" s="20">
        <f t="shared" si="125"/>
        <v>254808</v>
      </c>
      <c r="J308" s="20">
        <f t="shared" si="126"/>
        <v>9815</v>
      </c>
      <c r="K308" s="20">
        <f t="shared" si="127"/>
        <v>264623</v>
      </c>
      <c r="L308" s="20">
        <f t="shared" si="128"/>
        <v>1869</v>
      </c>
      <c r="M308" s="20">
        <f t="shared" si="129"/>
        <v>72</v>
      </c>
      <c r="N308" s="20">
        <f t="shared" si="121"/>
        <v>1941</v>
      </c>
      <c r="O308" s="210"/>
      <c r="Q308" s="1">
        <v>45</v>
      </c>
      <c r="R308" s="1">
        <v>45</v>
      </c>
      <c r="S308" s="1">
        <v>4223</v>
      </c>
      <c r="T308" s="22">
        <v>41121</v>
      </c>
      <c r="U308" s="30">
        <v>11010</v>
      </c>
      <c r="V308" s="30">
        <v>4200</v>
      </c>
      <c r="W308" s="30">
        <v>9887</v>
      </c>
      <c r="X308" s="30">
        <f t="shared" si="122"/>
        <v>25097</v>
      </c>
      <c r="Y308" s="30">
        <f t="shared" si="123"/>
        <v>2510</v>
      </c>
      <c r="Z308" s="30">
        <v>2509</v>
      </c>
      <c r="AA308" s="30">
        <f t="shared" si="124"/>
        <v>-1</v>
      </c>
      <c r="AB308" s="22">
        <v>41091</v>
      </c>
      <c r="AC308" s="22">
        <v>41121</v>
      </c>
      <c r="AD308" s="1" t="s">
        <v>98</v>
      </c>
    </row>
    <row r="309" spans="1:31" ht="18" customHeight="1">
      <c r="A309" s="46" t="s">
        <v>149</v>
      </c>
      <c r="B309" s="20">
        <f t="shared" si="118"/>
        <v>2510</v>
      </c>
      <c r="C309" s="20">
        <v>0</v>
      </c>
      <c r="D309" s="20">
        <f t="shared" si="119"/>
        <v>2510</v>
      </c>
      <c r="E309" s="20">
        <f t="shared" si="120"/>
        <v>0</v>
      </c>
      <c r="F309" s="20">
        <v>0</v>
      </c>
      <c r="G309" s="20">
        <f t="shared" si="114"/>
        <v>5020</v>
      </c>
      <c r="H309" s="20">
        <v>0</v>
      </c>
      <c r="I309" s="20">
        <f t="shared" si="125"/>
        <v>257318</v>
      </c>
      <c r="J309" s="20">
        <f t="shared" si="126"/>
        <v>12325</v>
      </c>
      <c r="K309" s="20">
        <f t="shared" si="127"/>
        <v>269643</v>
      </c>
      <c r="L309" s="20">
        <f t="shared" si="128"/>
        <v>1887</v>
      </c>
      <c r="M309" s="20">
        <f t="shared" si="129"/>
        <v>90</v>
      </c>
      <c r="N309" s="20">
        <f t="shared" si="121"/>
        <v>1977</v>
      </c>
      <c r="O309" s="210"/>
      <c r="Q309" s="1">
        <v>56</v>
      </c>
      <c r="R309" s="1">
        <v>56</v>
      </c>
      <c r="S309" s="1">
        <v>5376</v>
      </c>
      <c r="T309" s="22">
        <v>41152</v>
      </c>
      <c r="U309" s="30">
        <v>11010</v>
      </c>
      <c r="V309" s="30">
        <v>4200</v>
      </c>
      <c r="W309" s="30">
        <v>9887</v>
      </c>
      <c r="X309" s="30">
        <f t="shared" si="122"/>
        <v>25097</v>
      </c>
      <c r="Y309" s="30">
        <f t="shared" si="123"/>
        <v>2510</v>
      </c>
      <c r="Z309" s="30">
        <v>2509</v>
      </c>
      <c r="AA309" s="30">
        <f t="shared" si="124"/>
        <v>-1</v>
      </c>
      <c r="AB309" s="22">
        <v>41122</v>
      </c>
      <c r="AC309" s="22">
        <v>41152</v>
      </c>
      <c r="AD309" s="1" t="s">
        <v>98</v>
      </c>
    </row>
    <row r="310" spans="1:31" ht="18" customHeight="1">
      <c r="A310" s="46" t="s">
        <v>150</v>
      </c>
      <c r="B310" s="20">
        <f t="shared" si="118"/>
        <v>2510</v>
      </c>
      <c r="C310" s="20">
        <v>0</v>
      </c>
      <c r="D310" s="20">
        <f t="shared" si="119"/>
        <v>2510</v>
      </c>
      <c r="E310" s="20">
        <f t="shared" si="120"/>
        <v>0</v>
      </c>
      <c r="F310" s="20">
        <v>0</v>
      </c>
      <c r="G310" s="20">
        <f t="shared" si="114"/>
        <v>5020</v>
      </c>
      <c r="H310" s="20">
        <v>0</v>
      </c>
      <c r="I310" s="20">
        <f t="shared" si="125"/>
        <v>259828</v>
      </c>
      <c r="J310" s="20">
        <f t="shared" si="126"/>
        <v>14835</v>
      </c>
      <c r="K310" s="20">
        <f t="shared" si="127"/>
        <v>274663</v>
      </c>
      <c r="L310" s="20">
        <f t="shared" si="128"/>
        <v>1905</v>
      </c>
      <c r="M310" s="20">
        <f t="shared" si="129"/>
        <v>109</v>
      </c>
      <c r="N310" s="20">
        <f t="shared" si="121"/>
        <v>2014</v>
      </c>
      <c r="O310" s="210"/>
      <c r="Q310" s="1">
        <v>71</v>
      </c>
      <c r="R310" s="1">
        <v>71</v>
      </c>
      <c r="S310" s="1">
        <v>6900</v>
      </c>
      <c r="T310" s="22">
        <v>41180</v>
      </c>
      <c r="U310" s="30">
        <v>11010</v>
      </c>
      <c r="V310" s="30">
        <v>4200</v>
      </c>
      <c r="W310" s="30">
        <v>9887</v>
      </c>
      <c r="X310" s="30">
        <f t="shared" si="122"/>
        <v>25097</v>
      </c>
      <c r="Y310" s="30">
        <f t="shared" si="123"/>
        <v>2510</v>
      </c>
      <c r="Z310" s="30">
        <v>2509</v>
      </c>
      <c r="AA310" s="30">
        <f t="shared" si="124"/>
        <v>-1</v>
      </c>
      <c r="AB310" s="22">
        <v>41153</v>
      </c>
      <c r="AC310" s="22">
        <v>41182</v>
      </c>
      <c r="AD310" s="1" t="s">
        <v>98</v>
      </c>
    </row>
    <row r="311" spans="1:31" ht="18" customHeight="1">
      <c r="A311" s="46" t="s">
        <v>151</v>
      </c>
      <c r="B311" s="20">
        <f t="shared" si="118"/>
        <v>2510</v>
      </c>
      <c r="C311" s="20">
        <v>0</v>
      </c>
      <c r="D311" s="20">
        <f t="shared" si="119"/>
        <v>2510</v>
      </c>
      <c r="E311" s="20">
        <f t="shared" si="120"/>
        <v>0</v>
      </c>
      <c r="F311" s="20">
        <v>0</v>
      </c>
      <c r="G311" s="20">
        <f t="shared" si="114"/>
        <v>5020</v>
      </c>
      <c r="H311" s="20">
        <v>0</v>
      </c>
      <c r="I311" s="20">
        <f t="shared" si="125"/>
        <v>262338</v>
      </c>
      <c r="J311" s="20">
        <f t="shared" si="126"/>
        <v>17345</v>
      </c>
      <c r="K311" s="20">
        <f t="shared" si="127"/>
        <v>279683</v>
      </c>
      <c r="L311" s="20">
        <f t="shared" si="128"/>
        <v>1924</v>
      </c>
      <c r="M311" s="20">
        <f t="shared" si="129"/>
        <v>127</v>
      </c>
      <c r="N311" s="20">
        <f t="shared" si="121"/>
        <v>2051</v>
      </c>
      <c r="O311" s="210"/>
      <c r="Q311" s="1">
        <v>84</v>
      </c>
      <c r="R311" s="1">
        <v>84</v>
      </c>
      <c r="S311" s="1">
        <v>8159</v>
      </c>
      <c r="T311" s="22">
        <v>41213</v>
      </c>
      <c r="U311" s="30">
        <v>11010</v>
      </c>
      <c r="V311" s="30">
        <v>4200</v>
      </c>
      <c r="W311" s="30">
        <v>9887</v>
      </c>
      <c r="X311" s="30">
        <f t="shared" si="122"/>
        <v>25097</v>
      </c>
      <c r="Y311" s="30">
        <f t="shared" si="123"/>
        <v>2510</v>
      </c>
      <c r="Z311" s="30">
        <v>2509</v>
      </c>
      <c r="AA311" s="30">
        <f t="shared" si="124"/>
        <v>-1</v>
      </c>
      <c r="AB311" s="22">
        <v>41183</v>
      </c>
      <c r="AC311" s="22">
        <v>41213</v>
      </c>
      <c r="AD311" s="1" t="s">
        <v>98</v>
      </c>
    </row>
    <row r="312" spans="1:31" ht="18" customHeight="1">
      <c r="A312" s="46" t="s">
        <v>152</v>
      </c>
      <c r="B312" s="20">
        <f t="shared" si="118"/>
        <v>2616</v>
      </c>
      <c r="C312" s="20">
        <v>0</v>
      </c>
      <c r="D312" s="20">
        <f t="shared" si="119"/>
        <v>2616</v>
      </c>
      <c r="E312" s="20">
        <f t="shared" si="120"/>
        <v>0</v>
      </c>
      <c r="F312" s="20">
        <v>0</v>
      </c>
      <c r="G312" s="20">
        <f t="shared" si="114"/>
        <v>5232</v>
      </c>
      <c r="H312" s="20">
        <v>0</v>
      </c>
      <c r="I312" s="20">
        <f t="shared" si="125"/>
        <v>264954</v>
      </c>
      <c r="J312" s="20">
        <f t="shared" si="126"/>
        <v>19961</v>
      </c>
      <c r="K312" s="20">
        <f t="shared" si="127"/>
        <v>284915</v>
      </c>
      <c r="L312" s="20">
        <f t="shared" si="128"/>
        <v>1943</v>
      </c>
      <c r="M312" s="20">
        <f t="shared" si="129"/>
        <v>146</v>
      </c>
      <c r="N312" s="20">
        <f t="shared" si="121"/>
        <v>2089</v>
      </c>
      <c r="O312" s="210"/>
      <c r="Q312" s="1">
        <v>102</v>
      </c>
      <c r="R312" s="1">
        <v>102</v>
      </c>
      <c r="S312" s="1">
        <v>10227</v>
      </c>
      <c r="T312" s="22" t="s">
        <v>339</v>
      </c>
      <c r="U312" s="30">
        <v>11010</v>
      </c>
      <c r="V312" s="30">
        <v>4200</v>
      </c>
      <c r="W312" s="30">
        <v>10951</v>
      </c>
      <c r="X312" s="30">
        <f t="shared" si="122"/>
        <v>26161</v>
      </c>
      <c r="Y312" s="30">
        <f t="shared" si="123"/>
        <v>2616</v>
      </c>
      <c r="Z312" s="30">
        <v>2616</v>
      </c>
      <c r="AA312" s="30">
        <f t="shared" si="124"/>
        <v>0</v>
      </c>
      <c r="AB312" s="22">
        <v>41214</v>
      </c>
      <c r="AC312" s="22">
        <v>41243</v>
      </c>
      <c r="AD312" s="1" t="s">
        <v>98</v>
      </c>
    </row>
    <row r="313" spans="1:31" ht="18" customHeight="1">
      <c r="A313" s="46" t="s">
        <v>153</v>
      </c>
      <c r="B313" s="20">
        <f t="shared" si="118"/>
        <v>2616</v>
      </c>
      <c r="C313" s="20">
        <v>0</v>
      </c>
      <c r="D313" s="20">
        <f t="shared" si="119"/>
        <v>2616</v>
      </c>
      <c r="E313" s="20">
        <f t="shared" si="120"/>
        <v>0</v>
      </c>
      <c r="F313" s="20">
        <v>0</v>
      </c>
      <c r="G313" s="20">
        <f t="shared" si="114"/>
        <v>5232</v>
      </c>
      <c r="H313" s="20">
        <v>0</v>
      </c>
      <c r="I313" s="20">
        <f t="shared" si="125"/>
        <v>267570</v>
      </c>
      <c r="J313" s="20">
        <f t="shared" si="126"/>
        <v>22577</v>
      </c>
      <c r="K313" s="20">
        <f t="shared" si="127"/>
        <v>290147</v>
      </c>
      <c r="L313" s="20">
        <f t="shared" si="128"/>
        <v>1962</v>
      </c>
      <c r="M313" s="20">
        <f t="shared" si="129"/>
        <v>166</v>
      </c>
      <c r="N313" s="20">
        <f t="shared" si="121"/>
        <v>2128</v>
      </c>
      <c r="O313" s="210"/>
      <c r="Q313" s="1">
        <v>112</v>
      </c>
      <c r="R313" s="1">
        <v>112</v>
      </c>
      <c r="S313" s="1">
        <v>11282</v>
      </c>
      <c r="T313" s="22">
        <v>41274</v>
      </c>
      <c r="U313" s="30">
        <v>11010</v>
      </c>
      <c r="V313" s="30">
        <v>4200</v>
      </c>
      <c r="W313" s="30">
        <v>10951</v>
      </c>
      <c r="X313" s="30">
        <f t="shared" si="122"/>
        <v>26161</v>
      </c>
      <c r="Y313" s="30">
        <f t="shared" si="123"/>
        <v>2616</v>
      </c>
      <c r="Z313" s="30">
        <v>2616</v>
      </c>
      <c r="AA313" s="30">
        <f t="shared" si="124"/>
        <v>0</v>
      </c>
      <c r="AB313" s="22">
        <v>41244</v>
      </c>
      <c r="AC313" s="22">
        <v>41274</v>
      </c>
      <c r="AD313" s="1" t="s">
        <v>98</v>
      </c>
    </row>
    <row r="314" spans="1:31" ht="18" customHeight="1">
      <c r="A314" s="46" t="s">
        <v>154</v>
      </c>
      <c r="B314" s="20">
        <f t="shared" si="118"/>
        <v>84</v>
      </c>
      <c r="C314" s="20">
        <v>0</v>
      </c>
      <c r="D314" s="20">
        <f t="shared" si="119"/>
        <v>84</v>
      </c>
      <c r="E314" s="20">
        <f t="shared" si="120"/>
        <v>0</v>
      </c>
      <c r="F314" s="20">
        <v>0</v>
      </c>
      <c r="G314" s="20">
        <f t="shared" si="114"/>
        <v>168</v>
      </c>
      <c r="H314" s="20">
        <v>0</v>
      </c>
      <c r="I314" s="20">
        <f t="shared" si="125"/>
        <v>267654</v>
      </c>
      <c r="J314" s="20">
        <f t="shared" si="126"/>
        <v>22661</v>
      </c>
      <c r="K314" s="20">
        <f t="shared" si="127"/>
        <v>290315</v>
      </c>
      <c r="L314" s="20">
        <f t="shared" si="128"/>
        <v>1963</v>
      </c>
      <c r="M314" s="20">
        <f t="shared" si="129"/>
        <v>166</v>
      </c>
      <c r="N314" s="20">
        <f t="shared" si="121"/>
        <v>2129</v>
      </c>
      <c r="O314" s="210"/>
      <c r="Q314" s="1">
        <v>124</v>
      </c>
      <c r="R314" s="1">
        <v>124</v>
      </c>
      <c r="S314" s="1">
        <v>12589</v>
      </c>
      <c r="T314" s="22">
        <v>41305</v>
      </c>
      <c r="U314" s="30">
        <v>355</v>
      </c>
      <c r="V314" s="30">
        <v>135</v>
      </c>
      <c r="W314" s="30">
        <v>353</v>
      </c>
      <c r="X314" s="30">
        <f t="shared" si="122"/>
        <v>843</v>
      </c>
      <c r="Y314" s="30">
        <f t="shared" si="123"/>
        <v>84</v>
      </c>
      <c r="Z314" s="30">
        <v>2616</v>
      </c>
      <c r="AA314" s="30">
        <f t="shared" si="124"/>
        <v>2532</v>
      </c>
      <c r="AB314" s="22">
        <v>41275</v>
      </c>
      <c r="AC314" s="22">
        <v>41305</v>
      </c>
      <c r="AD314" s="1" t="s">
        <v>98</v>
      </c>
      <c r="AE314" s="1" t="s">
        <v>338</v>
      </c>
    </row>
    <row r="315" spans="1:31" ht="18" customHeight="1">
      <c r="A315" s="46" t="s">
        <v>155</v>
      </c>
      <c r="B315" s="20">
        <v>0</v>
      </c>
      <c r="C315" s="20">
        <v>0</v>
      </c>
      <c r="D315" s="20">
        <f t="shared" si="119"/>
        <v>0</v>
      </c>
      <c r="E315" s="20">
        <f t="shared" si="120"/>
        <v>0</v>
      </c>
      <c r="F315" s="20">
        <v>0</v>
      </c>
      <c r="G315" s="20">
        <f t="shared" si="114"/>
        <v>0</v>
      </c>
      <c r="H315" s="20">
        <v>0</v>
      </c>
      <c r="I315" s="20">
        <f t="shared" si="125"/>
        <v>267654</v>
      </c>
      <c r="J315" s="20">
        <f t="shared" si="126"/>
        <v>22661</v>
      </c>
      <c r="K315" s="20">
        <f t="shared" si="127"/>
        <v>290315</v>
      </c>
      <c r="L315" s="20">
        <f t="shared" si="128"/>
        <v>1963</v>
      </c>
      <c r="M315" s="20">
        <f t="shared" si="129"/>
        <v>166</v>
      </c>
      <c r="N315" s="20">
        <f t="shared" si="121"/>
        <v>2129</v>
      </c>
      <c r="O315" s="210"/>
      <c r="Q315" s="1" t="s">
        <v>334</v>
      </c>
      <c r="R315" s="1" t="s">
        <v>334</v>
      </c>
      <c r="S315" s="1" t="s">
        <v>334</v>
      </c>
      <c r="T315" s="1" t="s">
        <v>334</v>
      </c>
      <c r="U315" s="30" t="s">
        <v>334</v>
      </c>
      <c r="V315" s="30" t="s">
        <v>334</v>
      </c>
      <c r="W315" s="30" t="s">
        <v>334</v>
      </c>
      <c r="X315" s="30" t="s">
        <v>334</v>
      </c>
      <c r="Y315" s="30" t="s">
        <v>334</v>
      </c>
      <c r="Z315" s="30" t="s">
        <v>334</v>
      </c>
      <c r="AA315" s="30" t="s">
        <v>334</v>
      </c>
      <c r="AB315" s="1" t="s">
        <v>334</v>
      </c>
      <c r="AC315" s="1" t="s">
        <v>334</v>
      </c>
      <c r="AD315" s="1" t="s">
        <v>334</v>
      </c>
    </row>
    <row r="316" spans="1:31" ht="18" customHeight="1">
      <c r="A316" s="46" t="s">
        <v>156</v>
      </c>
      <c r="B316" s="20">
        <v>0</v>
      </c>
      <c r="C316" s="20">
        <v>0</v>
      </c>
      <c r="D316" s="20">
        <f t="shared" si="119"/>
        <v>0</v>
      </c>
      <c r="E316" s="20">
        <f t="shared" si="120"/>
        <v>0</v>
      </c>
      <c r="F316" s="20">
        <v>0</v>
      </c>
      <c r="G316" s="20">
        <f t="shared" si="114"/>
        <v>0</v>
      </c>
      <c r="H316" s="20">
        <v>0</v>
      </c>
      <c r="I316" s="20">
        <f t="shared" si="125"/>
        <v>267654</v>
      </c>
      <c r="J316" s="20">
        <f t="shared" si="126"/>
        <v>22661</v>
      </c>
      <c r="K316" s="20">
        <f t="shared" si="127"/>
        <v>290315</v>
      </c>
      <c r="L316" s="20">
        <f t="shared" si="128"/>
        <v>1963</v>
      </c>
      <c r="M316" s="20">
        <f t="shared" si="129"/>
        <v>166</v>
      </c>
      <c r="N316" s="20">
        <f t="shared" si="121"/>
        <v>2129</v>
      </c>
      <c r="O316" s="210"/>
      <c r="Q316" s="1" t="s">
        <v>334</v>
      </c>
      <c r="R316" s="1" t="s">
        <v>334</v>
      </c>
      <c r="S316" s="1" t="s">
        <v>334</v>
      </c>
      <c r="T316" s="1" t="s">
        <v>334</v>
      </c>
      <c r="U316" s="30" t="s">
        <v>334</v>
      </c>
      <c r="V316" s="30" t="s">
        <v>334</v>
      </c>
      <c r="W316" s="30" t="s">
        <v>334</v>
      </c>
      <c r="X316" s="30" t="s">
        <v>334</v>
      </c>
      <c r="Y316" s="30" t="s">
        <v>334</v>
      </c>
      <c r="Z316" s="30" t="s">
        <v>334</v>
      </c>
      <c r="AA316" s="30" t="s">
        <v>334</v>
      </c>
      <c r="AB316" s="1" t="s">
        <v>334</v>
      </c>
      <c r="AC316" s="1" t="s">
        <v>334</v>
      </c>
      <c r="AD316" s="1" t="s">
        <v>334</v>
      </c>
    </row>
    <row r="317" spans="1:31" ht="18" customHeight="1" thickBot="1">
      <c r="A317" s="43" t="s">
        <v>157</v>
      </c>
      <c r="B317" s="44">
        <f t="shared" ref="B317:N317" si="130">SUM(B305:B316)</f>
        <v>22661</v>
      </c>
      <c r="C317" s="44">
        <f t="shared" si="130"/>
        <v>0</v>
      </c>
      <c r="D317" s="44">
        <f t="shared" si="130"/>
        <v>22661</v>
      </c>
      <c r="E317" s="44">
        <f t="shared" si="130"/>
        <v>0</v>
      </c>
      <c r="F317" s="44">
        <f t="shared" si="130"/>
        <v>0</v>
      </c>
      <c r="G317" s="44">
        <f t="shared" si="130"/>
        <v>45322</v>
      </c>
      <c r="H317" s="44">
        <f t="shared" si="130"/>
        <v>0</v>
      </c>
      <c r="I317" s="44">
        <f t="shared" si="130"/>
        <v>3119367</v>
      </c>
      <c r="J317" s="44">
        <f t="shared" si="130"/>
        <v>179451</v>
      </c>
      <c r="K317" s="44">
        <f t="shared" si="130"/>
        <v>3298818</v>
      </c>
      <c r="L317" s="44">
        <f t="shared" si="130"/>
        <v>22875</v>
      </c>
      <c r="M317" s="44">
        <f t="shared" si="130"/>
        <v>1316</v>
      </c>
      <c r="N317" s="44">
        <f t="shared" si="130"/>
        <v>24191</v>
      </c>
      <c r="O317" s="45"/>
      <c r="U317" s="31">
        <f t="shared" ref="U317:AA317" si="131">SUM(U305:U316)</f>
        <v>98095</v>
      </c>
      <c r="V317" s="31">
        <f t="shared" si="131"/>
        <v>37935</v>
      </c>
      <c r="W317" s="31">
        <f t="shared" si="131"/>
        <v>90585</v>
      </c>
      <c r="X317" s="31">
        <f t="shared" si="131"/>
        <v>226615</v>
      </c>
      <c r="Y317" s="31">
        <f t="shared" si="131"/>
        <v>22661</v>
      </c>
      <c r="Z317" s="31">
        <f t="shared" si="131"/>
        <v>25189</v>
      </c>
      <c r="AA317" s="31">
        <f t="shared" si="131"/>
        <v>2528</v>
      </c>
    </row>
    <row r="318" spans="1:31" ht="15" thickBo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6"/>
      <c r="L318" s="6"/>
      <c r="M318" s="6"/>
      <c r="N318" s="5"/>
    </row>
    <row r="319" spans="1:31" ht="15.75" customHeight="1" thickBot="1">
      <c r="A319" s="5"/>
      <c r="B319" s="6"/>
      <c r="C319" s="6"/>
      <c r="D319" s="6"/>
      <c r="E319" s="5"/>
      <c r="F319" s="53">
        <v>1</v>
      </c>
      <c r="G319" s="211" t="s">
        <v>47</v>
      </c>
      <c r="H319" s="212"/>
      <c r="I319" s="212"/>
      <c r="J319" s="212"/>
      <c r="K319" s="213"/>
      <c r="L319" s="54">
        <f>K301</f>
        <v>244993</v>
      </c>
      <c r="M319" s="2"/>
      <c r="O319" s="1"/>
      <c r="S319" s="30"/>
      <c r="T319" s="30"/>
      <c r="Z319" s="1"/>
      <c r="AA319" s="1"/>
    </row>
    <row r="320" spans="1:31" ht="15.75" customHeight="1" thickBot="1">
      <c r="A320" s="5"/>
      <c r="B320" s="5"/>
      <c r="C320" s="5"/>
      <c r="D320" s="5"/>
      <c r="E320" s="5"/>
      <c r="F320" s="53">
        <v>2</v>
      </c>
      <c r="G320" s="211" t="s">
        <v>344</v>
      </c>
      <c r="H320" s="212"/>
      <c r="I320" s="212"/>
      <c r="J320" s="212"/>
      <c r="K320" s="213"/>
      <c r="L320" s="54">
        <f>B317+C317</f>
        <v>22661</v>
      </c>
      <c r="M320" s="2"/>
      <c r="O320" s="1"/>
      <c r="S320" s="30"/>
      <c r="T320" s="30"/>
      <c r="Z320" s="1"/>
      <c r="AA320" s="1"/>
    </row>
    <row r="321" spans="1:27" ht="15" thickBot="1">
      <c r="A321" s="5"/>
      <c r="B321" s="5"/>
      <c r="C321" s="5"/>
      <c r="D321" s="5"/>
      <c r="E321" s="5"/>
      <c r="F321" s="53">
        <v>3</v>
      </c>
      <c r="G321" s="211" t="s">
        <v>345</v>
      </c>
      <c r="H321" s="212"/>
      <c r="I321" s="212"/>
      <c r="J321" s="212"/>
      <c r="K321" s="213"/>
      <c r="L321" s="54">
        <f>F317</f>
        <v>0</v>
      </c>
      <c r="M321" s="2"/>
      <c r="O321" s="1"/>
      <c r="S321" s="30"/>
      <c r="T321" s="30"/>
      <c r="Z321" s="1"/>
      <c r="AA321" s="1"/>
    </row>
    <row r="322" spans="1:27" ht="15.75" customHeight="1" thickBot="1">
      <c r="A322" s="5"/>
      <c r="B322" s="5"/>
      <c r="C322" s="5"/>
      <c r="D322" s="5"/>
      <c r="E322" s="5"/>
      <c r="F322" s="53">
        <v>4</v>
      </c>
      <c r="G322" s="211" t="s">
        <v>346</v>
      </c>
      <c r="H322" s="212"/>
      <c r="I322" s="212"/>
      <c r="J322" s="212"/>
      <c r="K322" s="213"/>
      <c r="L322" s="54">
        <f>L320+L321</f>
        <v>22661</v>
      </c>
      <c r="M322" s="2"/>
      <c r="O322" s="1"/>
      <c r="S322" s="30"/>
      <c r="T322" s="30"/>
      <c r="Z322" s="1"/>
      <c r="AA322" s="1"/>
    </row>
    <row r="323" spans="1:27" ht="15.75" customHeight="1" thickBot="1">
      <c r="A323" s="5"/>
      <c r="B323" s="5"/>
      <c r="C323" s="5"/>
      <c r="D323" s="5"/>
      <c r="E323" s="5"/>
      <c r="F323" s="53">
        <v>5</v>
      </c>
      <c r="G323" s="211" t="s">
        <v>349</v>
      </c>
      <c r="H323" s="212"/>
      <c r="I323" s="212"/>
      <c r="J323" s="212"/>
      <c r="K323" s="213"/>
      <c r="L323" s="54">
        <f>D317+E317</f>
        <v>22661</v>
      </c>
      <c r="M323" s="2"/>
      <c r="O323" s="1"/>
      <c r="S323" s="30"/>
      <c r="T323" s="30"/>
      <c r="Z323" s="1"/>
      <c r="AA323" s="1"/>
    </row>
    <row r="324" spans="1:27" ht="15.75" customHeight="1" thickBot="1">
      <c r="A324" s="5"/>
      <c r="B324" s="5"/>
      <c r="C324" s="5"/>
      <c r="D324" s="5"/>
      <c r="E324" s="5"/>
      <c r="F324" s="53">
        <v>6</v>
      </c>
      <c r="G324" s="211" t="s">
        <v>347</v>
      </c>
      <c r="H324" s="212"/>
      <c r="I324" s="212"/>
      <c r="J324" s="212"/>
      <c r="K324" s="213"/>
      <c r="L324" s="54">
        <f>L319+L322+L323</f>
        <v>290315</v>
      </c>
      <c r="M324" s="2"/>
      <c r="O324" s="1"/>
      <c r="S324" s="30"/>
      <c r="T324" s="30"/>
      <c r="Z324" s="1"/>
      <c r="AA324" s="1"/>
    </row>
    <row r="325" spans="1:27" ht="15.75" customHeight="1" thickBot="1">
      <c r="A325" s="5"/>
      <c r="B325" s="5"/>
      <c r="C325" s="5"/>
      <c r="D325" s="5"/>
      <c r="E325" s="5"/>
      <c r="F325" s="53">
        <v>7</v>
      </c>
      <c r="G325" s="211" t="s">
        <v>50</v>
      </c>
      <c r="H325" s="212"/>
      <c r="I325" s="212"/>
      <c r="J325" s="212"/>
      <c r="K325" s="213"/>
      <c r="L325" s="54">
        <f>H317</f>
        <v>0</v>
      </c>
      <c r="M325" s="2"/>
      <c r="O325" s="1"/>
      <c r="S325" s="30"/>
      <c r="T325" s="30"/>
      <c r="Z325" s="1"/>
      <c r="AA325" s="1"/>
    </row>
    <row r="326" spans="1:27" ht="15" thickBot="1">
      <c r="A326" s="5"/>
      <c r="B326" s="5"/>
      <c r="C326" s="5"/>
      <c r="D326" s="5"/>
      <c r="E326" s="5"/>
      <c r="F326" s="53">
        <v>8</v>
      </c>
      <c r="G326" s="211" t="s">
        <v>340</v>
      </c>
      <c r="H326" s="212"/>
      <c r="I326" s="212"/>
      <c r="J326" s="212"/>
      <c r="K326" s="213"/>
      <c r="L326" s="54">
        <f>L317</f>
        <v>22875</v>
      </c>
      <c r="M326" s="17"/>
      <c r="N326" s="6"/>
    </row>
    <row r="327" spans="1:27" ht="15" thickBot="1">
      <c r="A327" s="5"/>
      <c r="B327" s="5"/>
      <c r="C327" s="5"/>
      <c r="D327" s="5"/>
      <c r="E327" s="5"/>
      <c r="F327" s="53">
        <v>9</v>
      </c>
      <c r="G327" s="211" t="s">
        <v>355</v>
      </c>
      <c r="H327" s="212"/>
      <c r="I327" s="212"/>
      <c r="J327" s="212"/>
      <c r="K327" s="213"/>
      <c r="L327" s="54">
        <f>M317</f>
        <v>1316</v>
      </c>
      <c r="M327" s="17"/>
      <c r="N327" s="6"/>
    </row>
    <row r="328" spans="1:27" ht="15" thickBot="1">
      <c r="A328" s="5"/>
      <c r="B328" s="5"/>
      <c r="C328" s="5"/>
      <c r="D328" s="5"/>
      <c r="E328" s="5"/>
      <c r="F328" s="53">
        <v>10</v>
      </c>
      <c r="G328" s="211" t="s">
        <v>348</v>
      </c>
      <c r="H328" s="212"/>
      <c r="I328" s="212"/>
      <c r="J328" s="212"/>
      <c r="K328" s="213"/>
      <c r="L328" s="54">
        <f>N317</f>
        <v>24191</v>
      </c>
      <c r="M328" s="17"/>
      <c r="N328" s="6"/>
    </row>
    <row r="329" spans="1:27" ht="15" thickBot="1">
      <c r="A329" s="5"/>
      <c r="B329" s="5"/>
      <c r="C329" s="5"/>
      <c r="D329" s="5"/>
      <c r="E329" s="5"/>
      <c r="F329" s="53">
        <v>11</v>
      </c>
      <c r="G329" s="212" t="s">
        <v>359</v>
      </c>
      <c r="H329" s="212"/>
      <c r="I329" s="212"/>
      <c r="J329" s="212"/>
      <c r="K329" s="213"/>
      <c r="L329" s="54">
        <f>L324-L325+L328</f>
        <v>314506</v>
      </c>
      <c r="M329" s="17"/>
      <c r="N329" s="6">
        <v>195668</v>
      </c>
      <c r="P329" s="21">
        <f>N329-L329</f>
        <v>-118838</v>
      </c>
    </row>
    <row r="330" spans="1:27">
      <c r="A330" s="5"/>
      <c r="B330" s="5"/>
      <c r="C330" s="5"/>
      <c r="D330" s="5"/>
      <c r="E330" s="5"/>
      <c r="F330" s="5"/>
      <c r="G330" s="17"/>
      <c r="H330" s="17"/>
      <c r="I330" s="17"/>
      <c r="J330" s="17"/>
      <c r="K330" s="17"/>
      <c r="L330" s="17"/>
      <c r="M330" s="17"/>
      <c r="N330" s="6"/>
    </row>
    <row r="331" spans="1:27">
      <c r="A331" s="5"/>
      <c r="B331" s="5"/>
      <c r="C331" s="5"/>
      <c r="D331" s="5"/>
      <c r="E331" s="5"/>
      <c r="F331" s="5"/>
      <c r="G331" s="17"/>
      <c r="H331" s="17"/>
      <c r="I331" s="17"/>
      <c r="J331" s="17"/>
      <c r="K331" s="17"/>
      <c r="L331" s="17"/>
      <c r="M331" s="17"/>
      <c r="N331" s="6"/>
    </row>
    <row r="332" spans="1:27">
      <c r="A332" s="5"/>
      <c r="B332" s="5"/>
      <c r="C332" s="5"/>
      <c r="D332" s="5"/>
      <c r="E332" s="5"/>
      <c r="F332" s="5"/>
      <c r="G332" s="17"/>
      <c r="H332" s="17"/>
      <c r="I332" s="17"/>
      <c r="J332" s="17"/>
      <c r="K332" s="17"/>
      <c r="L332" s="17"/>
      <c r="M332" s="17"/>
      <c r="N332" s="6"/>
    </row>
    <row r="333" spans="1:27">
      <c r="A333" s="5"/>
      <c r="B333" s="5"/>
      <c r="C333" s="5"/>
      <c r="D333" s="5"/>
      <c r="E333" s="5"/>
      <c r="F333" s="5"/>
      <c r="G333" s="17"/>
      <c r="H333" s="17"/>
      <c r="I333" s="17"/>
      <c r="J333" s="17"/>
      <c r="K333" s="17"/>
      <c r="L333" s="17"/>
      <c r="M333" s="17"/>
      <c r="N333" s="6"/>
    </row>
    <row r="334" spans="1:27">
      <c r="A334" s="5"/>
      <c r="B334" s="5"/>
      <c r="C334" s="5"/>
      <c r="D334" s="5"/>
      <c r="E334" s="5"/>
      <c r="F334" s="5"/>
      <c r="G334" s="17"/>
      <c r="H334" s="17"/>
      <c r="I334" s="17"/>
      <c r="J334" s="17"/>
      <c r="K334" s="17"/>
      <c r="L334" s="17"/>
      <c r="M334" s="17"/>
      <c r="N334" s="6"/>
    </row>
    <row r="335" spans="1:27">
      <c r="A335" s="5"/>
      <c r="B335" s="5"/>
      <c r="C335" s="5"/>
      <c r="D335" s="5"/>
      <c r="E335" s="5"/>
      <c r="F335" s="5"/>
      <c r="G335" s="17"/>
      <c r="H335" s="17"/>
      <c r="I335" s="17"/>
      <c r="J335" s="17"/>
      <c r="K335" s="17"/>
      <c r="L335" s="17"/>
      <c r="M335" s="17"/>
      <c r="N335" s="6"/>
    </row>
    <row r="336" spans="1:27">
      <c r="A336" s="5"/>
      <c r="B336" s="5"/>
      <c r="C336" s="5"/>
      <c r="D336" s="5"/>
      <c r="E336" s="5"/>
      <c r="F336" s="5"/>
      <c r="G336" s="17"/>
      <c r="H336" s="17"/>
      <c r="I336" s="17"/>
      <c r="J336" s="17"/>
      <c r="K336" s="17"/>
      <c r="L336" s="17"/>
      <c r="M336" s="17"/>
      <c r="N336" s="6"/>
    </row>
    <row r="337" spans="1:15">
      <c r="A337" s="5"/>
      <c r="B337" s="5"/>
      <c r="C337" s="5"/>
      <c r="D337" s="5"/>
      <c r="E337" s="5"/>
      <c r="F337" s="5"/>
      <c r="G337" s="17"/>
      <c r="H337" s="17"/>
      <c r="I337" s="17"/>
      <c r="J337" s="17"/>
      <c r="K337" s="17"/>
      <c r="L337" s="17"/>
      <c r="M337" s="17"/>
      <c r="N337" s="6"/>
    </row>
    <row r="338" spans="1:15"/>
    <row r="339" spans="1:15"/>
    <row r="340" spans="1:15" ht="16.8">
      <c r="A340" s="249" t="s">
        <v>53</v>
      </c>
      <c r="B340" s="249"/>
      <c r="C340" s="18"/>
      <c r="D340" s="18"/>
      <c r="E340" s="249" t="s">
        <v>54</v>
      </c>
      <c r="F340" s="249"/>
      <c r="G340" s="249"/>
      <c r="H340" s="250" t="s">
        <v>55</v>
      </c>
      <c r="I340" s="250"/>
      <c r="J340" s="250"/>
      <c r="K340" s="250"/>
      <c r="L340" s="250"/>
      <c r="M340" s="250"/>
      <c r="N340" s="250"/>
    </row>
    <row r="341" spans="1:15" ht="16.8">
      <c r="A341" s="18"/>
      <c r="B341" s="18"/>
      <c r="C341" s="18"/>
      <c r="D341" s="18"/>
      <c r="E341" s="18"/>
      <c r="F341" s="18"/>
      <c r="G341" s="19"/>
      <c r="H341" s="19"/>
      <c r="I341" s="19"/>
      <c r="J341" s="19"/>
    </row>
    <row r="342" spans="1:15" ht="16.8" hidden="1">
      <c r="A342" s="18"/>
      <c r="B342" s="18"/>
      <c r="C342" s="18"/>
      <c r="D342" s="18"/>
      <c r="E342" s="18"/>
      <c r="F342" s="18"/>
      <c r="G342" s="19"/>
      <c r="H342" s="19"/>
      <c r="I342" s="19"/>
      <c r="J342" s="19"/>
    </row>
    <row r="343" spans="1:15" ht="18.600000000000001" hidden="1">
      <c r="A343" s="224" t="s">
        <v>0</v>
      </c>
      <c r="B343" s="224"/>
      <c r="C343" s="224"/>
      <c r="D343" s="224"/>
      <c r="E343" s="224"/>
      <c r="F343" s="224"/>
      <c r="G343" s="224"/>
      <c r="H343" s="224"/>
      <c r="I343" s="224"/>
      <c r="J343" s="224"/>
      <c r="K343" s="224"/>
      <c r="L343" s="224"/>
      <c r="M343" s="224"/>
      <c r="N343" s="224"/>
      <c r="O343" s="224"/>
    </row>
    <row r="344" spans="1:15" ht="18.600000000000001" hidden="1">
      <c r="A344" s="224" t="s">
        <v>1</v>
      </c>
      <c r="B344" s="224"/>
      <c r="C344" s="224"/>
      <c r="D344" s="224"/>
      <c r="E344" s="224"/>
      <c r="F344" s="224"/>
      <c r="G344" s="224"/>
      <c r="H344" s="224"/>
      <c r="I344" s="224"/>
      <c r="J344" s="224"/>
      <c r="K344" s="224"/>
      <c r="L344" s="224"/>
      <c r="M344" s="224"/>
      <c r="N344" s="224"/>
      <c r="O344" s="224"/>
    </row>
    <row r="345" spans="1:15"/>
    <row r="346" spans="1:15" hidden="1">
      <c r="A346" s="225" t="s">
        <v>158</v>
      </c>
      <c r="B346" s="225"/>
      <c r="C346" s="225"/>
      <c r="D346" s="225"/>
      <c r="E346" s="225"/>
      <c r="F346" s="225"/>
      <c r="G346" s="225"/>
      <c r="H346" s="225"/>
      <c r="I346" s="225"/>
      <c r="J346" s="225"/>
      <c r="K346" s="225"/>
      <c r="L346" s="225"/>
      <c r="M346" s="225"/>
      <c r="N346" s="225"/>
    </row>
    <row r="347" spans="1:15" hidden="1">
      <c r="A347" s="3" t="s">
        <v>3</v>
      </c>
      <c r="B347" s="4">
        <f>B297</f>
        <v>2439</v>
      </c>
      <c r="C347" s="4"/>
      <c r="D347" s="4"/>
      <c r="E347" s="3" t="s">
        <v>4</v>
      </c>
      <c r="F347" s="215" t="str">
        <f>F297</f>
        <v>Mahajan Ganesh Trambak</v>
      </c>
      <c r="G347" s="215"/>
      <c r="H347" s="215"/>
      <c r="I347" s="215"/>
      <c r="J347" s="215"/>
      <c r="K347" s="215"/>
      <c r="L347" s="215"/>
      <c r="M347" s="215"/>
      <c r="N347" s="215"/>
    </row>
    <row r="348" spans="1:15" hidden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6"/>
      <c r="L348" s="6"/>
      <c r="M348" s="6"/>
      <c r="N348" s="5"/>
    </row>
    <row r="349" spans="1:15" ht="20.399999999999999" hidden="1">
      <c r="A349" s="3" t="s">
        <v>6</v>
      </c>
      <c r="B349" s="4">
        <f>B299</f>
        <v>2439</v>
      </c>
      <c r="C349" s="4"/>
      <c r="D349" s="4"/>
      <c r="E349" s="3" t="s">
        <v>7</v>
      </c>
      <c r="F349" s="268"/>
      <c r="G349" s="269"/>
      <c r="H349" s="3" t="s">
        <v>8</v>
      </c>
      <c r="I349" s="3"/>
      <c r="J349" s="3"/>
      <c r="K349" s="270" t="str">
        <f>K299</f>
        <v>Asst. Jr. Engineer</v>
      </c>
      <c r="L349" s="270"/>
      <c r="M349" s="270"/>
      <c r="N349" s="270"/>
    </row>
    <row r="350" spans="1:15" hidden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6"/>
      <c r="L350" s="6"/>
      <c r="M350" s="6"/>
      <c r="N350" s="5"/>
    </row>
    <row r="351" spans="1:15" hidden="1">
      <c r="A351" s="3" t="s">
        <v>10</v>
      </c>
      <c r="B351" s="7">
        <v>8.6999999999999994E-2</v>
      </c>
      <c r="C351" s="7"/>
      <c r="D351" s="7"/>
      <c r="E351" s="3" t="s">
        <v>11</v>
      </c>
      <c r="F351" s="7">
        <v>0</v>
      </c>
      <c r="G351" s="216" t="s">
        <v>12</v>
      </c>
      <c r="H351" s="217"/>
      <c r="I351" s="29"/>
      <c r="J351" s="29"/>
      <c r="K351" s="266">
        <f>L325</f>
        <v>0</v>
      </c>
      <c r="L351" s="267"/>
      <c r="M351" s="267"/>
      <c r="N351" s="271"/>
    </row>
    <row r="352" spans="1:15" hidden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6"/>
      <c r="L352" s="6"/>
      <c r="M352" s="6"/>
      <c r="N352" s="5"/>
    </row>
    <row r="353" spans="1:15" ht="30.6" hidden="1">
      <c r="A353" s="39" t="s">
        <v>13</v>
      </c>
      <c r="B353" s="40" t="s">
        <v>14</v>
      </c>
      <c r="C353" s="40"/>
      <c r="D353" s="40"/>
      <c r="E353" s="40" t="s">
        <v>349</v>
      </c>
      <c r="F353" s="40" t="s">
        <v>15</v>
      </c>
      <c r="G353" s="40" t="s">
        <v>16</v>
      </c>
      <c r="H353" s="40" t="s">
        <v>17</v>
      </c>
      <c r="I353" s="40"/>
      <c r="J353" s="40"/>
      <c r="K353" s="38" t="s">
        <v>18</v>
      </c>
      <c r="L353" s="38"/>
      <c r="M353" s="38"/>
      <c r="N353" s="38" t="s">
        <v>19</v>
      </c>
      <c r="O353" s="41" t="s">
        <v>20</v>
      </c>
    </row>
    <row r="354" spans="1:15" hidden="1">
      <c r="A354" s="42" t="s">
        <v>159</v>
      </c>
      <c r="B354" s="20">
        <v>0</v>
      </c>
      <c r="C354" s="20"/>
      <c r="D354" s="20"/>
      <c r="E354" s="20">
        <f>B354</f>
        <v>0</v>
      </c>
      <c r="F354" s="20">
        <v>0</v>
      </c>
      <c r="G354" s="20">
        <f t="shared" ref="G354:G365" si="132">(E354+B354)+F354</f>
        <v>0</v>
      </c>
      <c r="H354" s="20">
        <v>0</v>
      </c>
      <c r="I354" s="20"/>
      <c r="J354" s="20"/>
      <c r="K354" s="20">
        <f>(K351+G354)-H354</f>
        <v>0</v>
      </c>
      <c r="L354" s="20"/>
      <c r="M354" s="20"/>
      <c r="N354" s="20">
        <f t="shared" ref="N354:N365" si="133">ROUND((K354*8.7/100)/12,0)</f>
        <v>0</v>
      </c>
      <c r="O354" s="210" t="s">
        <v>160</v>
      </c>
    </row>
    <row r="355" spans="1:15" hidden="1">
      <c r="A355" s="42" t="s">
        <v>161</v>
      </c>
      <c r="B355" s="20">
        <v>0</v>
      </c>
      <c r="C355" s="20"/>
      <c r="D355" s="20"/>
      <c r="E355" s="20">
        <f t="shared" ref="E355:E365" si="134">B355</f>
        <v>0</v>
      </c>
      <c r="F355" s="20">
        <v>0</v>
      </c>
      <c r="G355" s="20">
        <f t="shared" si="132"/>
        <v>0</v>
      </c>
      <c r="H355" s="20">
        <v>0</v>
      </c>
      <c r="I355" s="20"/>
      <c r="J355" s="20"/>
      <c r="K355" s="20">
        <f t="shared" ref="K355:K365" si="135">(K354+G355)-H355</f>
        <v>0</v>
      </c>
      <c r="L355" s="20"/>
      <c r="M355" s="20"/>
      <c r="N355" s="20">
        <f t="shared" si="133"/>
        <v>0</v>
      </c>
      <c r="O355" s="210"/>
    </row>
    <row r="356" spans="1:15" hidden="1">
      <c r="A356" s="42" t="s">
        <v>162</v>
      </c>
      <c r="B356" s="20">
        <v>0</v>
      </c>
      <c r="C356" s="20"/>
      <c r="D356" s="20"/>
      <c r="E356" s="20">
        <f t="shared" si="134"/>
        <v>0</v>
      </c>
      <c r="F356" s="20">
        <v>0</v>
      </c>
      <c r="G356" s="20">
        <f t="shared" si="132"/>
        <v>0</v>
      </c>
      <c r="H356" s="20">
        <v>0</v>
      </c>
      <c r="I356" s="20"/>
      <c r="J356" s="20"/>
      <c r="K356" s="20">
        <f t="shared" si="135"/>
        <v>0</v>
      </c>
      <c r="L356" s="20"/>
      <c r="M356" s="20"/>
      <c r="N356" s="20">
        <f t="shared" si="133"/>
        <v>0</v>
      </c>
      <c r="O356" s="210"/>
    </row>
    <row r="357" spans="1:15" hidden="1">
      <c r="A357" s="42" t="s">
        <v>163</v>
      </c>
      <c r="B357" s="20">
        <v>0</v>
      </c>
      <c r="C357" s="20"/>
      <c r="D357" s="20"/>
      <c r="E357" s="20">
        <f t="shared" si="134"/>
        <v>0</v>
      </c>
      <c r="F357" s="20">
        <v>0</v>
      </c>
      <c r="G357" s="20">
        <f t="shared" si="132"/>
        <v>0</v>
      </c>
      <c r="H357" s="20">
        <v>0</v>
      </c>
      <c r="I357" s="20"/>
      <c r="J357" s="20"/>
      <c r="K357" s="20">
        <f t="shared" si="135"/>
        <v>0</v>
      </c>
      <c r="L357" s="20"/>
      <c r="M357" s="20"/>
      <c r="N357" s="20">
        <f t="shared" si="133"/>
        <v>0</v>
      </c>
      <c r="O357" s="210"/>
    </row>
    <row r="358" spans="1:15" hidden="1">
      <c r="A358" s="42" t="s">
        <v>164</v>
      </c>
      <c r="B358" s="20">
        <v>0</v>
      </c>
      <c r="C358" s="20"/>
      <c r="D358" s="20"/>
      <c r="E358" s="20">
        <f t="shared" si="134"/>
        <v>0</v>
      </c>
      <c r="F358" s="20">
        <v>0</v>
      </c>
      <c r="G358" s="20">
        <f t="shared" si="132"/>
        <v>0</v>
      </c>
      <c r="H358" s="20">
        <v>0</v>
      </c>
      <c r="I358" s="20"/>
      <c r="J358" s="20"/>
      <c r="K358" s="20">
        <f t="shared" si="135"/>
        <v>0</v>
      </c>
      <c r="L358" s="20"/>
      <c r="M358" s="20"/>
      <c r="N358" s="20">
        <f t="shared" si="133"/>
        <v>0</v>
      </c>
      <c r="O358" s="210"/>
    </row>
    <row r="359" spans="1:15" hidden="1">
      <c r="A359" s="42" t="s">
        <v>165</v>
      </c>
      <c r="B359" s="20">
        <v>0</v>
      </c>
      <c r="C359" s="20"/>
      <c r="D359" s="20"/>
      <c r="E359" s="20">
        <f t="shared" si="134"/>
        <v>0</v>
      </c>
      <c r="F359" s="20">
        <v>0</v>
      </c>
      <c r="G359" s="20">
        <f t="shared" si="132"/>
        <v>0</v>
      </c>
      <c r="H359" s="20">
        <v>0</v>
      </c>
      <c r="I359" s="20"/>
      <c r="J359" s="20"/>
      <c r="K359" s="20">
        <f t="shared" si="135"/>
        <v>0</v>
      </c>
      <c r="L359" s="20"/>
      <c r="M359" s="20"/>
      <c r="N359" s="20">
        <f t="shared" si="133"/>
        <v>0</v>
      </c>
      <c r="O359" s="210"/>
    </row>
    <row r="360" spans="1:15" hidden="1">
      <c r="A360" s="42" t="s">
        <v>166</v>
      </c>
      <c r="B360" s="20">
        <v>0</v>
      </c>
      <c r="C360" s="20"/>
      <c r="D360" s="20"/>
      <c r="E360" s="20">
        <f t="shared" si="134"/>
        <v>0</v>
      </c>
      <c r="F360" s="20">
        <v>0</v>
      </c>
      <c r="G360" s="20">
        <f t="shared" si="132"/>
        <v>0</v>
      </c>
      <c r="H360" s="20">
        <v>0</v>
      </c>
      <c r="I360" s="20"/>
      <c r="J360" s="20"/>
      <c r="K360" s="20">
        <f t="shared" si="135"/>
        <v>0</v>
      </c>
      <c r="L360" s="20"/>
      <c r="M360" s="20"/>
      <c r="N360" s="20">
        <f t="shared" si="133"/>
        <v>0</v>
      </c>
      <c r="O360" s="210"/>
    </row>
    <row r="361" spans="1:15" hidden="1">
      <c r="A361" s="42" t="s">
        <v>167</v>
      </c>
      <c r="B361" s="20">
        <v>0</v>
      </c>
      <c r="C361" s="20"/>
      <c r="D361" s="20"/>
      <c r="E361" s="20">
        <f t="shared" si="134"/>
        <v>0</v>
      </c>
      <c r="F361" s="20">
        <v>0</v>
      </c>
      <c r="G361" s="20">
        <f t="shared" si="132"/>
        <v>0</v>
      </c>
      <c r="H361" s="20">
        <v>0</v>
      </c>
      <c r="I361" s="20"/>
      <c r="J361" s="20"/>
      <c r="K361" s="20">
        <f t="shared" si="135"/>
        <v>0</v>
      </c>
      <c r="L361" s="20"/>
      <c r="M361" s="20"/>
      <c r="N361" s="20">
        <f t="shared" si="133"/>
        <v>0</v>
      </c>
      <c r="O361" s="210"/>
    </row>
    <row r="362" spans="1:15" hidden="1">
      <c r="A362" s="42" t="s">
        <v>168</v>
      </c>
      <c r="B362" s="20">
        <v>0</v>
      </c>
      <c r="C362" s="20"/>
      <c r="D362" s="20"/>
      <c r="E362" s="20">
        <f t="shared" si="134"/>
        <v>0</v>
      </c>
      <c r="F362" s="20">
        <v>0</v>
      </c>
      <c r="G362" s="20">
        <f t="shared" si="132"/>
        <v>0</v>
      </c>
      <c r="H362" s="20">
        <v>0</v>
      </c>
      <c r="I362" s="20"/>
      <c r="J362" s="20"/>
      <c r="K362" s="20">
        <f t="shared" si="135"/>
        <v>0</v>
      </c>
      <c r="L362" s="20"/>
      <c r="M362" s="20"/>
      <c r="N362" s="20">
        <f t="shared" si="133"/>
        <v>0</v>
      </c>
      <c r="O362" s="210"/>
    </row>
    <row r="363" spans="1:15" hidden="1">
      <c r="A363" s="42" t="s">
        <v>169</v>
      </c>
      <c r="B363" s="20">
        <v>0</v>
      </c>
      <c r="C363" s="20"/>
      <c r="D363" s="20"/>
      <c r="E363" s="20">
        <f t="shared" si="134"/>
        <v>0</v>
      </c>
      <c r="F363" s="20">
        <v>0</v>
      </c>
      <c r="G363" s="20">
        <f t="shared" si="132"/>
        <v>0</v>
      </c>
      <c r="H363" s="20">
        <v>0</v>
      </c>
      <c r="I363" s="20"/>
      <c r="J363" s="20"/>
      <c r="K363" s="20">
        <f t="shared" si="135"/>
        <v>0</v>
      </c>
      <c r="L363" s="20"/>
      <c r="M363" s="20"/>
      <c r="N363" s="20">
        <f t="shared" si="133"/>
        <v>0</v>
      </c>
      <c r="O363" s="210"/>
    </row>
    <row r="364" spans="1:15" hidden="1">
      <c r="A364" s="42" t="s">
        <v>170</v>
      </c>
      <c r="B364" s="20">
        <v>0</v>
      </c>
      <c r="C364" s="20"/>
      <c r="D364" s="20"/>
      <c r="E364" s="20">
        <f t="shared" si="134"/>
        <v>0</v>
      </c>
      <c r="F364" s="20">
        <v>0</v>
      </c>
      <c r="G364" s="20">
        <f t="shared" si="132"/>
        <v>0</v>
      </c>
      <c r="H364" s="20">
        <v>0</v>
      </c>
      <c r="I364" s="20"/>
      <c r="J364" s="20"/>
      <c r="K364" s="20">
        <f t="shared" si="135"/>
        <v>0</v>
      </c>
      <c r="L364" s="20"/>
      <c r="M364" s="20"/>
      <c r="N364" s="20">
        <f t="shared" si="133"/>
        <v>0</v>
      </c>
      <c r="O364" s="210"/>
    </row>
    <row r="365" spans="1:15" hidden="1">
      <c r="A365" s="42" t="s">
        <v>171</v>
      </c>
      <c r="B365" s="20">
        <v>0</v>
      </c>
      <c r="C365" s="20"/>
      <c r="D365" s="20"/>
      <c r="E365" s="20">
        <f t="shared" si="134"/>
        <v>0</v>
      </c>
      <c r="F365" s="20">
        <v>0</v>
      </c>
      <c r="G365" s="20">
        <f t="shared" si="132"/>
        <v>0</v>
      </c>
      <c r="H365" s="20">
        <v>0</v>
      </c>
      <c r="I365" s="20"/>
      <c r="J365" s="20"/>
      <c r="K365" s="20">
        <f t="shared" si="135"/>
        <v>0</v>
      </c>
      <c r="L365" s="20"/>
      <c r="M365" s="20"/>
      <c r="N365" s="20">
        <f t="shared" si="133"/>
        <v>0</v>
      </c>
      <c r="O365" s="210"/>
    </row>
    <row r="366" spans="1:15" ht="15" hidden="1" thickBot="1">
      <c r="A366" s="43" t="s">
        <v>172</v>
      </c>
      <c r="B366" s="44">
        <f t="shared" ref="B366:N366" si="136">SUM(B354:B365)</f>
        <v>0</v>
      </c>
      <c r="C366" s="44"/>
      <c r="D366" s="44"/>
      <c r="E366" s="44">
        <f t="shared" si="136"/>
        <v>0</v>
      </c>
      <c r="F366" s="44">
        <f t="shared" si="136"/>
        <v>0</v>
      </c>
      <c r="G366" s="44">
        <f t="shared" si="136"/>
        <v>0</v>
      </c>
      <c r="H366" s="44">
        <f t="shared" si="136"/>
        <v>0</v>
      </c>
      <c r="I366" s="44"/>
      <c r="J366" s="44"/>
      <c r="K366" s="44">
        <f>SUM(K354:K365)</f>
        <v>0</v>
      </c>
      <c r="L366" s="44"/>
      <c r="M366" s="44"/>
      <c r="N366" s="44">
        <f t="shared" si="136"/>
        <v>0</v>
      </c>
      <c r="O366" s="45"/>
    </row>
    <row r="367" spans="1:15" hidden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6"/>
      <c r="L367" s="6"/>
      <c r="M367" s="6"/>
      <c r="N367" s="5"/>
    </row>
    <row r="368" spans="1:15" ht="15" hidden="1" thickBot="1">
      <c r="A368" s="5"/>
      <c r="B368" s="6"/>
      <c r="C368" s="6"/>
      <c r="D368" s="6"/>
      <c r="E368" s="5"/>
      <c r="F368" s="5"/>
      <c r="G368" s="211" t="s">
        <v>47</v>
      </c>
      <c r="H368" s="212"/>
      <c r="I368" s="212"/>
      <c r="J368" s="212"/>
      <c r="K368" s="213"/>
      <c r="L368" s="26"/>
      <c r="M368" s="26"/>
      <c r="N368" s="16">
        <f>K351</f>
        <v>0</v>
      </c>
    </row>
    <row r="369" spans="1:15" ht="15" hidden="1" thickBot="1">
      <c r="A369" s="5"/>
      <c r="B369" s="5"/>
      <c r="C369" s="5"/>
      <c r="D369" s="5"/>
      <c r="E369" s="5"/>
      <c r="F369" s="5"/>
      <c r="G369" s="211" t="s">
        <v>48</v>
      </c>
      <c r="H369" s="212"/>
      <c r="I369" s="212"/>
      <c r="J369" s="212"/>
      <c r="K369" s="213"/>
      <c r="L369" s="26"/>
      <c r="M369" s="26"/>
      <c r="N369" s="16">
        <f>B366+F366</f>
        <v>0</v>
      </c>
    </row>
    <row r="370" spans="1:15" ht="15" hidden="1" thickBot="1">
      <c r="A370" s="5"/>
      <c r="B370" s="5"/>
      <c r="C370" s="5"/>
      <c r="D370" s="5"/>
      <c r="E370" s="5"/>
      <c r="F370" s="5"/>
      <c r="G370" s="211" t="s">
        <v>349</v>
      </c>
      <c r="H370" s="212"/>
      <c r="I370" s="212"/>
      <c r="J370" s="212"/>
      <c r="K370" s="213"/>
      <c r="L370" s="26"/>
      <c r="M370" s="26"/>
      <c r="N370" s="16">
        <f>E366</f>
        <v>0</v>
      </c>
    </row>
    <row r="371" spans="1:15" ht="15" hidden="1" thickBot="1">
      <c r="A371" s="5"/>
      <c r="B371" s="5"/>
      <c r="C371" s="5"/>
      <c r="D371" s="5"/>
      <c r="E371" s="5"/>
      <c r="F371" s="5"/>
      <c r="G371" s="211" t="s">
        <v>49</v>
      </c>
      <c r="H371" s="212"/>
      <c r="I371" s="212"/>
      <c r="J371" s="212"/>
      <c r="K371" s="213"/>
      <c r="L371" s="26"/>
      <c r="M371" s="26"/>
      <c r="N371" s="16">
        <f>SUM(N368:N370)</f>
        <v>0</v>
      </c>
    </row>
    <row r="372" spans="1:15" ht="15" hidden="1" thickBot="1">
      <c r="A372" s="5"/>
      <c r="B372" s="5"/>
      <c r="C372" s="5"/>
      <c r="D372" s="5"/>
      <c r="E372" s="5"/>
      <c r="F372" s="5"/>
      <c r="G372" s="211" t="s">
        <v>50</v>
      </c>
      <c r="H372" s="212"/>
      <c r="I372" s="212"/>
      <c r="J372" s="212"/>
      <c r="K372" s="213"/>
      <c r="L372" s="26"/>
      <c r="M372" s="26"/>
      <c r="N372" s="16">
        <f>H366</f>
        <v>0</v>
      </c>
    </row>
    <row r="373" spans="1:15" ht="15" hidden="1" thickBot="1">
      <c r="A373" s="5"/>
      <c r="B373" s="5"/>
      <c r="C373" s="5"/>
      <c r="D373" s="5"/>
      <c r="E373" s="5"/>
      <c r="F373" s="5"/>
      <c r="G373" s="211" t="s">
        <v>51</v>
      </c>
      <c r="H373" s="212"/>
      <c r="I373" s="212"/>
      <c r="J373" s="212"/>
      <c r="K373" s="213"/>
      <c r="L373" s="26"/>
      <c r="M373" s="26"/>
      <c r="N373" s="16">
        <f>N366</f>
        <v>0</v>
      </c>
    </row>
    <row r="374" spans="1:15" ht="15" hidden="1" thickBot="1">
      <c r="A374" s="5"/>
      <c r="B374" s="5"/>
      <c r="C374" s="5"/>
      <c r="D374" s="5"/>
      <c r="E374" s="5"/>
      <c r="F374" s="5"/>
      <c r="G374" s="211" t="s">
        <v>52</v>
      </c>
      <c r="H374" s="212"/>
      <c r="I374" s="212"/>
      <c r="J374" s="212"/>
      <c r="K374" s="213"/>
      <c r="L374" s="26"/>
      <c r="M374" s="26"/>
      <c r="N374" s="16">
        <f>(N371-N372)+N373</f>
        <v>0</v>
      </c>
    </row>
    <row r="375" spans="1:15" hidden="1">
      <c r="A375" s="5"/>
      <c r="B375" s="5"/>
      <c r="C375" s="5"/>
      <c r="D375" s="5"/>
      <c r="E375" s="5"/>
      <c r="F375" s="5"/>
      <c r="G375" s="17"/>
      <c r="H375" s="17"/>
      <c r="I375" s="17"/>
      <c r="J375" s="17"/>
      <c r="K375" s="17"/>
      <c r="L375" s="17"/>
      <c r="M375" s="17"/>
      <c r="N375" s="6"/>
    </row>
    <row r="376" spans="1:15"/>
    <row r="377" spans="1:15"/>
    <row r="378" spans="1:15" ht="16.8" hidden="1">
      <c r="A378" s="249" t="s">
        <v>53</v>
      </c>
      <c r="B378" s="249"/>
      <c r="C378" s="18"/>
      <c r="D378" s="18"/>
      <c r="E378" s="249" t="s">
        <v>54</v>
      </c>
      <c r="F378" s="249"/>
      <c r="G378" s="249"/>
      <c r="H378" s="250" t="s">
        <v>55</v>
      </c>
      <c r="I378" s="250"/>
      <c r="J378" s="250"/>
      <c r="K378" s="250"/>
      <c r="L378" s="250"/>
      <c r="M378" s="250"/>
      <c r="N378" s="250"/>
    </row>
    <row r="379" spans="1:15" ht="16.8" hidden="1">
      <c r="A379" s="18"/>
      <c r="B379" s="18"/>
      <c r="C379" s="18"/>
      <c r="D379" s="18"/>
      <c r="E379" s="18"/>
      <c r="F379" s="18"/>
      <c r="G379" s="19"/>
      <c r="H379" s="19"/>
      <c r="I379" s="19"/>
      <c r="J379" s="19"/>
    </row>
    <row r="380" spans="1:15" ht="16.8" hidden="1">
      <c r="A380" s="18"/>
      <c r="B380" s="18"/>
      <c r="C380" s="18"/>
      <c r="D380" s="18"/>
      <c r="E380" s="18"/>
      <c r="F380" s="18"/>
      <c r="G380" s="19"/>
      <c r="H380" s="19"/>
      <c r="I380" s="19"/>
      <c r="J380" s="19"/>
    </row>
    <row r="381" spans="1:15" ht="18.600000000000001" hidden="1">
      <c r="A381" s="224" t="s">
        <v>0</v>
      </c>
      <c r="B381" s="224"/>
      <c r="C381" s="224"/>
      <c r="D381" s="224"/>
      <c r="E381" s="224"/>
      <c r="F381" s="224"/>
      <c r="G381" s="224"/>
      <c r="H381" s="224"/>
      <c r="I381" s="224"/>
      <c r="J381" s="224"/>
      <c r="K381" s="224"/>
      <c r="L381" s="224"/>
      <c r="M381" s="224"/>
      <c r="N381" s="224"/>
      <c r="O381" s="224"/>
    </row>
    <row r="382" spans="1:15" ht="18.600000000000001" hidden="1">
      <c r="A382" s="224" t="s">
        <v>1</v>
      </c>
      <c r="B382" s="224"/>
      <c r="C382" s="224"/>
      <c r="D382" s="224"/>
      <c r="E382" s="224"/>
      <c r="F382" s="224"/>
      <c r="G382" s="224"/>
      <c r="H382" s="224"/>
      <c r="I382" s="224"/>
      <c r="J382" s="224"/>
      <c r="K382" s="224"/>
      <c r="L382" s="224"/>
      <c r="M382" s="224"/>
      <c r="N382" s="224"/>
      <c r="O382" s="224"/>
    </row>
    <row r="383" spans="1:15"/>
    <row r="384" spans="1:15" hidden="1">
      <c r="A384" s="258" t="s">
        <v>173</v>
      </c>
      <c r="B384" s="258"/>
      <c r="C384" s="258"/>
      <c r="D384" s="258"/>
      <c r="E384" s="258"/>
      <c r="F384" s="258"/>
      <c r="G384" s="258"/>
      <c r="H384" s="258"/>
      <c r="I384" s="258"/>
      <c r="J384" s="258"/>
      <c r="K384" s="258"/>
      <c r="L384" s="258"/>
      <c r="M384" s="258"/>
      <c r="N384" s="258"/>
    </row>
    <row r="385" spans="1:15" hidden="1">
      <c r="A385" s="3" t="s">
        <v>3</v>
      </c>
      <c r="B385" s="4">
        <f>B347</f>
        <v>2439</v>
      </c>
      <c r="C385" s="4"/>
      <c r="D385" s="4"/>
      <c r="E385" s="3" t="s">
        <v>4</v>
      </c>
      <c r="F385" s="216" t="str">
        <f>F347</f>
        <v>Mahajan Ganesh Trambak</v>
      </c>
      <c r="G385" s="278"/>
      <c r="H385" s="278"/>
      <c r="I385" s="278"/>
      <c r="J385" s="278"/>
      <c r="K385" s="278"/>
      <c r="L385" s="278"/>
      <c r="M385" s="278"/>
      <c r="N385" s="217"/>
    </row>
    <row r="386" spans="1:15" hidden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6"/>
      <c r="L386" s="6"/>
      <c r="M386" s="6"/>
      <c r="N386" s="5"/>
    </row>
    <row r="387" spans="1:15" ht="20.399999999999999" hidden="1">
      <c r="A387" s="3" t="s">
        <v>6</v>
      </c>
      <c r="B387" s="4">
        <f>B349</f>
        <v>2439</v>
      </c>
      <c r="C387" s="4"/>
      <c r="D387" s="4"/>
      <c r="E387" s="3" t="s">
        <v>7</v>
      </c>
      <c r="F387" s="268"/>
      <c r="G387" s="269"/>
      <c r="H387" s="3" t="s">
        <v>8</v>
      </c>
      <c r="I387" s="27"/>
      <c r="J387" s="27"/>
      <c r="K387" s="279" t="str">
        <f>K349</f>
        <v>Asst. Jr. Engineer</v>
      </c>
      <c r="L387" s="280"/>
      <c r="M387" s="280"/>
      <c r="N387" s="281"/>
    </row>
    <row r="388" spans="1:15" hidden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6"/>
      <c r="L388" s="6"/>
      <c r="M388" s="6"/>
      <c r="N388" s="5"/>
    </row>
    <row r="389" spans="1:15" hidden="1">
      <c r="A389" s="3" t="s">
        <v>10</v>
      </c>
      <c r="B389" s="7">
        <v>8.6999999999999994E-2</v>
      </c>
      <c r="C389" s="7"/>
      <c r="D389" s="7"/>
      <c r="E389" s="3" t="s">
        <v>11</v>
      </c>
      <c r="F389" s="7">
        <v>0</v>
      </c>
      <c r="G389" s="216" t="s">
        <v>12</v>
      </c>
      <c r="H389" s="217"/>
      <c r="I389" s="29"/>
      <c r="J389" s="29"/>
      <c r="K389" s="266">
        <f>N374</f>
        <v>0</v>
      </c>
      <c r="L389" s="267"/>
      <c r="M389" s="267"/>
      <c r="N389" s="271"/>
    </row>
    <row r="390" spans="1:15" hidden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6"/>
      <c r="L390" s="6"/>
      <c r="M390" s="6"/>
      <c r="N390" s="5"/>
    </row>
    <row r="391" spans="1:15" ht="30.6" hidden="1">
      <c r="A391" s="9" t="s">
        <v>13</v>
      </c>
      <c r="B391" s="9" t="s">
        <v>14</v>
      </c>
      <c r="C391" s="9"/>
      <c r="D391" s="9"/>
      <c r="E391" s="9" t="s">
        <v>349</v>
      </c>
      <c r="F391" s="9" t="s">
        <v>15</v>
      </c>
      <c r="G391" s="9" t="s">
        <v>16</v>
      </c>
      <c r="H391" s="9" t="s">
        <v>17</v>
      </c>
      <c r="I391" s="9"/>
      <c r="J391" s="9"/>
      <c r="K391" s="10" t="s">
        <v>18</v>
      </c>
      <c r="L391" s="10"/>
      <c r="M391" s="10"/>
      <c r="N391" s="10" t="s">
        <v>19</v>
      </c>
      <c r="O391" s="11" t="s">
        <v>20</v>
      </c>
    </row>
    <row r="392" spans="1:15" hidden="1">
      <c r="A392" s="3" t="s">
        <v>174</v>
      </c>
      <c r="B392" s="13">
        <v>0</v>
      </c>
      <c r="C392" s="13"/>
      <c r="D392" s="13"/>
      <c r="E392" s="13">
        <f>B392</f>
        <v>0</v>
      </c>
      <c r="F392" s="13">
        <v>0</v>
      </c>
      <c r="G392" s="13">
        <f t="shared" ref="G392:G403" si="137">(E392+B392)+F392</f>
        <v>0</v>
      </c>
      <c r="H392" s="13">
        <v>0</v>
      </c>
      <c r="I392" s="13"/>
      <c r="J392" s="13"/>
      <c r="K392" s="13">
        <f>(K389+G392)-H392</f>
        <v>0</v>
      </c>
      <c r="L392" s="14"/>
      <c r="M392" s="14"/>
      <c r="N392" s="14">
        <f>ROUND((K392*8.7/100)/12,0)</f>
        <v>0</v>
      </c>
      <c r="O392" s="272" t="s">
        <v>160</v>
      </c>
    </row>
    <row r="393" spans="1:15" hidden="1">
      <c r="A393" s="3" t="s">
        <v>175</v>
      </c>
      <c r="B393" s="13">
        <v>0</v>
      </c>
      <c r="C393" s="13"/>
      <c r="D393" s="13"/>
      <c r="E393" s="13">
        <f t="shared" ref="E393:E403" si="138">B393</f>
        <v>0</v>
      </c>
      <c r="F393" s="13">
        <v>0</v>
      </c>
      <c r="G393" s="13">
        <f t="shared" si="137"/>
        <v>0</v>
      </c>
      <c r="H393" s="13">
        <v>0</v>
      </c>
      <c r="I393" s="48"/>
      <c r="J393" s="48"/>
      <c r="K393" s="20">
        <f t="shared" ref="K393:K403" si="139">(K392+G393)-H393</f>
        <v>0</v>
      </c>
      <c r="L393" s="52"/>
      <c r="M393" s="52"/>
      <c r="N393" s="14">
        <f t="shared" ref="N393:N402" si="140">ROUND((K393*8.7/100)/12,0)</f>
        <v>0</v>
      </c>
      <c r="O393" s="273"/>
    </row>
    <row r="394" spans="1:15" hidden="1">
      <c r="A394" s="3" t="s">
        <v>176</v>
      </c>
      <c r="B394" s="13">
        <v>0</v>
      </c>
      <c r="C394" s="13"/>
      <c r="D394" s="13"/>
      <c r="E394" s="13">
        <f t="shared" si="138"/>
        <v>0</v>
      </c>
      <c r="F394" s="13">
        <v>0</v>
      </c>
      <c r="G394" s="13">
        <f t="shared" si="137"/>
        <v>0</v>
      </c>
      <c r="H394" s="13">
        <v>0</v>
      </c>
      <c r="I394" s="48"/>
      <c r="J394" s="48"/>
      <c r="K394" s="20">
        <f t="shared" si="139"/>
        <v>0</v>
      </c>
      <c r="L394" s="52"/>
      <c r="M394" s="52"/>
      <c r="N394" s="14">
        <f t="shared" si="140"/>
        <v>0</v>
      </c>
      <c r="O394" s="273"/>
    </row>
    <row r="395" spans="1:15" hidden="1">
      <c r="A395" s="3" t="s">
        <v>177</v>
      </c>
      <c r="B395" s="13">
        <v>0</v>
      </c>
      <c r="C395" s="13"/>
      <c r="D395" s="13"/>
      <c r="E395" s="13">
        <f t="shared" si="138"/>
        <v>0</v>
      </c>
      <c r="F395" s="13">
        <v>0</v>
      </c>
      <c r="G395" s="13">
        <f t="shared" si="137"/>
        <v>0</v>
      </c>
      <c r="H395" s="13">
        <v>0</v>
      </c>
      <c r="I395" s="48"/>
      <c r="J395" s="48"/>
      <c r="K395" s="20">
        <f t="shared" si="139"/>
        <v>0</v>
      </c>
      <c r="L395" s="52"/>
      <c r="M395" s="52"/>
      <c r="N395" s="14">
        <f t="shared" si="140"/>
        <v>0</v>
      </c>
      <c r="O395" s="273"/>
    </row>
    <row r="396" spans="1:15" hidden="1">
      <c r="A396" s="3" t="s">
        <v>178</v>
      </c>
      <c r="B396" s="13">
        <v>0</v>
      </c>
      <c r="C396" s="13"/>
      <c r="D396" s="13"/>
      <c r="E396" s="13">
        <f t="shared" si="138"/>
        <v>0</v>
      </c>
      <c r="F396" s="13">
        <v>0</v>
      </c>
      <c r="G396" s="13">
        <f t="shared" si="137"/>
        <v>0</v>
      </c>
      <c r="H396" s="13">
        <v>0</v>
      </c>
      <c r="I396" s="48"/>
      <c r="J396" s="48"/>
      <c r="K396" s="20">
        <f t="shared" si="139"/>
        <v>0</v>
      </c>
      <c r="L396" s="52"/>
      <c r="M396" s="52"/>
      <c r="N396" s="14">
        <f t="shared" si="140"/>
        <v>0</v>
      </c>
      <c r="O396" s="273"/>
    </row>
    <row r="397" spans="1:15" hidden="1">
      <c r="A397" s="3" t="s">
        <v>179</v>
      </c>
      <c r="B397" s="13">
        <v>0</v>
      </c>
      <c r="C397" s="13"/>
      <c r="D397" s="13"/>
      <c r="E397" s="13">
        <f t="shared" si="138"/>
        <v>0</v>
      </c>
      <c r="F397" s="13">
        <v>0</v>
      </c>
      <c r="G397" s="13">
        <f t="shared" si="137"/>
        <v>0</v>
      </c>
      <c r="H397" s="13">
        <v>0</v>
      </c>
      <c r="I397" s="48"/>
      <c r="J397" s="48"/>
      <c r="K397" s="20">
        <f t="shared" si="139"/>
        <v>0</v>
      </c>
      <c r="L397" s="52"/>
      <c r="M397" s="52"/>
      <c r="N397" s="14">
        <f t="shared" si="140"/>
        <v>0</v>
      </c>
      <c r="O397" s="273"/>
    </row>
    <row r="398" spans="1:15" hidden="1">
      <c r="A398" s="3" t="s">
        <v>180</v>
      </c>
      <c r="B398" s="13">
        <v>0</v>
      </c>
      <c r="C398" s="13"/>
      <c r="D398" s="13"/>
      <c r="E398" s="13">
        <f t="shared" si="138"/>
        <v>0</v>
      </c>
      <c r="F398" s="13">
        <v>0</v>
      </c>
      <c r="G398" s="13">
        <f t="shared" si="137"/>
        <v>0</v>
      </c>
      <c r="H398" s="13">
        <v>0</v>
      </c>
      <c r="I398" s="48"/>
      <c r="J398" s="48"/>
      <c r="K398" s="20">
        <f t="shared" si="139"/>
        <v>0</v>
      </c>
      <c r="L398" s="52"/>
      <c r="M398" s="52"/>
      <c r="N398" s="14">
        <f t="shared" si="140"/>
        <v>0</v>
      </c>
      <c r="O398" s="273"/>
    </row>
    <row r="399" spans="1:15" hidden="1">
      <c r="A399" s="3" t="s">
        <v>181</v>
      </c>
      <c r="B399" s="13">
        <v>0</v>
      </c>
      <c r="C399" s="13"/>
      <c r="D399" s="13"/>
      <c r="E399" s="13">
        <f t="shared" si="138"/>
        <v>0</v>
      </c>
      <c r="F399" s="13">
        <v>0</v>
      </c>
      <c r="G399" s="13">
        <f t="shared" si="137"/>
        <v>0</v>
      </c>
      <c r="H399" s="13">
        <v>0</v>
      </c>
      <c r="I399" s="48"/>
      <c r="J399" s="48"/>
      <c r="K399" s="20">
        <f t="shared" si="139"/>
        <v>0</v>
      </c>
      <c r="L399" s="52"/>
      <c r="M399" s="52"/>
      <c r="N399" s="14">
        <f t="shared" si="140"/>
        <v>0</v>
      </c>
      <c r="O399" s="273"/>
    </row>
    <row r="400" spans="1:15" hidden="1">
      <c r="A400" s="3" t="s">
        <v>182</v>
      </c>
      <c r="B400" s="13">
        <v>0</v>
      </c>
      <c r="C400" s="13"/>
      <c r="D400" s="13"/>
      <c r="E400" s="13">
        <f t="shared" si="138"/>
        <v>0</v>
      </c>
      <c r="F400" s="13">
        <v>0</v>
      </c>
      <c r="G400" s="13">
        <f t="shared" si="137"/>
        <v>0</v>
      </c>
      <c r="H400" s="13">
        <v>0</v>
      </c>
      <c r="I400" s="48"/>
      <c r="J400" s="48"/>
      <c r="K400" s="20">
        <f t="shared" si="139"/>
        <v>0</v>
      </c>
      <c r="L400" s="52"/>
      <c r="M400" s="52"/>
      <c r="N400" s="14">
        <f t="shared" si="140"/>
        <v>0</v>
      </c>
      <c r="O400" s="273"/>
    </row>
    <row r="401" spans="1:15" hidden="1">
      <c r="A401" s="3" t="s">
        <v>183</v>
      </c>
      <c r="B401" s="13">
        <v>0</v>
      </c>
      <c r="C401" s="13"/>
      <c r="D401" s="13"/>
      <c r="E401" s="13">
        <f t="shared" si="138"/>
        <v>0</v>
      </c>
      <c r="F401" s="13">
        <v>0</v>
      </c>
      <c r="G401" s="13">
        <f t="shared" si="137"/>
        <v>0</v>
      </c>
      <c r="H401" s="13">
        <v>0</v>
      </c>
      <c r="I401" s="48"/>
      <c r="J401" s="48"/>
      <c r="K401" s="20">
        <f t="shared" si="139"/>
        <v>0</v>
      </c>
      <c r="L401" s="52"/>
      <c r="M401" s="52"/>
      <c r="N401" s="14">
        <f t="shared" si="140"/>
        <v>0</v>
      </c>
      <c r="O401" s="273"/>
    </row>
    <row r="402" spans="1:15" hidden="1">
      <c r="A402" s="3" t="s">
        <v>184</v>
      </c>
      <c r="B402" s="13">
        <v>0</v>
      </c>
      <c r="C402" s="13"/>
      <c r="D402" s="13"/>
      <c r="E402" s="13">
        <f t="shared" si="138"/>
        <v>0</v>
      </c>
      <c r="F402" s="13">
        <v>0</v>
      </c>
      <c r="G402" s="13">
        <f t="shared" si="137"/>
        <v>0</v>
      </c>
      <c r="H402" s="13">
        <v>0</v>
      </c>
      <c r="I402" s="48"/>
      <c r="J402" s="48"/>
      <c r="K402" s="20">
        <f t="shared" si="139"/>
        <v>0</v>
      </c>
      <c r="L402" s="52"/>
      <c r="M402" s="52"/>
      <c r="N402" s="14">
        <f t="shared" si="140"/>
        <v>0</v>
      </c>
      <c r="O402" s="273"/>
    </row>
    <row r="403" spans="1:15" hidden="1">
      <c r="A403" s="3" t="s">
        <v>185</v>
      </c>
      <c r="B403" s="13">
        <v>0</v>
      </c>
      <c r="C403" s="13"/>
      <c r="D403" s="13"/>
      <c r="E403" s="13">
        <f t="shared" si="138"/>
        <v>0</v>
      </c>
      <c r="F403" s="13">
        <v>0</v>
      </c>
      <c r="G403" s="13">
        <f t="shared" si="137"/>
        <v>0</v>
      </c>
      <c r="H403" s="13">
        <v>0</v>
      </c>
      <c r="I403" s="48"/>
      <c r="J403" s="48"/>
      <c r="K403" s="20">
        <f t="shared" si="139"/>
        <v>0</v>
      </c>
      <c r="L403" s="52"/>
      <c r="M403" s="52"/>
      <c r="N403" s="14">
        <f>ROUND((K403*8.7/100)/12,0)</f>
        <v>0</v>
      </c>
      <c r="O403" s="274"/>
    </row>
    <row r="404" spans="1:15" hidden="1">
      <c r="A404" s="3" t="s">
        <v>186</v>
      </c>
      <c r="B404" s="15">
        <f t="shared" ref="B404:N404" si="141">SUM(B392:B403)</f>
        <v>0</v>
      </c>
      <c r="C404" s="15"/>
      <c r="D404" s="15"/>
      <c r="E404" s="15">
        <f t="shared" si="141"/>
        <v>0</v>
      </c>
      <c r="F404" s="15">
        <f t="shared" si="141"/>
        <v>0</v>
      </c>
      <c r="G404" s="15">
        <f t="shared" si="141"/>
        <v>0</v>
      </c>
      <c r="H404" s="15">
        <f t="shared" si="141"/>
        <v>0</v>
      </c>
      <c r="I404" s="15"/>
      <c r="J404" s="15"/>
      <c r="K404" s="15">
        <f>SUM(K392:K403)</f>
        <v>0</v>
      </c>
      <c r="L404" s="15"/>
      <c r="M404" s="15"/>
      <c r="N404" s="15">
        <f t="shared" si="141"/>
        <v>0</v>
      </c>
    </row>
    <row r="405" spans="1:15" hidden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6"/>
      <c r="L405" s="6"/>
      <c r="M405" s="6"/>
      <c r="N405" s="5"/>
    </row>
    <row r="406" spans="1:15" ht="15" hidden="1" thickBot="1">
      <c r="A406" s="5"/>
      <c r="B406" s="6"/>
      <c r="C406" s="6"/>
      <c r="D406" s="6"/>
      <c r="E406" s="5"/>
      <c r="F406" s="5"/>
      <c r="G406" s="275" t="s">
        <v>47</v>
      </c>
      <c r="H406" s="276"/>
      <c r="I406" s="276"/>
      <c r="J406" s="276"/>
      <c r="K406" s="277"/>
      <c r="L406" s="28"/>
      <c r="M406" s="28"/>
      <c r="N406" s="16">
        <f>K389</f>
        <v>0</v>
      </c>
    </row>
    <row r="407" spans="1:15" ht="15" hidden="1" thickBot="1">
      <c r="A407" s="5"/>
      <c r="B407" s="5"/>
      <c r="C407" s="5"/>
      <c r="D407" s="5"/>
      <c r="E407" s="5"/>
      <c r="F407" s="5"/>
      <c r="G407" s="275" t="s">
        <v>48</v>
      </c>
      <c r="H407" s="276"/>
      <c r="I407" s="276"/>
      <c r="J407" s="276"/>
      <c r="K407" s="277"/>
      <c r="L407" s="28"/>
      <c r="M407" s="28"/>
      <c r="N407" s="16">
        <f>B404+F404</f>
        <v>0</v>
      </c>
    </row>
    <row r="408" spans="1:15" ht="15" hidden="1" thickBot="1">
      <c r="A408" s="5"/>
      <c r="B408" s="5"/>
      <c r="C408" s="5"/>
      <c r="D408" s="5"/>
      <c r="E408" s="5"/>
      <c r="F408" s="5"/>
      <c r="G408" s="275" t="s">
        <v>349</v>
      </c>
      <c r="H408" s="276"/>
      <c r="I408" s="276"/>
      <c r="J408" s="276"/>
      <c r="K408" s="277"/>
      <c r="L408" s="28"/>
      <c r="M408" s="28"/>
      <c r="N408" s="16">
        <f>E404</f>
        <v>0</v>
      </c>
    </row>
    <row r="409" spans="1:15" ht="15" hidden="1" thickBot="1">
      <c r="A409" s="5"/>
      <c r="B409" s="5"/>
      <c r="C409" s="5"/>
      <c r="D409" s="5"/>
      <c r="E409" s="5"/>
      <c r="F409" s="5"/>
      <c r="G409" s="275" t="s">
        <v>49</v>
      </c>
      <c r="H409" s="276"/>
      <c r="I409" s="276"/>
      <c r="J409" s="276"/>
      <c r="K409" s="277"/>
      <c r="L409" s="28"/>
      <c r="M409" s="28"/>
      <c r="N409" s="16">
        <f>SUM(N406:N408)</f>
        <v>0</v>
      </c>
    </row>
    <row r="410" spans="1:15" ht="15" hidden="1" thickBot="1">
      <c r="A410" s="5"/>
      <c r="B410" s="5"/>
      <c r="C410" s="5"/>
      <c r="D410" s="5"/>
      <c r="E410" s="5"/>
      <c r="F410" s="5"/>
      <c r="G410" s="275" t="s">
        <v>50</v>
      </c>
      <c r="H410" s="276"/>
      <c r="I410" s="276"/>
      <c r="J410" s="276"/>
      <c r="K410" s="277"/>
      <c r="L410" s="28"/>
      <c r="M410" s="28"/>
      <c r="N410" s="16">
        <f>H404</f>
        <v>0</v>
      </c>
    </row>
    <row r="411" spans="1:15" ht="15" hidden="1" thickBot="1">
      <c r="A411" s="5"/>
      <c r="B411" s="5"/>
      <c r="C411" s="5"/>
      <c r="D411" s="5"/>
      <c r="E411" s="5"/>
      <c r="F411" s="5"/>
      <c r="G411" s="275" t="s">
        <v>51</v>
      </c>
      <c r="H411" s="276"/>
      <c r="I411" s="276"/>
      <c r="J411" s="276"/>
      <c r="K411" s="277"/>
      <c r="L411" s="28"/>
      <c r="M411" s="28"/>
      <c r="N411" s="16">
        <f>N404</f>
        <v>0</v>
      </c>
    </row>
    <row r="412" spans="1:15" ht="15" hidden="1" thickBot="1">
      <c r="A412" s="5"/>
      <c r="B412" s="5"/>
      <c r="C412" s="5"/>
      <c r="D412" s="5"/>
      <c r="E412" s="5"/>
      <c r="F412" s="5"/>
      <c r="G412" s="275" t="s">
        <v>52</v>
      </c>
      <c r="H412" s="276"/>
      <c r="I412" s="276"/>
      <c r="J412" s="276"/>
      <c r="K412" s="277"/>
      <c r="L412" s="28"/>
      <c r="M412" s="28"/>
      <c r="N412" s="16">
        <f>(N409-N410)+N411</f>
        <v>0</v>
      </c>
    </row>
    <row r="413" spans="1:15" hidden="1">
      <c r="A413" s="5"/>
      <c r="B413" s="5"/>
      <c r="C413" s="5"/>
      <c r="D413" s="5"/>
      <c r="E413" s="5"/>
      <c r="F413" s="5"/>
      <c r="G413" s="17"/>
      <c r="H413" s="17"/>
      <c r="I413" s="17"/>
      <c r="J413" s="17"/>
      <c r="K413" s="17"/>
      <c r="L413" s="17"/>
      <c r="M413" s="17"/>
      <c r="N413" s="6"/>
    </row>
    <row r="414" spans="1:15"/>
    <row r="415" spans="1:15"/>
    <row r="416" spans="1:15" ht="16.8" hidden="1">
      <c r="A416" s="249" t="s">
        <v>53</v>
      </c>
      <c r="B416" s="249"/>
      <c r="C416" s="18"/>
      <c r="D416" s="18"/>
      <c r="E416" s="249" t="s">
        <v>54</v>
      </c>
      <c r="F416" s="249"/>
      <c r="G416" s="249"/>
      <c r="H416" s="250" t="s">
        <v>55</v>
      </c>
      <c r="I416" s="250"/>
      <c r="J416" s="250"/>
      <c r="K416" s="250"/>
      <c r="L416" s="250"/>
      <c r="M416" s="250"/>
      <c r="N416" s="250"/>
    </row>
    <row r="417" spans="1:15" ht="16.8" hidden="1">
      <c r="A417" s="18"/>
      <c r="B417" s="18"/>
      <c r="C417" s="18"/>
      <c r="D417" s="18"/>
      <c r="E417" s="18"/>
      <c r="F417" s="18"/>
      <c r="G417" s="19"/>
      <c r="H417" s="19"/>
      <c r="I417" s="19"/>
      <c r="J417" s="19"/>
    </row>
    <row r="418" spans="1:15" ht="16.8" hidden="1">
      <c r="A418" s="18"/>
      <c r="B418" s="18"/>
      <c r="C418" s="18"/>
      <c r="D418" s="18"/>
      <c r="E418" s="18"/>
      <c r="F418" s="18"/>
      <c r="G418" s="19"/>
      <c r="H418" s="19"/>
      <c r="I418" s="19"/>
      <c r="J418" s="19"/>
    </row>
    <row r="419" spans="1:15" ht="18.600000000000001" hidden="1">
      <c r="A419" s="224" t="s">
        <v>0</v>
      </c>
      <c r="B419" s="224"/>
      <c r="C419" s="224"/>
      <c r="D419" s="224"/>
      <c r="E419" s="224"/>
      <c r="F419" s="224"/>
      <c r="G419" s="224"/>
      <c r="H419" s="224"/>
      <c r="I419" s="224"/>
      <c r="J419" s="224"/>
      <c r="K419" s="224"/>
      <c r="L419" s="224"/>
      <c r="M419" s="224"/>
      <c r="N419" s="224"/>
      <c r="O419" s="224"/>
    </row>
    <row r="420" spans="1:15" ht="18.600000000000001" hidden="1">
      <c r="A420" s="224" t="s">
        <v>1</v>
      </c>
      <c r="B420" s="224"/>
      <c r="C420" s="224"/>
      <c r="D420" s="224"/>
      <c r="E420" s="224"/>
      <c r="F420" s="224"/>
      <c r="G420" s="224"/>
      <c r="H420" s="224"/>
      <c r="I420" s="224"/>
      <c r="J420" s="224"/>
      <c r="K420" s="224"/>
      <c r="L420" s="224"/>
      <c r="M420" s="224"/>
      <c r="N420" s="224"/>
      <c r="O420" s="224"/>
    </row>
    <row r="421" spans="1:15"/>
    <row r="422" spans="1:15" hidden="1">
      <c r="A422" s="225" t="s">
        <v>187</v>
      </c>
      <c r="B422" s="225"/>
      <c r="C422" s="225"/>
      <c r="D422" s="225"/>
      <c r="E422" s="225"/>
      <c r="F422" s="225"/>
      <c r="G422" s="225"/>
      <c r="H422" s="225"/>
      <c r="I422" s="225"/>
      <c r="J422" s="225"/>
      <c r="K422" s="225"/>
      <c r="L422" s="225"/>
      <c r="M422" s="225"/>
      <c r="N422" s="225"/>
    </row>
    <row r="423" spans="1:15" hidden="1">
      <c r="A423" s="3" t="s">
        <v>3</v>
      </c>
      <c r="B423" s="4">
        <f>B385</f>
        <v>2439</v>
      </c>
      <c r="C423" s="4"/>
      <c r="D423" s="4"/>
      <c r="E423" s="3" t="s">
        <v>4</v>
      </c>
      <c r="F423" s="215" t="str">
        <f>F385</f>
        <v>Mahajan Ganesh Trambak</v>
      </c>
      <c r="G423" s="215"/>
      <c r="H423" s="215"/>
      <c r="I423" s="215"/>
      <c r="J423" s="215"/>
      <c r="K423" s="215"/>
      <c r="L423" s="215"/>
      <c r="M423" s="215"/>
      <c r="N423" s="215"/>
    </row>
    <row r="424" spans="1:15" hidden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6"/>
      <c r="L424" s="6"/>
      <c r="M424" s="6"/>
      <c r="N424" s="5"/>
    </row>
    <row r="425" spans="1:15" ht="20.399999999999999" hidden="1">
      <c r="A425" s="3" t="s">
        <v>6</v>
      </c>
      <c r="B425" s="4">
        <f>B387</f>
        <v>2439</v>
      </c>
      <c r="C425" s="4"/>
      <c r="D425" s="4"/>
      <c r="E425" s="3" t="s">
        <v>7</v>
      </c>
      <c r="F425" s="268"/>
      <c r="G425" s="269"/>
      <c r="H425" s="3" t="s">
        <v>8</v>
      </c>
      <c r="I425" s="3"/>
      <c r="J425" s="3"/>
      <c r="K425" s="270" t="str">
        <f>K387</f>
        <v>Asst. Jr. Engineer</v>
      </c>
      <c r="L425" s="270"/>
      <c r="M425" s="270"/>
      <c r="N425" s="270"/>
    </row>
    <row r="426" spans="1:15" hidden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6"/>
      <c r="L426" s="6"/>
      <c r="M426" s="6"/>
      <c r="N426" s="5"/>
    </row>
    <row r="427" spans="1:15" hidden="1">
      <c r="A427" s="3" t="s">
        <v>10</v>
      </c>
      <c r="B427" s="7">
        <v>8.6999999999999994E-2</v>
      </c>
      <c r="C427" s="7"/>
      <c r="D427" s="7"/>
      <c r="E427" s="3" t="s">
        <v>11</v>
      </c>
      <c r="F427" s="7">
        <v>0</v>
      </c>
      <c r="G427" s="216" t="s">
        <v>12</v>
      </c>
      <c r="H427" s="217"/>
      <c r="I427" s="29"/>
      <c r="J427" s="29"/>
      <c r="K427" s="266">
        <f>N412</f>
        <v>0</v>
      </c>
      <c r="L427" s="267"/>
      <c r="M427" s="267"/>
      <c r="N427" s="271"/>
    </row>
    <row r="428" spans="1:15" hidden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6"/>
      <c r="L428" s="6"/>
      <c r="M428" s="6"/>
      <c r="N428" s="5"/>
    </row>
    <row r="429" spans="1:15" ht="30.6" hidden="1">
      <c r="A429" s="9" t="s">
        <v>13</v>
      </c>
      <c r="B429" s="9" t="s">
        <v>14</v>
      </c>
      <c r="C429" s="9"/>
      <c r="D429" s="9"/>
      <c r="E429" s="9" t="s">
        <v>349</v>
      </c>
      <c r="F429" s="9" t="s">
        <v>15</v>
      </c>
      <c r="G429" s="9" t="s">
        <v>16</v>
      </c>
      <c r="H429" s="9" t="s">
        <v>17</v>
      </c>
      <c r="I429" s="9"/>
      <c r="J429" s="9"/>
      <c r="K429" s="10" t="s">
        <v>18</v>
      </c>
      <c r="L429" s="10"/>
      <c r="M429" s="10"/>
      <c r="N429" s="10" t="s">
        <v>19</v>
      </c>
      <c r="O429" s="11" t="s">
        <v>20</v>
      </c>
    </row>
    <row r="430" spans="1:15" hidden="1">
      <c r="A430" s="3" t="s">
        <v>188</v>
      </c>
      <c r="B430" s="13">
        <v>300</v>
      </c>
      <c r="C430" s="13"/>
      <c r="D430" s="13"/>
      <c r="E430" s="13">
        <f>B430</f>
        <v>300</v>
      </c>
      <c r="F430" s="13">
        <v>0</v>
      </c>
      <c r="G430" s="13">
        <f t="shared" ref="G430:G441" si="142">(E430+B430)+F430</f>
        <v>600</v>
      </c>
      <c r="H430" s="13">
        <v>0</v>
      </c>
      <c r="I430" s="13"/>
      <c r="J430" s="13"/>
      <c r="K430" s="13">
        <f>(K427+G430)-H430</f>
        <v>600</v>
      </c>
      <c r="L430" s="14"/>
      <c r="M430" s="14"/>
      <c r="N430" s="14">
        <f>ROUND((K430*8.7/100)/12,0)</f>
        <v>4</v>
      </c>
      <c r="O430" s="272" t="s">
        <v>160</v>
      </c>
    </row>
    <row r="431" spans="1:15" hidden="1">
      <c r="A431" s="3" t="s">
        <v>189</v>
      </c>
      <c r="B431" s="13">
        <v>300</v>
      </c>
      <c r="C431" s="13"/>
      <c r="D431" s="13"/>
      <c r="E431" s="13">
        <f t="shared" ref="E431:E441" si="143">B431</f>
        <v>300</v>
      </c>
      <c r="F431" s="13">
        <v>0</v>
      </c>
      <c r="G431" s="13">
        <f t="shared" si="142"/>
        <v>600</v>
      </c>
      <c r="H431" s="13">
        <v>0</v>
      </c>
      <c r="I431" s="48"/>
      <c r="J431" s="48"/>
      <c r="K431" s="20">
        <f t="shared" ref="K431:K441" si="144">(K430+G431)-H431</f>
        <v>1200</v>
      </c>
      <c r="L431" s="52"/>
      <c r="M431" s="52"/>
      <c r="N431" s="14">
        <f t="shared" ref="N431:N441" si="145">ROUND((K431*8.7/100)/12,0)</f>
        <v>9</v>
      </c>
      <c r="O431" s="273"/>
    </row>
    <row r="432" spans="1:15" hidden="1">
      <c r="A432" s="3" t="s">
        <v>190</v>
      </c>
      <c r="B432" s="13">
        <v>300</v>
      </c>
      <c r="C432" s="13"/>
      <c r="D432" s="13"/>
      <c r="E432" s="13">
        <f t="shared" si="143"/>
        <v>300</v>
      </c>
      <c r="F432" s="13">
        <v>0</v>
      </c>
      <c r="G432" s="13">
        <f t="shared" si="142"/>
        <v>600</v>
      </c>
      <c r="H432" s="13">
        <v>0</v>
      </c>
      <c r="I432" s="48"/>
      <c r="J432" s="48"/>
      <c r="K432" s="20">
        <f t="shared" si="144"/>
        <v>1800</v>
      </c>
      <c r="L432" s="52"/>
      <c r="M432" s="52"/>
      <c r="N432" s="14">
        <f t="shared" si="145"/>
        <v>13</v>
      </c>
      <c r="O432" s="273"/>
    </row>
    <row r="433" spans="1:15" hidden="1">
      <c r="A433" s="3" t="s">
        <v>191</v>
      </c>
      <c r="B433" s="13">
        <v>300</v>
      </c>
      <c r="C433" s="13"/>
      <c r="D433" s="13"/>
      <c r="E433" s="13">
        <f t="shared" si="143"/>
        <v>300</v>
      </c>
      <c r="F433" s="13">
        <v>0</v>
      </c>
      <c r="G433" s="13">
        <f t="shared" si="142"/>
        <v>600</v>
      </c>
      <c r="H433" s="13">
        <v>0</v>
      </c>
      <c r="I433" s="48"/>
      <c r="J433" s="48"/>
      <c r="K433" s="20">
        <f t="shared" si="144"/>
        <v>2400</v>
      </c>
      <c r="L433" s="52"/>
      <c r="M433" s="52"/>
      <c r="N433" s="14">
        <f t="shared" si="145"/>
        <v>17</v>
      </c>
      <c r="O433" s="273"/>
    </row>
    <row r="434" spans="1:15" hidden="1">
      <c r="A434" s="3" t="s">
        <v>192</v>
      </c>
      <c r="B434" s="13">
        <v>300</v>
      </c>
      <c r="C434" s="13"/>
      <c r="D434" s="13"/>
      <c r="E434" s="13">
        <f t="shared" si="143"/>
        <v>300</v>
      </c>
      <c r="F434" s="13">
        <v>0</v>
      </c>
      <c r="G434" s="13">
        <f t="shared" si="142"/>
        <v>600</v>
      </c>
      <c r="H434" s="13">
        <v>0</v>
      </c>
      <c r="I434" s="48"/>
      <c r="J434" s="48"/>
      <c r="K434" s="20">
        <f t="shared" si="144"/>
        <v>3000</v>
      </c>
      <c r="L434" s="52"/>
      <c r="M434" s="52"/>
      <c r="N434" s="14">
        <f t="shared" si="145"/>
        <v>22</v>
      </c>
      <c r="O434" s="273"/>
    </row>
    <row r="435" spans="1:15" hidden="1">
      <c r="A435" s="3" t="s">
        <v>193</v>
      </c>
      <c r="B435" s="13">
        <v>300</v>
      </c>
      <c r="C435" s="13"/>
      <c r="D435" s="13"/>
      <c r="E435" s="13">
        <f t="shared" si="143"/>
        <v>300</v>
      </c>
      <c r="F435" s="13">
        <v>0</v>
      </c>
      <c r="G435" s="13">
        <f t="shared" si="142"/>
        <v>600</v>
      </c>
      <c r="H435" s="13">
        <v>0</v>
      </c>
      <c r="I435" s="48"/>
      <c r="J435" s="48"/>
      <c r="K435" s="20">
        <f t="shared" si="144"/>
        <v>3600</v>
      </c>
      <c r="L435" s="52"/>
      <c r="M435" s="52"/>
      <c r="N435" s="14">
        <f t="shared" si="145"/>
        <v>26</v>
      </c>
      <c r="O435" s="273"/>
    </row>
    <row r="436" spans="1:15" hidden="1">
      <c r="A436" s="3" t="s">
        <v>194</v>
      </c>
      <c r="B436" s="13">
        <v>300</v>
      </c>
      <c r="C436" s="13"/>
      <c r="D436" s="13"/>
      <c r="E436" s="13">
        <f t="shared" si="143"/>
        <v>300</v>
      </c>
      <c r="F436" s="13">
        <v>0</v>
      </c>
      <c r="G436" s="13">
        <f t="shared" si="142"/>
        <v>600</v>
      </c>
      <c r="H436" s="13">
        <v>0</v>
      </c>
      <c r="I436" s="48"/>
      <c r="J436" s="48"/>
      <c r="K436" s="20">
        <f t="shared" si="144"/>
        <v>4200</v>
      </c>
      <c r="L436" s="52"/>
      <c r="M436" s="52"/>
      <c r="N436" s="14">
        <f t="shared" si="145"/>
        <v>30</v>
      </c>
      <c r="O436" s="273"/>
    </row>
    <row r="437" spans="1:15" hidden="1">
      <c r="A437" s="3" t="s">
        <v>195</v>
      </c>
      <c r="B437" s="13">
        <v>300</v>
      </c>
      <c r="C437" s="13"/>
      <c r="D437" s="13"/>
      <c r="E437" s="13">
        <f t="shared" si="143"/>
        <v>300</v>
      </c>
      <c r="F437" s="13">
        <v>0</v>
      </c>
      <c r="G437" s="13">
        <f t="shared" si="142"/>
        <v>600</v>
      </c>
      <c r="H437" s="13">
        <v>0</v>
      </c>
      <c r="I437" s="48"/>
      <c r="J437" s="48"/>
      <c r="K437" s="20">
        <f t="shared" si="144"/>
        <v>4800</v>
      </c>
      <c r="L437" s="52"/>
      <c r="M437" s="52"/>
      <c r="N437" s="14">
        <f t="shared" si="145"/>
        <v>35</v>
      </c>
      <c r="O437" s="273"/>
    </row>
    <row r="438" spans="1:15" hidden="1">
      <c r="A438" s="3" t="s">
        <v>196</v>
      </c>
      <c r="B438" s="13">
        <v>300</v>
      </c>
      <c r="C438" s="13"/>
      <c r="D438" s="13"/>
      <c r="E438" s="13">
        <f t="shared" si="143"/>
        <v>300</v>
      </c>
      <c r="F438" s="13">
        <v>0</v>
      </c>
      <c r="G438" s="13">
        <f t="shared" si="142"/>
        <v>600</v>
      </c>
      <c r="H438" s="13">
        <v>0</v>
      </c>
      <c r="I438" s="48"/>
      <c r="J438" s="48"/>
      <c r="K438" s="20">
        <f t="shared" si="144"/>
        <v>5400</v>
      </c>
      <c r="L438" s="52"/>
      <c r="M438" s="52"/>
      <c r="N438" s="14">
        <f t="shared" si="145"/>
        <v>39</v>
      </c>
      <c r="O438" s="273"/>
    </row>
    <row r="439" spans="1:15" hidden="1">
      <c r="A439" s="3" t="s">
        <v>197</v>
      </c>
      <c r="B439" s="13">
        <v>300</v>
      </c>
      <c r="C439" s="13"/>
      <c r="D439" s="13"/>
      <c r="E439" s="13">
        <f t="shared" si="143"/>
        <v>300</v>
      </c>
      <c r="F439" s="13">
        <v>0</v>
      </c>
      <c r="G439" s="13">
        <f t="shared" si="142"/>
        <v>600</v>
      </c>
      <c r="H439" s="13">
        <v>0</v>
      </c>
      <c r="I439" s="48"/>
      <c r="J439" s="48"/>
      <c r="K439" s="20">
        <f t="shared" si="144"/>
        <v>6000</v>
      </c>
      <c r="L439" s="52"/>
      <c r="M439" s="52"/>
      <c r="N439" s="14">
        <f t="shared" si="145"/>
        <v>44</v>
      </c>
      <c r="O439" s="273"/>
    </row>
    <row r="440" spans="1:15" hidden="1">
      <c r="A440" s="3" t="s">
        <v>198</v>
      </c>
      <c r="B440" s="13">
        <v>300</v>
      </c>
      <c r="C440" s="13"/>
      <c r="D440" s="13"/>
      <c r="E440" s="13">
        <f t="shared" si="143"/>
        <v>300</v>
      </c>
      <c r="F440" s="13">
        <v>0</v>
      </c>
      <c r="G440" s="13">
        <f t="shared" si="142"/>
        <v>600</v>
      </c>
      <c r="H440" s="13">
        <v>0</v>
      </c>
      <c r="I440" s="48"/>
      <c r="J440" s="48"/>
      <c r="K440" s="20">
        <f t="shared" si="144"/>
        <v>6600</v>
      </c>
      <c r="L440" s="52"/>
      <c r="M440" s="52"/>
      <c r="N440" s="14">
        <f t="shared" si="145"/>
        <v>48</v>
      </c>
      <c r="O440" s="273"/>
    </row>
    <row r="441" spans="1:15" hidden="1">
      <c r="A441" s="3" t="s">
        <v>199</v>
      </c>
      <c r="B441" s="13">
        <v>300</v>
      </c>
      <c r="C441" s="13"/>
      <c r="D441" s="13"/>
      <c r="E441" s="13">
        <f t="shared" si="143"/>
        <v>300</v>
      </c>
      <c r="F441" s="13">
        <v>0</v>
      </c>
      <c r="G441" s="13">
        <f t="shared" si="142"/>
        <v>600</v>
      </c>
      <c r="H441" s="13">
        <v>0</v>
      </c>
      <c r="I441" s="48"/>
      <c r="J441" s="48"/>
      <c r="K441" s="20">
        <f t="shared" si="144"/>
        <v>7200</v>
      </c>
      <c r="L441" s="52"/>
      <c r="M441" s="52"/>
      <c r="N441" s="14">
        <f t="shared" si="145"/>
        <v>52</v>
      </c>
      <c r="O441" s="274"/>
    </row>
    <row r="442" spans="1:15" hidden="1">
      <c r="A442" s="3" t="s">
        <v>200</v>
      </c>
      <c r="B442" s="15">
        <f t="shared" ref="B442:N442" si="146">SUM(B430:B441)</f>
        <v>3600</v>
      </c>
      <c r="C442" s="15"/>
      <c r="D442" s="15"/>
      <c r="E442" s="15">
        <f t="shared" si="146"/>
        <v>3600</v>
      </c>
      <c r="F442" s="15">
        <f t="shared" si="146"/>
        <v>0</v>
      </c>
      <c r="G442" s="15">
        <f t="shared" si="146"/>
        <v>7200</v>
      </c>
      <c r="H442" s="15">
        <f t="shared" si="146"/>
        <v>0</v>
      </c>
      <c r="I442" s="15"/>
      <c r="J442" s="15"/>
      <c r="K442" s="15">
        <f>SUM(K430:K441)</f>
        <v>46800</v>
      </c>
      <c r="L442" s="15"/>
      <c r="M442" s="15"/>
      <c r="N442" s="15">
        <f t="shared" si="146"/>
        <v>339</v>
      </c>
    </row>
    <row r="443" spans="1:15" hidden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6"/>
      <c r="L443" s="6"/>
      <c r="M443" s="6"/>
      <c r="N443" s="5"/>
    </row>
    <row r="444" spans="1:15" ht="15" hidden="1" thickBot="1">
      <c r="A444" s="5"/>
      <c r="B444" s="6"/>
      <c r="C444" s="6"/>
      <c r="D444" s="6"/>
      <c r="E444" s="5"/>
      <c r="F444" s="5"/>
      <c r="G444" s="211" t="s">
        <v>47</v>
      </c>
      <c r="H444" s="212"/>
      <c r="I444" s="212"/>
      <c r="J444" s="212"/>
      <c r="K444" s="213"/>
      <c r="L444" s="26"/>
      <c r="M444" s="26"/>
      <c r="N444" s="16">
        <f>K427</f>
        <v>0</v>
      </c>
    </row>
    <row r="445" spans="1:15" ht="15" hidden="1" thickBot="1">
      <c r="A445" s="5"/>
      <c r="B445" s="5"/>
      <c r="C445" s="5"/>
      <c r="D445" s="5"/>
      <c r="E445" s="5"/>
      <c r="F445" s="5"/>
      <c r="G445" s="211" t="s">
        <v>48</v>
      </c>
      <c r="H445" s="212"/>
      <c r="I445" s="212"/>
      <c r="J445" s="212"/>
      <c r="K445" s="213"/>
      <c r="L445" s="26"/>
      <c r="M445" s="26"/>
      <c r="N445" s="16">
        <f>B442+F442</f>
        <v>3600</v>
      </c>
    </row>
    <row r="446" spans="1:15" ht="15" hidden="1" thickBot="1">
      <c r="A446" s="5"/>
      <c r="B446" s="5"/>
      <c r="C446" s="5"/>
      <c r="D446" s="5"/>
      <c r="E446" s="5"/>
      <c r="F446" s="5"/>
      <c r="G446" s="211" t="s">
        <v>349</v>
      </c>
      <c r="H446" s="212"/>
      <c r="I446" s="212"/>
      <c r="J446" s="212"/>
      <c r="K446" s="213"/>
      <c r="L446" s="26"/>
      <c r="M446" s="26"/>
      <c r="N446" s="16">
        <f>E442</f>
        <v>3600</v>
      </c>
    </row>
    <row r="447" spans="1:15" ht="15" hidden="1" thickBot="1">
      <c r="A447" s="5"/>
      <c r="B447" s="5"/>
      <c r="C447" s="5"/>
      <c r="D447" s="5"/>
      <c r="E447" s="5"/>
      <c r="F447" s="5"/>
      <c r="G447" s="211" t="s">
        <v>49</v>
      </c>
      <c r="H447" s="212"/>
      <c r="I447" s="212"/>
      <c r="J447" s="212"/>
      <c r="K447" s="213"/>
      <c r="L447" s="26"/>
      <c r="M447" s="26"/>
      <c r="N447" s="16">
        <f>SUM(N444:N446)</f>
        <v>7200</v>
      </c>
    </row>
    <row r="448" spans="1:15" ht="15" hidden="1" thickBot="1">
      <c r="A448" s="5"/>
      <c r="B448" s="5"/>
      <c r="C448" s="5"/>
      <c r="D448" s="5"/>
      <c r="E448" s="5"/>
      <c r="F448" s="5"/>
      <c r="G448" s="211" t="s">
        <v>50</v>
      </c>
      <c r="H448" s="212"/>
      <c r="I448" s="212"/>
      <c r="J448" s="212"/>
      <c r="K448" s="213"/>
      <c r="L448" s="26"/>
      <c r="M448" s="26"/>
      <c r="N448" s="16">
        <f>H442</f>
        <v>0</v>
      </c>
    </row>
    <row r="449" spans="1:15" ht="15" hidden="1" thickBot="1">
      <c r="A449" s="5"/>
      <c r="B449" s="5"/>
      <c r="C449" s="5"/>
      <c r="D449" s="5"/>
      <c r="E449" s="5"/>
      <c r="F449" s="5"/>
      <c r="G449" s="211" t="s">
        <v>51</v>
      </c>
      <c r="H449" s="212"/>
      <c r="I449" s="212"/>
      <c r="J449" s="212"/>
      <c r="K449" s="213"/>
      <c r="L449" s="26"/>
      <c r="M449" s="26"/>
      <c r="N449" s="16">
        <f>N442</f>
        <v>339</v>
      </c>
    </row>
    <row r="450" spans="1:15" ht="15" hidden="1" thickBot="1">
      <c r="A450" s="5"/>
      <c r="B450" s="5"/>
      <c r="C450" s="5"/>
      <c r="D450" s="5"/>
      <c r="E450" s="5"/>
      <c r="F450" s="5"/>
      <c r="G450" s="211" t="s">
        <v>52</v>
      </c>
      <c r="H450" s="212"/>
      <c r="I450" s="212"/>
      <c r="J450" s="212"/>
      <c r="K450" s="213"/>
      <c r="L450" s="26"/>
      <c r="M450" s="26"/>
      <c r="N450" s="16">
        <f>(N447-N448)+N449</f>
        <v>7539</v>
      </c>
    </row>
    <row r="451" spans="1:15" hidden="1">
      <c r="A451" s="5"/>
      <c r="B451" s="5"/>
      <c r="C451" s="5"/>
      <c r="D451" s="5"/>
      <c r="E451" s="5"/>
      <c r="F451" s="5"/>
      <c r="G451" s="17"/>
      <c r="H451" s="17"/>
      <c r="I451" s="17"/>
      <c r="J451" s="17"/>
      <c r="K451" s="17"/>
      <c r="L451" s="17"/>
      <c r="M451" s="17"/>
      <c r="N451" s="6"/>
    </row>
    <row r="452" spans="1:15"/>
    <row r="453" spans="1:15"/>
    <row r="454" spans="1:15" ht="16.8" hidden="1">
      <c r="A454" s="249" t="s">
        <v>53</v>
      </c>
      <c r="B454" s="249"/>
      <c r="C454" s="18"/>
      <c r="D454" s="18"/>
      <c r="E454" s="249" t="s">
        <v>54</v>
      </c>
      <c r="F454" s="249"/>
      <c r="G454" s="249"/>
      <c r="H454" s="250" t="s">
        <v>55</v>
      </c>
      <c r="I454" s="250"/>
      <c r="J454" s="250"/>
      <c r="K454" s="250"/>
      <c r="L454" s="250"/>
      <c r="M454" s="250"/>
      <c r="N454" s="250"/>
    </row>
    <row r="455" spans="1:15" ht="16.8" hidden="1">
      <c r="A455" s="18"/>
      <c r="B455" s="18"/>
      <c r="C455" s="18"/>
      <c r="D455" s="18"/>
      <c r="E455" s="18"/>
      <c r="F455" s="18"/>
      <c r="G455" s="19"/>
      <c r="H455" s="19"/>
      <c r="I455" s="19"/>
      <c r="J455" s="19"/>
    </row>
    <row r="456" spans="1:15" ht="16.8" hidden="1">
      <c r="A456" s="18"/>
      <c r="B456" s="18"/>
      <c r="C456" s="18"/>
      <c r="D456" s="18"/>
      <c r="E456" s="18"/>
      <c r="F456" s="18"/>
      <c r="G456" s="19"/>
      <c r="H456" s="19"/>
      <c r="I456" s="19"/>
      <c r="J456" s="19"/>
    </row>
    <row r="457" spans="1:15" ht="18.600000000000001" hidden="1">
      <c r="A457" s="224" t="s">
        <v>0</v>
      </c>
      <c r="B457" s="224"/>
      <c r="C457" s="224"/>
      <c r="D457" s="224"/>
      <c r="E457" s="224"/>
      <c r="F457" s="224"/>
      <c r="G457" s="224"/>
      <c r="H457" s="224"/>
      <c r="I457" s="224"/>
      <c r="J457" s="224"/>
      <c r="K457" s="224"/>
      <c r="L457" s="224"/>
      <c r="M457" s="224"/>
      <c r="N457" s="224"/>
      <c r="O457" s="224"/>
    </row>
    <row r="458" spans="1:15" ht="18.600000000000001" hidden="1">
      <c r="A458" s="224" t="s">
        <v>1</v>
      </c>
      <c r="B458" s="224"/>
      <c r="C458" s="224"/>
      <c r="D458" s="224"/>
      <c r="E458" s="224"/>
      <c r="F458" s="224"/>
      <c r="G458" s="224"/>
      <c r="H458" s="224"/>
      <c r="I458" s="224"/>
      <c r="J458" s="224"/>
      <c r="K458" s="224"/>
      <c r="L458" s="224"/>
      <c r="M458" s="224"/>
      <c r="N458" s="224"/>
      <c r="O458" s="224"/>
    </row>
    <row r="459" spans="1:15"/>
    <row r="460" spans="1:15" hidden="1">
      <c r="A460" s="258" t="s">
        <v>201</v>
      </c>
      <c r="B460" s="258"/>
      <c r="C460" s="258"/>
      <c r="D460" s="258"/>
      <c r="E460" s="258"/>
      <c r="F460" s="258"/>
      <c r="G460" s="258"/>
      <c r="H460" s="258"/>
      <c r="I460" s="258"/>
      <c r="J460" s="258"/>
      <c r="K460" s="258"/>
      <c r="L460" s="258"/>
      <c r="M460" s="258"/>
      <c r="N460" s="258"/>
    </row>
    <row r="461" spans="1:15" hidden="1">
      <c r="A461" s="3" t="s">
        <v>3</v>
      </c>
      <c r="B461" s="4">
        <f>B423</f>
        <v>2439</v>
      </c>
      <c r="C461" s="4"/>
      <c r="D461" s="4"/>
      <c r="E461" s="3" t="s">
        <v>4</v>
      </c>
      <c r="F461" s="215" t="str">
        <f>F423</f>
        <v>Mahajan Ganesh Trambak</v>
      </c>
      <c r="G461" s="215"/>
      <c r="H461" s="215"/>
      <c r="I461" s="215"/>
      <c r="J461" s="215"/>
      <c r="K461" s="215"/>
      <c r="L461" s="215"/>
      <c r="M461" s="215"/>
      <c r="N461" s="215"/>
    </row>
    <row r="462" spans="1:15" hidden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6"/>
      <c r="L462" s="6"/>
      <c r="M462" s="6"/>
      <c r="N462" s="5"/>
    </row>
    <row r="463" spans="1:15" ht="20.399999999999999" hidden="1">
      <c r="A463" s="3" t="s">
        <v>6</v>
      </c>
      <c r="B463" s="4">
        <f>B425</f>
        <v>2439</v>
      </c>
      <c r="C463" s="4"/>
      <c r="D463" s="4"/>
      <c r="E463" s="3" t="s">
        <v>7</v>
      </c>
      <c r="F463" s="268"/>
      <c r="G463" s="269"/>
      <c r="H463" s="3" t="s">
        <v>8</v>
      </c>
      <c r="I463" s="3"/>
      <c r="J463" s="3"/>
      <c r="K463" s="270" t="str">
        <f>K425</f>
        <v>Asst. Jr. Engineer</v>
      </c>
      <c r="L463" s="270"/>
      <c r="M463" s="270"/>
      <c r="N463" s="270"/>
    </row>
    <row r="464" spans="1:15" hidden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6"/>
      <c r="L464" s="6"/>
      <c r="M464" s="6"/>
      <c r="N464" s="5"/>
    </row>
    <row r="465" spans="1:15" hidden="1">
      <c r="A465" s="3" t="s">
        <v>10</v>
      </c>
      <c r="B465" s="7">
        <v>8.1000000000000003E-2</v>
      </c>
      <c r="C465" s="7"/>
      <c r="D465" s="7"/>
      <c r="E465" s="3" t="s">
        <v>11</v>
      </c>
      <c r="F465" s="7">
        <v>0.08</v>
      </c>
      <c r="G465" s="216" t="s">
        <v>12</v>
      </c>
      <c r="H465" s="217"/>
      <c r="I465" s="29"/>
      <c r="J465" s="29"/>
      <c r="K465" s="266">
        <f>N450</f>
        <v>7539</v>
      </c>
      <c r="L465" s="267"/>
      <c r="M465" s="267"/>
      <c r="N465" s="271"/>
    </row>
    <row r="466" spans="1:15" hidden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6"/>
      <c r="L466" s="6"/>
      <c r="M466" s="6"/>
      <c r="N466" s="5"/>
    </row>
    <row r="467" spans="1:15" ht="30.6" hidden="1">
      <c r="A467" s="9" t="s">
        <v>13</v>
      </c>
      <c r="B467" s="9" t="s">
        <v>14</v>
      </c>
      <c r="C467" s="9"/>
      <c r="D467" s="9"/>
      <c r="E467" s="9" t="s">
        <v>349</v>
      </c>
      <c r="F467" s="9" t="s">
        <v>15</v>
      </c>
      <c r="G467" s="9" t="s">
        <v>16</v>
      </c>
      <c r="H467" s="9" t="s">
        <v>17</v>
      </c>
      <c r="I467" s="9"/>
      <c r="J467" s="9"/>
      <c r="K467" s="10" t="s">
        <v>18</v>
      </c>
      <c r="L467" s="10"/>
      <c r="M467" s="10"/>
      <c r="N467" s="10" t="s">
        <v>19</v>
      </c>
      <c r="O467" s="11" t="s">
        <v>20</v>
      </c>
    </row>
    <row r="468" spans="1:15" hidden="1">
      <c r="A468" s="3" t="s">
        <v>202</v>
      </c>
      <c r="B468" s="13">
        <v>0</v>
      </c>
      <c r="C468" s="13"/>
      <c r="D468" s="13"/>
      <c r="E468" s="13">
        <f t="shared" ref="E468:E479" si="147">B468</f>
        <v>0</v>
      </c>
      <c r="F468" s="13">
        <v>0</v>
      </c>
      <c r="G468" s="13">
        <f t="shared" ref="G468:G479" si="148">(E468+B468)+F468</f>
        <v>0</v>
      </c>
      <c r="H468" s="13">
        <v>0</v>
      </c>
      <c r="I468" s="13"/>
      <c r="J468" s="13"/>
      <c r="K468" s="13">
        <f>(K465+G468)-H468</f>
        <v>7539</v>
      </c>
      <c r="L468" s="14"/>
      <c r="M468" s="14"/>
      <c r="N468" s="14">
        <f t="shared" ref="N468:N473" si="149">ROUND((K468*8.1/100)/12,0)</f>
        <v>51</v>
      </c>
      <c r="O468" s="272" t="s">
        <v>203</v>
      </c>
    </row>
    <row r="469" spans="1:15" hidden="1">
      <c r="A469" s="3" t="s">
        <v>204</v>
      </c>
      <c r="B469" s="13">
        <v>300</v>
      </c>
      <c r="C469" s="13"/>
      <c r="D469" s="13"/>
      <c r="E469" s="13">
        <f t="shared" si="147"/>
        <v>300</v>
      </c>
      <c r="F469" s="13">
        <v>0</v>
      </c>
      <c r="G469" s="13">
        <f t="shared" si="148"/>
        <v>600</v>
      </c>
      <c r="H469" s="13">
        <v>0</v>
      </c>
      <c r="I469" s="48"/>
      <c r="J469" s="48"/>
      <c r="K469" s="20">
        <f t="shared" ref="K469:K479" si="150">(K468+G469)-H469</f>
        <v>8139</v>
      </c>
      <c r="L469" s="52"/>
      <c r="M469" s="52"/>
      <c r="N469" s="14">
        <f t="shared" si="149"/>
        <v>55</v>
      </c>
      <c r="O469" s="273"/>
    </row>
    <row r="470" spans="1:15" hidden="1">
      <c r="A470" s="3" t="s">
        <v>205</v>
      </c>
      <c r="B470" s="13">
        <v>600</v>
      </c>
      <c r="C470" s="13"/>
      <c r="D470" s="13"/>
      <c r="E470" s="13">
        <f t="shared" si="147"/>
        <v>600</v>
      </c>
      <c r="F470" s="13">
        <v>0</v>
      </c>
      <c r="G470" s="13">
        <f t="shared" si="148"/>
        <v>1200</v>
      </c>
      <c r="H470" s="13">
        <v>0</v>
      </c>
      <c r="I470" s="48"/>
      <c r="J470" s="48"/>
      <c r="K470" s="20">
        <f t="shared" si="150"/>
        <v>9339</v>
      </c>
      <c r="L470" s="52"/>
      <c r="M470" s="52"/>
      <c r="N470" s="14">
        <f t="shared" si="149"/>
        <v>63</v>
      </c>
      <c r="O470" s="273"/>
    </row>
    <row r="471" spans="1:15" hidden="1">
      <c r="A471" s="3" t="s">
        <v>206</v>
      </c>
      <c r="B471" s="13">
        <v>300</v>
      </c>
      <c r="C471" s="13"/>
      <c r="D471" s="13"/>
      <c r="E471" s="13">
        <f t="shared" si="147"/>
        <v>300</v>
      </c>
      <c r="F471" s="13">
        <v>0</v>
      </c>
      <c r="G471" s="13">
        <f t="shared" si="148"/>
        <v>600</v>
      </c>
      <c r="H471" s="13">
        <v>0</v>
      </c>
      <c r="I471" s="48"/>
      <c r="J471" s="48"/>
      <c r="K471" s="20">
        <f t="shared" si="150"/>
        <v>9939</v>
      </c>
      <c r="L471" s="52"/>
      <c r="M471" s="52"/>
      <c r="N471" s="14">
        <f t="shared" si="149"/>
        <v>67</v>
      </c>
      <c r="O471" s="273"/>
    </row>
    <row r="472" spans="1:15" hidden="1">
      <c r="A472" s="3" t="s">
        <v>207</v>
      </c>
      <c r="B472" s="13">
        <v>0</v>
      </c>
      <c r="C472" s="13"/>
      <c r="D472" s="13"/>
      <c r="E472" s="13">
        <f t="shared" si="147"/>
        <v>0</v>
      </c>
      <c r="F472" s="13">
        <v>0</v>
      </c>
      <c r="G472" s="13">
        <f t="shared" si="148"/>
        <v>0</v>
      </c>
      <c r="H472" s="13">
        <v>0</v>
      </c>
      <c r="I472" s="48"/>
      <c r="J472" s="48"/>
      <c r="K472" s="20">
        <f t="shared" si="150"/>
        <v>9939</v>
      </c>
      <c r="L472" s="52"/>
      <c r="M472" s="52"/>
      <c r="N472" s="14">
        <f t="shared" si="149"/>
        <v>67</v>
      </c>
      <c r="O472" s="273"/>
    </row>
    <row r="473" spans="1:15" hidden="1">
      <c r="A473" s="3" t="s">
        <v>208</v>
      </c>
      <c r="B473" s="13">
        <v>300</v>
      </c>
      <c r="C473" s="13"/>
      <c r="D473" s="13"/>
      <c r="E473" s="13">
        <f t="shared" si="147"/>
        <v>300</v>
      </c>
      <c r="F473" s="13">
        <v>0</v>
      </c>
      <c r="G473" s="13">
        <f t="shared" si="148"/>
        <v>600</v>
      </c>
      <c r="H473" s="13">
        <v>0</v>
      </c>
      <c r="I473" s="48"/>
      <c r="J473" s="48"/>
      <c r="K473" s="20">
        <f t="shared" si="150"/>
        <v>10539</v>
      </c>
      <c r="L473" s="52"/>
      <c r="M473" s="52"/>
      <c r="N473" s="14">
        <f t="shared" si="149"/>
        <v>71</v>
      </c>
      <c r="O473" s="274"/>
    </row>
    <row r="474" spans="1:15" hidden="1">
      <c r="A474" s="3" t="s">
        <v>209</v>
      </c>
      <c r="B474" s="13">
        <v>600</v>
      </c>
      <c r="C474" s="13"/>
      <c r="D474" s="13"/>
      <c r="E474" s="13">
        <f t="shared" si="147"/>
        <v>600</v>
      </c>
      <c r="F474" s="13">
        <v>0</v>
      </c>
      <c r="G474" s="13">
        <f t="shared" si="148"/>
        <v>1200</v>
      </c>
      <c r="H474" s="13">
        <v>0</v>
      </c>
      <c r="I474" s="48"/>
      <c r="J474" s="48"/>
      <c r="K474" s="20">
        <f t="shared" si="150"/>
        <v>11739</v>
      </c>
      <c r="L474" s="52"/>
      <c r="M474" s="52"/>
      <c r="N474" s="14">
        <f t="shared" ref="N474:N479" si="151">ROUND((K474*8/100)/12,0)</f>
        <v>78</v>
      </c>
      <c r="O474" s="272" t="s">
        <v>34</v>
      </c>
    </row>
    <row r="475" spans="1:15" hidden="1">
      <c r="A475" s="3" t="s">
        <v>210</v>
      </c>
      <c r="B475" s="13">
        <v>300</v>
      </c>
      <c r="C475" s="13"/>
      <c r="D475" s="13"/>
      <c r="E475" s="13">
        <f t="shared" si="147"/>
        <v>300</v>
      </c>
      <c r="F475" s="13">
        <v>0</v>
      </c>
      <c r="G475" s="13">
        <f t="shared" si="148"/>
        <v>600</v>
      </c>
      <c r="H475" s="13">
        <v>0</v>
      </c>
      <c r="I475" s="48"/>
      <c r="J475" s="48"/>
      <c r="K475" s="20">
        <f t="shared" si="150"/>
        <v>12339</v>
      </c>
      <c r="L475" s="52"/>
      <c r="M475" s="52"/>
      <c r="N475" s="14">
        <f t="shared" si="151"/>
        <v>82</v>
      </c>
      <c r="O475" s="273"/>
    </row>
    <row r="476" spans="1:15" hidden="1">
      <c r="A476" s="3" t="s">
        <v>211</v>
      </c>
      <c r="B476" s="13">
        <v>300</v>
      </c>
      <c r="C476" s="13"/>
      <c r="D476" s="13"/>
      <c r="E476" s="13">
        <f t="shared" si="147"/>
        <v>300</v>
      </c>
      <c r="F476" s="13">
        <v>0</v>
      </c>
      <c r="G476" s="13">
        <f t="shared" si="148"/>
        <v>600</v>
      </c>
      <c r="H476" s="13">
        <v>0</v>
      </c>
      <c r="I476" s="48"/>
      <c r="J476" s="48"/>
      <c r="K476" s="20">
        <f t="shared" si="150"/>
        <v>12939</v>
      </c>
      <c r="L476" s="52"/>
      <c r="M476" s="52"/>
      <c r="N476" s="14">
        <f t="shared" si="151"/>
        <v>86</v>
      </c>
      <c r="O476" s="273"/>
    </row>
    <row r="477" spans="1:15" hidden="1">
      <c r="A477" s="3" t="s">
        <v>212</v>
      </c>
      <c r="B477" s="13">
        <v>600</v>
      </c>
      <c r="C477" s="13"/>
      <c r="D477" s="13"/>
      <c r="E477" s="13">
        <f t="shared" si="147"/>
        <v>600</v>
      </c>
      <c r="F477" s="13">
        <v>0</v>
      </c>
      <c r="G477" s="13">
        <f t="shared" si="148"/>
        <v>1200</v>
      </c>
      <c r="H477" s="13">
        <v>0</v>
      </c>
      <c r="I477" s="48"/>
      <c r="J477" s="48"/>
      <c r="K477" s="20">
        <f t="shared" si="150"/>
        <v>14139</v>
      </c>
      <c r="L477" s="52"/>
      <c r="M477" s="52"/>
      <c r="N477" s="14">
        <f t="shared" si="151"/>
        <v>94</v>
      </c>
      <c r="O477" s="273"/>
    </row>
    <row r="478" spans="1:15" hidden="1">
      <c r="A478" s="3" t="s">
        <v>213</v>
      </c>
      <c r="B478" s="13">
        <v>0</v>
      </c>
      <c r="C478" s="13"/>
      <c r="D478" s="13"/>
      <c r="E478" s="13">
        <f t="shared" si="147"/>
        <v>0</v>
      </c>
      <c r="F478" s="13">
        <v>0</v>
      </c>
      <c r="G478" s="13">
        <f t="shared" si="148"/>
        <v>0</v>
      </c>
      <c r="H478" s="13">
        <v>0</v>
      </c>
      <c r="I478" s="48"/>
      <c r="J478" s="48"/>
      <c r="K478" s="20">
        <f t="shared" si="150"/>
        <v>14139</v>
      </c>
      <c r="L478" s="52"/>
      <c r="M478" s="52"/>
      <c r="N478" s="14">
        <f t="shared" si="151"/>
        <v>94</v>
      </c>
      <c r="O478" s="273"/>
    </row>
    <row r="479" spans="1:15" hidden="1">
      <c r="A479" s="3" t="s">
        <v>214</v>
      </c>
      <c r="B479" s="13">
        <v>300</v>
      </c>
      <c r="C479" s="13"/>
      <c r="D479" s="13"/>
      <c r="E479" s="13">
        <f t="shared" si="147"/>
        <v>300</v>
      </c>
      <c r="F479" s="13">
        <v>0</v>
      </c>
      <c r="G479" s="13">
        <f t="shared" si="148"/>
        <v>600</v>
      </c>
      <c r="H479" s="13">
        <v>0</v>
      </c>
      <c r="I479" s="48"/>
      <c r="J479" s="48"/>
      <c r="K479" s="20">
        <f t="shared" si="150"/>
        <v>14739</v>
      </c>
      <c r="L479" s="52"/>
      <c r="M479" s="52"/>
      <c r="N479" s="14">
        <f t="shared" si="151"/>
        <v>98</v>
      </c>
      <c r="O479" s="274"/>
    </row>
    <row r="480" spans="1:15" hidden="1">
      <c r="A480" s="3" t="s">
        <v>215</v>
      </c>
      <c r="B480" s="15">
        <f t="shared" ref="B480:N480" si="152">SUM(B468:B479)</f>
        <v>3600</v>
      </c>
      <c r="C480" s="15"/>
      <c r="D480" s="15"/>
      <c r="E480" s="15">
        <f t="shared" si="152"/>
        <v>3600</v>
      </c>
      <c r="F480" s="15">
        <f t="shared" si="152"/>
        <v>0</v>
      </c>
      <c r="G480" s="15">
        <f t="shared" si="152"/>
        <v>7200</v>
      </c>
      <c r="H480" s="15">
        <f t="shared" si="152"/>
        <v>0</v>
      </c>
      <c r="I480" s="15"/>
      <c r="J480" s="15"/>
      <c r="K480" s="15">
        <f>SUM(K468:K479)</f>
        <v>135468</v>
      </c>
      <c r="L480" s="15"/>
      <c r="M480" s="15"/>
      <c r="N480" s="15">
        <f t="shared" si="152"/>
        <v>906</v>
      </c>
    </row>
    <row r="481" spans="1:15" hidden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6"/>
      <c r="L481" s="6"/>
      <c r="M481" s="6"/>
      <c r="N481" s="5"/>
    </row>
    <row r="482" spans="1:15" ht="15" hidden="1" thickBot="1">
      <c r="A482" s="5"/>
      <c r="B482" s="6"/>
      <c r="C482" s="6"/>
      <c r="D482" s="6"/>
      <c r="E482" s="5"/>
      <c r="F482" s="5"/>
      <c r="G482" s="211" t="s">
        <v>47</v>
      </c>
      <c r="H482" s="212"/>
      <c r="I482" s="212"/>
      <c r="J482" s="212"/>
      <c r="K482" s="213"/>
      <c r="L482" s="26"/>
      <c r="M482" s="26"/>
      <c r="N482" s="16">
        <f>K465</f>
        <v>7539</v>
      </c>
    </row>
    <row r="483" spans="1:15" ht="15" hidden="1" thickBot="1">
      <c r="A483" s="5"/>
      <c r="B483" s="5"/>
      <c r="C483" s="5"/>
      <c r="D483" s="5"/>
      <c r="E483" s="5"/>
      <c r="F483" s="5"/>
      <c r="G483" s="211" t="s">
        <v>48</v>
      </c>
      <c r="H483" s="212"/>
      <c r="I483" s="212"/>
      <c r="J483" s="212"/>
      <c r="K483" s="213"/>
      <c r="L483" s="26"/>
      <c r="M483" s="26"/>
      <c r="N483" s="16">
        <f>B480+F480</f>
        <v>3600</v>
      </c>
    </row>
    <row r="484" spans="1:15" ht="15" hidden="1" thickBot="1">
      <c r="A484" s="5"/>
      <c r="B484" s="5"/>
      <c r="C484" s="5"/>
      <c r="D484" s="5"/>
      <c r="E484" s="5"/>
      <c r="F484" s="5"/>
      <c r="G484" s="211" t="s">
        <v>349</v>
      </c>
      <c r="H484" s="212"/>
      <c r="I484" s="212"/>
      <c r="J484" s="212"/>
      <c r="K484" s="213"/>
      <c r="L484" s="26"/>
      <c r="M484" s="26"/>
      <c r="N484" s="16">
        <f>E480</f>
        <v>3600</v>
      </c>
    </row>
    <row r="485" spans="1:15" ht="15" hidden="1" thickBot="1">
      <c r="A485" s="5"/>
      <c r="B485" s="5"/>
      <c r="C485" s="5"/>
      <c r="D485" s="5"/>
      <c r="E485" s="5"/>
      <c r="F485" s="5"/>
      <c r="G485" s="211" t="s">
        <v>49</v>
      </c>
      <c r="H485" s="212"/>
      <c r="I485" s="212"/>
      <c r="J485" s="212"/>
      <c r="K485" s="213"/>
      <c r="L485" s="26"/>
      <c r="M485" s="26"/>
      <c r="N485" s="16">
        <f>SUM(N482:N484)</f>
        <v>14739</v>
      </c>
    </row>
    <row r="486" spans="1:15" ht="15" hidden="1" thickBot="1">
      <c r="A486" s="5"/>
      <c r="B486" s="5"/>
      <c r="C486" s="5"/>
      <c r="D486" s="5"/>
      <c r="E486" s="5"/>
      <c r="F486" s="5"/>
      <c r="G486" s="211" t="s">
        <v>50</v>
      </c>
      <c r="H486" s="212"/>
      <c r="I486" s="212"/>
      <c r="J486" s="212"/>
      <c r="K486" s="213"/>
      <c r="L486" s="26"/>
      <c r="M486" s="26"/>
      <c r="N486" s="16">
        <f>H480</f>
        <v>0</v>
      </c>
    </row>
    <row r="487" spans="1:15" ht="15" hidden="1" thickBot="1">
      <c r="A487" s="5"/>
      <c r="B487" s="5"/>
      <c r="C487" s="5"/>
      <c r="D487" s="5"/>
      <c r="E487" s="5"/>
      <c r="F487" s="5"/>
      <c r="G487" s="211" t="s">
        <v>51</v>
      </c>
      <c r="H487" s="212"/>
      <c r="I487" s="212"/>
      <c r="J487" s="212"/>
      <c r="K487" s="213"/>
      <c r="L487" s="26"/>
      <c r="M487" s="26"/>
      <c r="N487" s="16">
        <f>N480</f>
        <v>906</v>
      </c>
    </row>
    <row r="488" spans="1:15" ht="15" hidden="1" thickBot="1">
      <c r="A488" s="5"/>
      <c r="B488" s="5"/>
      <c r="C488" s="5"/>
      <c r="D488" s="5"/>
      <c r="E488" s="5"/>
      <c r="F488" s="5"/>
      <c r="G488" s="211" t="s">
        <v>52</v>
      </c>
      <c r="H488" s="212"/>
      <c r="I488" s="212"/>
      <c r="J488" s="212"/>
      <c r="K488" s="213"/>
      <c r="L488" s="26"/>
      <c r="M488" s="26"/>
      <c r="N488" s="16">
        <f>(N485-N486)+N487</f>
        <v>15645</v>
      </c>
    </row>
    <row r="489" spans="1:15" hidden="1">
      <c r="A489" s="5"/>
      <c r="B489" s="5"/>
      <c r="C489" s="5"/>
      <c r="D489" s="5"/>
      <c r="E489" s="5"/>
      <c r="F489" s="5"/>
      <c r="G489" s="17"/>
      <c r="H489" s="17"/>
      <c r="I489" s="17"/>
      <c r="J489" s="17"/>
      <c r="K489" s="17"/>
      <c r="L489" s="17"/>
      <c r="M489" s="17"/>
      <c r="N489" s="6"/>
    </row>
    <row r="490" spans="1:15"/>
    <row r="491" spans="1:15"/>
    <row r="492" spans="1:15" ht="16.8" hidden="1">
      <c r="A492" s="249" t="s">
        <v>53</v>
      </c>
      <c r="B492" s="249"/>
      <c r="C492" s="18"/>
      <c r="D492" s="18"/>
      <c r="E492" s="249" t="s">
        <v>54</v>
      </c>
      <c r="F492" s="249"/>
      <c r="G492" s="249"/>
      <c r="H492" s="250" t="s">
        <v>55</v>
      </c>
      <c r="I492" s="250"/>
      <c r="J492" s="250"/>
      <c r="K492" s="250"/>
      <c r="L492" s="250"/>
      <c r="M492" s="250"/>
      <c r="N492" s="250"/>
    </row>
    <row r="493" spans="1:15" ht="16.8" hidden="1">
      <c r="A493" s="18"/>
      <c r="B493" s="18"/>
      <c r="C493" s="18"/>
      <c r="D493" s="18"/>
      <c r="E493" s="18"/>
      <c r="F493" s="18"/>
      <c r="G493" s="19"/>
      <c r="H493" s="19"/>
      <c r="I493" s="19"/>
      <c r="J493" s="19"/>
    </row>
    <row r="494" spans="1:15" ht="16.8" hidden="1">
      <c r="A494" s="18"/>
      <c r="B494" s="18"/>
      <c r="C494" s="18"/>
      <c r="D494" s="18"/>
      <c r="E494" s="18"/>
      <c r="F494" s="18"/>
      <c r="G494" s="19"/>
      <c r="H494" s="19"/>
      <c r="I494" s="19"/>
      <c r="J494" s="19"/>
    </row>
    <row r="495" spans="1:15" ht="18.600000000000001" hidden="1">
      <c r="A495" s="224" t="s">
        <v>0</v>
      </c>
      <c r="B495" s="224"/>
      <c r="C495" s="224"/>
      <c r="D495" s="224"/>
      <c r="E495" s="224"/>
      <c r="F495" s="224"/>
      <c r="G495" s="224"/>
      <c r="H495" s="224"/>
      <c r="I495" s="224"/>
      <c r="J495" s="224"/>
      <c r="K495" s="224"/>
      <c r="L495" s="224"/>
      <c r="M495" s="224"/>
      <c r="N495" s="224"/>
      <c r="O495" s="224"/>
    </row>
    <row r="496" spans="1:15" ht="18.600000000000001" hidden="1">
      <c r="A496" s="224" t="s">
        <v>1</v>
      </c>
      <c r="B496" s="224"/>
      <c r="C496" s="224"/>
      <c r="D496" s="224"/>
      <c r="E496" s="224"/>
      <c r="F496" s="224"/>
      <c r="G496" s="224"/>
      <c r="H496" s="224"/>
      <c r="I496" s="224"/>
      <c r="J496" s="224"/>
      <c r="K496" s="224"/>
      <c r="L496" s="224"/>
      <c r="M496" s="224"/>
      <c r="N496" s="224"/>
      <c r="O496" s="224"/>
    </row>
    <row r="497" spans="1:15"/>
    <row r="498" spans="1:15" hidden="1">
      <c r="A498" s="258" t="s">
        <v>216</v>
      </c>
      <c r="B498" s="258"/>
      <c r="C498" s="258"/>
      <c r="D498" s="258"/>
      <c r="E498" s="258"/>
      <c r="F498" s="258"/>
      <c r="G498" s="258"/>
      <c r="H498" s="258"/>
      <c r="I498" s="258"/>
      <c r="J498" s="258"/>
      <c r="K498" s="258"/>
      <c r="L498" s="258"/>
      <c r="M498" s="258"/>
      <c r="N498" s="258"/>
    </row>
    <row r="499" spans="1:15" hidden="1">
      <c r="A499" s="3" t="s">
        <v>3</v>
      </c>
      <c r="B499" s="4">
        <f>B461</f>
        <v>2439</v>
      </c>
      <c r="C499" s="4"/>
      <c r="D499" s="4"/>
      <c r="E499" s="3" t="s">
        <v>4</v>
      </c>
      <c r="F499" s="215" t="str">
        <f>F461</f>
        <v>Mahajan Ganesh Trambak</v>
      </c>
      <c r="G499" s="215"/>
      <c r="H499" s="215"/>
      <c r="I499" s="215"/>
      <c r="J499" s="215"/>
      <c r="K499" s="215"/>
      <c r="L499" s="215"/>
      <c r="M499" s="215"/>
      <c r="N499" s="215"/>
    </row>
    <row r="500" spans="1:15" hidden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6"/>
      <c r="L500" s="6"/>
      <c r="M500" s="6"/>
      <c r="N500" s="5"/>
    </row>
    <row r="501" spans="1:15" ht="20.399999999999999" hidden="1">
      <c r="A501" s="3" t="s">
        <v>6</v>
      </c>
      <c r="B501" s="4">
        <f>B463</f>
        <v>2439</v>
      </c>
      <c r="C501" s="4"/>
      <c r="D501" s="4"/>
      <c r="E501" s="3" t="s">
        <v>7</v>
      </c>
      <c r="F501" s="268"/>
      <c r="G501" s="269"/>
      <c r="H501" s="3" t="s">
        <v>8</v>
      </c>
      <c r="I501" s="3"/>
      <c r="J501" s="3"/>
      <c r="K501" s="270" t="str">
        <f>K463</f>
        <v>Asst. Jr. Engineer</v>
      </c>
      <c r="L501" s="270"/>
      <c r="M501" s="270"/>
      <c r="N501" s="270"/>
    </row>
    <row r="502" spans="1:15" hidden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6"/>
      <c r="L502" s="6"/>
      <c r="M502" s="6"/>
      <c r="N502" s="5"/>
    </row>
    <row r="503" spans="1:15" hidden="1">
      <c r="A503" s="3" t="s">
        <v>10</v>
      </c>
      <c r="B503" s="7">
        <v>7.9000000000000001E-2</v>
      </c>
      <c r="C503" s="7"/>
      <c r="D503" s="7"/>
      <c r="E503" s="3" t="s">
        <v>11</v>
      </c>
      <c r="F503" s="7" t="s">
        <v>217</v>
      </c>
      <c r="G503" s="216" t="s">
        <v>12</v>
      </c>
      <c r="H503" s="217"/>
      <c r="I503" s="29"/>
      <c r="J503" s="29"/>
      <c r="K503" s="266">
        <f>N488</f>
        <v>15645</v>
      </c>
      <c r="L503" s="267"/>
      <c r="M503" s="267"/>
      <c r="N503" s="271"/>
    </row>
    <row r="504" spans="1:15" hidden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6"/>
      <c r="L504" s="6"/>
      <c r="M504" s="6"/>
      <c r="N504" s="5"/>
    </row>
    <row r="505" spans="1:15" ht="30.6" hidden="1">
      <c r="A505" s="9" t="s">
        <v>13</v>
      </c>
      <c r="B505" s="9" t="s">
        <v>14</v>
      </c>
      <c r="C505" s="9"/>
      <c r="D505" s="9"/>
      <c r="E505" s="9" t="s">
        <v>349</v>
      </c>
      <c r="F505" s="9" t="s">
        <v>15</v>
      </c>
      <c r="G505" s="9" t="s">
        <v>16</v>
      </c>
      <c r="H505" s="9" t="s">
        <v>17</v>
      </c>
      <c r="I505" s="9"/>
      <c r="J505" s="9"/>
      <c r="K505" s="10" t="s">
        <v>18</v>
      </c>
      <c r="L505" s="10"/>
      <c r="M505" s="10"/>
      <c r="N505" s="10" t="s">
        <v>19</v>
      </c>
      <c r="O505" s="11" t="s">
        <v>20</v>
      </c>
    </row>
    <row r="506" spans="1:15" hidden="1">
      <c r="A506" s="3" t="s">
        <v>218</v>
      </c>
      <c r="B506" s="13">
        <v>300</v>
      </c>
      <c r="C506" s="13"/>
      <c r="D506" s="13"/>
      <c r="E506" s="13">
        <f>B506</f>
        <v>300</v>
      </c>
      <c r="F506" s="13">
        <v>0</v>
      </c>
      <c r="G506" s="13">
        <f t="shared" ref="G506:G517" si="153">(E506+B506)+F506</f>
        <v>600</v>
      </c>
      <c r="H506" s="13">
        <v>0</v>
      </c>
      <c r="I506" s="13"/>
      <c r="J506" s="13"/>
      <c r="K506" s="13">
        <f>(K503+G506)-H506</f>
        <v>16245</v>
      </c>
      <c r="L506" s="14"/>
      <c r="M506" s="14"/>
      <c r="N506" s="14">
        <f>ROUND((K506*7.9/100)/12,0)</f>
        <v>107</v>
      </c>
      <c r="O506" s="282" t="s">
        <v>219</v>
      </c>
    </row>
    <row r="507" spans="1:15" hidden="1">
      <c r="A507" s="3" t="s">
        <v>220</v>
      </c>
      <c r="B507" s="13">
        <v>300</v>
      </c>
      <c r="C507" s="13"/>
      <c r="D507" s="13"/>
      <c r="E507" s="13">
        <f t="shared" ref="E507:E517" si="154">B507</f>
        <v>300</v>
      </c>
      <c r="F507" s="13">
        <v>0</v>
      </c>
      <c r="G507" s="13">
        <f t="shared" si="153"/>
        <v>600</v>
      </c>
      <c r="H507" s="13">
        <v>0</v>
      </c>
      <c r="I507" s="48"/>
      <c r="J507" s="48"/>
      <c r="K507" s="20">
        <f t="shared" ref="K507:K517" si="155">(K506+G507)-H507</f>
        <v>16845</v>
      </c>
      <c r="L507" s="52"/>
      <c r="M507" s="52"/>
      <c r="N507" s="14">
        <f>ROUND((K507*7.9/100)/12,0)</f>
        <v>111</v>
      </c>
      <c r="O507" s="282"/>
    </row>
    <row r="508" spans="1:15" hidden="1">
      <c r="A508" s="3" t="s">
        <v>221</v>
      </c>
      <c r="B508" s="13">
        <v>0</v>
      </c>
      <c r="C508" s="13"/>
      <c r="D508" s="13"/>
      <c r="E508" s="13">
        <f t="shared" si="154"/>
        <v>0</v>
      </c>
      <c r="F508" s="13">
        <v>0</v>
      </c>
      <c r="G508" s="13">
        <f t="shared" si="153"/>
        <v>0</v>
      </c>
      <c r="H508" s="13">
        <v>0</v>
      </c>
      <c r="I508" s="48"/>
      <c r="J508" s="48"/>
      <c r="K508" s="20">
        <f t="shared" si="155"/>
        <v>16845</v>
      </c>
      <c r="L508" s="52"/>
      <c r="M508" s="52"/>
      <c r="N508" s="14">
        <f>ROUND((K508*7.9/100)/12,0)</f>
        <v>111</v>
      </c>
      <c r="O508" s="282"/>
    </row>
    <row r="509" spans="1:15" hidden="1">
      <c r="A509" s="3" t="s">
        <v>222</v>
      </c>
      <c r="B509" s="13">
        <v>300</v>
      </c>
      <c r="C509" s="13"/>
      <c r="D509" s="13"/>
      <c r="E509" s="13">
        <f t="shared" si="154"/>
        <v>300</v>
      </c>
      <c r="F509" s="13">
        <v>0</v>
      </c>
      <c r="G509" s="13">
        <f t="shared" si="153"/>
        <v>600</v>
      </c>
      <c r="H509" s="13">
        <v>0</v>
      </c>
      <c r="I509" s="48"/>
      <c r="J509" s="48"/>
      <c r="K509" s="20">
        <f t="shared" si="155"/>
        <v>17445</v>
      </c>
      <c r="L509" s="52"/>
      <c r="M509" s="52"/>
      <c r="N509" s="14">
        <f t="shared" ref="N509:N514" si="156">ROUND((K509*7.8/100)/12,0)</f>
        <v>113</v>
      </c>
      <c r="O509" s="272" t="s">
        <v>223</v>
      </c>
    </row>
    <row r="510" spans="1:15" hidden="1">
      <c r="A510" s="3" t="s">
        <v>224</v>
      </c>
      <c r="B510" s="13">
        <v>300</v>
      </c>
      <c r="C510" s="13"/>
      <c r="D510" s="13"/>
      <c r="E510" s="13">
        <f t="shared" si="154"/>
        <v>300</v>
      </c>
      <c r="F510" s="13">
        <v>0</v>
      </c>
      <c r="G510" s="13">
        <f t="shared" si="153"/>
        <v>600</v>
      </c>
      <c r="H510" s="13">
        <v>0</v>
      </c>
      <c r="I510" s="48"/>
      <c r="J510" s="48"/>
      <c r="K510" s="20">
        <f t="shared" si="155"/>
        <v>18045</v>
      </c>
      <c r="L510" s="52"/>
      <c r="M510" s="52"/>
      <c r="N510" s="14">
        <f t="shared" si="156"/>
        <v>117</v>
      </c>
      <c r="O510" s="273"/>
    </row>
    <row r="511" spans="1:15" hidden="1">
      <c r="A511" s="3" t="s">
        <v>225</v>
      </c>
      <c r="B511" s="13">
        <v>600</v>
      </c>
      <c r="C511" s="13"/>
      <c r="D511" s="13"/>
      <c r="E511" s="13">
        <f t="shared" si="154"/>
        <v>600</v>
      </c>
      <c r="F511" s="13">
        <v>0</v>
      </c>
      <c r="G511" s="13">
        <f t="shared" si="153"/>
        <v>1200</v>
      </c>
      <c r="H511" s="13">
        <v>0</v>
      </c>
      <c r="I511" s="48"/>
      <c r="J511" s="48"/>
      <c r="K511" s="20">
        <f t="shared" si="155"/>
        <v>19245</v>
      </c>
      <c r="L511" s="52"/>
      <c r="M511" s="52"/>
      <c r="N511" s="14">
        <f t="shared" si="156"/>
        <v>125</v>
      </c>
      <c r="O511" s="273"/>
    </row>
    <row r="512" spans="1:15" hidden="1">
      <c r="A512" s="3" t="s">
        <v>226</v>
      </c>
      <c r="B512" s="13">
        <v>0</v>
      </c>
      <c r="C512" s="13"/>
      <c r="D512" s="13"/>
      <c r="E512" s="13">
        <f t="shared" si="154"/>
        <v>0</v>
      </c>
      <c r="F512" s="13">
        <v>0</v>
      </c>
      <c r="G512" s="13">
        <f t="shared" si="153"/>
        <v>0</v>
      </c>
      <c r="H512" s="13">
        <v>0</v>
      </c>
      <c r="I512" s="48"/>
      <c r="J512" s="48"/>
      <c r="K512" s="20">
        <f t="shared" si="155"/>
        <v>19245</v>
      </c>
      <c r="L512" s="52"/>
      <c r="M512" s="52"/>
      <c r="N512" s="14">
        <f t="shared" si="156"/>
        <v>125</v>
      </c>
      <c r="O512" s="273"/>
    </row>
    <row r="513" spans="1:15" hidden="1">
      <c r="A513" s="3" t="s">
        <v>227</v>
      </c>
      <c r="B513" s="13">
        <v>300</v>
      </c>
      <c r="C513" s="13"/>
      <c r="D513" s="13"/>
      <c r="E513" s="13">
        <f t="shared" si="154"/>
        <v>300</v>
      </c>
      <c r="F513" s="13">
        <v>0</v>
      </c>
      <c r="G513" s="13">
        <f t="shared" si="153"/>
        <v>600</v>
      </c>
      <c r="H513" s="13">
        <v>0</v>
      </c>
      <c r="I513" s="48"/>
      <c r="J513" s="48"/>
      <c r="K513" s="20">
        <f t="shared" si="155"/>
        <v>19845</v>
      </c>
      <c r="L513" s="52"/>
      <c r="M513" s="52"/>
      <c r="N513" s="14">
        <f t="shared" si="156"/>
        <v>129</v>
      </c>
      <c r="O513" s="273"/>
    </row>
    <row r="514" spans="1:15" hidden="1">
      <c r="A514" s="3" t="s">
        <v>228</v>
      </c>
      <c r="B514" s="13">
        <v>300</v>
      </c>
      <c r="C514" s="13"/>
      <c r="D514" s="13"/>
      <c r="E514" s="13">
        <f t="shared" si="154"/>
        <v>300</v>
      </c>
      <c r="F514" s="13">
        <v>0</v>
      </c>
      <c r="G514" s="13">
        <f t="shared" si="153"/>
        <v>600</v>
      </c>
      <c r="H514" s="13">
        <v>0</v>
      </c>
      <c r="I514" s="48"/>
      <c r="J514" s="48"/>
      <c r="K514" s="20">
        <f t="shared" si="155"/>
        <v>20445</v>
      </c>
      <c r="L514" s="52"/>
      <c r="M514" s="52"/>
      <c r="N514" s="14">
        <f t="shared" si="156"/>
        <v>133</v>
      </c>
      <c r="O514" s="274"/>
    </row>
    <row r="515" spans="1:15" hidden="1">
      <c r="A515" s="3" t="s">
        <v>229</v>
      </c>
      <c r="B515" s="13">
        <v>300</v>
      </c>
      <c r="C515" s="13"/>
      <c r="D515" s="13"/>
      <c r="E515" s="13">
        <f t="shared" si="154"/>
        <v>300</v>
      </c>
      <c r="F515" s="13">
        <v>0</v>
      </c>
      <c r="G515" s="13">
        <f t="shared" si="153"/>
        <v>600</v>
      </c>
      <c r="H515" s="13">
        <v>0</v>
      </c>
      <c r="I515" s="48"/>
      <c r="J515" s="48"/>
      <c r="K515" s="20">
        <f t="shared" si="155"/>
        <v>21045</v>
      </c>
      <c r="L515" s="52"/>
      <c r="M515" s="52"/>
      <c r="N515" s="14">
        <f>ROUND((K515*7.6/100)/12,0)</f>
        <v>133</v>
      </c>
      <c r="O515" s="282" t="s">
        <v>230</v>
      </c>
    </row>
    <row r="516" spans="1:15" hidden="1">
      <c r="A516" s="3" t="s">
        <v>231</v>
      </c>
      <c r="B516" s="13">
        <v>0</v>
      </c>
      <c r="C516" s="13"/>
      <c r="D516" s="13"/>
      <c r="E516" s="13">
        <f t="shared" si="154"/>
        <v>0</v>
      </c>
      <c r="F516" s="13">
        <v>0</v>
      </c>
      <c r="G516" s="13">
        <f t="shared" si="153"/>
        <v>0</v>
      </c>
      <c r="H516" s="13">
        <v>0</v>
      </c>
      <c r="I516" s="48"/>
      <c r="J516" s="48"/>
      <c r="K516" s="20">
        <f t="shared" si="155"/>
        <v>21045</v>
      </c>
      <c r="L516" s="52"/>
      <c r="M516" s="52"/>
      <c r="N516" s="14">
        <f>ROUND((K516*7.6/100)/12,0)</f>
        <v>133</v>
      </c>
      <c r="O516" s="282"/>
    </row>
    <row r="517" spans="1:15" hidden="1">
      <c r="A517" s="3" t="s">
        <v>232</v>
      </c>
      <c r="B517" s="13">
        <v>0</v>
      </c>
      <c r="C517" s="13"/>
      <c r="D517" s="13"/>
      <c r="E517" s="13">
        <f t="shared" si="154"/>
        <v>0</v>
      </c>
      <c r="F517" s="13">
        <v>0</v>
      </c>
      <c r="G517" s="13">
        <f t="shared" si="153"/>
        <v>0</v>
      </c>
      <c r="H517" s="13">
        <v>0</v>
      </c>
      <c r="I517" s="48"/>
      <c r="J517" s="48"/>
      <c r="K517" s="20">
        <f t="shared" si="155"/>
        <v>21045</v>
      </c>
      <c r="L517" s="52"/>
      <c r="M517" s="52"/>
      <c r="N517" s="14">
        <f>ROUND((K517*7.6/100)/12,0)</f>
        <v>133</v>
      </c>
      <c r="O517" s="282"/>
    </row>
    <row r="518" spans="1:15" hidden="1">
      <c r="A518" s="3" t="s">
        <v>233</v>
      </c>
      <c r="B518" s="15">
        <f t="shared" ref="B518:N518" si="157">SUM(B506:B517)</f>
        <v>2700</v>
      </c>
      <c r="C518" s="15"/>
      <c r="D518" s="15"/>
      <c r="E518" s="15">
        <f t="shared" si="157"/>
        <v>2700</v>
      </c>
      <c r="F518" s="15">
        <f t="shared" si="157"/>
        <v>0</v>
      </c>
      <c r="G518" s="15">
        <f t="shared" si="157"/>
        <v>5400</v>
      </c>
      <c r="H518" s="15">
        <f t="shared" si="157"/>
        <v>0</v>
      </c>
      <c r="I518" s="15"/>
      <c r="J518" s="15"/>
      <c r="K518" s="15">
        <f>SUM(K506:K517)</f>
        <v>227340</v>
      </c>
      <c r="L518" s="15"/>
      <c r="M518" s="15"/>
      <c r="N518" s="15">
        <f t="shared" si="157"/>
        <v>1470</v>
      </c>
    </row>
    <row r="519" spans="1:15" hidden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6"/>
      <c r="L519" s="6"/>
      <c r="M519" s="6"/>
      <c r="N519" s="5"/>
    </row>
    <row r="520" spans="1:15" ht="15" hidden="1" thickBot="1">
      <c r="A520" s="5"/>
      <c r="B520" s="6"/>
      <c r="C520" s="6"/>
      <c r="D520" s="6"/>
      <c r="E520" s="5"/>
      <c r="F520" s="5"/>
      <c r="G520" s="211" t="s">
        <v>47</v>
      </c>
      <c r="H520" s="212"/>
      <c r="I520" s="212"/>
      <c r="J520" s="212"/>
      <c r="K520" s="213"/>
      <c r="L520" s="26"/>
      <c r="M520" s="26"/>
      <c r="N520" s="16">
        <f>K503</f>
        <v>15645</v>
      </c>
    </row>
    <row r="521" spans="1:15" ht="15" hidden="1" thickBot="1">
      <c r="A521" s="5"/>
      <c r="B521" s="5"/>
      <c r="C521" s="5"/>
      <c r="D521" s="5"/>
      <c r="E521" s="5"/>
      <c r="F521" s="5"/>
      <c r="G521" s="211" t="s">
        <v>48</v>
      </c>
      <c r="H521" s="212"/>
      <c r="I521" s="212"/>
      <c r="J521" s="212"/>
      <c r="K521" s="213"/>
      <c r="L521" s="26"/>
      <c r="M521" s="26"/>
      <c r="N521" s="16">
        <f>B518+F518</f>
        <v>2700</v>
      </c>
    </row>
    <row r="522" spans="1:15" ht="15" hidden="1" thickBot="1">
      <c r="A522" s="5"/>
      <c r="B522" s="5"/>
      <c r="C522" s="5"/>
      <c r="D522" s="5"/>
      <c r="E522" s="5"/>
      <c r="F522" s="5"/>
      <c r="G522" s="211" t="s">
        <v>349</v>
      </c>
      <c r="H522" s="212"/>
      <c r="I522" s="212"/>
      <c r="J522" s="212"/>
      <c r="K522" s="213"/>
      <c r="L522" s="26"/>
      <c r="M522" s="26"/>
      <c r="N522" s="16">
        <f>E518</f>
        <v>2700</v>
      </c>
    </row>
    <row r="523" spans="1:15" ht="15" hidden="1" thickBot="1">
      <c r="A523" s="5"/>
      <c r="B523" s="5"/>
      <c r="C523" s="5"/>
      <c r="D523" s="5"/>
      <c r="E523" s="5"/>
      <c r="F523" s="5"/>
      <c r="G523" s="211" t="s">
        <v>49</v>
      </c>
      <c r="H523" s="212"/>
      <c r="I523" s="212"/>
      <c r="J523" s="212"/>
      <c r="K523" s="213"/>
      <c r="L523" s="26"/>
      <c r="M523" s="26"/>
      <c r="N523" s="16">
        <f>SUM(N520:N522)</f>
        <v>21045</v>
      </c>
    </row>
    <row r="524" spans="1:15" ht="15" hidden="1" thickBot="1">
      <c r="A524" s="5"/>
      <c r="B524" s="5"/>
      <c r="C524" s="5"/>
      <c r="D524" s="5"/>
      <c r="E524" s="5"/>
      <c r="F524" s="5"/>
      <c r="G524" s="211" t="s">
        <v>50</v>
      </c>
      <c r="H524" s="212"/>
      <c r="I524" s="212"/>
      <c r="J524" s="212"/>
      <c r="K524" s="213"/>
      <c r="L524" s="26"/>
      <c r="M524" s="26"/>
      <c r="N524" s="16">
        <f>H518</f>
        <v>0</v>
      </c>
    </row>
    <row r="525" spans="1:15" ht="15" hidden="1" thickBot="1">
      <c r="A525" s="5"/>
      <c r="B525" s="5"/>
      <c r="C525" s="5"/>
      <c r="D525" s="5"/>
      <c r="E525" s="5"/>
      <c r="F525" s="5"/>
      <c r="G525" s="211" t="s">
        <v>51</v>
      </c>
      <c r="H525" s="212"/>
      <c r="I525" s="212"/>
      <c r="J525" s="212"/>
      <c r="K525" s="213"/>
      <c r="L525" s="26"/>
      <c r="M525" s="26"/>
      <c r="N525" s="16">
        <f>N518</f>
        <v>1470</v>
      </c>
    </row>
    <row r="526" spans="1:15" ht="15" hidden="1" thickBot="1">
      <c r="A526" s="5"/>
      <c r="B526" s="5"/>
      <c r="C526" s="5"/>
      <c r="D526" s="5"/>
      <c r="E526" s="5"/>
      <c r="F526" s="5"/>
      <c r="G526" s="211" t="s">
        <v>52</v>
      </c>
      <c r="H526" s="212"/>
      <c r="I526" s="212"/>
      <c r="J526" s="212"/>
      <c r="K526" s="213"/>
      <c r="L526" s="26"/>
      <c r="M526" s="26"/>
      <c r="N526" s="16">
        <f>(N523-N524)+N525</f>
        <v>22515</v>
      </c>
    </row>
    <row r="527" spans="1:15" hidden="1">
      <c r="A527" s="5"/>
      <c r="B527" s="5"/>
      <c r="C527" s="5"/>
      <c r="D527" s="5"/>
      <c r="E527" s="5"/>
      <c r="F527" s="5"/>
      <c r="G527" s="17"/>
      <c r="H527" s="17"/>
      <c r="I527" s="17"/>
      <c r="J527" s="17"/>
      <c r="K527" s="17"/>
      <c r="L527" s="17"/>
      <c r="M527" s="17"/>
      <c r="N527" s="6"/>
    </row>
    <row r="528" spans="1:15"/>
    <row r="529" spans="1:15"/>
    <row r="530" spans="1:15" ht="16.8" hidden="1">
      <c r="A530" s="249" t="s">
        <v>53</v>
      </c>
      <c r="B530" s="249"/>
      <c r="C530" s="18"/>
      <c r="D530" s="18"/>
      <c r="E530" s="249" t="s">
        <v>54</v>
      </c>
      <c r="F530" s="249"/>
      <c r="G530" s="249"/>
      <c r="H530" s="250" t="s">
        <v>55</v>
      </c>
      <c r="I530" s="250"/>
      <c r="J530" s="250"/>
      <c r="K530" s="250"/>
      <c r="L530" s="250"/>
      <c r="M530" s="250"/>
      <c r="N530" s="250"/>
    </row>
    <row r="531" spans="1:15" ht="16.8" hidden="1">
      <c r="A531" s="18"/>
      <c r="B531" s="18"/>
      <c r="C531" s="18"/>
      <c r="D531" s="18"/>
      <c r="E531" s="18"/>
      <c r="F531" s="18"/>
      <c r="G531" s="19"/>
      <c r="H531" s="19"/>
      <c r="I531" s="19"/>
      <c r="J531" s="19"/>
    </row>
    <row r="532" spans="1:15" ht="16.8" hidden="1">
      <c r="A532" s="18"/>
      <c r="B532" s="18"/>
      <c r="C532" s="18"/>
      <c r="D532" s="18"/>
      <c r="E532" s="18"/>
      <c r="F532" s="18"/>
      <c r="G532" s="19"/>
      <c r="H532" s="19"/>
      <c r="I532" s="19"/>
      <c r="J532" s="19"/>
    </row>
    <row r="533" spans="1:15" ht="18.600000000000001" hidden="1">
      <c r="A533" s="224" t="s">
        <v>0</v>
      </c>
      <c r="B533" s="224"/>
      <c r="C533" s="224"/>
      <c r="D533" s="224"/>
      <c r="E533" s="224"/>
      <c r="F533" s="224"/>
      <c r="G533" s="224"/>
      <c r="H533" s="224"/>
      <c r="I533" s="224"/>
      <c r="J533" s="224"/>
      <c r="K533" s="224"/>
      <c r="L533" s="224"/>
      <c r="M533" s="224"/>
      <c r="N533" s="224"/>
      <c r="O533" s="224"/>
    </row>
    <row r="534" spans="1:15" ht="18.600000000000001" hidden="1">
      <c r="A534" s="224" t="s">
        <v>1</v>
      </c>
      <c r="B534" s="224"/>
      <c r="C534" s="224"/>
      <c r="D534" s="224"/>
      <c r="E534" s="224"/>
      <c r="F534" s="224"/>
      <c r="G534" s="224"/>
      <c r="H534" s="224"/>
      <c r="I534" s="224"/>
      <c r="J534" s="224"/>
      <c r="K534" s="224"/>
      <c r="L534" s="224"/>
      <c r="M534" s="224"/>
      <c r="N534" s="224"/>
      <c r="O534" s="224"/>
    </row>
    <row r="535" spans="1:15"/>
    <row r="536" spans="1:15" hidden="1">
      <c r="A536" s="258" t="s">
        <v>234</v>
      </c>
      <c r="B536" s="258"/>
      <c r="C536" s="258"/>
      <c r="D536" s="258"/>
      <c r="E536" s="258"/>
      <c r="F536" s="258"/>
      <c r="G536" s="258"/>
      <c r="H536" s="258"/>
      <c r="I536" s="258"/>
      <c r="J536" s="258"/>
      <c r="K536" s="258"/>
      <c r="L536" s="258"/>
      <c r="M536" s="258"/>
      <c r="N536" s="258"/>
    </row>
    <row r="537" spans="1:15" hidden="1">
      <c r="A537" s="3" t="s">
        <v>3</v>
      </c>
      <c r="B537" s="4">
        <f>B499</f>
        <v>2439</v>
      </c>
      <c r="C537" s="4"/>
      <c r="D537" s="4"/>
      <c r="E537" s="3" t="s">
        <v>4</v>
      </c>
      <c r="F537" s="215" t="str">
        <f>F499</f>
        <v>Mahajan Ganesh Trambak</v>
      </c>
      <c r="G537" s="215"/>
      <c r="H537" s="215"/>
      <c r="I537" s="215"/>
      <c r="J537" s="215"/>
      <c r="K537" s="215"/>
      <c r="L537" s="215"/>
      <c r="M537" s="215"/>
      <c r="N537" s="215"/>
    </row>
    <row r="538" spans="1:15" hidden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6"/>
      <c r="L538" s="6"/>
      <c r="M538" s="6"/>
      <c r="N538" s="5"/>
    </row>
    <row r="539" spans="1:15" ht="20.399999999999999" hidden="1">
      <c r="A539" s="3" t="s">
        <v>6</v>
      </c>
      <c r="B539" s="4">
        <f>B501</f>
        <v>2439</v>
      </c>
      <c r="C539" s="4"/>
      <c r="D539" s="4"/>
      <c r="E539" s="3" t="s">
        <v>7</v>
      </c>
      <c r="F539" s="268"/>
      <c r="G539" s="269"/>
      <c r="H539" s="3" t="s">
        <v>8</v>
      </c>
      <c r="I539" s="3"/>
      <c r="J539" s="3"/>
      <c r="K539" s="270" t="str">
        <f>K501</f>
        <v>Asst. Jr. Engineer</v>
      </c>
      <c r="L539" s="270"/>
      <c r="M539" s="270"/>
      <c r="N539" s="270"/>
    </row>
    <row r="540" spans="1:15" hidden="1">
      <c r="A540" s="5"/>
      <c r="B540" s="5"/>
      <c r="C540" s="5"/>
      <c r="D540" s="5"/>
      <c r="E540" s="17"/>
      <c r="F540" s="5"/>
      <c r="G540" s="5"/>
      <c r="H540" s="5"/>
      <c r="I540" s="5"/>
      <c r="J540" s="5"/>
      <c r="K540" s="6"/>
      <c r="L540" s="6"/>
      <c r="M540" s="6"/>
      <c r="N540" s="5"/>
    </row>
    <row r="541" spans="1:15" hidden="1">
      <c r="A541" s="3" t="s">
        <v>10</v>
      </c>
      <c r="B541" s="7">
        <v>7.5999999999999998E-2</v>
      </c>
      <c r="C541" s="7"/>
      <c r="D541" s="7"/>
      <c r="E541" s="3" t="s">
        <v>11</v>
      </c>
      <c r="F541" s="7">
        <v>0.08</v>
      </c>
      <c r="G541" s="216" t="s">
        <v>12</v>
      </c>
      <c r="H541" s="217"/>
      <c r="I541" s="29"/>
      <c r="J541" s="29"/>
      <c r="K541" s="266">
        <f>N526</f>
        <v>22515</v>
      </c>
      <c r="L541" s="267"/>
      <c r="M541" s="267"/>
      <c r="N541" s="271"/>
    </row>
    <row r="542" spans="1:15" hidden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6"/>
      <c r="L542" s="6"/>
      <c r="M542" s="6"/>
      <c r="N542" s="5"/>
    </row>
    <row r="543" spans="1:15" ht="30.6" hidden="1">
      <c r="A543" s="9" t="s">
        <v>13</v>
      </c>
      <c r="B543" s="9" t="s">
        <v>14</v>
      </c>
      <c r="C543" s="9"/>
      <c r="D543" s="9"/>
      <c r="E543" s="9" t="s">
        <v>349</v>
      </c>
      <c r="F543" s="9" t="s">
        <v>15</v>
      </c>
      <c r="G543" s="9" t="s">
        <v>16</v>
      </c>
      <c r="H543" s="9" t="s">
        <v>17</v>
      </c>
      <c r="I543" s="9"/>
      <c r="J543" s="9"/>
      <c r="K543" s="10" t="s">
        <v>18</v>
      </c>
      <c r="L543" s="10"/>
      <c r="M543" s="10"/>
      <c r="N543" s="10" t="s">
        <v>19</v>
      </c>
      <c r="O543" s="11" t="s">
        <v>20</v>
      </c>
    </row>
    <row r="544" spans="1:15" hidden="1">
      <c r="A544" s="3" t="s">
        <v>235</v>
      </c>
      <c r="B544" s="13">
        <v>0</v>
      </c>
      <c r="C544" s="13"/>
      <c r="D544" s="13"/>
      <c r="E544" s="13">
        <f>B544</f>
        <v>0</v>
      </c>
      <c r="F544" s="13">
        <v>0</v>
      </c>
      <c r="G544" s="13">
        <f t="shared" ref="G544:G555" si="158">(E544+B544)+F544</f>
        <v>0</v>
      </c>
      <c r="H544" s="13">
        <v>0</v>
      </c>
      <c r="I544" s="13"/>
      <c r="J544" s="13"/>
      <c r="K544" s="13">
        <f>(K541+G544)-H544</f>
        <v>22515</v>
      </c>
      <c r="L544" s="14"/>
      <c r="M544" s="14"/>
      <c r="N544" s="14">
        <f t="shared" ref="N544:N549" si="159">ROUND((K544*7.6/100)/12,0)</f>
        <v>143</v>
      </c>
      <c r="O544" s="282" t="s">
        <v>230</v>
      </c>
    </row>
    <row r="545" spans="1:15" hidden="1">
      <c r="A545" s="3" t="s">
        <v>236</v>
      </c>
      <c r="B545" s="13">
        <v>0</v>
      </c>
      <c r="C545" s="13"/>
      <c r="D545" s="13"/>
      <c r="E545" s="13">
        <f t="shared" ref="E545:E555" si="160">B545</f>
        <v>0</v>
      </c>
      <c r="F545" s="13">
        <v>0</v>
      </c>
      <c r="G545" s="13">
        <f t="shared" si="158"/>
        <v>0</v>
      </c>
      <c r="H545" s="13">
        <v>0</v>
      </c>
      <c r="I545" s="48"/>
      <c r="J545" s="48"/>
      <c r="K545" s="20">
        <f t="shared" ref="K545:K555" si="161">(K544+G545)-H545</f>
        <v>22515</v>
      </c>
      <c r="L545" s="52"/>
      <c r="M545" s="52"/>
      <c r="N545" s="14">
        <f t="shared" si="159"/>
        <v>143</v>
      </c>
      <c r="O545" s="282"/>
    </row>
    <row r="546" spans="1:15" hidden="1">
      <c r="A546" s="3" t="s">
        <v>237</v>
      </c>
      <c r="B546" s="13">
        <v>0</v>
      </c>
      <c r="C546" s="13"/>
      <c r="D546" s="13"/>
      <c r="E546" s="13">
        <f t="shared" si="160"/>
        <v>0</v>
      </c>
      <c r="F546" s="13">
        <v>0</v>
      </c>
      <c r="G546" s="13">
        <f t="shared" si="158"/>
        <v>0</v>
      </c>
      <c r="H546" s="13">
        <v>0</v>
      </c>
      <c r="I546" s="48"/>
      <c r="J546" s="48"/>
      <c r="K546" s="20">
        <f t="shared" si="161"/>
        <v>22515</v>
      </c>
      <c r="L546" s="52"/>
      <c r="M546" s="52"/>
      <c r="N546" s="14">
        <f t="shared" si="159"/>
        <v>143</v>
      </c>
      <c r="O546" s="282"/>
    </row>
    <row r="547" spans="1:15" hidden="1">
      <c r="A547" s="3" t="s">
        <v>238</v>
      </c>
      <c r="B547" s="13">
        <v>0</v>
      </c>
      <c r="C547" s="13"/>
      <c r="D547" s="13"/>
      <c r="E547" s="13">
        <f t="shared" si="160"/>
        <v>0</v>
      </c>
      <c r="F547" s="13">
        <v>0</v>
      </c>
      <c r="G547" s="13">
        <f t="shared" si="158"/>
        <v>0</v>
      </c>
      <c r="H547" s="13">
        <v>0</v>
      </c>
      <c r="I547" s="48"/>
      <c r="J547" s="48"/>
      <c r="K547" s="20">
        <f t="shared" si="161"/>
        <v>22515</v>
      </c>
      <c r="L547" s="52"/>
      <c r="M547" s="52"/>
      <c r="N547" s="14">
        <f t="shared" si="159"/>
        <v>143</v>
      </c>
      <c r="O547" s="282"/>
    </row>
    <row r="548" spans="1:15" hidden="1">
      <c r="A548" s="3" t="s">
        <v>239</v>
      </c>
      <c r="B548" s="13">
        <v>300</v>
      </c>
      <c r="C548" s="13"/>
      <c r="D548" s="13"/>
      <c r="E548" s="13">
        <f t="shared" si="160"/>
        <v>300</v>
      </c>
      <c r="F548" s="13">
        <v>0</v>
      </c>
      <c r="G548" s="13">
        <f t="shared" si="158"/>
        <v>600</v>
      </c>
      <c r="H548" s="13">
        <v>0</v>
      </c>
      <c r="I548" s="48"/>
      <c r="J548" s="48"/>
      <c r="K548" s="20">
        <f t="shared" si="161"/>
        <v>23115</v>
      </c>
      <c r="L548" s="52"/>
      <c r="M548" s="52"/>
      <c r="N548" s="14">
        <f t="shared" si="159"/>
        <v>146</v>
      </c>
      <c r="O548" s="282"/>
    </row>
    <row r="549" spans="1:15" hidden="1">
      <c r="A549" s="3" t="s">
        <v>240</v>
      </c>
      <c r="B549" s="13">
        <v>300</v>
      </c>
      <c r="C549" s="13"/>
      <c r="D549" s="13"/>
      <c r="E549" s="13">
        <f t="shared" si="160"/>
        <v>300</v>
      </c>
      <c r="F549" s="13">
        <v>0</v>
      </c>
      <c r="G549" s="13">
        <f t="shared" si="158"/>
        <v>600</v>
      </c>
      <c r="H549" s="13">
        <v>0</v>
      </c>
      <c r="I549" s="48"/>
      <c r="J549" s="48"/>
      <c r="K549" s="20">
        <f t="shared" si="161"/>
        <v>23715</v>
      </c>
      <c r="L549" s="52"/>
      <c r="M549" s="52"/>
      <c r="N549" s="14">
        <f t="shared" si="159"/>
        <v>150</v>
      </c>
      <c r="O549" s="282"/>
    </row>
    <row r="550" spans="1:15" hidden="1">
      <c r="A550" s="3" t="s">
        <v>241</v>
      </c>
      <c r="B550" s="13">
        <v>300</v>
      </c>
      <c r="C550" s="13"/>
      <c r="D550" s="13"/>
      <c r="E550" s="13">
        <f t="shared" si="160"/>
        <v>300</v>
      </c>
      <c r="F550" s="13">
        <v>0</v>
      </c>
      <c r="G550" s="13">
        <f t="shared" si="158"/>
        <v>600</v>
      </c>
      <c r="H550" s="13">
        <v>0</v>
      </c>
      <c r="I550" s="48"/>
      <c r="J550" s="48"/>
      <c r="K550" s="20">
        <f t="shared" si="161"/>
        <v>24315</v>
      </c>
      <c r="L550" s="52"/>
      <c r="M550" s="52"/>
      <c r="N550" s="14">
        <f t="shared" ref="N550:N555" si="162">ROUND((K550*8/100)/12,0)</f>
        <v>162</v>
      </c>
      <c r="O550" s="282" t="s">
        <v>34</v>
      </c>
    </row>
    <row r="551" spans="1:15" hidden="1">
      <c r="A551" s="3" t="s">
        <v>242</v>
      </c>
      <c r="B551" s="13">
        <v>0</v>
      </c>
      <c r="C551" s="13"/>
      <c r="D551" s="13"/>
      <c r="E551" s="13">
        <f t="shared" si="160"/>
        <v>0</v>
      </c>
      <c r="F551" s="13">
        <v>0</v>
      </c>
      <c r="G551" s="13">
        <f t="shared" si="158"/>
        <v>0</v>
      </c>
      <c r="H551" s="13">
        <v>0</v>
      </c>
      <c r="I551" s="48"/>
      <c r="J551" s="48"/>
      <c r="K551" s="20">
        <f t="shared" si="161"/>
        <v>24315</v>
      </c>
      <c r="L551" s="52"/>
      <c r="M551" s="52"/>
      <c r="N551" s="14">
        <f t="shared" si="162"/>
        <v>162</v>
      </c>
      <c r="O551" s="282"/>
    </row>
    <row r="552" spans="1:15" hidden="1">
      <c r="A552" s="3" t="s">
        <v>243</v>
      </c>
      <c r="B552" s="13">
        <v>300</v>
      </c>
      <c r="C552" s="13"/>
      <c r="D552" s="13"/>
      <c r="E552" s="13">
        <f t="shared" si="160"/>
        <v>300</v>
      </c>
      <c r="F552" s="13">
        <v>0</v>
      </c>
      <c r="G552" s="13">
        <f t="shared" si="158"/>
        <v>600</v>
      </c>
      <c r="H552" s="13">
        <v>0</v>
      </c>
      <c r="I552" s="48"/>
      <c r="J552" s="48"/>
      <c r="K552" s="20">
        <f t="shared" si="161"/>
        <v>24915</v>
      </c>
      <c r="L552" s="52"/>
      <c r="M552" s="52"/>
      <c r="N552" s="14">
        <f t="shared" si="162"/>
        <v>166</v>
      </c>
      <c r="O552" s="282"/>
    </row>
    <row r="553" spans="1:15" hidden="1">
      <c r="A553" s="3" t="s">
        <v>244</v>
      </c>
      <c r="B553" s="13">
        <v>300</v>
      </c>
      <c r="C553" s="13"/>
      <c r="D553" s="13"/>
      <c r="E553" s="13">
        <f t="shared" si="160"/>
        <v>300</v>
      </c>
      <c r="F553" s="13">
        <v>0</v>
      </c>
      <c r="G553" s="13">
        <f t="shared" si="158"/>
        <v>600</v>
      </c>
      <c r="H553" s="13">
        <v>0</v>
      </c>
      <c r="I553" s="48"/>
      <c r="J553" s="48"/>
      <c r="K553" s="20">
        <f t="shared" si="161"/>
        <v>25515</v>
      </c>
      <c r="L553" s="52"/>
      <c r="M553" s="52"/>
      <c r="N553" s="14">
        <f t="shared" si="162"/>
        <v>170</v>
      </c>
      <c r="O553" s="282"/>
    </row>
    <row r="554" spans="1:15" hidden="1">
      <c r="A554" s="3" t="s">
        <v>245</v>
      </c>
      <c r="B554" s="13">
        <v>300</v>
      </c>
      <c r="C554" s="13"/>
      <c r="D554" s="13"/>
      <c r="E554" s="13">
        <f t="shared" si="160"/>
        <v>300</v>
      </c>
      <c r="F554" s="13">
        <v>0</v>
      </c>
      <c r="G554" s="13">
        <f t="shared" si="158"/>
        <v>600</v>
      </c>
      <c r="H554" s="13">
        <v>0</v>
      </c>
      <c r="I554" s="48"/>
      <c r="J554" s="48"/>
      <c r="K554" s="20">
        <f t="shared" si="161"/>
        <v>26115</v>
      </c>
      <c r="L554" s="52"/>
      <c r="M554" s="52"/>
      <c r="N554" s="14">
        <f t="shared" si="162"/>
        <v>174</v>
      </c>
      <c r="O554" s="282"/>
    </row>
    <row r="555" spans="1:15" hidden="1">
      <c r="A555" s="3" t="s">
        <v>246</v>
      </c>
      <c r="B555" s="13">
        <v>300</v>
      </c>
      <c r="C555" s="13"/>
      <c r="D555" s="13"/>
      <c r="E555" s="13">
        <f t="shared" si="160"/>
        <v>300</v>
      </c>
      <c r="F555" s="13">
        <v>0</v>
      </c>
      <c r="G555" s="13">
        <f t="shared" si="158"/>
        <v>600</v>
      </c>
      <c r="H555" s="13">
        <v>0</v>
      </c>
      <c r="I555" s="48"/>
      <c r="J555" s="48"/>
      <c r="K555" s="20">
        <f t="shared" si="161"/>
        <v>26715</v>
      </c>
      <c r="L555" s="52"/>
      <c r="M555" s="52"/>
      <c r="N555" s="14">
        <f t="shared" si="162"/>
        <v>178</v>
      </c>
      <c r="O555" s="282"/>
    </row>
    <row r="556" spans="1:15" hidden="1">
      <c r="A556" s="3" t="s">
        <v>247</v>
      </c>
      <c r="B556" s="15">
        <f t="shared" ref="B556:H556" si="163">SUM(B544:B555)</f>
        <v>2100</v>
      </c>
      <c r="C556" s="15"/>
      <c r="D556" s="15"/>
      <c r="E556" s="15">
        <f t="shared" si="163"/>
        <v>2100</v>
      </c>
      <c r="F556" s="15">
        <f t="shared" si="163"/>
        <v>0</v>
      </c>
      <c r="G556" s="15">
        <f t="shared" si="163"/>
        <v>4200</v>
      </c>
      <c r="H556" s="15">
        <f t="shared" si="163"/>
        <v>0</v>
      </c>
      <c r="I556" s="15"/>
      <c r="J556" s="15"/>
      <c r="K556" s="15">
        <f>SUM(K544:K555)</f>
        <v>288780</v>
      </c>
      <c r="L556" s="15"/>
      <c r="M556" s="15"/>
      <c r="N556" s="15">
        <f>SUM(N544:N555)</f>
        <v>1880</v>
      </c>
    </row>
    <row r="557" spans="1:15" hidden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6"/>
      <c r="L557" s="6"/>
      <c r="M557" s="6"/>
      <c r="N557" s="5"/>
    </row>
    <row r="558" spans="1:15" ht="15" hidden="1" thickBot="1">
      <c r="A558" s="5"/>
      <c r="B558" s="6"/>
      <c r="C558" s="6"/>
      <c r="D558" s="6"/>
      <c r="E558" s="5"/>
      <c r="F558" s="5"/>
      <c r="G558" s="211" t="s">
        <v>47</v>
      </c>
      <c r="H558" s="212"/>
      <c r="I558" s="212"/>
      <c r="J558" s="212"/>
      <c r="K558" s="213"/>
      <c r="L558" s="26"/>
      <c r="M558" s="26"/>
      <c r="N558" s="16">
        <f>K541</f>
        <v>22515</v>
      </c>
    </row>
    <row r="559" spans="1:15" ht="15" hidden="1" thickBot="1">
      <c r="A559" s="5"/>
      <c r="B559" s="5"/>
      <c r="C559" s="5"/>
      <c r="D559" s="5"/>
      <c r="E559" s="5"/>
      <c r="F559" s="5"/>
      <c r="G559" s="211" t="s">
        <v>48</v>
      </c>
      <c r="H559" s="212"/>
      <c r="I559" s="212"/>
      <c r="J559" s="212"/>
      <c r="K559" s="213"/>
      <c r="L559" s="26"/>
      <c r="M559" s="26"/>
      <c r="N559" s="16">
        <f>B556+F556</f>
        <v>2100</v>
      </c>
    </row>
    <row r="560" spans="1:15" ht="15" hidden="1" thickBot="1">
      <c r="A560" s="5"/>
      <c r="B560" s="5"/>
      <c r="C560" s="5"/>
      <c r="D560" s="5"/>
      <c r="E560" s="5"/>
      <c r="F560" s="5"/>
      <c r="G560" s="211" t="s">
        <v>349</v>
      </c>
      <c r="H560" s="212"/>
      <c r="I560" s="212"/>
      <c r="J560" s="212"/>
      <c r="K560" s="213"/>
      <c r="L560" s="26"/>
      <c r="M560" s="26"/>
      <c r="N560" s="16">
        <f>E556</f>
        <v>2100</v>
      </c>
    </row>
    <row r="561" spans="1:15" ht="15" hidden="1" thickBot="1">
      <c r="A561" s="5"/>
      <c r="B561" s="5"/>
      <c r="C561" s="5"/>
      <c r="D561" s="5"/>
      <c r="E561" s="5"/>
      <c r="F561" s="5"/>
      <c r="G561" s="211" t="s">
        <v>49</v>
      </c>
      <c r="H561" s="212"/>
      <c r="I561" s="212"/>
      <c r="J561" s="212"/>
      <c r="K561" s="213"/>
      <c r="L561" s="26"/>
      <c r="M561" s="26"/>
      <c r="N561" s="16">
        <f>SUM(N558:N560)</f>
        <v>26715</v>
      </c>
    </row>
    <row r="562" spans="1:15" ht="15" hidden="1" thickBot="1">
      <c r="A562" s="5"/>
      <c r="B562" s="5"/>
      <c r="C562" s="5"/>
      <c r="D562" s="5"/>
      <c r="E562" s="5"/>
      <c r="F562" s="5"/>
      <c r="G562" s="211" t="s">
        <v>50</v>
      </c>
      <c r="H562" s="212"/>
      <c r="I562" s="212"/>
      <c r="J562" s="212"/>
      <c r="K562" s="213"/>
      <c r="L562" s="26"/>
      <c r="M562" s="26"/>
      <c r="N562" s="16">
        <f>H556</f>
        <v>0</v>
      </c>
    </row>
    <row r="563" spans="1:15" ht="15" hidden="1" thickBot="1">
      <c r="A563" s="5"/>
      <c r="B563" s="5"/>
      <c r="C563" s="5"/>
      <c r="D563" s="5"/>
      <c r="E563" s="5"/>
      <c r="F563" s="5"/>
      <c r="G563" s="211" t="s">
        <v>51</v>
      </c>
      <c r="H563" s="212"/>
      <c r="I563" s="212"/>
      <c r="J563" s="212"/>
      <c r="K563" s="213"/>
      <c r="L563" s="26"/>
      <c r="M563" s="26"/>
      <c r="N563" s="16">
        <f>N556</f>
        <v>1880</v>
      </c>
    </row>
    <row r="564" spans="1:15" ht="15" hidden="1" thickBot="1">
      <c r="A564" s="5"/>
      <c r="B564" s="5"/>
      <c r="C564" s="5"/>
      <c r="D564" s="5"/>
      <c r="E564" s="5"/>
      <c r="F564" s="5"/>
      <c r="G564" s="211" t="s">
        <v>52</v>
      </c>
      <c r="H564" s="212"/>
      <c r="I564" s="212"/>
      <c r="J564" s="212"/>
      <c r="K564" s="213"/>
      <c r="L564" s="26"/>
      <c r="M564" s="26"/>
      <c r="N564" s="16">
        <f>(N561-N562)+N563</f>
        <v>28595</v>
      </c>
    </row>
    <row r="565" spans="1:15" hidden="1">
      <c r="A565" s="5"/>
      <c r="B565" s="5"/>
      <c r="C565" s="5"/>
      <c r="D565" s="5"/>
      <c r="E565" s="5"/>
      <c r="F565" s="5"/>
      <c r="G565" s="17"/>
      <c r="H565" s="17"/>
      <c r="I565" s="17"/>
      <c r="J565" s="17"/>
      <c r="K565" s="17"/>
      <c r="L565" s="17"/>
      <c r="M565" s="17"/>
      <c r="N565" s="6"/>
    </row>
    <row r="566" spans="1:15"/>
    <row r="567" spans="1:15"/>
    <row r="568" spans="1:15" ht="16.8" hidden="1">
      <c r="A568" s="249" t="s">
        <v>53</v>
      </c>
      <c r="B568" s="249"/>
      <c r="C568" s="18"/>
      <c r="D568" s="18"/>
      <c r="E568" s="249" t="s">
        <v>54</v>
      </c>
      <c r="F568" s="249"/>
      <c r="G568" s="249"/>
      <c r="H568" s="250" t="s">
        <v>55</v>
      </c>
      <c r="I568" s="250"/>
      <c r="J568" s="250"/>
      <c r="K568" s="250"/>
      <c r="L568" s="250"/>
      <c r="M568" s="250"/>
      <c r="N568" s="250"/>
    </row>
    <row r="569" spans="1:15" ht="16.8" hidden="1">
      <c r="A569" s="18"/>
      <c r="B569" s="18"/>
      <c r="C569" s="18"/>
      <c r="D569" s="18"/>
      <c r="E569" s="18"/>
      <c r="F569" s="18"/>
      <c r="G569" s="19"/>
      <c r="H569" s="19"/>
      <c r="I569" s="19"/>
      <c r="J569" s="19"/>
    </row>
    <row r="570" spans="1:15" ht="16.8" hidden="1">
      <c r="A570" s="18"/>
      <c r="B570" s="18"/>
      <c r="C570" s="18"/>
      <c r="D570" s="18"/>
      <c r="E570" s="18"/>
      <c r="F570" s="18"/>
      <c r="G570" s="19"/>
      <c r="H570" s="19"/>
      <c r="I570" s="19"/>
      <c r="J570" s="19"/>
    </row>
    <row r="571" spans="1:15" ht="18.600000000000001" hidden="1">
      <c r="A571" s="224" t="s">
        <v>0</v>
      </c>
      <c r="B571" s="224"/>
      <c r="C571" s="224"/>
      <c r="D571" s="224"/>
      <c r="E571" s="224"/>
      <c r="F571" s="224"/>
      <c r="G571" s="224"/>
      <c r="H571" s="224"/>
      <c r="I571" s="224"/>
      <c r="J571" s="224"/>
      <c r="K571" s="224"/>
      <c r="L571" s="224"/>
      <c r="M571" s="224"/>
      <c r="N571" s="224"/>
      <c r="O571" s="224"/>
    </row>
    <row r="572" spans="1:15" ht="18.600000000000001" hidden="1">
      <c r="A572" s="224" t="s">
        <v>1</v>
      </c>
      <c r="B572" s="224"/>
      <c r="C572" s="224"/>
      <c r="D572" s="224"/>
      <c r="E572" s="224"/>
      <c r="F572" s="224"/>
      <c r="G572" s="224"/>
      <c r="H572" s="224"/>
      <c r="I572" s="224"/>
      <c r="J572" s="224"/>
      <c r="K572" s="224"/>
      <c r="L572" s="224"/>
      <c r="M572" s="224"/>
      <c r="N572" s="224"/>
      <c r="O572" s="224"/>
    </row>
    <row r="573" spans="1:15"/>
    <row r="574" spans="1:15" hidden="1">
      <c r="A574" s="258" t="s">
        <v>248</v>
      </c>
      <c r="B574" s="258"/>
      <c r="C574" s="258"/>
      <c r="D574" s="258"/>
      <c r="E574" s="258"/>
      <c r="F574" s="258"/>
      <c r="G574" s="258"/>
      <c r="H574" s="258"/>
      <c r="I574" s="258"/>
      <c r="J574" s="258"/>
      <c r="K574" s="258"/>
      <c r="L574" s="258"/>
      <c r="M574" s="258"/>
      <c r="N574" s="258"/>
    </row>
    <row r="575" spans="1:15" hidden="1">
      <c r="A575" s="3" t="s">
        <v>3</v>
      </c>
      <c r="B575" s="4">
        <f>B537</f>
        <v>2439</v>
      </c>
      <c r="C575" s="4"/>
      <c r="D575" s="4"/>
      <c r="E575" s="3" t="s">
        <v>4</v>
      </c>
      <c r="F575" s="215" t="str">
        <f>F537</f>
        <v>Mahajan Ganesh Trambak</v>
      </c>
      <c r="G575" s="215"/>
      <c r="H575" s="215"/>
      <c r="I575" s="215"/>
      <c r="J575" s="215"/>
      <c r="K575" s="215"/>
      <c r="L575" s="215"/>
      <c r="M575" s="215"/>
      <c r="N575" s="215"/>
    </row>
    <row r="576" spans="1:15" hidden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6"/>
      <c r="L576" s="6"/>
      <c r="M576" s="6"/>
      <c r="N576" s="5"/>
    </row>
    <row r="577" spans="1:15" ht="20.399999999999999" hidden="1">
      <c r="A577" s="3" t="s">
        <v>6</v>
      </c>
      <c r="B577" s="4">
        <f>B539</f>
        <v>2439</v>
      </c>
      <c r="C577" s="4"/>
      <c r="D577" s="4"/>
      <c r="E577" s="3" t="s">
        <v>7</v>
      </c>
      <c r="F577" s="268"/>
      <c r="G577" s="269"/>
      <c r="H577" s="3" t="s">
        <v>8</v>
      </c>
      <c r="I577" s="3"/>
      <c r="J577" s="3"/>
      <c r="K577" s="270" t="str">
        <f>K539</f>
        <v>Asst. Jr. Engineer</v>
      </c>
      <c r="L577" s="270"/>
      <c r="M577" s="270"/>
      <c r="N577" s="270"/>
    </row>
    <row r="578" spans="1:15" hidden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6"/>
      <c r="L578" s="6"/>
      <c r="M578" s="6"/>
      <c r="N578" s="5"/>
    </row>
    <row r="579" spans="1:15" hidden="1">
      <c r="A579" s="3" t="s">
        <v>10</v>
      </c>
      <c r="B579" s="7">
        <v>0.08</v>
      </c>
      <c r="C579" s="7"/>
      <c r="D579" s="7"/>
      <c r="E579" s="3" t="s">
        <v>11</v>
      </c>
      <c r="F579" s="7">
        <v>7.9000000000000001E-2</v>
      </c>
      <c r="G579" s="216" t="s">
        <v>12</v>
      </c>
      <c r="H579" s="217"/>
      <c r="I579" s="29"/>
      <c r="J579" s="29"/>
      <c r="K579" s="266">
        <f>N564</f>
        <v>28595</v>
      </c>
      <c r="L579" s="267"/>
      <c r="M579" s="267"/>
      <c r="N579" s="271"/>
    </row>
    <row r="580" spans="1:15" hidden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6"/>
      <c r="L580" s="6"/>
      <c r="M580" s="6"/>
      <c r="N580" s="5"/>
    </row>
    <row r="581" spans="1:15" ht="30.6" hidden="1">
      <c r="A581" s="9" t="s">
        <v>13</v>
      </c>
      <c r="B581" s="9" t="s">
        <v>14</v>
      </c>
      <c r="C581" s="9"/>
      <c r="D581" s="9"/>
      <c r="E581" s="9" t="s">
        <v>349</v>
      </c>
      <c r="F581" s="9" t="s">
        <v>15</v>
      </c>
      <c r="G581" s="9" t="s">
        <v>16</v>
      </c>
      <c r="H581" s="9" t="s">
        <v>17</v>
      </c>
      <c r="I581" s="9"/>
      <c r="J581" s="9"/>
      <c r="K581" s="10" t="s">
        <v>18</v>
      </c>
      <c r="L581" s="10"/>
      <c r="M581" s="10"/>
      <c r="N581" s="10" t="s">
        <v>19</v>
      </c>
      <c r="O581" s="11" t="s">
        <v>20</v>
      </c>
    </row>
    <row r="582" spans="1:15" hidden="1">
      <c r="A582" s="3" t="s">
        <v>249</v>
      </c>
      <c r="B582" s="13">
        <v>300</v>
      </c>
      <c r="C582" s="13"/>
      <c r="D582" s="13"/>
      <c r="E582" s="13">
        <f>ROUND(B582*10*14%,0)</f>
        <v>420</v>
      </c>
      <c r="F582" s="13">
        <v>0</v>
      </c>
      <c r="G582" s="13">
        <f t="shared" ref="G582:G593" si="164">(E582+B582)+F582</f>
        <v>720</v>
      </c>
      <c r="H582" s="13">
        <v>0</v>
      </c>
      <c r="I582" s="13"/>
      <c r="J582" s="13"/>
      <c r="K582" s="13">
        <f>(K579+G582)-H582</f>
        <v>29315</v>
      </c>
      <c r="L582" s="14"/>
      <c r="M582" s="14"/>
      <c r="N582" s="14">
        <f>ROUND((K582*8/100)/12,0)</f>
        <v>195</v>
      </c>
      <c r="O582" s="272" t="s">
        <v>34</v>
      </c>
    </row>
    <row r="583" spans="1:15" hidden="1">
      <c r="A583" s="3" t="s">
        <v>250</v>
      </c>
      <c r="B583" s="13">
        <v>300</v>
      </c>
      <c r="C583" s="13"/>
      <c r="D583" s="13"/>
      <c r="E583" s="13">
        <f t="shared" ref="E583:E593" si="165">ROUND(B583*10*14%,0)</f>
        <v>420</v>
      </c>
      <c r="F583" s="13">
        <v>0</v>
      </c>
      <c r="G583" s="13">
        <f t="shared" si="164"/>
        <v>720</v>
      </c>
      <c r="H583" s="13">
        <v>0</v>
      </c>
      <c r="I583" s="48"/>
      <c r="J583" s="48"/>
      <c r="K583" s="20">
        <f t="shared" ref="K583:K593" si="166">(K582+G583)-H583</f>
        <v>30035</v>
      </c>
      <c r="L583" s="52"/>
      <c r="M583" s="52"/>
      <c r="N583" s="14">
        <f>ROUND((K583*8/100)/12,0)</f>
        <v>200</v>
      </c>
      <c r="O583" s="273"/>
    </row>
    <row r="584" spans="1:15" hidden="1">
      <c r="A584" s="3" t="s">
        <v>251</v>
      </c>
      <c r="B584" s="13">
        <v>300</v>
      </c>
      <c r="C584" s="13"/>
      <c r="D584" s="13"/>
      <c r="E584" s="13">
        <f t="shared" si="165"/>
        <v>420</v>
      </c>
      <c r="F584" s="13">
        <v>0</v>
      </c>
      <c r="G584" s="13">
        <f t="shared" si="164"/>
        <v>720</v>
      </c>
      <c r="H584" s="13">
        <v>0</v>
      </c>
      <c r="I584" s="48"/>
      <c r="J584" s="48"/>
      <c r="K584" s="20">
        <f t="shared" si="166"/>
        <v>30755</v>
      </c>
      <c r="L584" s="52"/>
      <c r="M584" s="52"/>
      <c r="N584" s="14">
        <f>ROUND((K584*8/100)/12,0)</f>
        <v>205</v>
      </c>
      <c r="O584" s="274"/>
    </row>
    <row r="585" spans="1:15" hidden="1">
      <c r="A585" s="3" t="s">
        <v>252</v>
      </c>
      <c r="B585" s="13">
        <v>300</v>
      </c>
      <c r="C585" s="13"/>
      <c r="D585" s="13"/>
      <c r="E585" s="13">
        <f t="shared" si="165"/>
        <v>420</v>
      </c>
      <c r="F585" s="13">
        <v>0</v>
      </c>
      <c r="G585" s="13">
        <f t="shared" si="164"/>
        <v>720</v>
      </c>
      <c r="H585" s="13">
        <v>0</v>
      </c>
      <c r="I585" s="48"/>
      <c r="J585" s="48"/>
      <c r="K585" s="20">
        <f t="shared" si="166"/>
        <v>31475</v>
      </c>
      <c r="L585" s="52"/>
      <c r="M585" s="52"/>
      <c r="N585" s="14">
        <f>ROUND((K585*7.9/100)/12,0)</f>
        <v>207</v>
      </c>
      <c r="O585" s="272" t="s">
        <v>219</v>
      </c>
    </row>
    <row r="586" spans="1:15" hidden="1">
      <c r="A586" s="3" t="s">
        <v>253</v>
      </c>
      <c r="B586" s="13">
        <v>300</v>
      </c>
      <c r="C586" s="13"/>
      <c r="D586" s="13"/>
      <c r="E586" s="13">
        <f t="shared" si="165"/>
        <v>420</v>
      </c>
      <c r="F586" s="13">
        <v>0</v>
      </c>
      <c r="G586" s="13">
        <f t="shared" si="164"/>
        <v>720</v>
      </c>
      <c r="H586" s="13">
        <v>0</v>
      </c>
      <c r="I586" s="48"/>
      <c r="J586" s="48"/>
      <c r="K586" s="20">
        <f t="shared" si="166"/>
        <v>32195</v>
      </c>
      <c r="L586" s="52"/>
      <c r="M586" s="52"/>
      <c r="N586" s="14">
        <f t="shared" ref="N586:N593" si="167">ROUND((K586*7.9/100)/12,0)</f>
        <v>212</v>
      </c>
      <c r="O586" s="273"/>
    </row>
    <row r="587" spans="1:15" hidden="1">
      <c r="A587" s="3" t="s">
        <v>254</v>
      </c>
      <c r="B587" s="13">
        <v>300</v>
      </c>
      <c r="C587" s="13"/>
      <c r="D587" s="13"/>
      <c r="E587" s="13">
        <f t="shared" si="165"/>
        <v>420</v>
      </c>
      <c r="F587" s="13">
        <v>0</v>
      </c>
      <c r="G587" s="13">
        <f t="shared" si="164"/>
        <v>720</v>
      </c>
      <c r="H587" s="13">
        <v>0</v>
      </c>
      <c r="I587" s="48"/>
      <c r="J587" s="48"/>
      <c r="K587" s="20">
        <f t="shared" si="166"/>
        <v>32915</v>
      </c>
      <c r="L587" s="52"/>
      <c r="M587" s="52"/>
      <c r="N587" s="14">
        <f t="shared" si="167"/>
        <v>217</v>
      </c>
      <c r="O587" s="273"/>
    </row>
    <row r="588" spans="1:15" hidden="1">
      <c r="A588" s="3" t="s">
        <v>255</v>
      </c>
      <c r="B588" s="13">
        <v>300</v>
      </c>
      <c r="C588" s="13"/>
      <c r="D588" s="13"/>
      <c r="E588" s="13">
        <f t="shared" si="165"/>
        <v>420</v>
      </c>
      <c r="F588" s="13">
        <v>0</v>
      </c>
      <c r="G588" s="13">
        <f t="shared" si="164"/>
        <v>720</v>
      </c>
      <c r="H588" s="13">
        <v>0</v>
      </c>
      <c r="I588" s="48"/>
      <c r="J588" s="48"/>
      <c r="K588" s="20">
        <f t="shared" si="166"/>
        <v>33635</v>
      </c>
      <c r="L588" s="52"/>
      <c r="M588" s="52"/>
      <c r="N588" s="14">
        <f t="shared" si="167"/>
        <v>221</v>
      </c>
      <c r="O588" s="273"/>
    </row>
    <row r="589" spans="1:15" hidden="1">
      <c r="A589" s="3" t="s">
        <v>256</v>
      </c>
      <c r="B589" s="13">
        <v>300</v>
      </c>
      <c r="C589" s="13"/>
      <c r="D589" s="13"/>
      <c r="E589" s="13">
        <f t="shared" si="165"/>
        <v>420</v>
      </c>
      <c r="F589" s="13">
        <v>0</v>
      </c>
      <c r="G589" s="13">
        <f t="shared" si="164"/>
        <v>720</v>
      </c>
      <c r="H589" s="13">
        <v>0</v>
      </c>
      <c r="I589" s="48"/>
      <c r="J589" s="48"/>
      <c r="K589" s="20">
        <f t="shared" si="166"/>
        <v>34355</v>
      </c>
      <c r="L589" s="52"/>
      <c r="M589" s="52"/>
      <c r="N589" s="14">
        <f t="shared" si="167"/>
        <v>226</v>
      </c>
      <c r="O589" s="273"/>
    </row>
    <row r="590" spans="1:15" hidden="1">
      <c r="A590" s="3" t="s">
        <v>257</v>
      </c>
      <c r="B590" s="13">
        <v>300</v>
      </c>
      <c r="C590" s="13"/>
      <c r="D590" s="13"/>
      <c r="E590" s="13">
        <f t="shared" si="165"/>
        <v>420</v>
      </c>
      <c r="F590" s="13">
        <v>0</v>
      </c>
      <c r="G590" s="13">
        <f t="shared" si="164"/>
        <v>720</v>
      </c>
      <c r="H590" s="13">
        <v>0</v>
      </c>
      <c r="I590" s="48"/>
      <c r="J590" s="48"/>
      <c r="K590" s="20">
        <f t="shared" si="166"/>
        <v>35075</v>
      </c>
      <c r="L590" s="52"/>
      <c r="M590" s="52"/>
      <c r="N590" s="14">
        <f t="shared" si="167"/>
        <v>231</v>
      </c>
      <c r="O590" s="273"/>
    </row>
    <row r="591" spans="1:15" hidden="1">
      <c r="A591" s="3" t="s">
        <v>258</v>
      </c>
      <c r="B591" s="13">
        <v>1896</v>
      </c>
      <c r="C591" s="13"/>
      <c r="D591" s="13"/>
      <c r="E591" s="13">
        <f t="shared" si="165"/>
        <v>2654</v>
      </c>
      <c r="F591" s="13">
        <v>0</v>
      </c>
      <c r="G591" s="13">
        <f t="shared" si="164"/>
        <v>4550</v>
      </c>
      <c r="H591" s="13">
        <v>0</v>
      </c>
      <c r="I591" s="48"/>
      <c r="J591" s="48"/>
      <c r="K591" s="20">
        <f t="shared" si="166"/>
        <v>39625</v>
      </c>
      <c r="L591" s="52"/>
      <c r="M591" s="52"/>
      <c r="N591" s="14">
        <f t="shared" si="167"/>
        <v>261</v>
      </c>
      <c r="O591" s="273"/>
    </row>
    <row r="592" spans="1:15" hidden="1">
      <c r="A592" s="3" t="s">
        <v>259</v>
      </c>
      <c r="B592" s="13">
        <v>1848</v>
      </c>
      <c r="C592" s="13"/>
      <c r="D592" s="13"/>
      <c r="E592" s="13">
        <f t="shared" si="165"/>
        <v>2587</v>
      </c>
      <c r="F592" s="13">
        <v>0</v>
      </c>
      <c r="G592" s="13">
        <f t="shared" si="164"/>
        <v>4435</v>
      </c>
      <c r="H592" s="13">
        <v>0</v>
      </c>
      <c r="I592" s="48"/>
      <c r="J592" s="48"/>
      <c r="K592" s="20">
        <f t="shared" si="166"/>
        <v>44060</v>
      </c>
      <c r="L592" s="52"/>
      <c r="M592" s="52"/>
      <c r="N592" s="14">
        <f t="shared" si="167"/>
        <v>290</v>
      </c>
      <c r="O592" s="273"/>
    </row>
    <row r="593" spans="1:15" hidden="1">
      <c r="A593" s="3" t="s">
        <v>260</v>
      </c>
      <c r="B593" s="13">
        <v>1848</v>
      </c>
      <c r="C593" s="13"/>
      <c r="D593" s="13"/>
      <c r="E593" s="13">
        <f t="shared" si="165"/>
        <v>2587</v>
      </c>
      <c r="F593" s="13">
        <v>0</v>
      </c>
      <c r="G593" s="13">
        <f t="shared" si="164"/>
        <v>4435</v>
      </c>
      <c r="H593" s="13">
        <v>0</v>
      </c>
      <c r="I593" s="48"/>
      <c r="J593" s="48"/>
      <c r="K593" s="20">
        <f t="shared" si="166"/>
        <v>48495</v>
      </c>
      <c r="L593" s="52"/>
      <c r="M593" s="52"/>
      <c r="N593" s="14">
        <f t="shared" si="167"/>
        <v>319</v>
      </c>
      <c r="O593" s="274"/>
    </row>
    <row r="594" spans="1:15" hidden="1">
      <c r="A594" s="3" t="s">
        <v>261</v>
      </c>
      <c r="B594" s="15">
        <f t="shared" ref="B594:N594" si="168">SUM(B582:B593)</f>
        <v>8292</v>
      </c>
      <c r="C594" s="15"/>
      <c r="D594" s="15"/>
      <c r="E594" s="15">
        <f t="shared" si="168"/>
        <v>11608</v>
      </c>
      <c r="F594" s="15">
        <f t="shared" si="168"/>
        <v>0</v>
      </c>
      <c r="G594" s="15">
        <f t="shared" si="168"/>
        <v>19900</v>
      </c>
      <c r="H594" s="15">
        <f t="shared" si="168"/>
        <v>0</v>
      </c>
      <c r="I594" s="15"/>
      <c r="J594" s="15"/>
      <c r="K594" s="15">
        <f>SUM(K582:K593)</f>
        <v>421935</v>
      </c>
      <c r="L594" s="15"/>
      <c r="M594" s="15"/>
      <c r="N594" s="15">
        <f t="shared" si="168"/>
        <v>2784</v>
      </c>
    </row>
    <row r="595" spans="1:15" hidden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6"/>
      <c r="L595" s="6"/>
      <c r="M595" s="6"/>
      <c r="N595" s="5"/>
    </row>
    <row r="596" spans="1:15" ht="15" hidden="1" thickBot="1">
      <c r="A596" s="5"/>
      <c r="B596" s="6"/>
      <c r="C596" s="6"/>
      <c r="D596" s="6"/>
      <c r="E596" s="5"/>
      <c r="F596" s="5"/>
      <c r="G596" s="211" t="s">
        <v>47</v>
      </c>
      <c r="H596" s="212"/>
      <c r="I596" s="212"/>
      <c r="J596" s="212"/>
      <c r="K596" s="213"/>
      <c r="L596" s="26"/>
      <c r="M596" s="26"/>
      <c r="N596" s="16">
        <f>K579</f>
        <v>28595</v>
      </c>
    </row>
    <row r="597" spans="1:15" ht="15" hidden="1" thickBot="1">
      <c r="A597" s="5"/>
      <c r="B597" s="5"/>
      <c r="C597" s="5"/>
      <c r="D597" s="5"/>
      <c r="E597" s="5"/>
      <c r="F597" s="5"/>
      <c r="G597" s="211" t="s">
        <v>48</v>
      </c>
      <c r="H597" s="212"/>
      <c r="I597" s="212"/>
      <c r="J597" s="212"/>
      <c r="K597" s="213"/>
      <c r="L597" s="26"/>
      <c r="M597" s="26"/>
      <c r="N597" s="16">
        <f>B594+F594</f>
        <v>8292</v>
      </c>
    </row>
    <row r="598" spans="1:15" ht="15" hidden="1" thickBot="1">
      <c r="A598" s="5"/>
      <c r="B598" s="5"/>
      <c r="C598" s="5"/>
      <c r="D598" s="5"/>
      <c r="E598" s="5"/>
      <c r="F598" s="5"/>
      <c r="G598" s="211" t="s">
        <v>349</v>
      </c>
      <c r="H598" s="212"/>
      <c r="I598" s="212"/>
      <c r="J598" s="212"/>
      <c r="K598" s="213"/>
      <c r="L598" s="26"/>
      <c r="M598" s="26"/>
      <c r="N598" s="16">
        <f>E594</f>
        <v>11608</v>
      </c>
    </row>
    <row r="599" spans="1:15" ht="15" hidden="1" thickBot="1">
      <c r="A599" s="5"/>
      <c r="B599" s="5"/>
      <c r="C599" s="5"/>
      <c r="D599" s="5"/>
      <c r="E599" s="5"/>
      <c r="F599" s="5"/>
      <c r="G599" s="211" t="s">
        <v>49</v>
      </c>
      <c r="H599" s="212"/>
      <c r="I599" s="212"/>
      <c r="J599" s="212"/>
      <c r="K599" s="213"/>
      <c r="L599" s="26"/>
      <c r="M599" s="26"/>
      <c r="N599" s="16">
        <f>SUM(N596:N598)</f>
        <v>48495</v>
      </c>
    </row>
    <row r="600" spans="1:15" ht="15" hidden="1" thickBot="1">
      <c r="A600" s="5"/>
      <c r="B600" s="5"/>
      <c r="C600" s="5"/>
      <c r="D600" s="5"/>
      <c r="E600" s="5"/>
      <c r="F600" s="5"/>
      <c r="G600" s="211" t="s">
        <v>50</v>
      </c>
      <c r="H600" s="212"/>
      <c r="I600" s="212"/>
      <c r="J600" s="212"/>
      <c r="K600" s="213"/>
      <c r="L600" s="26"/>
      <c r="M600" s="26"/>
      <c r="N600" s="16">
        <f>H594</f>
        <v>0</v>
      </c>
    </row>
    <row r="601" spans="1:15" ht="15" hidden="1" thickBot="1">
      <c r="A601" s="5"/>
      <c r="B601" s="5"/>
      <c r="C601" s="5"/>
      <c r="D601" s="5"/>
      <c r="E601" s="5"/>
      <c r="F601" s="5"/>
      <c r="G601" s="211" t="s">
        <v>51</v>
      </c>
      <c r="H601" s="212"/>
      <c r="I601" s="212"/>
      <c r="J601" s="212"/>
      <c r="K601" s="213"/>
      <c r="L601" s="26"/>
      <c r="M601" s="26"/>
      <c r="N601" s="16">
        <f>N594</f>
        <v>2784</v>
      </c>
    </row>
    <row r="602" spans="1:15" ht="15" hidden="1" thickBot="1">
      <c r="A602" s="5"/>
      <c r="B602" s="5"/>
      <c r="C602" s="5"/>
      <c r="D602" s="5"/>
      <c r="E602" s="5"/>
      <c r="F602" s="5"/>
      <c r="G602" s="211" t="s">
        <v>52</v>
      </c>
      <c r="H602" s="212"/>
      <c r="I602" s="212"/>
      <c r="J602" s="212"/>
      <c r="K602" s="213"/>
      <c r="L602" s="26"/>
      <c r="M602" s="26"/>
      <c r="N602" s="16">
        <f>(N599-N600)+N601</f>
        <v>51279</v>
      </c>
    </row>
    <row r="603" spans="1:15" hidden="1">
      <c r="A603" s="5"/>
      <c r="B603" s="5"/>
      <c r="C603" s="5"/>
      <c r="D603" s="5"/>
      <c r="E603" s="5"/>
      <c r="F603" s="5"/>
      <c r="G603" s="17"/>
      <c r="H603" s="17"/>
      <c r="I603" s="17"/>
      <c r="J603" s="17"/>
      <c r="K603" s="17"/>
      <c r="L603" s="17"/>
      <c r="M603" s="17"/>
      <c r="N603" s="6"/>
    </row>
    <row r="604" spans="1:15"/>
    <row r="605" spans="1:15"/>
    <row r="606" spans="1:15" ht="16.8" hidden="1">
      <c r="A606" s="249" t="s">
        <v>53</v>
      </c>
      <c r="B606" s="249"/>
      <c r="C606" s="18"/>
      <c r="D606" s="18"/>
      <c r="E606" s="249" t="s">
        <v>54</v>
      </c>
      <c r="F606" s="249"/>
      <c r="G606" s="249"/>
      <c r="H606" s="250" t="s">
        <v>55</v>
      </c>
      <c r="I606" s="250"/>
      <c r="J606" s="250"/>
      <c r="K606" s="250"/>
      <c r="L606" s="250"/>
      <c r="M606" s="250"/>
      <c r="N606" s="250"/>
    </row>
    <row r="607" spans="1:15" ht="16.8" hidden="1">
      <c r="A607" s="18"/>
      <c r="B607" s="18"/>
      <c r="C607" s="18"/>
      <c r="D607" s="18"/>
      <c r="E607" s="18"/>
      <c r="F607" s="18"/>
      <c r="G607" s="19"/>
      <c r="H607" s="19"/>
      <c r="I607" s="19"/>
      <c r="J607" s="19"/>
    </row>
    <row r="608" spans="1:15" ht="16.8" hidden="1">
      <c r="A608" s="18"/>
      <c r="B608" s="18"/>
      <c r="C608" s="18"/>
      <c r="D608" s="18"/>
      <c r="E608" s="18"/>
      <c r="F608" s="18"/>
      <c r="G608" s="19"/>
      <c r="H608" s="19"/>
      <c r="I608" s="19"/>
      <c r="J608" s="19"/>
    </row>
    <row r="609" spans="1:15" ht="18.600000000000001" hidden="1">
      <c r="A609" s="224" t="s">
        <v>0</v>
      </c>
      <c r="B609" s="224"/>
      <c r="C609" s="224"/>
      <c r="D609" s="224"/>
      <c r="E609" s="224"/>
      <c r="F609" s="224"/>
      <c r="G609" s="224"/>
      <c r="H609" s="224"/>
      <c r="I609" s="224"/>
      <c r="J609" s="224"/>
      <c r="K609" s="224"/>
      <c r="L609" s="224"/>
      <c r="M609" s="224"/>
      <c r="N609" s="224"/>
      <c r="O609" s="224"/>
    </row>
    <row r="610" spans="1:15" ht="18.600000000000001" hidden="1">
      <c r="A610" s="224" t="s">
        <v>1</v>
      </c>
      <c r="B610" s="224"/>
      <c r="C610" s="224"/>
      <c r="D610" s="224"/>
      <c r="E610" s="224"/>
      <c r="F610" s="224"/>
      <c r="G610" s="224"/>
      <c r="H610" s="224"/>
      <c r="I610" s="224"/>
      <c r="J610" s="224"/>
      <c r="K610" s="224"/>
      <c r="L610" s="224"/>
      <c r="M610" s="224"/>
      <c r="N610" s="224"/>
      <c r="O610" s="224"/>
    </row>
    <row r="611" spans="1:15"/>
    <row r="612" spans="1:15" hidden="1">
      <c r="A612" s="258" t="s">
        <v>262</v>
      </c>
      <c r="B612" s="258"/>
      <c r="C612" s="258"/>
      <c r="D612" s="258"/>
      <c r="E612" s="258"/>
      <c r="F612" s="258"/>
      <c r="G612" s="258"/>
      <c r="H612" s="258"/>
      <c r="I612" s="258"/>
      <c r="J612" s="258"/>
      <c r="K612" s="258"/>
      <c r="L612" s="258"/>
      <c r="M612" s="258"/>
      <c r="N612" s="258"/>
    </row>
    <row r="613" spans="1:15" hidden="1">
      <c r="A613" s="3" t="s">
        <v>3</v>
      </c>
      <c r="B613" s="4">
        <f>B575</f>
        <v>2439</v>
      </c>
      <c r="C613" s="4"/>
      <c r="D613" s="4"/>
      <c r="E613" s="3" t="s">
        <v>4</v>
      </c>
      <c r="F613" s="215" t="str">
        <f>F575</f>
        <v>Mahajan Ganesh Trambak</v>
      </c>
      <c r="G613" s="215"/>
      <c r="H613" s="215"/>
      <c r="I613" s="215"/>
      <c r="J613" s="215"/>
      <c r="K613" s="215"/>
      <c r="L613" s="215"/>
      <c r="M613" s="215"/>
      <c r="N613" s="215"/>
    </row>
    <row r="614" spans="1:15" hidden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6"/>
      <c r="L614" s="6"/>
      <c r="M614" s="6"/>
      <c r="N614" s="5"/>
    </row>
    <row r="615" spans="1:15" ht="20.399999999999999" hidden="1">
      <c r="A615" s="3" t="s">
        <v>6</v>
      </c>
      <c r="B615" s="4">
        <f>B577</f>
        <v>2439</v>
      </c>
      <c r="C615" s="4"/>
      <c r="D615" s="4"/>
      <c r="E615" s="3" t="s">
        <v>7</v>
      </c>
      <c r="F615" s="268"/>
      <c r="G615" s="269"/>
      <c r="H615" s="3" t="s">
        <v>8</v>
      </c>
      <c r="I615" s="3"/>
      <c r="J615" s="3"/>
      <c r="K615" s="270" t="str">
        <f>K577</f>
        <v>Asst. Jr. Engineer</v>
      </c>
      <c r="L615" s="270"/>
      <c r="M615" s="270"/>
      <c r="N615" s="270"/>
    </row>
    <row r="616" spans="1:15" hidden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6"/>
      <c r="L616" s="6"/>
      <c r="M616" s="6"/>
      <c r="N616" s="5"/>
    </row>
    <row r="617" spans="1:15" hidden="1">
      <c r="A617" s="3" t="s">
        <v>10</v>
      </c>
      <c r="B617" s="7">
        <v>7.0999999999999994E-2</v>
      </c>
      <c r="C617" s="7"/>
      <c r="D617" s="7"/>
      <c r="E617" s="3" t="s">
        <v>11</v>
      </c>
      <c r="F617" s="7">
        <v>0</v>
      </c>
      <c r="G617" s="216" t="s">
        <v>12</v>
      </c>
      <c r="H617" s="217"/>
      <c r="I617" s="29"/>
      <c r="J617" s="29"/>
      <c r="K617" s="266">
        <f>N602</f>
        <v>51279</v>
      </c>
      <c r="L617" s="267"/>
      <c r="M617" s="267"/>
      <c r="N617" s="271"/>
    </row>
    <row r="618" spans="1:15" hidden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6"/>
      <c r="L618" s="6"/>
      <c r="M618" s="6"/>
      <c r="N618" s="5"/>
    </row>
    <row r="619" spans="1:15" ht="30.6" hidden="1">
      <c r="A619" s="9" t="s">
        <v>13</v>
      </c>
      <c r="B619" s="9" t="s">
        <v>14</v>
      </c>
      <c r="C619" s="9"/>
      <c r="D619" s="9"/>
      <c r="E619" s="9" t="s">
        <v>349</v>
      </c>
      <c r="F619" s="9" t="s">
        <v>15</v>
      </c>
      <c r="G619" s="9" t="s">
        <v>16</v>
      </c>
      <c r="H619" s="9" t="s">
        <v>17</v>
      </c>
      <c r="I619" s="9"/>
      <c r="J619" s="9"/>
      <c r="K619" s="10" t="s">
        <v>18</v>
      </c>
      <c r="L619" s="10"/>
      <c r="M619" s="10"/>
      <c r="N619" s="10" t="s">
        <v>19</v>
      </c>
      <c r="O619" s="11" t="s">
        <v>20</v>
      </c>
    </row>
    <row r="620" spans="1:15" hidden="1">
      <c r="A620" s="3" t="s">
        <v>263</v>
      </c>
      <c r="B620" s="13">
        <v>1848</v>
      </c>
      <c r="C620" s="13"/>
      <c r="D620" s="13"/>
      <c r="E620" s="13">
        <f t="shared" ref="E620:E631" si="169">ROUND(B620*10*14%,0)</f>
        <v>2587</v>
      </c>
      <c r="F620" s="13">
        <v>0</v>
      </c>
      <c r="G620" s="13">
        <f t="shared" ref="G620:G631" si="170">(E620+B620)+F620</f>
        <v>4435</v>
      </c>
      <c r="H620" s="13">
        <v>0</v>
      </c>
      <c r="I620" s="13"/>
      <c r="J620" s="13"/>
      <c r="K620" s="13">
        <f>(K617+G620)-H620</f>
        <v>55714</v>
      </c>
      <c r="L620" s="14"/>
      <c r="M620" s="14"/>
      <c r="N620" s="14">
        <f>ROUND((K620*7.1/100)/12,0)</f>
        <v>330</v>
      </c>
      <c r="O620" s="282" t="s">
        <v>264</v>
      </c>
    </row>
    <row r="621" spans="1:15" hidden="1">
      <c r="A621" s="3" t="s">
        <v>265</v>
      </c>
      <c r="B621" s="13">
        <v>1848</v>
      </c>
      <c r="C621" s="13"/>
      <c r="D621" s="13"/>
      <c r="E621" s="13">
        <f t="shared" si="169"/>
        <v>2587</v>
      </c>
      <c r="F621" s="13">
        <v>0</v>
      </c>
      <c r="G621" s="13">
        <f t="shared" si="170"/>
        <v>4435</v>
      </c>
      <c r="H621" s="13">
        <v>0</v>
      </c>
      <c r="I621" s="48"/>
      <c r="J621" s="48"/>
      <c r="K621" s="20">
        <f t="shared" ref="K621:K631" si="171">(K620+G621)-H621</f>
        <v>60149</v>
      </c>
      <c r="L621" s="52"/>
      <c r="M621" s="52"/>
      <c r="N621" s="14">
        <f>ROUND((K621*7.1/100)/12,0)</f>
        <v>356</v>
      </c>
      <c r="O621" s="282"/>
    </row>
    <row r="622" spans="1:15" hidden="1">
      <c r="A622" s="3" t="s">
        <v>266</v>
      </c>
      <c r="B622" s="13">
        <v>1848</v>
      </c>
      <c r="C622" s="13"/>
      <c r="D622" s="13"/>
      <c r="E622" s="13">
        <f t="shared" si="169"/>
        <v>2587</v>
      </c>
      <c r="F622" s="13">
        <v>0</v>
      </c>
      <c r="G622" s="13">
        <f t="shared" si="170"/>
        <v>4435</v>
      </c>
      <c r="H622" s="13">
        <v>0</v>
      </c>
      <c r="I622" s="48"/>
      <c r="J622" s="48"/>
      <c r="K622" s="20">
        <f t="shared" si="171"/>
        <v>64584</v>
      </c>
      <c r="L622" s="52"/>
      <c r="M622" s="52"/>
      <c r="N622" s="14">
        <f>ROUND((K622*7.1/100)/12,0)</f>
        <v>382</v>
      </c>
      <c r="O622" s="282"/>
    </row>
    <row r="623" spans="1:15" hidden="1">
      <c r="A623" s="3" t="s">
        <v>267</v>
      </c>
      <c r="B623" s="13">
        <v>1903</v>
      </c>
      <c r="C623" s="13"/>
      <c r="D623" s="13"/>
      <c r="E623" s="13">
        <f t="shared" si="169"/>
        <v>2664</v>
      </c>
      <c r="F623" s="13">
        <v>0</v>
      </c>
      <c r="G623" s="13">
        <f t="shared" si="170"/>
        <v>4567</v>
      </c>
      <c r="H623" s="13">
        <v>0</v>
      </c>
      <c r="I623" s="48"/>
      <c r="J623" s="48"/>
      <c r="K623" s="20">
        <f t="shared" si="171"/>
        <v>69151</v>
      </c>
      <c r="L623" s="52"/>
      <c r="M623" s="52"/>
      <c r="N623" s="14">
        <f t="shared" ref="N623:N631" si="172">ROUND((K623*7.1/100)/12,0)</f>
        <v>409</v>
      </c>
      <c r="O623" s="282" t="s">
        <v>264</v>
      </c>
    </row>
    <row r="624" spans="1:15" hidden="1">
      <c r="A624" s="3" t="s">
        <v>268</v>
      </c>
      <c r="B624" s="13">
        <v>1903</v>
      </c>
      <c r="C624" s="13"/>
      <c r="D624" s="13"/>
      <c r="E624" s="13">
        <f t="shared" si="169"/>
        <v>2664</v>
      </c>
      <c r="F624" s="13">
        <v>0</v>
      </c>
      <c r="G624" s="13">
        <f t="shared" si="170"/>
        <v>4567</v>
      </c>
      <c r="H624" s="13">
        <v>0</v>
      </c>
      <c r="I624" s="48"/>
      <c r="J624" s="48"/>
      <c r="K624" s="20">
        <f t="shared" si="171"/>
        <v>73718</v>
      </c>
      <c r="L624" s="52"/>
      <c r="M624" s="52"/>
      <c r="N624" s="14">
        <f t="shared" si="172"/>
        <v>436</v>
      </c>
      <c r="O624" s="282"/>
    </row>
    <row r="625" spans="1:15" hidden="1">
      <c r="A625" s="3" t="s">
        <v>269</v>
      </c>
      <c r="B625" s="13">
        <v>1903</v>
      </c>
      <c r="C625" s="13"/>
      <c r="D625" s="13"/>
      <c r="E625" s="13">
        <f t="shared" si="169"/>
        <v>2664</v>
      </c>
      <c r="F625" s="13">
        <v>0</v>
      </c>
      <c r="G625" s="13">
        <f t="shared" si="170"/>
        <v>4567</v>
      </c>
      <c r="H625" s="13">
        <v>0</v>
      </c>
      <c r="I625" s="48"/>
      <c r="J625" s="48"/>
      <c r="K625" s="20">
        <f t="shared" si="171"/>
        <v>78285</v>
      </c>
      <c r="L625" s="52"/>
      <c r="M625" s="52"/>
      <c r="N625" s="14">
        <f t="shared" si="172"/>
        <v>463</v>
      </c>
      <c r="O625" s="282"/>
    </row>
    <row r="626" spans="1:15" hidden="1">
      <c r="A626" s="3" t="s">
        <v>270</v>
      </c>
      <c r="B626" s="13">
        <v>1903</v>
      </c>
      <c r="C626" s="13"/>
      <c r="D626" s="13"/>
      <c r="E626" s="13">
        <f t="shared" si="169"/>
        <v>2664</v>
      </c>
      <c r="F626" s="13">
        <v>0</v>
      </c>
      <c r="G626" s="13">
        <f t="shared" si="170"/>
        <v>4567</v>
      </c>
      <c r="H626" s="13">
        <v>0</v>
      </c>
      <c r="I626" s="48"/>
      <c r="J626" s="48"/>
      <c r="K626" s="20">
        <f t="shared" si="171"/>
        <v>82852</v>
      </c>
      <c r="L626" s="52"/>
      <c r="M626" s="52"/>
      <c r="N626" s="14">
        <f t="shared" si="172"/>
        <v>490</v>
      </c>
      <c r="O626" s="282" t="s">
        <v>264</v>
      </c>
    </row>
    <row r="627" spans="1:15" hidden="1">
      <c r="A627" s="3" t="s">
        <v>271</v>
      </c>
      <c r="B627" s="13">
        <v>1903</v>
      </c>
      <c r="C627" s="13"/>
      <c r="D627" s="13"/>
      <c r="E627" s="13">
        <f t="shared" si="169"/>
        <v>2664</v>
      </c>
      <c r="F627" s="13">
        <v>0</v>
      </c>
      <c r="G627" s="13">
        <f t="shared" si="170"/>
        <v>4567</v>
      </c>
      <c r="H627" s="13">
        <v>0</v>
      </c>
      <c r="I627" s="48"/>
      <c r="J627" s="48"/>
      <c r="K627" s="20">
        <f t="shared" si="171"/>
        <v>87419</v>
      </c>
      <c r="L627" s="52"/>
      <c r="M627" s="52"/>
      <c r="N627" s="14">
        <f t="shared" si="172"/>
        <v>517</v>
      </c>
      <c r="O627" s="282"/>
    </row>
    <row r="628" spans="1:15" hidden="1">
      <c r="A628" s="3" t="s">
        <v>272</v>
      </c>
      <c r="B628" s="13">
        <v>1903</v>
      </c>
      <c r="C628" s="13"/>
      <c r="D628" s="13"/>
      <c r="E628" s="13">
        <f t="shared" si="169"/>
        <v>2664</v>
      </c>
      <c r="F628" s="13">
        <v>0</v>
      </c>
      <c r="G628" s="13">
        <f t="shared" si="170"/>
        <v>4567</v>
      </c>
      <c r="H628" s="13">
        <v>0</v>
      </c>
      <c r="I628" s="48"/>
      <c r="J628" s="48"/>
      <c r="K628" s="20">
        <f t="shared" si="171"/>
        <v>91986</v>
      </c>
      <c r="L628" s="52"/>
      <c r="M628" s="52"/>
      <c r="N628" s="14">
        <f t="shared" si="172"/>
        <v>544</v>
      </c>
      <c r="O628" s="282"/>
    </row>
    <row r="629" spans="1:15" hidden="1">
      <c r="A629" s="3" t="s">
        <v>273</v>
      </c>
      <c r="B629" s="13">
        <v>1903</v>
      </c>
      <c r="C629" s="13"/>
      <c r="D629" s="13"/>
      <c r="E629" s="13">
        <f t="shared" si="169"/>
        <v>2664</v>
      </c>
      <c r="F629" s="13">
        <v>0</v>
      </c>
      <c r="G629" s="13">
        <f t="shared" si="170"/>
        <v>4567</v>
      </c>
      <c r="H629" s="13">
        <v>0</v>
      </c>
      <c r="I629" s="48"/>
      <c r="J629" s="48"/>
      <c r="K629" s="20">
        <f t="shared" si="171"/>
        <v>96553</v>
      </c>
      <c r="L629" s="52"/>
      <c r="M629" s="52"/>
      <c r="N629" s="14">
        <f t="shared" si="172"/>
        <v>571</v>
      </c>
      <c r="O629" s="282"/>
    </row>
    <row r="630" spans="1:15" hidden="1">
      <c r="A630" s="3" t="s">
        <v>274</v>
      </c>
      <c r="B630" s="13">
        <v>1903</v>
      </c>
      <c r="C630" s="13"/>
      <c r="D630" s="13"/>
      <c r="E630" s="13">
        <f t="shared" si="169"/>
        <v>2664</v>
      </c>
      <c r="F630" s="13">
        <v>0</v>
      </c>
      <c r="G630" s="13">
        <f t="shared" si="170"/>
        <v>4567</v>
      </c>
      <c r="H630" s="13">
        <v>0</v>
      </c>
      <c r="I630" s="48"/>
      <c r="J630" s="48"/>
      <c r="K630" s="20">
        <f t="shared" si="171"/>
        <v>101120</v>
      </c>
      <c r="L630" s="52"/>
      <c r="M630" s="52"/>
      <c r="N630" s="14">
        <f t="shared" si="172"/>
        <v>598</v>
      </c>
      <c r="O630" s="282"/>
    </row>
    <row r="631" spans="1:15" hidden="1">
      <c r="A631" s="3" t="s">
        <v>275</v>
      </c>
      <c r="B631" s="13">
        <v>1903</v>
      </c>
      <c r="C631" s="13"/>
      <c r="D631" s="13"/>
      <c r="E631" s="13">
        <f t="shared" si="169"/>
        <v>2664</v>
      </c>
      <c r="F631" s="13">
        <v>0</v>
      </c>
      <c r="G631" s="13">
        <f t="shared" si="170"/>
        <v>4567</v>
      </c>
      <c r="H631" s="13">
        <v>0</v>
      </c>
      <c r="I631" s="48"/>
      <c r="J631" s="48"/>
      <c r="K631" s="20">
        <f t="shared" si="171"/>
        <v>105687</v>
      </c>
      <c r="L631" s="52"/>
      <c r="M631" s="52"/>
      <c r="N631" s="14">
        <f t="shared" si="172"/>
        <v>625</v>
      </c>
      <c r="O631" s="282"/>
    </row>
    <row r="632" spans="1:15" hidden="1">
      <c r="A632" s="3" t="s">
        <v>276</v>
      </c>
      <c r="B632" s="15">
        <f t="shared" ref="B632:N632" si="173">SUM(B620:B631)</f>
        <v>22671</v>
      </c>
      <c r="C632" s="15"/>
      <c r="D632" s="15"/>
      <c r="E632" s="15">
        <f t="shared" si="173"/>
        <v>31737</v>
      </c>
      <c r="F632" s="15">
        <f t="shared" si="173"/>
        <v>0</v>
      </c>
      <c r="G632" s="15">
        <f t="shared" si="173"/>
        <v>54408</v>
      </c>
      <c r="H632" s="15">
        <f t="shared" si="173"/>
        <v>0</v>
      </c>
      <c r="I632" s="15"/>
      <c r="J632" s="15"/>
      <c r="K632" s="15">
        <f>SUM(K620:K631)</f>
        <v>967218</v>
      </c>
      <c r="L632" s="15"/>
      <c r="M632" s="15"/>
      <c r="N632" s="15">
        <f t="shared" si="173"/>
        <v>5721</v>
      </c>
    </row>
    <row r="633" spans="1:15" hidden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6"/>
      <c r="L633" s="6"/>
      <c r="M633" s="6"/>
      <c r="N633" s="5"/>
    </row>
    <row r="634" spans="1:15" ht="15" hidden="1" thickBot="1">
      <c r="A634" s="5"/>
      <c r="B634" s="6"/>
      <c r="C634" s="6"/>
      <c r="D634" s="6"/>
      <c r="E634" s="5"/>
      <c r="F634" s="5"/>
      <c r="G634" s="211" t="s">
        <v>47</v>
      </c>
      <c r="H634" s="212"/>
      <c r="I634" s="212"/>
      <c r="J634" s="212"/>
      <c r="K634" s="213"/>
      <c r="L634" s="26"/>
      <c r="M634" s="26"/>
      <c r="N634" s="16">
        <f>N602</f>
        <v>51279</v>
      </c>
    </row>
    <row r="635" spans="1:15" ht="15" hidden="1" thickBot="1">
      <c r="A635" s="5"/>
      <c r="B635" s="5"/>
      <c r="C635" s="5"/>
      <c r="D635" s="5"/>
      <c r="E635" s="5"/>
      <c r="F635" s="5"/>
      <c r="G635" s="211" t="s">
        <v>48</v>
      </c>
      <c r="H635" s="212"/>
      <c r="I635" s="212"/>
      <c r="J635" s="212"/>
      <c r="K635" s="213"/>
      <c r="L635" s="26"/>
      <c r="M635" s="26"/>
      <c r="N635" s="16">
        <f>B632+F632</f>
        <v>22671</v>
      </c>
    </row>
    <row r="636" spans="1:15" ht="15" hidden="1" thickBot="1">
      <c r="A636" s="5"/>
      <c r="B636" s="5"/>
      <c r="C636" s="5"/>
      <c r="D636" s="5"/>
      <c r="E636" s="5"/>
      <c r="F636" s="5"/>
      <c r="G636" s="211" t="s">
        <v>349</v>
      </c>
      <c r="H636" s="212"/>
      <c r="I636" s="212"/>
      <c r="J636" s="212"/>
      <c r="K636" s="213"/>
      <c r="L636" s="26"/>
      <c r="M636" s="26"/>
      <c r="N636" s="16">
        <f>E632</f>
        <v>31737</v>
      </c>
    </row>
    <row r="637" spans="1:15" ht="15" hidden="1" thickBot="1">
      <c r="A637" s="5"/>
      <c r="B637" s="5"/>
      <c r="C637" s="5"/>
      <c r="D637" s="5"/>
      <c r="E637" s="5"/>
      <c r="F637" s="5"/>
      <c r="G637" s="211" t="s">
        <v>49</v>
      </c>
      <c r="H637" s="212"/>
      <c r="I637" s="212"/>
      <c r="J637" s="212"/>
      <c r="K637" s="213"/>
      <c r="L637" s="26"/>
      <c r="M637" s="26"/>
      <c r="N637" s="16">
        <f>SUM(N634:N636)</f>
        <v>105687</v>
      </c>
    </row>
    <row r="638" spans="1:15" ht="15" hidden="1" thickBot="1">
      <c r="A638" s="5"/>
      <c r="B638" s="5"/>
      <c r="C638" s="5"/>
      <c r="D638" s="5"/>
      <c r="E638" s="5"/>
      <c r="F638" s="5"/>
      <c r="G638" s="211" t="s">
        <v>50</v>
      </c>
      <c r="H638" s="212"/>
      <c r="I638" s="212"/>
      <c r="J638" s="212"/>
      <c r="K638" s="213"/>
      <c r="L638" s="26"/>
      <c r="M638" s="26"/>
      <c r="N638" s="16">
        <f>H632</f>
        <v>0</v>
      </c>
    </row>
    <row r="639" spans="1:15" ht="15" hidden="1" thickBot="1">
      <c r="A639" s="5"/>
      <c r="B639" s="5"/>
      <c r="C639" s="5"/>
      <c r="D639" s="5"/>
      <c r="E639" s="5"/>
      <c r="F639" s="5"/>
      <c r="G639" s="211" t="s">
        <v>51</v>
      </c>
      <c r="H639" s="212"/>
      <c r="I639" s="212"/>
      <c r="J639" s="212"/>
      <c r="K639" s="213"/>
      <c r="L639" s="26"/>
      <c r="M639" s="26"/>
      <c r="N639" s="16">
        <f>N632</f>
        <v>5721</v>
      </c>
    </row>
    <row r="640" spans="1:15" ht="15" hidden="1" thickBot="1">
      <c r="A640" s="5"/>
      <c r="B640" s="5"/>
      <c r="C640" s="5"/>
      <c r="D640" s="5"/>
      <c r="E640" s="5"/>
      <c r="F640" s="5"/>
      <c r="G640" s="211" t="s">
        <v>52</v>
      </c>
      <c r="H640" s="212"/>
      <c r="I640" s="212"/>
      <c r="J640" s="212"/>
      <c r="K640" s="213"/>
      <c r="L640" s="26"/>
      <c r="M640" s="26"/>
      <c r="N640" s="16">
        <f>(N637-N638)+N639</f>
        <v>111408</v>
      </c>
    </row>
    <row r="641" spans="1:15" hidden="1">
      <c r="A641" s="5"/>
      <c r="B641" s="5"/>
      <c r="C641" s="5"/>
      <c r="D641" s="5"/>
      <c r="E641" s="5"/>
      <c r="F641" s="5"/>
      <c r="G641" s="17"/>
      <c r="H641" s="17"/>
      <c r="I641" s="17"/>
      <c r="J641" s="17"/>
      <c r="K641" s="17"/>
      <c r="L641" s="17"/>
      <c r="M641" s="17"/>
      <c r="N641" s="6"/>
    </row>
    <row r="642" spans="1:15"/>
    <row r="643" spans="1:15"/>
    <row r="644" spans="1:15" ht="16.8" hidden="1">
      <c r="A644" s="249" t="s">
        <v>53</v>
      </c>
      <c r="B644" s="249"/>
      <c r="C644" s="18"/>
      <c r="D644" s="18"/>
      <c r="E644" s="249" t="s">
        <v>54</v>
      </c>
      <c r="F644" s="249"/>
      <c r="G644" s="249"/>
      <c r="H644" s="250" t="s">
        <v>55</v>
      </c>
      <c r="I644" s="250"/>
      <c r="J644" s="250"/>
      <c r="K644" s="250"/>
      <c r="L644" s="250"/>
      <c r="M644" s="250"/>
      <c r="N644" s="250"/>
    </row>
    <row r="645" spans="1:15" ht="16.8" hidden="1">
      <c r="A645" s="18"/>
      <c r="B645" s="18"/>
      <c r="C645" s="18"/>
      <c r="D645" s="18"/>
      <c r="E645" s="18"/>
      <c r="F645" s="18"/>
      <c r="G645" s="19"/>
      <c r="H645" s="19"/>
      <c r="I645" s="19"/>
      <c r="J645" s="19"/>
    </row>
    <row r="646" spans="1:15" ht="16.8" hidden="1">
      <c r="A646" s="18"/>
      <c r="B646" s="18"/>
      <c r="C646" s="18"/>
      <c r="D646" s="18"/>
      <c r="E646" s="18"/>
      <c r="F646" s="18"/>
      <c r="G646" s="19"/>
      <c r="H646" s="19"/>
      <c r="I646" s="19"/>
      <c r="J646" s="19"/>
    </row>
    <row r="647" spans="1:15" ht="18.600000000000001" hidden="1">
      <c r="A647" s="224" t="s">
        <v>0</v>
      </c>
      <c r="B647" s="224"/>
      <c r="C647" s="224"/>
      <c r="D647" s="224"/>
      <c r="E647" s="224"/>
      <c r="F647" s="224"/>
      <c r="G647" s="224"/>
      <c r="H647" s="224"/>
      <c r="I647" s="224"/>
      <c r="J647" s="224"/>
      <c r="K647" s="224"/>
      <c r="L647" s="224"/>
      <c r="M647" s="224"/>
      <c r="N647" s="224"/>
      <c r="O647" s="224"/>
    </row>
    <row r="648" spans="1:15" ht="18.600000000000001" hidden="1">
      <c r="A648" s="224" t="s">
        <v>1</v>
      </c>
      <c r="B648" s="224"/>
      <c r="C648" s="224"/>
      <c r="D648" s="224"/>
      <c r="E648" s="224"/>
      <c r="F648" s="224"/>
      <c r="G648" s="224"/>
      <c r="H648" s="224"/>
      <c r="I648" s="224"/>
      <c r="J648" s="224"/>
      <c r="K648" s="224"/>
      <c r="L648" s="224"/>
      <c r="M648" s="224"/>
      <c r="N648" s="224"/>
      <c r="O648" s="224"/>
    </row>
    <row r="649" spans="1:15"/>
    <row r="650" spans="1:15" hidden="1">
      <c r="A650" s="258" t="s">
        <v>277</v>
      </c>
      <c r="B650" s="258"/>
      <c r="C650" s="258"/>
      <c r="D650" s="258"/>
      <c r="E650" s="258"/>
      <c r="F650" s="258"/>
      <c r="G650" s="258"/>
      <c r="H650" s="258"/>
      <c r="I650" s="258"/>
      <c r="J650" s="258"/>
      <c r="K650" s="258"/>
      <c r="L650" s="258"/>
      <c r="M650" s="258"/>
      <c r="N650" s="258"/>
    </row>
    <row r="651" spans="1:15" hidden="1">
      <c r="A651" s="3" t="s">
        <v>3</v>
      </c>
      <c r="B651" s="4">
        <f>B613</f>
        <v>2439</v>
      </c>
      <c r="C651" s="4"/>
      <c r="D651" s="4"/>
      <c r="E651" s="3" t="s">
        <v>4</v>
      </c>
      <c r="F651" s="215" t="str">
        <f>F613</f>
        <v>Mahajan Ganesh Trambak</v>
      </c>
      <c r="G651" s="215"/>
      <c r="H651" s="215"/>
      <c r="I651" s="215"/>
      <c r="J651" s="215"/>
      <c r="K651" s="215"/>
      <c r="L651" s="215"/>
      <c r="M651" s="215"/>
      <c r="N651" s="215"/>
    </row>
    <row r="652" spans="1:15" hidden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6"/>
      <c r="L652" s="6"/>
      <c r="M652" s="6"/>
      <c r="N652" s="5"/>
    </row>
    <row r="653" spans="1:15" ht="20.399999999999999" hidden="1">
      <c r="A653" s="3" t="s">
        <v>6</v>
      </c>
      <c r="B653" s="4">
        <f>B615</f>
        <v>2439</v>
      </c>
      <c r="C653" s="4"/>
      <c r="D653" s="4"/>
      <c r="E653" s="3" t="s">
        <v>7</v>
      </c>
      <c r="F653" s="268"/>
      <c r="G653" s="269"/>
      <c r="H653" s="3" t="s">
        <v>8</v>
      </c>
      <c r="I653" s="3"/>
      <c r="J653" s="3"/>
      <c r="K653" s="270" t="str">
        <f>K615</f>
        <v>Asst. Jr. Engineer</v>
      </c>
      <c r="L653" s="270"/>
      <c r="M653" s="270"/>
      <c r="N653" s="270"/>
    </row>
    <row r="654" spans="1:15" hidden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6"/>
      <c r="L654" s="6"/>
      <c r="M654" s="6"/>
      <c r="N654" s="5"/>
    </row>
    <row r="655" spans="1:15" hidden="1">
      <c r="A655" s="3" t="s">
        <v>10</v>
      </c>
      <c r="B655" s="7">
        <v>7.0999999999999994E-2</v>
      </c>
      <c r="C655" s="7"/>
      <c r="D655" s="7"/>
      <c r="E655" s="3" t="s">
        <v>11</v>
      </c>
      <c r="F655" s="7">
        <v>0</v>
      </c>
      <c r="G655" s="216" t="s">
        <v>12</v>
      </c>
      <c r="H655" s="217"/>
      <c r="I655" s="29"/>
      <c r="J655" s="29"/>
      <c r="K655" s="266">
        <f>N640</f>
        <v>111408</v>
      </c>
      <c r="L655" s="267"/>
      <c r="M655" s="267"/>
      <c r="N655" s="271"/>
    </row>
    <row r="656" spans="1:15" hidden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6"/>
      <c r="L656" s="6"/>
      <c r="M656" s="6"/>
      <c r="N656" s="5"/>
    </row>
    <row r="657" spans="1:15" ht="30.6" hidden="1">
      <c r="A657" s="9" t="s">
        <v>13</v>
      </c>
      <c r="B657" s="9" t="s">
        <v>14</v>
      </c>
      <c r="C657" s="9"/>
      <c r="D657" s="9"/>
      <c r="E657" s="9" t="s">
        <v>349</v>
      </c>
      <c r="F657" s="9" t="s">
        <v>15</v>
      </c>
      <c r="G657" s="9" t="s">
        <v>16</v>
      </c>
      <c r="H657" s="9" t="s">
        <v>17</v>
      </c>
      <c r="I657" s="9"/>
      <c r="J657" s="9"/>
      <c r="K657" s="10" t="s">
        <v>18</v>
      </c>
      <c r="L657" s="10"/>
      <c r="M657" s="10"/>
      <c r="N657" s="10" t="s">
        <v>19</v>
      </c>
      <c r="O657" s="11" t="s">
        <v>20</v>
      </c>
    </row>
    <row r="658" spans="1:15" hidden="1">
      <c r="A658" s="3" t="s">
        <v>278</v>
      </c>
      <c r="B658" s="13">
        <v>1903</v>
      </c>
      <c r="C658" s="13"/>
      <c r="D658" s="13"/>
      <c r="E658" s="13">
        <f t="shared" ref="E658:E669" si="174">ROUND(B658*10*14%,0)</f>
        <v>2664</v>
      </c>
      <c r="F658" s="13">
        <v>0</v>
      </c>
      <c r="G658" s="13">
        <f>E658+B658+F658</f>
        <v>4567</v>
      </c>
      <c r="H658" s="13">
        <v>0</v>
      </c>
      <c r="I658" s="48"/>
      <c r="J658" s="48"/>
      <c r="K658" s="20">
        <f>(K655+G658)-H658</f>
        <v>115975</v>
      </c>
      <c r="L658" s="52"/>
      <c r="M658" s="52"/>
      <c r="N658" s="14">
        <f t="shared" ref="N658:N669" si="175">ROUND((K658*7.1/100)/12,0)</f>
        <v>686</v>
      </c>
      <c r="O658" s="282" t="s">
        <v>264</v>
      </c>
    </row>
    <row r="659" spans="1:15" hidden="1">
      <c r="A659" s="3" t="s">
        <v>279</v>
      </c>
      <c r="B659" s="13">
        <v>1872</v>
      </c>
      <c r="C659" s="13"/>
      <c r="D659" s="13"/>
      <c r="E659" s="13">
        <f t="shared" si="174"/>
        <v>2621</v>
      </c>
      <c r="F659" s="13">
        <v>0</v>
      </c>
      <c r="G659" s="13">
        <f>E659+B659+F659</f>
        <v>4493</v>
      </c>
      <c r="H659" s="13">
        <v>0</v>
      </c>
      <c r="I659" s="48"/>
      <c r="J659" s="48"/>
      <c r="K659" s="20">
        <f t="shared" ref="K659:K669" si="176">(K658+G659)-H659</f>
        <v>120468</v>
      </c>
      <c r="L659" s="52"/>
      <c r="M659" s="52"/>
      <c r="N659" s="14">
        <f t="shared" si="175"/>
        <v>713</v>
      </c>
      <c r="O659" s="282"/>
    </row>
    <row r="660" spans="1:15" hidden="1">
      <c r="A660" s="3" t="s">
        <v>280</v>
      </c>
      <c r="B660" s="13">
        <v>1872</v>
      </c>
      <c r="C660" s="13"/>
      <c r="D660" s="13"/>
      <c r="E660" s="13">
        <f t="shared" si="174"/>
        <v>2621</v>
      </c>
      <c r="F660" s="13">
        <v>0</v>
      </c>
      <c r="G660" s="13">
        <f>E660+B660+F660</f>
        <v>4493</v>
      </c>
      <c r="H660" s="13">
        <v>0</v>
      </c>
      <c r="I660" s="48"/>
      <c r="J660" s="48"/>
      <c r="K660" s="20">
        <f t="shared" si="176"/>
        <v>124961</v>
      </c>
      <c r="L660" s="52"/>
      <c r="M660" s="52"/>
      <c r="N660" s="14">
        <f t="shared" si="175"/>
        <v>739</v>
      </c>
      <c r="O660" s="282"/>
    </row>
    <row r="661" spans="1:15" hidden="1">
      <c r="A661" s="3" t="s">
        <v>281</v>
      </c>
      <c r="B661" s="13">
        <v>1931</v>
      </c>
      <c r="C661" s="13"/>
      <c r="D661" s="13"/>
      <c r="E661" s="13">
        <f t="shared" si="174"/>
        <v>2703</v>
      </c>
      <c r="F661" s="13">
        <v>0</v>
      </c>
      <c r="G661" s="13">
        <f t="shared" ref="G661:G669" si="177">E661+B661</f>
        <v>4634</v>
      </c>
      <c r="H661" s="13">
        <v>0</v>
      </c>
      <c r="I661" s="48"/>
      <c r="J661" s="48"/>
      <c r="K661" s="20">
        <f t="shared" si="176"/>
        <v>129595</v>
      </c>
      <c r="L661" s="52"/>
      <c r="M661" s="52"/>
      <c r="N661" s="14">
        <f t="shared" si="175"/>
        <v>767</v>
      </c>
      <c r="O661" s="282"/>
    </row>
    <row r="662" spans="1:15" hidden="1">
      <c r="A662" s="3" t="s">
        <v>282</v>
      </c>
      <c r="B662" s="13">
        <v>1931</v>
      </c>
      <c r="C662" s="13"/>
      <c r="D662" s="13"/>
      <c r="E662" s="13">
        <f t="shared" si="174"/>
        <v>2703</v>
      </c>
      <c r="F662" s="13">
        <v>0</v>
      </c>
      <c r="G662" s="13">
        <f t="shared" si="177"/>
        <v>4634</v>
      </c>
      <c r="H662" s="13">
        <v>0</v>
      </c>
      <c r="I662" s="48"/>
      <c r="J662" s="48"/>
      <c r="K662" s="20">
        <f t="shared" si="176"/>
        <v>134229</v>
      </c>
      <c r="L662" s="52"/>
      <c r="M662" s="52"/>
      <c r="N662" s="14">
        <f t="shared" si="175"/>
        <v>794</v>
      </c>
      <c r="O662" s="282"/>
    </row>
    <row r="663" spans="1:15" hidden="1">
      <c r="A663" s="3" t="s">
        <v>283</v>
      </c>
      <c r="B663" s="13">
        <v>1931</v>
      </c>
      <c r="C663" s="13"/>
      <c r="D663" s="13"/>
      <c r="E663" s="13">
        <f t="shared" si="174"/>
        <v>2703</v>
      </c>
      <c r="F663" s="13">
        <v>0</v>
      </c>
      <c r="G663" s="13">
        <f t="shared" si="177"/>
        <v>4634</v>
      </c>
      <c r="H663" s="13">
        <v>0</v>
      </c>
      <c r="I663" s="48"/>
      <c r="J663" s="48"/>
      <c r="K663" s="20">
        <f t="shared" si="176"/>
        <v>138863</v>
      </c>
      <c r="L663" s="52"/>
      <c r="M663" s="52"/>
      <c r="N663" s="14">
        <f t="shared" si="175"/>
        <v>822</v>
      </c>
      <c r="O663" s="282"/>
    </row>
    <row r="664" spans="1:15" hidden="1">
      <c r="A664" s="3" t="s">
        <v>284</v>
      </c>
      <c r="B664" s="13">
        <v>2112</v>
      </c>
      <c r="C664" s="13"/>
      <c r="D664" s="13"/>
      <c r="E664" s="13">
        <f t="shared" si="174"/>
        <v>2957</v>
      </c>
      <c r="F664" s="13">
        <v>0</v>
      </c>
      <c r="G664" s="13">
        <f t="shared" si="177"/>
        <v>5069</v>
      </c>
      <c r="H664" s="13">
        <v>0</v>
      </c>
      <c r="I664" s="48"/>
      <c r="J664" s="48"/>
      <c r="K664" s="20">
        <f t="shared" si="176"/>
        <v>143932</v>
      </c>
      <c r="L664" s="52"/>
      <c r="M664" s="52"/>
      <c r="N664" s="14">
        <f t="shared" si="175"/>
        <v>852</v>
      </c>
      <c r="O664" s="282"/>
    </row>
    <row r="665" spans="1:15" hidden="1">
      <c r="A665" s="3" t="s">
        <v>285</v>
      </c>
      <c r="B665" s="13">
        <v>2112</v>
      </c>
      <c r="C665" s="13"/>
      <c r="D665" s="13"/>
      <c r="E665" s="13">
        <f t="shared" si="174"/>
        <v>2957</v>
      </c>
      <c r="F665" s="13">
        <v>0</v>
      </c>
      <c r="G665" s="13">
        <f t="shared" si="177"/>
        <v>5069</v>
      </c>
      <c r="H665" s="13">
        <v>0</v>
      </c>
      <c r="I665" s="48"/>
      <c r="J665" s="48"/>
      <c r="K665" s="20">
        <f t="shared" si="176"/>
        <v>149001</v>
      </c>
      <c r="L665" s="52"/>
      <c r="M665" s="52"/>
      <c r="N665" s="14">
        <f t="shared" si="175"/>
        <v>882</v>
      </c>
      <c r="O665" s="282"/>
    </row>
    <row r="666" spans="1:15" hidden="1">
      <c r="A666" s="3" t="s">
        <v>286</v>
      </c>
      <c r="B666" s="13">
        <v>2112</v>
      </c>
      <c r="C666" s="13"/>
      <c r="D666" s="13"/>
      <c r="E666" s="13">
        <f t="shared" si="174"/>
        <v>2957</v>
      </c>
      <c r="F666" s="13">
        <v>0</v>
      </c>
      <c r="G666" s="13">
        <f t="shared" si="177"/>
        <v>5069</v>
      </c>
      <c r="H666" s="13">
        <v>0</v>
      </c>
      <c r="I666" s="48"/>
      <c r="J666" s="48"/>
      <c r="K666" s="20">
        <f t="shared" si="176"/>
        <v>154070</v>
      </c>
      <c r="L666" s="52"/>
      <c r="M666" s="52"/>
      <c r="N666" s="14">
        <f t="shared" si="175"/>
        <v>912</v>
      </c>
      <c r="O666" s="282"/>
    </row>
    <row r="667" spans="1:15" hidden="1">
      <c r="A667" s="3" t="s">
        <v>287</v>
      </c>
      <c r="B667" s="13">
        <v>2112</v>
      </c>
      <c r="C667" s="13"/>
      <c r="D667" s="13"/>
      <c r="E667" s="13">
        <f t="shared" si="174"/>
        <v>2957</v>
      </c>
      <c r="F667" s="13">
        <v>0</v>
      </c>
      <c r="G667" s="13">
        <f t="shared" si="177"/>
        <v>5069</v>
      </c>
      <c r="H667" s="13">
        <v>0</v>
      </c>
      <c r="I667" s="48"/>
      <c r="J667" s="48"/>
      <c r="K667" s="20">
        <f t="shared" si="176"/>
        <v>159139</v>
      </c>
      <c r="L667" s="52"/>
      <c r="M667" s="52"/>
      <c r="N667" s="14">
        <f t="shared" si="175"/>
        <v>942</v>
      </c>
      <c r="O667" s="282"/>
    </row>
    <row r="668" spans="1:15" hidden="1">
      <c r="A668" s="3" t="s">
        <v>288</v>
      </c>
      <c r="B668" s="13">
        <v>2112</v>
      </c>
      <c r="C668" s="13"/>
      <c r="D668" s="13"/>
      <c r="E668" s="13">
        <f t="shared" si="174"/>
        <v>2957</v>
      </c>
      <c r="F668" s="13">
        <v>0</v>
      </c>
      <c r="G668" s="13">
        <f t="shared" si="177"/>
        <v>5069</v>
      </c>
      <c r="H668" s="13">
        <v>0</v>
      </c>
      <c r="I668" s="48"/>
      <c r="J668" s="48"/>
      <c r="K668" s="20">
        <f t="shared" si="176"/>
        <v>164208</v>
      </c>
      <c r="L668" s="52"/>
      <c r="M668" s="52"/>
      <c r="N668" s="14">
        <f t="shared" si="175"/>
        <v>972</v>
      </c>
      <c r="O668" s="282"/>
    </row>
    <row r="669" spans="1:15" hidden="1">
      <c r="A669" s="3" t="s">
        <v>289</v>
      </c>
      <c r="B669" s="13">
        <v>3102</v>
      </c>
      <c r="C669" s="13"/>
      <c r="D669" s="13"/>
      <c r="E669" s="13">
        <f t="shared" si="174"/>
        <v>4343</v>
      </c>
      <c r="F669" s="13">
        <v>0</v>
      </c>
      <c r="G669" s="13">
        <f t="shared" si="177"/>
        <v>7445</v>
      </c>
      <c r="H669" s="13">
        <v>0</v>
      </c>
      <c r="I669" s="48"/>
      <c r="J669" s="48"/>
      <c r="K669" s="20">
        <f t="shared" si="176"/>
        <v>171653</v>
      </c>
      <c r="L669" s="52"/>
      <c r="M669" s="52"/>
      <c r="N669" s="14">
        <f t="shared" si="175"/>
        <v>1016</v>
      </c>
      <c r="O669" s="282"/>
    </row>
    <row r="670" spans="1:15" hidden="1">
      <c r="A670" s="3" t="s">
        <v>290</v>
      </c>
      <c r="B670" s="15">
        <f t="shared" ref="B670:N670" si="178">SUM(B658:B669)</f>
        <v>25102</v>
      </c>
      <c r="C670" s="15"/>
      <c r="D670" s="15"/>
      <c r="E670" s="15">
        <f t="shared" si="178"/>
        <v>35143</v>
      </c>
      <c r="F670" s="15">
        <f t="shared" si="178"/>
        <v>0</v>
      </c>
      <c r="G670" s="15">
        <f t="shared" si="178"/>
        <v>60245</v>
      </c>
      <c r="H670" s="15">
        <f t="shared" si="178"/>
        <v>0</v>
      </c>
      <c r="I670" s="15"/>
      <c r="J670" s="15"/>
      <c r="K670" s="15">
        <f>SUM(K658:K669)</f>
        <v>1706094</v>
      </c>
      <c r="L670" s="15"/>
      <c r="M670" s="15"/>
      <c r="N670" s="15">
        <f t="shared" si="178"/>
        <v>10097</v>
      </c>
    </row>
    <row r="671" spans="1:15" hidden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6"/>
      <c r="L671" s="6"/>
      <c r="M671" s="6"/>
      <c r="N671" s="5"/>
    </row>
    <row r="672" spans="1:15" ht="15" hidden="1" thickBot="1">
      <c r="A672" s="5"/>
      <c r="B672" s="6"/>
      <c r="C672" s="6"/>
      <c r="D672" s="6"/>
      <c r="E672" s="5"/>
      <c r="F672" s="5"/>
      <c r="G672" s="211" t="s">
        <v>47</v>
      </c>
      <c r="H672" s="212"/>
      <c r="I672" s="212"/>
      <c r="J672" s="212"/>
      <c r="K672" s="213"/>
      <c r="L672" s="26"/>
      <c r="M672" s="26"/>
      <c r="N672" s="16">
        <f>N640</f>
        <v>111408</v>
      </c>
    </row>
    <row r="673" spans="1:15" ht="15" hidden="1" thickBot="1">
      <c r="A673" s="5"/>
      <c r="B673" s="5"/>
      <c r="C673" s="5"/>
      <c r="D673" s="5"/>
      <c r="E673" s="5"/>
      <c r="F673" s="5"/>
      <c r="G673" s="211" t="s">
        <v>48</v>
      </c>
      <c r="H673" s="212"/>
      <c r="I673" s="212"/>
      <c r="J673" s="212"/>
      <c r="K673" s="213"/>
      <c r="L673" s="26"/>
      <c r="M673" s="26"/>
      <c r="N673" s="16">
        <f>B670+F670</f>
        <v>25102</v>
      </c>
    </row>
    <row r="674" spans="1:15" ht="15" hidden="1" thickBot="1">
      <c r="A674" s="5"/>
      <c r="B674" s="5"/>
      <c r="C674" s="5"/>
      <c r="D674" s="5"/>
      <c r="E674" s="5"/>
      <c r="F674" s="5"/>
      <c r="G674" s="211" t="s">
        <v>349</v>
      </c>
      <c r="H674" s="212"/>
      <c r="I674" s="212"/>
      <c r="J674" s="212"/>
      <c r="K674" s="213"/>
      <c r="L674" s="26"/>
      <c r="M674" s="26"/>
      <c r="N674" s="16">
        <f>E670</f>
        <v>35143</v>
      </c>
    </row>
    <row r="675" spans="1:15" ht="15" hidden="1" thickBot="1">
      <c r="A675" s="5"/>
      <c r="B675" s="5"/>
      <c r="C675" s="5"/>
      <c r="D675" s="5"/>
      <c r="E675" s="5"/>
      <c r="F675" s="5"/>
      <c r="G675" s="211" t="s">
        <v>49</v>
      </c>
      <c r="H675" s="212"/>
      <c r="I675" s="212"/>
      <c r="J675" s="212"/>
      <c r="K675" s="213"/>
      <c r="L675" s="26"/>
      <c r="M675" s="26"/>
      <c r="N675" s="16">
        <f>SUM(N672:N674)</f>
        <v>171653</v>
      </c>
    </row>
    <row r="676" spans="1:15" ht="15" hidden="1" thickBot="1">
      <c r="A676" s="5"/>
      <c r="B676" s="5"/>
      <c r="C676" s="5"/>
      <c r="D676" s="5"/>
      <c r="E676" s="5"/>
      <c r="F676" s="5"/>
      <c r="G676" s="211" t="s">
        <v>50</v>
      </c>
      <c r="H676" s="212"/>
      <c r="I676" s="212"/>
      <c r="J676" s="212"/>
      <c r="K676" s="213"/>
      <c r="L676" s="26"/>
      <c r="M676" s="26"/>
      <c r="N676" s="16">
        <f>H670</f>
        <v>0</v>
      </c>
    </row>
    <row r="677" spans="1:15" ht="15" hidden="1" thickBot="1">
      <c r="A677" s="5"/>
      <c r="B677" s="5"/>
      <c r="C677" s="5"/>
      <c r="D677" s="5"/>
      <c r="E677" s="5"/>
      <c r="F677" s="5"/>
      <c r="G677" s="211" t="s">
        <v>51</v>
      </c>
      <c r="H677" s="212"/>
      <c r="I677" s="212"/>
      <c r="J677" s="212"/>
      <c r="K677" s="213"/>
      <c r="L677" s="26"/>
      <c r="M677" s="26"/>
      <c r="N677" s="16">
        <f>N670</f>
        <v>10097</v>
      </c>
    </row>
    <row r="678" spans="1:15" ht="15" hidden="1" thickBot="1">
      <c r="A678" s="5"/>
      <c r="B678" s="5"/>
      <c r="C678" s="5"/>
      <c r="D678" s="5"/>
      <c r="E678" s="5"/>
      <c r="F678" s="5"/>
      <c r="G678" s="211" t="s">
        <v>52</v>
      </c>
      <c r="H678" s="212"/>
      <c r="I678" s="212"/>
      <c r="J678" s="212"/>
      <c r="K678" s="213"/>
      <c r="L678" s="26"/>
      <c r="M678" s="26"/>
      <c r="N678" s="16">
        <f>(N675-N676)+N677</f>
        <v>181750</v>
      </c>
    </row>
    <row r="679" spans="1:15" hidden="1">
      <c r="A679" s="5"/>
      <c r="B679" s="5"/>
      <c r="C679" s="5"/>
      <c r="D679" s="5"/>
      <c r="E679" s="5"/>
      <c r="F679" s="5"/>
      <c r="G679" s="17"/>
      <c r="H679" s="17"/>
      <c r="I679" s="17"/>
      <c r="J679" s="17"/>
      <c r="K679" s="17"/>
      <c r="L679" s="17"/>
      <c r="M679" s="17"/>
      <c r="N679" s="6"/>
    </row>
    <row r="680" spans="1:15"/>
    <row r="681" spans="1:15"/>
    <row r="682" spans="1:15" ht="16.8" hidden="1">
      <c r="A682" s="249" t="s">
        <v>53</v>
      </c>
      <c r="B682" s="249"/>
      <c r="C682" s="18"/>
      <c r="D682" s="18"/>
      <c r="E682" s="249" t="s">
        <v>54</v>
      </c>
      <c r="F682" s="249"/>
      <c r="G682" s="249"/>
      <c r="H682" s="250" t="s">
        <v>55</v>
      </c>
      <c r="I682" s="250"/>
      <c r="J682" s="250"/>
      <c r="K682" s="250"/>
      <c r="L682" s="250"/>
      <c r="M682" s="250"/>
      <c r="N682" s="250"/>
    </row>
    <row r="683" spans="1:15" ht="16.8" hidden="1">
      <c r="A683" s="18"/>
      <c r="B683" s="18"/>
      <c r="C683" s="18"/>
      <c r="D683" s="18"/>
      <c r="E683" s="18"/>
      <c r="F683" s="18"/>
      <c r="G683" s="19"/>
      <c r="H683" s="19"/>
      <c r="I683" s="19"/>
      <c r="J683" s="19"/>
    </row>
    <row r="684" spans="1:15" ht="16.8" hidden="1">
      <c r="A684" s="18"/>
      <c r="B684" s="18"/>
      <c r="C684" s="18"/>
      <c r="D684" s="18"/>
      <c r="E684" s="18"/>
      <c r="F684" s="18"/>
      <c r="G684" s="19"/>
      <c r="H684" s="19"/>
      <c r="I684" s="19"/>
      <c r="J684" s="19"/>
    </row>
    <row r="685" spans="1:15" ht="18.600000000000001" hidden="1">
      <c r="A685" s="224" t="s">
        <v>0</v>
      </c>
      <c r="B685" s="224"/>
      <c r="C685" s="224"/>
      <c r="D685" s="224"/>
      <c r="E685" s="224"/>
      <c r="F685" s="224"/>
      <c r="G685" s="224"/>
      <c r="H685" s="224"/>
      <c r="I685" s="224"/>
      <c r="J685" s="224"/>
      <c r="K685" s="224"/>
      <c r="L685" s="224"/>
      <c r="M685" s="224"/>
      <c r="N685" s="224"/>
      <c r="O685" s="224"/>
    </row>
    <row r="686" spans="1:15" ht="18.600000000000001" hidden="1">
      <c r="A686" s="224" t="s">
        <v>1</v>
      </c>
      <c r="B686" s="224"/>
      <c r="C686" s="224"/>
      <c r="D686" s="224"/>
      <c r="E686" s="224"/>
      <c r="F686" s="224"/>
      <c r="G686" s="224"/>
      <c r="H686" s="224"/>
      <c r="I686" s="224"/>
      <c r="J686" s="224"/>
      <c r="K686" s="224"/>
      <c r="L686" s="224"/>
      <c r="M686" s="224"/>
      <c r="N686" s="224"/>
      <c r="O686" s="224"/>
    </row>
    <row r="687" spans="1:15"/>
    <row r="688" spans="1:15" hidden="1">
      <c r="A688" s="258" t="s">
        <v>291</v>
      </c>
      <c r="B688" s="258"/>
      <c r="C688" s="258"/>
      <c r="D688" s="258"/>
      <c r="E688" s="258"/>
      <c r="F688" s="258"/>
      <c r="G688" s="258"/>
      <c r="H688" s="258"/>
      <c r="I688" s="258"/>
      <c r="J688" s="258"/>
      <c r="K688" s="258"/>
      <c r="L688" s="258"/>
      <c r="M688" s="258"/>
      <c r="N688" s="258"/>
    </row>
    <row r="689" spans="1:15" hidden="1">
      <c r="A689" s="3" t="s">
        <v>3</v>
      </c>
      <c r="B689" s="4">
        <f>B651</f>
        <v>2439</v>
      </c>
      <c r="C689" s="4"/>
      <c r="D689" s="4"/>
      <c r="E689" s="4" t="s">
        <v>4</v>
      </c>
      <c r="F689" s="283" t="str">
        <f>F651</f>
        <v>Mahajan Ganesh Trambak</v>
      </c>
      <c r="G689" s="283"/>
      <c r="H689" s="283"/>
      <c r="I689" s="283"/>
      <c r="J689" s="283"/>
      <c r="K689" s="283"/>
      <c r="L689" s="283"/>
      <c r="M689" s="283"/>
      <c r="N689" s="283"/>
    </row>
    <row r="690" spans="1:15" hidden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6"/>
      <c r="L690" s="6"/>
      <c r="M690" s="6"/>
      <c r="N690" s="5"/>
    </row>
    <row r="691" spans="1:15" ht="20.399999999999999" hidden="1">
      <c r="A691" s="4" t="s">
        <v>6</v>
      </c>
      <c r="B691" s="4">
        <f>B653</f>
        <v>2439</v>
      </c>
      <c r="C691" s="4"/>
      <c r="D691" s="4"/>
      <c r="E691" s="3" t="s">
        <v>7</v>
      </c>
      <c r="F691" s="268"/>
      <c r="G691" s="269"/>
      <c r="H691" s="3" t="s">
        <v>8</v>
      </c>
      <c r="I691" s="3"/>
      <c r="J691" s="3"/>
      <c r="K691" s="270" t="str">
        <f>K653</f>
        <v>Asst. Jr. Engineer</v>
      </c>
      <c r="L691" s="270"/>
      <c r="M691" s="270"/>
      <c r="N691" s="270"/>
    </row>
    <row r="692" spans="1:15" hidden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6"/>
      <c r="L692" s="6"/>
      <c r="M692" s="6"/>
      <c r="N692" s="5"/>
    </row>
    <row r="693" spans="1:15" hidden="1">
      <c r="A693" s="3" t="s">
        <v>10</v>
      </c>
      <c r="B693" s="7">
        <v>7.0999999999999994E-2</v>
      </c>
      <c r="C693" s="7"/>
      <c r="D693" s="7"/>
      <c r="E693" s="3" t="s">
        <v>11</v>
      </c>
      <c r="F693" s="7">
        <v>0</v>
      </c>
      <c r="G693" s="216" t="s">
        <v>12</v>
      </c>
      <c r="H693" s="217"/>
      <c r="I693" s="29"/>
      <c r="J693" s="29"/>
      <c r="K693" s="266">
        <f>N678</f>
        <v>181750</v>
      </c>
      <c r="L693" s="267"/>
      <c r="M693" s="267"/>
      <c r="N693" s="271"/>
    </row>
    <row r="694" spans="1:15" hidden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6"/>
      <c r="L694" s="6"/>
      <c r="M694" s="6"/>
      <c r="N694" s="5"/>
    </row>
    <row r="695" spans="1:15" ht="30.6" hidden="1">
      <c r="A695" s="9" t="s">
        <v>13</v>
      </c>
      <c r="B695" s="9" t="s">
        <v>14</v>
      </c>
      <c r="C695" s="9"/>
      <c r="D695" s="9"/>
      <c r="E695" s="9" t="s">
        <v>349</v>
      </c>
      <c r="F695" s="9" t="s">
        <v>15</v>
      </c>
      <c r="G695" s="9" t="s">
        <v>16</v>
      </c>
      <c r="H695" s="9" t="s">
        <v>17</v>
      </c>
      <c r="I695" s="9"/>
      <c r="J695" s="9"/>
      <c r="K695" s="10" t="s">
        <v>18</v>
      </c>
      <c r="L695" s="10"/>
      <c r="M695" s="10"/>
      <c r="N695" s="10" t="s">
        <v>19</v>
      </c>
      <c r="O695" s="11" t="s">
        <v>20</v>
      </c>
    </row>
    <row r="696" spans="1:15" hidden="1">
      <c r="A696" s="3" t="s">
        <v>292</v>
      </c>
      <c r="B696" s="13">
        <v>2162</v>
      </c>
      <c r="C696" s="13"/>
      <c r="D696" s="13"/>
      <c r="E696" s="13">
        <v>4732</v>
      </c>
      <c r="F696" s="13">
        <v>0</v>
      </c>
      <c r="G696" s="13">
        <f>E696+B696+F696</f>
        <v>6894</v>
      </c>
      <c r="H696" s="13">
        <v>0</v>
      </c>
      <c r="I696" s="13"/>
      <c r="J696" s="13"/>
      <c r="K696" s="13">
        <f>(K693+G696)-H696</f>
        <v>188644</v>
      </c>
      <c r="L696" s="14"/>
      <c r="M696" s="14"/>
      <c r="N696" s="14">
        <f>ROUND((K696*7.1/100)/12,0)</f>
        <v>1116</v>
      </c>
      <c r="O696" s="282" t="s">
        <v>264</v>
      </c>
    </row>
    <row r="697" spans="1:15" hidden="1">
      <c r="A697" s="3" t="s">
        <v>293</v>
      </c>
      <c r="B697" s="13">
        <v>2162</v>
      </c>
      <c r="C697" s="13"/>
      <c r="D697" s="13"/>
      <c r="E697" s="13">
        <v>4732</v>
      </c>
      <c r="F697" s="13">
        <v>0</v>
      </c>
      <c r="G697" s="13">
        <f>E697+B697+F697</f>
        <v>6894</v>
      </c>
      <c r="H697" s="13">
        <v>0</v>
      </c>
      <c r="I697" s="48"/>
      <c r="J697" s="48"/>
      <c r="K697" s="20">
        <f t="shared" ref="K697:K707" si="179">(K696+G697)-H697</f>
        <v>195538</v>
      </c>
      <c r="L697" s="52"/>
      <c r="M697" s="52"/>
      <c r="N697" s="14">
        <f>ROUND((K697*7.1/100)/12,0)</f>
        <v>1157</v>
      </c>
      <c r="O697" s="282"/>
    </row>
    <row r="698" spans="1:15" hidden="1">
      <c r="A698" s="3" t="s">
        <v>294</v>
      </c>
      <c r="B698" s="13">
        <v>2162</v>
      </c>
      <c r="C698" s="13"/>
      <c r="D698" s="13"/>
      <c r="E698" s="13">
        <v>4732</v>
      </c>
      <c r="F698" s="13">
        <v>0</v>
      </c>
      <c r="G698" s="13">
        <f>E698+B698+F698</f>
        <v>6894</v>
      </c>
      <c r="H698" s="13">
        <v>0</v>
      </c>
      <c r="I698" s="48"/>
      <c r="J698" s="48"/>
      <c r="K698" s="20">
        <f t="shared" si="179"/>
        <v>202432</v>
      </c>
      <c r="L698" s="52"/>
      <c r="M698" s="52"/>
      <c r="N698" s="14">
        <f>ROUND((K698*7.1/100)/12,0)</f>
        <v>1198</v>
      </c>
      <c r="O698" s="282"/>
    </row>
    <row r="699" spans="1:15" hidden="1">
      <c r="A699" s="3" t="s">
        <v>295</v>
      </c>
      <c r="B699" s="13">
        <v>2227</v>
      </c>
      <c r="C699" s="13"/>
      <c r="D699" s="13"/>
      <c r="E699" s="13">
        <v>4879</v>
      </c>
      <c r="F699" s="13">
        <v>0</v>
      </c>
      <c r="G699" s="13">
        <f t="shared" ref="G699:G707" si="180">E699+B699</f>
        <v>7106</v>
      </c>
      <c r="H699" s="13">
        <v>0</v>
      </c>
      <c r="I699" s="48"/>
      <c r="J699" s="48"/>
      <c r="K699" s="20">
        <f t="shared" si="179"/>
        <v>209538</v>
      </c>
      <c r="L699" s="52"/>
      <c r="M699" s="52"/>
      <c r="N699" s="14">
        <f>ROUND((K699*7.1/100)/12,0)</f>
        <v>1240</v>
      </c>
      <c r="O699" s="282"/>
    </row>
    <row r="700" spans="1:15" hidden="1">
      <c r="A700" s="3" t="s">
        <v>296</v>
      </c>
      <c r="B700" s="13">
        <v>2626</v>
      </c>
      <c r="C700" s="13"/>
      <c r="D700" s="13"/>
      <c r="E700" s="13">
        <v>5753</v>
      </c>
      <c r="F700" s="13">
        <v>0</v>
      </c>
      <c r="G700" s="13">
        <f t="shared" si="180"/>
        <v>8379</v>
      </c>
      <c r="H700" s="13">
        <v>0</v>
      </c>
      <c r="I700" s="48"/>
      <c r="J700" s="48"/>
      <c r="K700" s="20">
        <f t="shared" si="179"/>
        <v>217917</v>
      </c>
      <c r="L700" s="52"/>
      <c r="M700" s="52"/>
      <c r="N700" s="14">
        <f t="shared" ref="N700:N706" si="181">ROUND((K700*7.1/100)/12,0)</f>
        <v>1289</v>
      </c>
      <c r="O700" s="282"/>
    </row>
    <row r="701" spans="1:15" hidden="1">
      <c r="A701" s="3" t="s">
        <v>297</v>
      </c>
      <c r="B701" s="13">
        <v>2278</v>
      </c>
      <c r="C701" s="13"/>
      <c r="D701" s="13"/>
      <c r="E701" s="13">
        <v>4990</v>
      </c>
      <c r="F701" s="13">
        <v>0</v>
      </c>
      <c r="G701" s="13">
        <f t="shared" si="180"/>
        <v>7268</v>
      </c>
      <c r="H701" s="13">
        <v>0</v>
      </c>
      <c r="I701" s="48"/>
      <c r="J701" s="48"/>
      <c r="K701" s="20">
        <f t="shared" si="179"/>
        <v>225185</v>
      </c>
      <c r="L701" s="52"/>
      <c r="M701" s="52"/>
      <c r="N701" s="14">
        <f t="shared" si="181"/>
        <v>1332</v>
      </c>
      <c r="O701" s="282"/>
    </row>
    <row r="702" spans="1:15" hidden="1">
      <c r="A702" s="3" t="s">
        <v>298</v>
      </c>
      <c r="B702" s="13">
        <v>2278</v>
      </c>
      <c r="C702" s="13"/>
      <c r="D702" s="13"/>
      <c r="E702" s="13">
        <v>4990</v>
      </c>
      <c r="F702" s="13">
        <v>0</v>
      </c>
      <c r="G702" s="13">
        <f t="shared" si="180"/>
        <v>7268</v>
      </c>
      <c r="H702" s="13">
        <v>0</v>
      </c>
      <c r="I702" s="48"/>
      <c r="J702" s="48"/>
      <c r="K702" s="20">
        <f t="shared" si="179"/>
        <v>232453</v>
      </c>
      <c r="L702" s="52"/>
      <c r="M702" s="52"/>
      <c r="N702" s="14">
        <f t="shared" si="181"/>
        <v>1375</v>
      </c>
      <c r="O702" s="282"/>
    </row>
    <row r="703" spans="1:15" hidden="1">
      <c r="A703" s="3" t="s">
        <v>299</v>
      </c>
      <c r="B703" s="13">
        <v>2278</v>
      </c>
      <c r="C703" s="13"/>
      <c r="D703" s="13"/>
      <c r="E703" s="13">
        <v>4990</v>
      </c>
      <c r="F703" s="13">
        <v>0</v>
      </c>
      <c r="G703" s="13">
        <f t="shared" si="180"/>
        <v>7268</v>
      </c>
      <c r="H703" s="13">
        <v>0</v>
      </c>
      <c r="I703" s="48"/>
      <c r="J703" s="48"/>
      <c r="K703" s="20">
        <f t="shared" si="179"/>
        <v>239721</v>
      </c>
      <c r="L703" s="52"/>
      <c r="M703" s="52"/>
      <c r="N703" s="14">
        <f t="shared" si="181"/>
        <v>1418</v>
      </c>
      <c r="O703" s="282"/>
    </row>
    <row r="704" spans="1:15" hidden="1">
      <c r="A704" s="3" t="s">
        <v>300</v>
      </c>
      <c r="B704" s="13">
        <v>2278</v>
      </c>
      <c r="C704" s="13"/>
      <c r="D704" s="13"/>
      <c r="E704" s="13">
        <v>4990</v>
      </c>
      <c r="F704" s="13">
        <v>0</v>
      </c>
      <c r="G704" s="13">
        <f t="shared" si="180"/>
        <v>7268</v>
      </c>
      <c r="H704" s="13">
        <v>0</v>
      </c>
      <c r="I704" s="48"/>
      <c r="J704" s="48"/>
      <c r="K704" s="20">
        <f t="shared" si="179"/>
        <v>246989</v>
      </c>
      <c r="L704" s="52"/>
      <c r="M704" s="52"/>
      <c r="N704" s="14">
        <f t="shared" si="181"/>
        <v>1461</v>
      </c>
      <c r="O704" s="282"/>
    </row>
    <row r="705" spans="1:15" hidden="1">
      <c r="A705" s="3" t="s">
        <v>301</v>
      </c>
      <c r="B705" s="13">
        <v>2754</v>
      </c>
      <c r="C705" s="13"/>
      <c r="D705" s="13"/>
      <c r="E705" s="13">
        <v>6033</v>
      </c>
      <c r="F705" s="13">
        <v>0</v>
      </c>
      <c r="G705" s="13">
        <f t="shared" si="180"/>
        <v>8787</v>
      </c>
      <c r="H705" s="13">
        <v>0</v>
      </c>
      <c r="I705" s="48"/>
      <c r="J705" s="48"/>
      <c r="K705" s="20">
        <f t="shared" si="179"/>
        <v>255776</v>
      </c>
      <c r="L705" s="52"/>
      <c r="M705" s="52"/>
      <c r="N705" s="14">
        <f t="shared" si="181"/>
        <v>1513</v>
      </c>
      <c r="O705" s="282"/>
    </row>
    <row r="706" spans="1:15" hidden="1">
      <c r="A706" s="3" t="s">
        <v>302</v>
      </c>
      <c r="B706" s="13">
        <v>2346</v>
      </c>
      <c r="C706" s="13"/>
      <c r="D706" s="13"/>
      <c r="E706" s="13">
        <v>5139</v>
      </c>
      <c r="F706" s="13">
        <v>0</v>
      </c>
      <c r="G706" s="13">
        <f t="shared" si="180"/>
        <v>7485</v>
      </c>
      <c r="H706" s="13">
        <v>0</v>
      </c>
      <c r="I706" s="48"/>
      <c r="J706" s="48"/>
      <c r="K706" s="20">
        <f t="shared" si="179"/>
        <v>263261</v>
      </c>
      <c r="L706" s="52"/>
      <c r="M706" s="52"/>
      <c r="N706" s="14">
        <f t="shared" si="181"/>
        <v>1558</v>
      </c>
      <c r="O706" s="282"/>
    </row>
    <row r="707" spans="1:15" hidden="1">
      <c r="A707" s="3" t="s">
        <v>303</v>
      </c>
      <c r="B707" s="13">
        <v>2346</v>
      </c>
      <c r="C707" s="13"/>
      <c r="D707" s="13"/>
      <c r="E707" s="13">
        <v>5139</v>
      </c>
      <c r="F707" s="13">
        <v>0</v>
      </c>
      <c r="G707" s="13">
        <f t="shared" si="180"/>
        <v>7485</v>
      </c>
      <c r="H707" s="13">
        <v>0</v>
      </c>
      <c r="I707" s="48"/>
      <c r="J707" s="48"/>
      <c r="K707" s="20">
        <f t="shared" si="179"/>
        <v>270746</v>
      </c>
      <c r="L707" s="52"/>
      <c r="M707" s="52"/>
      <c r="N707" s="14">
        <f>ROUND((K707*7.1/100)/12,0)</f>
        <v>1602</v>
      </c>
      <c r="O707" s="282"/>
    </row>
    <row r="708" spans="1:15" hidden="1">
      <c r="A708" s="3" t="s">
        <v>304</v>
      </c>
      <c r="B708" s="15">
        <f t="shared" ref="B708:N708" si="182">SUM(B696:B707)</f>
        <v>27897</v>
      </c>
      <c r="C708" s="15"/>
      <c r="D708" s="15"/>
      <c r="E708" s="15">
        <f t="shared" si="182"/>
        <v>61099</v>
      </c>
      <c r="F708" s="15">
        <f t="shared" si="182"/>
        <v>0</v>
      </c>
      <c r="G708" s="15">
        <f t="shared" si="182"/>
        <v>88996</v>
      </c>
      <c r="H708" s="15">
        <f t="shared" si="182"/>
        <v>0</v>
      </c>
      <c r="I708" s="15"/>
      <c r="J708" s="15"/>
      <c r="K708" s="15">
        <f t="shared" si="182"/>
        <v>2748200</v>
      </c>
      <c r="L708" s="8"/>
      <c r="M708" s="8"/>
      <c r="N708" s="8">
        <f t="shared" si="182"/>
        <v>16259</v>
      </c>
      <c r="O708" s="282"/>
    </row>
    <row r="709" spans="1:15" hidden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6"/>
      <c r="L709" s="6"/>
      <c r="M709" s="6"/>
      <c r="N709" s="5"/>
    </row>
    <row r="710" spans="1:15" ht="15" hidden="1" thickBot="1">
      <c r="A710" s="5"/>
      <c r="B710" s="6"/>
      <c r="C710" s="6"/>
      <c r="D710" s="6"/>
      <c r="E710" s="5"/>
      <c r="F710" s="5"/>
      <c r="G710" s="211" t="s">
        <v>47</v>
      </c>
      <c r="H710" s="212"/>
      <c r="I710" s="212"/>
      <c r="J710" s="212"/>
      <c r="K710" s="213"/>
      <c r="L710" s="26"/>
      <c r="M710" s="26"/>
      <c r="N710" s="16">
        <f>N678</f>
        <v>181750</v>
      </c>
    </row>
    <row r="711" spans="1:15" ht="15" hidden="1" thickBot="1">
      <c r="A711" s="5"/>
      <c r="B711" s="5"/>
      <c r="C711" s="5"/>
      <c r="D711" s="5"/>
      <c r="E711" s="5"/>
      <c r="F711" s="5"/>
      <c r="G711" s="211" t="s">
        <v>48</v>
      </c>
      <c r="H711" s="212"/>
      <c r="I711" s="212"/>
      <c r="J711" s="212"/>
      <c r="K711" s="213"/>
      <c r="L711" s="26"/>
      <c r="M711" s="26"/>
      <c r="N711" s="16">
        <f>B708+F708</f>
        <v>27897</v>
      </c>
    </row>
    <row r="712" spans="1:15" ht="15" hidden="1" thickBot="1">
      <c r="A712" s="5"/>
      <c r="B712" s="5"/>
      <c r="C712" s="5"/>
      <c r="D712" s="5"/>
      <c r="E712" s="5"/>
      <c r="F712" s="5"/>
      <c r="G712" s="211" t="s">
        <v>349</v>
      </c>
      <c r="H712" s="212"/>
      <c r="I712" s="212"/>
      <c r="J712" s="212"/>
      <c r="K712" s="213"/>
      <c r="L712" s="26"/>
      <c r="M712" s="26"/>
      <c r="N712" s="16">
        <f>E708</f>
        <v>61099</v>
      </c>
    </row>
    <row r="713" spans="1:15" ht="15" hidden="1" thickBot="1">
      <c r="A713" s="5"/>
      <c r="B713" s="5"/>
      <c r="C713" s="5"/>
      <c r="D713" s="5"/>
      <c r="E713" s="5"/>
      <c r="F713" s="5"/>
      <c r="G713" s="211" t="s">
        <v>49</v>
      </c>
      <c r="H713" s="212"/>
      <c r="I713" s="212"/>
      <c r="J713" s="212"/>
      <c r="K713" s="213"/>
      <c r="L713" s="26"/>
      <c r="M713" s="26"/>
      <c r="N713" s="16">
        <f>SUM(N710:N712)</f>
        <v>270746</v>
      </c>
    </row>
    <row r="714" spans="1:15" ht="15" hidden="1" thickBot="1">
      <c r="A714" s="5"/>
      <c r="B714" s="5"/>
      <c r="C714" s="5"/>
      <c r="D714" s="5"/>
      <c r="E714" s="5"/>
      <c r="F714" s="5"/>
      <c r="G714" s="211" t="s">
        <v>50</v>
      </c>
      <c r="H714" s="212"/>
      <c r="I714" s="212"/>
      <c r="J714" s="212"/>
      <c r="K714" s="213"/>
      <c r="L714" s="26"/>
      <c r="M714" s="26"/>
      <c r="N714" s="16">
        <f>H708</f>
        <v>0</v>
      </c>
    </row>
    <row r="715" spans="1:15" ht="15" hidden="1" thickBot="1">
      <c r="A715" s="5"/>
      <c r="B715" s="5"/>
      <c r="C715" s="5"/>
      <c r="D715" s="5"/>
      <c r="E715" s="5"/>
      <c r="F715" s="5"/>
      <c r="G715" s="211" t="s">
        <v>51</v>
      </c>
      <c r="H715" s="212"/>
      <c r="I715" s="212"/>
      <c r="J715" s="212"/>
      <c r="K715" s="213"/>
      <c r="L715" s="26"/>
      <c r="M715" s="26"/>
      <c r="N715" s="16">
        <f>N708</f>
        <v>16259</v>
      </c>
    </row>
    <row r="716" spans="1:15" ht="15" hidden="1" thickBot="1">
      <c r="A716" s="5"/>
      <c r="B716" s="5"/>
      <c r="C716" s="5"/>
      <c r="D716" s="5"/>
      <c r="E716" s="5"/>
      <c r="F716" s="5"/>
      <c r="G716" s="211" t="s">
        <v>52</v>
      </c>
      <c r="H716" s="212"/>
      <c r="I716" s="212"/>
      <c r="J716" s="212"/>
      <c r="K716" s="213"/>
      <c r="L716" s="26"/>
      <c r="M716" s="26"/>
      <c r="N716" s="16">
        <f>(N713-N714)+N715</f>
        <v>287005</v>
      </c>
    </row>
    <row r="717" spans="1:15" hidden="1">
      <c r="A717" s="5"/>
      <c r="B717" s="5"/>
      <c r="C717" s="5"/>
      <c r="D717" s="5"/>
      <c r="E717" s="5"/>
      <c r="F717" s="5"/>
      <c r="G717" s="17"/>
      <c r="H717" s="17"/>
      <c r="I717" s="17"/>
      <c r="J717" s="17"/>
      <c r="K717" s="17"/>
      <c r="L717" s="17"/>
      <c r="M717" s="17"/>
      <c r="N717" s="6"/>
    </row>
    <row r="718" spans="1:15"/>
    <row r="719" spans="1:15"/>
    <row r="720" spans="1:15" ht="16.8" hidden="1">
      <c r="A720" s="249" t="s">
        <v>53</v>
      </c>
      <c r="B720" s="249"/>
      <c r="C720" s="18"/>
      <c r="D720" s="18"/>
      <c r="E720" s="249" t="s">
        <v>54</v>
      </c>
      <c r="F720" s="249"/>
      <c r="G720" s="249"/>
      <c r="H720" s="250" t="s">
        <v>55</v>
      </c>
      <c r="I720" s="250"/>
      <c r="J720" s="250"/>
      <c r="K720" s="250"/>
      <c r="L720" s="250"/>
      <c r="M720" s="250"/>
      <c r="N720" s="250"/>
    </row>
    <row r="721" spans="1:15" ht="16.8" hidden="1">
      <c r="A721" s="18"/>
      <c r="B721" s="18"/>
      <c r="C721" s="18"/>
      <c r="D721" s="18"/>
      <c r="E721" s="18"/>
      <c r="F721" s="18"/>
      <c r="G721" s="19"/>
      <c r="H721" s="19"/>
      <c r="I721" s="19"/>
      <c r="J721" s="19"/>
    </row>
    <row r="722" spans="1:15" ht="16.8" hidden="1">
      <c r="A722" s="18"/>
      <c r="B722" s="18"/>
      <c r="C722" s="18"/>
      <c r="D722" s="18"/>
      <c r="E722" s="18"/>
      <c r="F722" s="18"/>
      <c r="G722" s="19"/>
      <c r="H722" s="19"/>
      <c r="I722" s="19"/>
      <c r="J722" s="19"/>
    </row>
    <row r="723" spans="1:15" ht="18.600000000000001" hidden="1">
      <c r="A723" s="224" t="s">
        <v>0</v>
      </c>
      <c r="B723" s="224"/>
      <c r="C723" s="224"/>
      <c r="D723" s="224"/>
      <c r="E723" s="224"/>
      <c r="F723" s="224"/>
      <c r="G723" s="224"/>
      <c r="H723" s="224"/>
      <c r="I723" s="224"/>
      <c r="J723" s="224"/>
      <c r="K723" s="224"/>
      <c r="L723" s="224"/>
      <c r="M723" s="224"/>
      <c r="N723" s="224"/>
      <c r="O723" s="224"/>
    </row>
    <row r="724" spans="1:15" ht="18.600000000000001" hidden="1">
      <c r="A724" s="224" t="s">
        <v>1</v>
      </c>
      <c r="B724" s="224"/>
      <c r="C724" s="224"/>
      <c r="D724" s="224"/>
      <c r="E724" s="224"/>
      <c r="F724" s="224"/>
      <c r="G724" s="224"/>
      <c r="H724" s="224"/>
      <c r="I724" s="224"/>
      <c r="J724" s="224"/>
      <c r="K724" s="224"/>
      <c r="L724" s="224"/>
      <c r="M724" s="224"/>
      <c r="N724" s="224"/>
      <c r="O724" s="224"/>
    </row>
    <row r="725" spans="1:15"/>
    <row r="726" spans="1:15" hidden="1">
      <c r="A726" s="258" t="s">
        <v>305</v>
      </c>
      <c r="B726" s="258"/>
      <c r="C726" s="258"/>
      <c r="D726" s="258"/>
      <c r="E726" s="258"/>
      <c r="F726" s="258"/>
      <c r="G726" s="258"/>
      <c r="H726" s="258"/>
      <c r="I726" s="258"/>
      <c r="J726" s="258"/>
      <c r="K726" s="258"/>
      <c r="L726" s="258"/>
      <c r="M726" s="258"/>
      <c r="N726" s="258"/>
    </row>
    <row r="727" spans="1:15" hidden="1">
      <c r="A727" s="3" t="s">
        <v>3</v>
      </c>
      <c r="B727" s="4">
        <f>B689</f>
        <v>2439</v>
      </c>
      <c r="C727" s="4"/>
      <c r="D727" s="4"/>
      <c r="E727" s="4" t="s">
        <v>4</v>
      </c>
      <c r="F727" s="283" t="str">
        <f>F689</f>
        <v>Mahajan Ganesh Trambak</v>
      </c>
      <c r="G727" s="283"/>
      <c r="H727" s="283"/>
      <c r="I727" s="283"/>
      <c r="J727" s="283"/>
      <c r="K727" s="283"/>
      <c r="L727" s="283"/>
      <c r="M727" s="283"/>
      <c r="N727" s="283"/>
    </row>
    <row r="728" spans="1:15" hidden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6"/>
      <c r="L728" s="6"/>
      <c r="M728" s="6"/>
      <c r="N728" s="5"/>
    </row>
    <row r="729" spans="1:15" ht="20.399999999999999" hidden="1">
      <c r="A729" s="4" t="s">
        <v>6</v>
      </c>
      <c r="B729" s="4">
        <f>B691</f>
        <v>2439</v>
      </c>
      <c r="C729" s="4"/>
      <c r="D729" s="4"/>
      <c r="E729" s="3" t="s">
        <v>7</v>
      </c>
      <c r="F729" s="268"/>
      <c r="G729" s="269"/>
      <c r="H729" s="3" t="s">
        <v>8</v>
      </c>
      <c r="I729" s="3"/>
      <c r="J729" s="3"/>
      <c r="K729" s="270" t="str">
        <f>K691</f>
        <v>Asst. Jr. Engineer</v>
      </c>
      <c r="L729" s="270"/>
      <c r="M729" s="270"/>
      <c r="N729" s="270"/>
    </row>
    <row r="730" spans="1:15" hidden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6"/>
      <c r="L730" s="6"/>
      <c r="M730" s="6"/>
      <c r="N730" s="5"/>
    </row>
    <row r="731" spans="1:15" hidden="1">
      <c r="A731" s="3" t="s">
        <v>10</v>
      </c>
      <c r="B731" s="7">
        <v>7.0999999999999994E-2</v>
      </c>
      <c r="C731" s="7"/>
      <c r="D731" s="7"/>
      <c r="E731" s="3" t="s">
        <v>11</v>
      </c>
      <c r="F731" s="7">
        <v>0</v>
      </c>
      <c r="G731" s="216" t="s">
        <v>12</v>
      </c>
      <c r="H731" s="217"/>
      <c r="I731" s="29"/>
      <c r="J731" s="29"/>
      <c r="K731" s="266">
        <f>N716</f>
        <v>287005</v>
      </c>
      <c r="L731" s="267"/>
      <c r="M731" s="267"/>
      <c r="N731" s="271"/>
    </row>
    <row r="732" spans="1:15" hidden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6"/>
      <c r="L732" s="6"/>
      <c r="M732" s="6"/>
      <c r="N732" s="5"/>
    </row>
    <row r="733" spans="1:15" ht="30.6" hidden="1">
      <c r="A733" s="9" t="s">
        <v>13</v>
      </c>
      <c r="B733" s="9" t="s">
        <v>14</v>
      </c>
      <c r="C733" s="9"/>
      <c r="D733" s="9"/>
      <c r="E733" s="9" t="s">
        <v>349</v>
      </c>
      <c r="F733" s="9" t="s">
        <v>15</v>
      </c>
      <c r="G733" s="9" t="s">
        <v>16</v>
      </c>
      <c r="H733" s="9" t="s">
        <v>17</v>
      </c>
      <c r="I733" s="9"/>
      <c r="J733" s="9"/>
      <c r="K733" s="10" t="s">
        <v>18</v>
      </c>
      <c r="L733" s="10"/>
      <c r="M733" s="10"/>
      <c r="N733" s="10" t="s">
        <v>19</v>
      </c>
      <c r="O733" s="11" t="s">
        <v>20</v>
      </c>
    </row>
    <row r="734" spans="1:15" hidden="1">
      <c r="A734" s="3" t="s">
        <v>306</v>
      </c>
      <c r="B734" s="13">
        <v>2346</v>
      </c>
      <c r="C734" s="13"/>
      <c r="D734" s="13"/>
      <c r="E734" s="13">
        <v>5139</v>
      </c>
      <c r="F734" s="13">
        <v>0</v>
      </c>
      <c r="G734" s="13">
        <f>E734+B734+F734</f>
        <v>7485</v>
      </c>
      <c r="H734" s="13">
        <v>0</v>
      </c>
      <c r="I734" s="13"/>
      <c r="J734" s="13"/>
      <c r="K734" s="13">
        <f>(K731+G734)-H734</f>
        <v>294490</v>
      </c>
      <c r="L734" s="14"/>
      <c r="M734" s="14"/>
      <c r="N734" s="14">
        <f>ROUND((K734*7.1/100)/12,0)</f>
        <v>1742</v>
      </c>
      <c r="O734" s="282" t="s">
        <v>264</v>
      </c>
    </row>
    <row r="735" spans="1:15" hidden="1">
      <c r="A735" s="3" t="s">
        <v>307</v>
      </c>
      <c r="B735" s="13">
        <v>2346</v>
      </c>
      <c r="C735" s="13"/>
      <c r="D735" s="13"/>
      <c r="E735" s="13">
        <v>5139</v>
      </c>
      <c r="F735" s="13">
        <v>0</v>
      </c>
      <c r="G735" s="13">
        <f>E735+B735+F735</f>
        <v>7485</v>
      </c>
      <c r="H735" s="13">
        <v>0</v>
      </c>
      <c r="I735" s="48"/>
      <c r="J735" s="48"/>
      <c r="K735" s="20">
        <f t="shared" ref="K735:K745" si="183">(K734+G735)-H735</f>
        <v>301975</v>
      </c>
      <c r="L735" s="52"/>
      <c r="M735" s="52"/>
      <c r="N735" s="14">
        <f>ROUND((K735*7.1/100)/12,0)</f>
        <v>1787</v>
      </c>
      <c r="O735" s="282"/>
    </row>
    <row r="736" spans="1:15" hidden="1">
      <c r="A736" s="3" t="s">
        <v>308</v>
      </c>
      <c r="B736" s="13">
        <v>2346</v>
      </c>
      <c r="C736" s="13"/>
      <c r="D736" s="13"/>
      <c r="E736" s="13">
        <v>5139</v>
      </c>
      <c r="F736" s="13">
        <v>0</v>
      </c>
      <c r="G736" s="13">
        <f>E736+B736+F736</f>
        <v>7485</v>
      </c>
      <c r="H736" s="13">
        <v>0</v>
      </c>
      <c r="I736" s="48"/>
      <c r="J736" s="48"/>
      <c r="K736" s="20">
        <f t="shared" si="183"/>
        <v>309460</v>
      </c>
      <c r="L736" s="52"/>
      <c r="M736" s="52"/>
      <c r="N736" s="14">
        <f>ROUND((K736*7.1/100)/12,0)</f>
        <v>1831</v>
      </c>
      <c r="O736" s="282"/>
    </row>
    <row r="737" spans="1:15" hidden="1">
      <c r="A737" s="3" t="s">
        <v>309</v>
      </c>
      <c r="B737" s="13">
        <v>2893</v>
      </c>
      <c r="C737" s="13"/>
      <c r="D737" s="13"/>
      <c r="E737" s="13">
        <v>6341</v>
      </c>
      <c r="F737" s="13">
        <v>0</v>
      </c>
      <c r="G737" s="13">
        <f t="shared" ref="G737:G745" si="184">E737+B737</f>
        <v>9234</v>
      </c>
      <c r="H737" s="13">
        <v>0</v>
      </c>
      <c r="I737" s="48"/>
      <c r="J737" s="48"/>
      <c r="K737" s="20">
        <f t="shared" si="183"/>
        <v>318694</v>
      </c>
      <c r="L737" s="52"/>
      <c r="M737" s="52"/>
      <c r="N737" s="14">
        <f>ROUND((K737*7.1/100)/12,0)</f>
        <v>1886</v>
      </c>
      <c r="O737" s="282"/>
    </row>
    <row r="738" spans="1:15" hidden="1">
      <c r="A738" s="3" t="s">
        <v>310</v>
      </c>
      <c r="B738" s="13">
        <v>2485</v>
      </c>
      <c r="C738" s="13"/>
      <c r="D738" s="13"/>
      <c r="E738" s="13">
        <v>5447</v>
      </c>
      <c r="F738" s="13">
        <v>0</v>
      </c>
      <c r="G738" s="13">
        <f t="shared" si="184"/>
        <v>7932</v>
      </c>
      <c r="H738" s="13">
        <v>0</v>
      </c>
      <c r="I738" s="48"/>
      <c r="J738" s="48"/>
      <c r="K738" s="20">
        <f t="shared" si="183"/>
        <v>326626</v>
      </c>
      <c r="L738" s="52"/>
      <c r="M738" s="52"/>
      <c r="N738" s="14">
        <f t="shared" ref="N738:N744" si="185">ROUND((K738*7.1/100)/12,0)</f>
        <v>1933</v>
      </c>
      <c r="O738" s="282"/>
    </row>
    <row r="739" spans="1:15" hidden="1">
      <c r="A739" s="3" t="s">
        <v>311</v>
      </c>
      <c r="B739" s="13">
        <v>2485</v>
      </c>
      <c r="C739" s="13"/>
      <c r="D739" s="13"/>
      <c r="E739" s="13">
        <v>5447</v>
      </c>
      <c r="F739" s="13">
        <v>0</v>
      </c>
      <c r="G739" s="13">
        <f t="shared" si="184"/>
        <v>7932</v>
      </c>
      <c r="H739" s="13">
        <v>0</v>
      </c>
      <c r="I739" s="48"/>
      <c r="J739" s="48"/>
      <c r="K739" s="20">
        <f t="shared" si="183"/>
        <v>334558</v>
      </c>
      <c r="L739" s="52"/>
      <c r="M739" s="52"/>
      <c r="N739" s="14">
        <f t="shared" si="185"/>
        <v>1979</v>
      </c>
      <c r="O739" s="282"/>
    </row>
    <row r="740" spans="1:15" hidden="1">
      <c r="A740" s="3" t="s">
        <v>312</v>
      </c>
      <c r="B740" s="13">
        <v>2485</v>
      </c>
      <c r="C740" s="13"/>
      <c r="D740" s="13"/>
      <c r="E740" s="13">
        <v>5447</v>
      </c>
      <c r="F740" s="13">
        <v>0</v>
      </c>
      <c r="G740" s="13">
        <f t="shared" si="184"/>
        <v>7932</v>
      </c>
      <c r="H740" s="13">
        <v>0</v>
      </c>
      <c r="I740" s="48"/>
      <c r="J740" s="48"/>
      <c r="K740" s="20">
        <f t="shared" si="183"/>
        <v>342490</v>
      </c>
      <c r="L740" s="52"/>
      <c r="M740" s="52"/>
      <c r="N740" s="14">
        <f t="shared" si="185"/>
        <v>2026</v>
      </c>
      <c r="O740" s="282"/>
    </row>
    <row r="741" spans="1:15" hidden="1">
      <c r="A741" s="3" t="s">
        <v>313</v>
      </c>
      <c r="B741" s="13">
        <v>2835</v>
      </c>
      <c r="C741" s="13"/>
      <c r="D741" s="13"/>
      <c r="E741" s="13">
        <v>6215</v>
      </c>
      <c r="F741" s="13">
        <v>0</v>
      </c>
      <c r="G741" s="13">
        <f t="shared" si="184"/>
        <v>9050</v>
      </c>
      <c r="H741" s="13">
        <v>0</v>
      </c>
      <c r="I741" s="48"/>
      <c r="J741" s="48"/>
      <c r="K741" s="20">
        <f t="shared" si="183"/>
        <v>351540</v>
      </c>
      <c r="L741" s="52"/>
      <c r="M741" s="52"/>
      <c r="N741" s="14">
        <f t="shared" si="185"/>
        <v>2080</v>
      </c>
      <c r="O741" s="282"/>
    </row>
    <row r="742" spans="1:15" hidden="1">
      <c r="A742" s="3" t="s">
        <v>314</v>
      </c>
      <c r="B742" s="13">
        <v>2555</v>
      </c>
      <c r="C742" s="13"/>
      <c r="D742" s="13"/>
      <c r="E742" s="13">
        <v>5600</v>
      </c>
      <c r="F742" s="13">
        <v>0</v>
      </c>
      <c r="G742" s="13">
        <f t="shared" si="184"/>
        <v>8155</v>
      </c>
      <c r="H742" s="13">
        <v>0</v>
      </c>
      <c r="I742" s="48"/>
      <c r="J742" s="48"/>
      <c r="K742" s="20">
        <f t="shared" si="183"/>
        <v>359695</v>
      </c>
      <c r="L742" s="52"/>
      <c r="M742" s="52"/>
      <c r="N742" s="14">
        <f t="shared" si="185"/>
        <v>2128</v>
      </c>
      <c r="O742" s="282"/>
    </row>
    <row r="743" spans="1:15" hidden="1">
      <c r="A743" s="3" t="s">
        <v>315</v>
      </c>
      <c r="B743" s="13">
        <v>2555</v>
      </c>
      <c r="C743" s="13"/>
      <c r="D743" s="13"/>
      <c r="E743" s="13">
        <v>5600</v>
      </c>
      <c r="F743" s="13">
        <v>0</v>
      </c>
      <c r="G743" s="13">
        <f t="shared" si="184"/>
        <v>8155</v>
      </c>
      <c r="H743" s="13">
        <v>0</v>
      </c>
      <c r="I743" s="48"/>
      <c r="J743" s="48"/>
      <c r="K743" s="20">
        <f t="shared" si="183"/>
        <v>367850</v>
      </c>
      <c r="L743" s="52"/>
      <c r="M743" s="52"/>
      <c r="N743" s="14">
        <f t="shared" si="185"/>
        <v>2176</v>
      </c>
      <c r="O743" s="282"/>
    </row>
    <row r="744" spans="1:15" hidden="1">
      <c r="A744" s="3" t="s">
        <v>316</v>
      </c>
      <c r="B744" s="13">
        <v>2555</v>
      </c>
      <c r="C744" s="13"/>
      <c r="D744" s="13"/>
      <c r="E744" s="13">
        <v>5600</v>
      </c>
      <c r="F744" s="13">
        <v>0</v>
      </c>
      <c r="G744" s="13">
        <f t="shared" si="184"/>
        <v>8155</v>
      </c>
      <c r="H744" s="13">
        <v>0</v>
      </c>
      <c r="I744" s="48"/>
      <c r="J744" s="48"/>
      <c r="K744" s="20">
        <f t="shared" si="183"/>
        <v>376005</v>
      </c>
      <c r="L744" s="52"/>
      <c r="M744" s="52"/>
      <c r="N744" s="14">
        <f t="shared" si="185"/>
        <v>2225</v>
      </c>
      <c r="O744" s="282"/>
    </row>
    <row r="745" spans="1:15" hidden="1">
      <c r="A745" s="3" t="s">
        <v>317</v>
      </c>
      <c r="B745" s="13">
        <v>2555</v>
      </c>
      <c r="C745" s="13"/>
      <c r="D745" s="13"/>
      <c r="E745" s="13">
        <v>5600</v>
      </c>
      <c r="F745" s="13">
        <v>0</v>
      </c>
      <c r="G745" s="13">
        <f t="shared" si="184"/>
        <v>8155</v>
      </c>
      <c r="H745" s="13">
        <v>0</v>
      </c>
      <c r="I745" s="48"/>
      <c r="J745" s="48"/>
      <c r="K745" s="20">
        <f t="shared" si="183"/>
        <v>384160</v>
      </c>
      <c r="L745" s="52"/>
      <c r="M745" s="52"/>
      <c r="N745" s="14">
        <f>ROUND((K745*7.1/100)/12,0)</f>
        <v>2273</v>
      </c>
      <c r="O745" s="282"/>
    </row>
    <row r="746" spans="1:15" hidden="1">
      <c r="A746" s="3" t="s">
        <v>318</v>
      </c>
      <c r="B746" s="15">
        <f t="shared" ref="B746:N746" si="186">SUM(B734:B745)</f>
        <v>30441</v>
      </c>
      <c r="C746" s="15"/>
      <c r="D746" s="15"/>
      <c r="E746" s="15">
        <f t="shared" si="186"/>
        <v>66714</v>
      </c>
      <c r="F746" s="15">
        <f t="shared" si="186"/>
        <v>0</v>
      </c>
      <c r="G746" s="15">
        <f t="shared" si="186"/>
        <v>97155</v>
      </c>
      <c r="H746" s="15">
        <f t="shared" si="186"/>
        <v>0</v>
      </c>
      <c r="I746" s="15"/>
      <c r="J746" s="15"/>
      <c r="K746" s="15">
        <f t="shared" si="186"/>
        <v>4067543</v>
      </c>
      <c r="L746" s="8"/>
      <c r="M746" s="8"/>
      <c r="N746" s="8">
        <f t="shared" si="186"/>
        <v>24066</v>
      </c>
      <c r="O746" s="282"/>
    </row>
    <row r="747" spans="1:15" hidden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6"/>
      <c r="L747" s="6"/>
      <c r="M747" s="6"/>
      <c r="N747" s="5"/>
    </row>
    <row r="748" spans="1:15" ht="15" hidden="1" thickBot="1">
      <c r="A748" s="5"/>
      <c r="B748" s="6"/>
      <c r="C748" s="6"/>
      <c r="D748" s="6"/>
      <c r="E748" s="5"/>
      <c r="F748" s="5"/>
      <c r="G748" s="211" t="s">
        <v>47</v>
      </c>
      <c r="H748" s="212"/>
      <c r="I748" s="212"/>
      <c r="J748" s="212"/>
      <c r="K748" s="213"/>
      <c r="L748" s="26"/>
      <c r="M748" s="26"/>
      <c r="N748" s="16">
        <f>N716</f>
        <v>287005</v>
      </c>
    </row>
    <row r="749" spans="1:15" ht="15" hidden="1" thickBot="1">
      <c r="A749" s="5"/>
      <c r="B749" s="5"/>
      <c r="C749" s="5"/>
      <c r="D749" s="5"/>
      <c r="E749" s="5"/>
      <c r="F749" s="5"/>
      <c r="G749" s="211" t="s">
        <v>48</v>
      </c>
      <c r="H749" s="212"/>
      <c r="I749" s="212"/>
      <c r="J749" s="212"/>
      <c r="K749" s="213"/>
      <c r="L749" s="26"/>
      <c r="M749" s="26"/>
      <c r="N749" s="16">
        <f>B746+F746</f>
        <v>30441</v>
      </c>
    </row>
    <row r="750" spans="1:15" ht="15" hidden="1" thickBot="1">
      <c r="A750" s="5"/>
      <c r="B750" s="5"/>
      <c r="C750" s="5"/>
      <c r="D750" s="5"/>
      <c r="E750" s="5"/>
      <c r="F750" s="5"/>
      <c r="G750" s="211" t="s">
        <v>349</v>
      </c>
      <c r="H750" s="212"/>
      <c r="I750" s="212"/>
      <c r="J750" s="212"/>
      <c r="K750" s="213"/>
      <c r="L750" s="26"/>
      <c r="M750" s="26"/>
      <c r="N750" s="16">
        <f>E746</f>
        <v>66714</v>
      </c>
    </row>
    <row r="751" spans="1:15" ht="15" hidden="1" thickBot="1">
      <c r="A751" s="5"/>
      <c r="B751" s="5"/>
      <c r="C751" s="5"/>
      <c r="D751" s="5"/>
      <c r="E751" s="5"/>
      <c r="F751" s="5"/>
      <c r="G751" s="211" t="s">
        <v>49</v>
      </c>
      <c r="H751" s="212"/>
      <c r="I751" s="212"/>
      <c r="J751" s="212"/>
      <c r="K751" s="213"/>
      <c r="L751" s="26"/>
      <c r="M751" s="26"/>
      <c r="N751" s="16">
        <f>SUM(N748:N750)</f>
        <v>384160</v>
      </c>
    </row>
    <row r="752" spans="1:15" ht="15" hidden="1" thickBot="1">
      <c r="A752" s="5"/>
      <c r="B752" s="5"/>
      <c r="C752" s="5"/>
      <c r="D752" s="5"/>
      <c r="E752" s="5"/>
      <c r="F752" s="5"/>
      <c r="G752" s="211" t="s">
        <v>50</v>
      </c>
      <c r="H752" s="212"/>
      <c r="I752" s="212"/>
      <c r="J752" s="212"/>
      <c r="K752" s="213"/>
      <c r="L752" s="26"/>
      <c r="M752" s="26"/>
      <c r="N752" s="16">
        <f>H746</f>
        <v>0</v>
      </c>
    </row>
    <row r="753" spans="1:15" ht="15" hidden="1" thickBot="1">
      <c r="A753" s="5"/>
      <c r="B753" s="5"/>
      <c r="C753" s="5"/>
      <c r="D753" s="5"/>
      <c r="E753" s="5"/>
      <c r="F753" s="5"/>
      <c r="G753" s="211" t="s">
        <v>51</v>
      </c>
      <c r="H753" s="212"/>
      <c r="I753" s="212"/>
      <c r="J753" s="212"/>
      <c r="K753" s="213"/>
      <c r="L753" s="26"/>
      <c r="M753" s="26"/>
      <c r="N753" s="16">
        <f>N746</f>
        <v>24066</v>
      </c>
    </row>
    <row r="754" spans="1:15" ht="15" hidden="1" thickBot="1">
      <c r="A754" s="5"/>
      <c r="B754" s="5"/>
      <c r="C754" s="5"/>
      <c r="D754" s="5"/>
      <c r="E754" s="5"/>
      <c r="F754" s="5"/>
      <c r="G754" s="211" t="s">
        <v>52</v>
      </c>
      <c r="H754" s="212"/>
      <c r="I754" s="212"/>
      <c r="J754" s="212"/>
      <c r="K754" s="213"/>
      <c r="L754" s="26"/>
      <c r="M754" s="26"/>
      <c r="N754" s="16">
        <f>(N751-N752)+N753</f>
        <v>408226</v>
      </c>
    </row>
    <row r="755" spans="1:15" hidden="1">
      <c r="A755" s="5"/>
      <c r="B755" s="5"/>
      <c r="C755" s="5"/>
      <c r="D755" s="5"/>
      <c r="E755" s="5"/>
      <c r="F755" s="5"/>
      <c r="G755" s="17"/>
      <c r="H755" s="17"/>
      <c r="I755" s="17"/>
      <c r="J755" s="17"/>
      <c r="K755" s="17"/>
      <c r="L755" s="17"/>
      <c r="M755" s="17"/>
      <c r="N755" s="6"/>
    </row>
    <row r="756" spans="1:15"/>
    <row r="757" spans="1:15"/>
    <row r="758" spans="1:15" ht="16.8" hidden="1">
      <c r="A758" s="249" t="s">
        <v>53</v>
      </c>
      <c r="B758" s="249"/>
      <c r="C758" s="18"/>
      <c r="D758" s="18"/>
      <c r="E758" s="249" t="s">
        <v>54</v>
      </c>
      <c r="F758" s="249"/>
      <c r="G758" s="249"/>
      <c r="H758" s="250" t="s">
        <v>55</v>
      </c>
      <c r="I758" s="250"/>
      <c r="J758" s="250"/>
      <c r="K758" s="250"/>
      <c r="L758" s="250"/>
      <c r="M758" s="250"/>
      <c r="N758" s="250"/>
    </row>
    <row r="759" spans="1:15"/>
    <row r="760" spans="1:15"/>
    <row r="761" spans="1:15" ht="18.600000000000001" hidden="1">
      <c r="A761" s="224" t="s">
        <v>0</v>
      </c>
      <c r="B761" s="224"/>
      <c r="C761" s="224"/>
      <c r="D761" s="224"/>
      <c r="E761" s="224"/>
      <c r="F761" s="224"/>
      <c r="G761" s="224"/>
      <c r="H761" s="224"/>
      <c r="I761" s="224"/>
      <c r="J761" s="224"/>
      <c r="K761" s="224"/>
      <c r="L761" s="224"/>
      <c r="M761" s="224"/>
      <c r="N761" s="224"/>
      <c r="O761" s="224"/>
    </row>
    <row r="762" spans="1:15" ht="18.600000000000001" hidden="1">
      <c r="A762" s="224" t="s">
        <v>1</v>
      </c>
      <c r="B762" s="224"/>
      <c r="C762" s="224"/>
      <c r="D762" s="224"/>
      <c r="E762" s="224"/>
      <c r="F762" s="224"/>
      <c r="G762" s="224"/>
      <c r="H762" s="224"/>
      <c r="I762" s="224"/>
      <c r="J762" s="224"/>
      <c r="K762" s="224"/>
      <c r="L762" s="224"/>
      <c r="M762" s="224"/>
      <c r="N762" s="224"/>
      <c r="O762" s="224"/>
    </row>
    <row r="763" spans="1:15"/>
    <row r="764" spans="1:15" hidden="1">
      <c r="A764" s="258" t="s">
        <v>319</v>
      </c>
      <c r="B764" s="258"/>
      <c r="C764" s="258"/>
      <c r="D764" s="258"/>
      <c r="E764" s="258"/>
      <c r="F764" s="258"/>
      <c r="G764" s="258"/>
      <c r="H764" s="258"/>
      <c r="I764" s="258"/>
      <c r="J764" s="258"/>
      <c r="K764" s="258"/>
      <c r="L764" s="258"/>
      <c r="M764" s="258"/>
      <c r="N764" s="258"/>
    </row>
    <row r="765" spans="1:15" hidden="1">
      <c r="A765" s="3" t="s">
        <v>3</v>
      </c>
      <c r="B765" s="4">
        <f>B727</f>
        <v>2439</v>
      </c>
      <c r="C765" s="4"/>
      <c r="D765" s="4"/>
      <c r="E765" s="4" t="s">
        <v>4</v>
      </c>
      <c r="F765" s="283" t="str">
        <f>F727</f>
        <v>Mahajan Ganesh Trambak</v>
      </c>
      <c r="G765" s="283"/>
      <c r="H765" s="283"/>
      <c r="I765" s="283"/>
      <c r="J765" s="283"/>
      <c r="K765" s="283"/>
      <c r="L765" s="283"/>
      <c r="M765" s="283"/>
      <c r="N765" s="283"/>
    </row>
    <row r="766" spans="1:15" hidden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6"/>
      <c r="L766" s="6"/>
      <c r="M766" s="6"/>
      <c r="N766" s="5"/>
    </row>
    <row r="767" spans="1:15" ht="20.399999999999999" hidden="1">
      <c r="A767" s="4" t="s">
        <v>6</v>
      </c>
      <c r="B767" s="4">
        <f>B729</f>
        <v>2439</v>
      </c>
      <c r="C767" s="4"/>
      <c r="D767" s="4"/>
      <c r="E767" s="3" t="s">
        <v>7</v>
      </c>
      <c r="F767" s="268"/>
      <c r="G767" s="269"/>
      <c r="H767" s="3" t="s">
        <v>8</v>
      </c>
      <c r="I767" s="3"/>
      <c r="J767" s="3"/>
      <c r="K767" s="270" t="str">
        <f>K729</f>
        <v>Asst. Jr. Engineer</v>
      </c>
      <c r="L767" s="270"/>
      <c r="M767" s="270"/>
      <c r="N767" s="270"/>
    </row>
    <row r="768" spans="1:15" hidden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6"/>
      <c r="L768" s="6"/>
      <c r="M768" s="6"/>
      <c r="N768" s="5"/>
    </row>
    <row r="769" spans="1:15" hidden="1">
      <c r="A769" s="3" t="s">
        <v>10</v>
      </c>
      <c r="B769" s="7">
        <v>7.0999999999999994E-2</v>
      </c>
      <c r="C769" s="7"/>
      <c r="D769" s="7"/>
      <c r="E769" s="3" t="s">
        <v>11</v>
      </c>
      <c r="F769" s="7">
        <v>0</v>
      </c>
      <c r="G769" s="216" t="s">
        <v>12</v>
      </c>
      <c r="H769" s="217"/>
      <c r="I769" s="29"/>
      <c r="J769" s="29"/>
      <c r="K769" s="266">
        <f>N754</f>
        <v>408226</v>
      </c>
      <c r="L769" s="267"/>
      <c r="M769" s="267"/>
      <c r="N769" s="271"/>
    </row>
    <row r="770" spans="1:15" hidden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6"/>
      <c r="L770" s="6"/>
      <c r="M770" s="6"/>
      <c r="N770" s="5"/>
    </row>
    <row r="771" spans="1:15" ht="30.6" hidden="1">
      <c r="A771" s="9" t="s">
        <v>13</v>
      </c>
      <c r="B771" s="9" t="s">
        <v>14</v>
      </c>
      <c r="C771" s="9"/>
      <c r="D771" s="9"/>
      <c r="E771" s="9" t="s">
        <v>349</v>
      </c>
      <c r="F771" s="9" t="s">
        <v>15</v>
      </c>
      <c r="G771" s="9" t="s">
        <v>16</v>
      </c>
      <c r="H771" s="9" t="s">
        <v>17</v>
      </c>
      <c r="I771" s="9"/>
      <c r="J771" s="9"/>
      <c r="K771" s="10" t="s">
        <v>18</v>
      </c>
      <c r="L771" s="10"/>
      <c r="M771" s="10"/>
      <c r="N771" s="10" t="s">
        <v>19</v>
      </c>
      <c r="O771" s="11" t="s">
        <v>20</v>
      </c>
    </row>
    <row r="772" spans="1:15" hidden="1">
      <c r="A772" s="3" t="s">
        <v>320</v>
      </c>
      <c r="B772" s="13">
        <v>2555</v>
      </c>
      <c r="C772" s="13"/>
      <c r="D772" s="13"/>
      <c r="E772" s="13">
        <f>B772</f>
        <v>2555</v>
      </c>
      <c r="F772" s="13">
        <v>0</v>
      </c>
      <c r="G772" s="13">
        <f>E772+B772+F772</f>
        <v>5110</v>
      </c>
      <c r="H772" s="13">
        <v>0</v>
      </c>
      <c r="I772" s="13"/>
      <c r="J772" s="13"/>
      <c r="K772" s="13">
        <f>(K769+G772)-H772</f>
        <v>413336</v>
      </c>
      <c r="L772" s="14"/>
      <c r="M772" s="14"/>
      <c r="N772" s="14">
        <f>ROUND((K772*7.1/100)/12,0)</f>
        <v>2446</v>
      </c>
      <c r="O772" s="282" t="s">
        <v>264</v>
      </c>
    </row>
    <row r="773" spans="1:15" hidden="1">
      <c r="A773" s="3" t="s">
        <v>321</v>
      </c>
      <c r="B773" s="13">
        <v>2555</v>
      </c>
      <c r="C773" s="13"/>
      <c r="D773" s="13"/>
      <c r="E773" s="13">
        <f t="shared" ref="E773:E783" si="187">B773</f>
        <v>2555</v>
      </c>
      <c r="F773" s="13">
        <v>0</v>
      </c>
      <c r="G773" s="13">
        <f>E773+B773+F773</f>
        <v>5110</v>
      </c>
      <c r="H773" s="13">
        <v>0</v>
      </c>
      <c r="I773" s="48"/>
      <c r="J773" s="48"/>
      <c r="K773" s="20">
        <f>(K772+G773)-H773</f>
        <v>418446</v>
      </c>
      <c r="L773" s="52"/>
      <c r="M773" s="52"/>
      <c r="N773" s="14">
        <f>ROUND((K773*7.1/100)/12,0)</f>
        <v>2476</v>
      </c>
      <c r="O773" s="282"/>
    </row>
    <row r="774" spans="1:15" hidden="1">
      <c r="A774" s="3" t="s">
        <v>322</v>
      </c>
      <c r="B774" s="13">
        <v>2555</v>
      </c>
      <c r="C774" s="13"/>
      <c r="D774" s="13"/>
      <c r="E774" s="13">
        <f t="shared" si="187"/>
        <v>2555</v>
      </c>
      <c r="F774" s="13">
        <v>0</v>
      </c>
      <c r="G774" s="13">
        <f>E774+B774+F774</f>
        <v>5110</v>
      </c>
      <c r="H774" s="13">
        <v>0</v>
      </c>
      <c r="I774" s="48"/>
      <c r="J774" s="48"/>
      <c r="K774" s="20">
        <f>(K773+G774)-H774</f>
        <v>423556</v>
      </c>
      <c r="L774" s="52"/>
      <c r="M774" s="52"/>
      <c r="N774" s="14">
        <f>ROUND((K774*7.1/100)/12,0)</f>
        <v>2506</v>
      </c>
      <c r="O774" s="282"/>
    </row>
    <row r="775" spans="1:15" hidden="1">
      <c r="A775" s="3" t="s">
        <v>323</v>
      </c>
      <c r="B775" s="13">
        <v>0</v>
      </c>
      <c r="C775" s="13"/>
      <c r="D775" s="13"/>
      <c r="E775" s="13">
        <f t="shared" si="187"/>
        <v>0</v>
      </c>
      <c r="F775" s="13">
        <v>0</v>
      </c>
      <c r="G775" s="13">
        <f t="shared" ref="G775:G783" si="188">E775+B775</f>
        <v>0</v>
      </c>
      <c r="H775" s="13">
        <v>0</v>
      </c>
      <c r="I775" s="48"/>
      <c r="J775" s="48"/>
      <c r="K775" s="20">
        <v>0</v>
      </c>
      <c r="L775" s="52"/>
      <c r="M775" s="52"/>
      <c r="N775" s="14">
        <f>ROUND((K775*7.1/100)/12,0)</f>
        <v>0</v>
      </c>
      <c r="O775" s="282"/>
    </row>
    <row r="776" spans="1:15" hidden="1">
      <c r="A776" s="3" t="s">
        <v>324</v>
      </c>
      <c r="B776" s="13">
        <v>0</v>
      </c>
      <c r="C776" s="13"/>
      <c r="D776" s="13"/>
      <c r="E776" s="13">
        <f t="shared" si="187"/>
        <v>0</v>
      </c>
      <c r="F776" s="13">
        <v>0</v>
      </c>
      <c r="G776" s="13">
        <f t="shared" si="188"/>
        <v>0</v>
      </c>
      <c r="H776" s="13">
        <v>0</v>
      </c>
      <c r="I776" s="48"/>
      <c r="J776" s="48"/>
      <c r="K776" s="20">
        <f t="shared" ref="K776:K783" si="189">(K775+G776)-H776</f>
        <v>0</v>
      </c>
      <c r="L776" s="52"/>
      <c r="M776" s="52"/>
      <c r="N776" s="14">
        <f t="shared" ref="N776:N782" si="190">ROUND((K776*7.1/100)/12,0)</f>
        <v>0</v>
      </c>
      <c r="O776" s="282"/>
    </row>
    <row r="777" spans="1:15" hidden="1">
      <c r="A777" s="3" t="s">
        <v>325</v>
      </c>
      <c r="B777" s="13">
        <v>0</v>
      </c>
      <c r="C777" s="13"/>
      <c r="D777" s="13"/>
      <c r="E777" s="13">
        <f t="shared" si="187"/>
        <v>0</v>
      </c>
      <c r="F777" s="13">
        <v>0</v>
      </c>
      <c r="G777" s="13">
        <f t="shared" si="188"/>
        <v>0</v>
      </c>
      <c r="H777" s="13">
        <v>0</v>
      </c>
      <c r="I777" s="48"/>
      <c r="J777" s="48"/>
      <c r="K777" s="20">
        <f t="shared" si="189"/>
        <v>0</v>
      </c>
      <c r="L777" s="52"/>
      <c r="M777" s="52"/>
      <c r="N777" s="14">
        <f t="shared" si="190"/>
        <v>0</v>
      </c>
      <c r="O777" s="282"/>
    </row>
    <row r="778" spans="1:15" hidden="1">
      <c r="A778" s="3" t="s">
        <v>326</v>
      </c>
      <c r="B778" s="13">
        <v>0</v>
      </c>
      <c r="C778" s="13"/>
      <c r="D778" s="13"/>
      <c r="E778" s="13">
        <f t="shared" si="187"/>
        <v>0</v>
      </c>
      <c r="F778" s="13">
        <v>0</v>
      </c>
      <c r="G778" s="13">
        <f t="shared" si="188"/>
        <v>0</v>
      </c>
      <c r="H778" s="13">
        <v>0</v>
      </c>
      <c r="I778" s="48"/>
      <c r="J778" s="48"/>
      <c r="K778" s="20">
        <f t="shared" si="189"/>
        <v>0</v>
      </c>
      <c r="L778" s="52"/>
      <c r="M778" s="52"/>
      <c r="N778" s="14">
        <f t="shared" si="190"/>
        <v>0</v>
      </c>
      <c r="O778" s="282"/>
    </row>
    <row r="779" spans="1:15" hidden="1">
      <c r="A779" s="3" t="s">
        <v>327</v>
      </c>
      <c r="B779" s="13">
        <v>0</v>
      </c>
      <c r="C779" s="13"/>
      <c r="D779" s="13"/>
      <c r="E779" s="13">
        <f t="shared" si="187"/>
        <v>0</v>
      </c>
      <c r="F779" s="13">
        <v>0</v>
      </c>
      <c r="G779" s="13">
        <f t="shared" si="188"/>
        <v>0</v>
      </c>
      <c r="H779" s="13">
        <v>0</v>
      </c>
      <c r="I779" s="48"/>
      <c r="J779" s="48"/>
      <c r="K779" s="20">
        <f t="shared" si="189"/>
        <v>0</v>
      </c>
      <c r="L779" s="52"/>
      <c r="M779" s="52"/>
      <c r="N779" s="14">
        <f t="shared" si="190"/>
        <v>0</v>
      </c>
      <c r="O779" s="282"/>
    </row>
    <row r="780" spans="1:15" hidden="1">
      <c r="A780" s="3" t="s">
        <v>328</v>
      </c>
      <c r="B780" s="13">
        <v>0</v>
      </c>
      <c r="C780" s="13"/>
      <c r="D780" s="13"/>
      <c r="E780" s="13">
        <f t="shared" si="187"/>
        <v>0</v>
      </c>
      <c r="F780" s="13">
        <v>0</v>
      </c>
      <c r="G780" s="13">
        <f t="shared" si="188"/>
        <v>0</v>
      </c>
      <c r="H780" s="13">
        <v>0</v>
      </c>
      <c r="I780" s="48"/>
      <c r="J780" s="48"/>
      <c r="K780" s="20">
        <f t="shared" si="189"/>
        <v>0</v>
      </c>
      <c r="L780" s="52"/>
      <c r="M780" s="52"/>
      <c r="N780" s="14">
        <f t="shared" si="190"/>
        <v>0</v>
      </c>
      <c r="O780" s="282"/>
    </row>
    <row r="781" spans="1:15" hidden="1">
      <c r="A781" s="3" t="s">
        <v>329</v>
      </c>
      <c r="B781" s="13">
        <v>0</v>
      </c>
      <c r="C781" s="13"/>
      <c r="D781" s="13"/>
      <c r="E781" s="13">
        <f t="shared" si="187"/>
        <v>0</v>
      </c>
      <c r="F781" s="13">
        <v>0</v>
      </c>
      <c r="G781" s="13">
        <f t="shared" si="188"/>
        <v>0</v>
      </c>
      <c r="H781" s="13">
        <v>0</v>
      </c>
      <c r="I781" s="48"/>
      <c r="J781" s="48"/>
      <c r="K781" s="20">
        <f t="shared" si="189"/>
        <v>0</v>
      </c>
      <c r="L781" s="52"/>
      <c r="M781" s="52"/>
      <c r="N781" s="14">
        <f t="shared" si="190"/>
        <v>0</v>
      </c>
      <c r="O781" s="282"/>
    </row>
    <row r="782" spans="1:15" hidden="1">
      <c r="A782" s="3" t="s">
        <v>330</v>
      </c>
      <c r="B782" s="13">
        <v>0</v>
      </c>
      <c r="C782" s="13"/>
      <c r="D782" s="13"/>
      <c r="E782" s="13">
        <f t="shared" si="187"/>
        <v>0</v>
      </c>
      <c r="F782" s="13">
        <v>0</v>
      </c>
      <c r="G782" s="13">
        <f t="shared" si="188"/>
        <v>0</v>
      </c>
      <c r="H782" s="13">
        <v>0</v>
      </c>
      <c r="I782" s="48"/>
      <c r="J782" s="48"/>
      <c r="K782" s="20">
        <f t="shared" si="189"/>
        <v>0</v>
      </c>
      <c r="L782" s="52"/>
      <c r="M782" s="52"/>
      <c r="N782" s="14">
        <f t="shared" si="190"/>
        <v>0</v>
      </c>
      <c r="O782" s="282"/>
    </row>
    <row r="783" spans="1:15" hidden="1">
      <c r="A783" s="3" t="s">
        <v>331</v>
      </c>
      <c r="B783" s="13">
        <v>0</v>
      </c>
      <c r="C783" s="13"/>
      <c r="D783" s="13"/>
      <c r="E783" s="13">
        <f t="shared" si="187"/>
        <v>0</v>
      </c>
      <c r="F783" s="13">
        <v>0</v>
      </c>
      <c r="G783" s="13">
        <f t="shared" si="188"/>
        <v>0</v>
      </c>
      <c r="H783" s="13">
        <v>0</v>
      </c>
      <c r="I783" s="48"/>
      <c r="J783" s="48"/>
      <c r="K783" s="20">
        <f t="shared" si="189"/>
        <v>0</v>
      </c>
      <c r="L783" s="52"/>
      <c r="M783" s="52"/>
      <c r="N783" s="14">
        <f>ROUND((K783*7.1/100)/12,0)</f>
        <v>0</v>
      </c>
      <c r="O783" s="282"/>
    </row>
    <row r="784" spans="1:15" hidden="1">
      <c r="A784" s="3" t="s">
        <v>332</v>
      </c>
      <c r="B784" s="15">
        <f t="shared" ref="B784:N784" si="191">SUM(B772:B783)</f>
        <v>7665</v>
      </c>
      <c r="C784" s="15"/>
      <c r="D784" s="15"/>
      <c r="E784" s="15">
        <f t="shared" si="191"/>
        <v>7665</v>
      </c>
      <c r="F784" s="15">
        <f t="shared" si="191"/>
        <v>0</v>
      </c>
      <c r="G784" s="15">
        <f t="shared" si="191"/>
        <v>15330</v>
      </c>
      <c r="H784" s="15">
        <f t="shared" si="191"/>
        <v>0</v>
      </c>
      <c r="I784" s="15"/>
      <c r="J784" s="15"/>
      <c r="K784" s="15">
        <f t="shared" si="191"/>
        <v>1255338</v>
      </c>
      <c r="L784" s="8"/>
      <c r="M784" s="8"/>
      <c r="N784" s="8">
        <f t="shared" si="191"/>
        <v>7428</v>
      </c>
      <c r="O784" s="282"/>
    </row>
    <row r="785" spans="1:14" hidden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6"/>
      <c r="L785" s="6"/>
      <c r="M785" s="6"/>
      <c r="N785" s="5"/>
    </row>
    <row r="786" spans="1:14" ht="15" hidden="1" thickBot="1">
      <c r="A786" s="5"/>
      <c r="B786" s="6"/>
      <c r="C786" s="6"/>
      <c r="D786" s="6"/>
      <c r="E786" s="5"/>
      <c r="F786" s="5"/>
      <c r="G786" s="211" t="s">
        <v>47</v>
      </c>
      <c r="H786" s="212"/>
      <c r="I786" s="212"/>
      <c r="J786" s="212"/>
      <c r="K786" s="213"/>
      <c r="L786" s="26"/>
      <c r="M786" s="26"/>
      <c r="N786" s="16">
        <f>N754</f>
        <v>408226</v>
      </c>
    </row>
    <row r="787" spans="1:14" ht="15" hidden="1" thickBot="1">
      <c r="A787" s="5"/>
      <c r="B787" s="5"/>
      <c r="C787" s="5"/>
      <c r="D787" s="5"/>
      <c r="E787" s="5"/>
      <c r="F787" s="5"/>
      <c r="G787" s="211" t="s">
        <v>48</v>
      </c>
      <c r="H787" s="212"/>
      <c r="I787" s="212"/>
      <c r="J787" s="212"/>
      <c r="K787" s="213"/>
      <c r="L787" s="26"/>
      <c r="M787" s="26"/>
      <c r="N787" s="16">
        <f>B784+F784</f>
        <v>7665</v>
      </c>
    </row>
    <row r="788" spans="1:14" ht="15" hidden="1" thickBot="1">
      <c r="A788" s="5"/>
      <c r="B788" s="5"/>
      <c r="C788" s="5"/>
      <c r="D788" s="5"/>
      <c r="E788" s="5"/>
      <c r="F788" s="5"/>
      <c r="G788" s="211" t="s">
        <v>349</v>
      </c>
      <c r="H788" s="212"/>
      <c r="I788" s="212"/>
      <c r="J788" s="212"/>
      <c r="K788" s="213"/>
      <c r="L788" s="26"/>
      <c r="M788" s="26"/>
      <c r="N788" s="16">
        <f>E784</f>
        <v>7665</v>
      </c>
    </row>
    <row r="789" spans="1:14" ht="15" hidden="1" thickBot="1">
      <c r="A789" s="5"/>
      <c r="B789" s="5"/>
      <c r="C789" s="5"/>
      <c r="D789" s="5"/>
      <c r="E789" s="5"/>
      <c r="F789" s="5"/>
      <c r="G789" s="211" t="s">
        <v>49</v>
      </c>
      <c r="H789" s="212"/>
      <c r="I789" s="212"/>
      <c r="J789" s="212"/>
      <c r="K789" s="213"/>
      <c r="L789" s="26"/>
      <c r="M789" s="26"/>
      <c r="N789" s="16">
        <f>SUM(N786:N788)</f>
        <v>423556</v>
      </c>
    </row>
    <row r="790" spans="1:14" ht="15" hidden="1" thickBot="1">
      <c r="A790" s="5"/>
      <c r="B790" s="5"/>
      <c r="C790" s="5"/>
      <c r="D790" s="5"/>
      <c r="E790" s="5"/>
      <c r="F790" s="5"/>
      <c r="G790" s="211" t="s">
        <v>50</v>
      </c>
      <c r="H790" s="212"/>
      <c r="I790" s="212"/>
      <c r="J790" s="212"/>
      <c r="K790" s="213"/>
      <c r="L790" s="26"/>
      <c r="M790" s="26"/>
      <c r="N790" s="16">
        <f>H784</f>
        <v>0</v>
      </c>
    </row>
    <row r="791" spans="1:14" ht="15" hidden="1" thickBot="1">
      <c r="A791" s="5"/>
      <c r="B791" s="5"/>
      <c r="C791" s="5"/>
      <c r="D791" s="5"/>
      <c r="E791" s="5"/>
      <c r="F791" s="5"/>
      <c r="G791" s="211" t="s">
        <v>51</v>
      </c>
      <c r="H791" s="212"/>
      <c r="I791" s="212"/>
      <c r="J791" s="212"/>
      <c r="K791" s="213"/>
      <c r="L791" s="26"/>
      <c r="M791" s="26"/>
      <c r="N791" s="16">
        <f>N784</f>
        <v>7428</v>
      </c>
    </row>
    <row r="792" spans="1:14" ht="15" hidden="1" thickBot="1">
      <c r="A792" s="5"/>
      <c r="B792" s="5"/>
      <c r="C792" s="5"/>
      <c r="D792" s="5"/>
      <c r="E792" s="5"/>
      <c r="F792" s="5"/>
      <c r="G792" s="211" t="s">
        <v>52</v>
      </c>
      <c r="H792" s="212"/>
      <c r="I792" s="212"/>
      <c r="J792" s="212"/>
      <c r="K792" s="213"/>
      <c r="L792" s="26"/>
      <c r="M792" s="26"/>
      <c r="N792" s="16">
        <f>(N789-N790)+N791</f>
        <v>430984</v>
      </c>
    </row>
    <row r="793" spans="1:14" hidden="1">
      <c r="A793" s="5"/>
      <c r="B793" s="5"/>
      <c r="C793" s="5"/>
      <c r="D793" s="5"/>
      <c r="E793" s="5"/>
      <c r="F793" s="5"/>
      <c r="G793" s="17"/>
      <c r="H793" s="17"/>
      <c r="I793" s="17"/>
      <c r="J793" s="17"/>
      <c r="K793" s="17"/>
      <c r="L793" s="17"/>
      <c r="M793" s="17"/>
      <c r="N793" s="6"/>
    </row>
    <row r="794" spans="1:14"/>
    <row r="795" spans="1:14"/>
    <row r="796" spans="1:14" ht="16.8" hidden="1">
      <c r="A796" s="249" t="s">
        <v>53</v>
      </c>
      <c r="B796" s="249"/>
      <c r="C796" s="18"/>
      <c r="D796" s="18"/>
      <c r="E796" s="249" t="s">
        <v>54</v>
      </c>
      <c r="F796" s="249"/>
      <c r="G796" s="249"/>
      <c r="H796" s="250" t="s">
        <v>55</v>
      </c>
      <c r="I796" s="250"/>
      <c r="J796" s="250"/>
      <c r="K796" s="250"/>
      <c r="L796" s="250"/>
      <c r="M796" s="250"/>
      <c r="N796" s="250"/>
    </row>
    <row r="797" spans="1:14"/>
    <row r="798" spans="1:14"/>
    <row r="799" spans="1:14"/>
    <row r="800" spans="1:14"/>
    <row r="801"/>
    <row r="802"/>
    <row r="803"/>
    <row r="804"/>
    <row r="805"/>
    <row r="806"/>
    <row r="807"/>
    <row r="808"/>
    <row r="809"/>
  </sheetData>
  <mergeCells count="509">
    <mergeCell ref="O218:O230"/>
    <mergeCell ref="AA77:AB78"/>
    <mergeCell ref="AD77:AE78"/>
    <mergeCell ref="AA79:AB79"/>
    <mergeCell ref="AA80:AB80"/>
    <mergeCell ref="AA81:AB81"/>
    <mergeCell ref="AA82:AB82"/>
    <mergeCell ref="AA83:AB83"/>
    <mergeCell ref="AA84:AB84"/>
    <mergeCell ref="AA85:AB85"/>
    <mergeCell ref="AD79:AE79"/>
    <mergeCell ref="AD80:AE80"/>
    <mergeCell ref="AD81:AE81"/>
    <mergeCell ref="AD82:AE82"/>
    <mergeCell ref="AD83:AE83"/>
    <mergeCell ref="AD84:AE84"/>
    <mergeCell ref="AD85:AE85"/>
    <mergeCell ref="O216:O217"/>
    <mergeCell ref="I83:O83"/>
    <mergeCell ref="K85:O85"/>
    <mergeCell ref="K171:O171"/>
    <mergeCell ref="V77:W78"/>
    <mergeCell ref="V79:W79"/>
    <mergeCell ref="V81:W81"/>
    <mergeCell ref="I216:I217"/>
    <mergeCell ref="J216:J217"/>
    <mergeCell ref="K216:K217"/>
    <mergeCell ref="L216:L217"/>
    <mergeCell ref="M216:M217"/>
    <mergeCell ref="N216:N217"/>
    <mergeCell ref="A206:O206"/>
    <mergeCell ref="G198:K198"/>
    <mergeCell ref="G199:K199"/>
    <mergeCell ref="A203:B203"/>
    <mergeCell ref="E203:G203"/>
    <mergeCell ref="H203:N203"/>
    <mergeCell ref="E210:F210"/>
    <mergeCell ref="H210:O210"/>
    <mergeCell ref="I212:O212"/>
    <mergeCell ref="K214:O214"/>
    <mergeCell ref="F216:F217"/>
    <mergeCell ref="G216:G217"/>
    <mergeCell ref="H216:H217"/>
    <mergeCell ref="A166:N166"/>
    <mergeCell ref="G155:K155"/>
    <mergeCell ref="G156:K156"/>
    <mergeCell ref="A160:B160"/>
    <mergeCell ref="E160:G160"/>
    <mergeCell ref="N173:N174"/>
    <mergeCell ref="G147:K147"/>
    <mergeCell ref="G148:K148"/>
    <mergeCell ref="O173:O174"/>
    <mergeCell ref="H160:N160"/>
    <mergeCell ref="A163:O163"/>
    <mergeCell ref="E167:F167"/>
    <mergeCell ref="H167:O167"/>
    <mergeCell ref="I169:O169"/>
    <mergeCell ref="H171:J171"/>
    <mergeCell ref="A173:A174"/>
    <mergeCell ref="B173:C173"/>
    <mergeCell ref="L173:L174"/>
    <mergeCell ref="M173:M174"/>
    <mergeCell ref="G154:K154"/>
    <mergeCell ref="G153:K153"/>
    <mergeCell ref="D173:E173"/>
    <mergeCell ref="F173:F174"/>
    <mergeCell ref="M130:M131"/>
    <mergeCell ref="N130:N131"/>
    <mergeCell ref="A164:O164"/>
    <mergeCell ref="A130:A131"/>
    <mergeCell ref="B130:C130"/>
    <mergeCell ref="D130:E130"/>
    <mergeCell ref="F130:F131"/>
    <mergeCell ref="G130:G131"/>
    <mergeCell ref="H130:H131"/>
    <mergeCell ref="I130:I131"/>
    <mergeCell ref="J130:J131"/>
    <mergeCell ref="K130:K131"/>
    <mergeCell ref="A1:O1"/>
    <mergeCell ref="A2:O2"/>
    <mergeCell ref="A4:N4"/>
    <mergeCell ref="F5:N5"/>
    <mergeCell ref="K7:N7"/>
    <mergeCell ref="G9:H9"/>
    <mergeCell ref="K9:N9"/>
    <mergeCell ref="H74:N74"/>
    <mergeCell ref="E74:G74"/>
    <mergeCell ref="A74:B74"/>
    <mergeCell ref="G70:K70"/>
    <mergeCell ref="G31:K31"/>
    <mergeCell ref="G32:K32"/>
    <mergeCell ref="A36:B36"/>
    <mergeCell ref="E36:G36"/>
    <mergeCell ref="H36:N36"/>
    <mergeCell ref="A39:O39"/>
    <mergeCell ref="O12:O23"/>
    <mergeCell ref="G26:K26"/>
    <mergeCell ref="G27:K27"/>
    <mergeCell ref="G28:K28"/>
    <mergeCell ref="G29:K29"/>
    <mergeCell ref="G30:K30"/>
    <mergeCell ref="A40:O40"/>
    <mergeCell ref="A42:N42"/>
    <mergeCell ref="F43:N43"/>
    <mergeCell ref="K45:N45"/>
    <mergeCell ref="G47:H47"/>
    <mergeCell ref="M87:M88"/>
    <mergeCell ref="N87:N88"/>
    <mergeCell ref="O87:O88"/>
    <mergeCell ref="K47:N47"/>
    <mergeCell ref="A78:O78"/>
    <mergeCell ref="A80:N80"/>
    <mergeCell ref="A77:O77"/>
    <mergeCell ref="G69:K69"/>
    <mergeCell ref="O50:O61"/>
    <mergeCell ref="G64:K64"/>
    <mergeCell ref="G65:K65"/>
    <mergeCell ref="G66:K66"/>
    <mergeCell ref="G67:K67"/>
    <mergeCell ref="G68:K68"/>
    <mergeCell ref="A87:A88"/>
    <mergeCell ref="F87:F88"/>
    <mergeCell ref="G87:G88"/>
    <mergeCell ref="H87:H88"/>
    <mergeCell ref="I87:I88"/>
    <mergeCell ref="J87:J88"/>
    <mergeCell ref="E81:F81"/>
    <mergeCell ref="H81:O81"/>
    <mergeCell ref="H85:J85"/>
    <mergeCell ref="A117:B117"/>
    <mergeCell ref="E117:G117"/>
    <mergeCell ref="H117:N117"/>
    <mergeCell ref="A120:O120"/>
    <mergeCell ref="O89:O100"/>
    <mergeCell ref="G103:K103"/>
    <mergeCell ref="G104:K104"/>
    <mergeCell ref="G107:K107"/>
    <mergeCell ref="G108:K108"/>
    <mergeCell ref="G109:K109"/>
    <mergeCell ref="G110:K110"/>
    <mergeCell ref="G111:K111"/>
    <mergeCell ref="K87:K88"/>
    <mergeCell ref="L87:L88"/>
    <mergeCell ref="B87:C87"/>
    <mergeCell ref="D87:E87"/>
    <mergeCell ref="G112:K112"/>
    <mergeCell ref="G105:K105"/>
    <mergeCell ref="G106:K106"/>
    <mergeCell ref="O175:O186"/>
    <mergeCell ref="G189:K189"/>
    <mergeCell ref="G194:K194"/>
    <mergeCell ref="E124:F124"/>
    <mergeCell ref="H124:O124"/>
    <mergeCell ref="I126:O126"/>
    <mergeCell ref="H128:J128"/>
    <mergeCell ref="K128:O128"/>
    <mergeCell ref="G113:K113"/>
    <mergeCell ref="A121:O121"/>
    <mergeCell ref="A123:N123"/>
    <mergeCell ref="G173:G174"/>
    <mergeCell ref="H173:H174"/>
    <mergeCell ref="I173:I174"/>
    <mergeCell ref="J173:J174"/>
    <mergeCell ref="K173:K174"/>
    <mergeCell ref="O130:O131"/>
    <mergeCell ref="O132:O143"/>
    <mergeCell ref="G146:K146"/>
    <mergeCell ref="G149:K149"/>
    <mergeCell ref="G150:K150"/>
    <mergeCell ref="G151:K151"/>
    <mergeCell ref="G152:K152"/>
    <mergeCell ref="L130:L131"/>
    <mergeCell ref="G195:K195"/>
    <mergeCell ref="G196:K196"/>
    <mergeCell ref="G197:K197"/>
    <mergeCell ref="G190:K190"/>
    <mergeCell ref="G191:K191"/>
    <mergeCell ref="G192:K192"/>
    <mergeCell ref="G193:K193"/>
    <mergeCell ref="H257:J257"/>
    <mergeCell ref="K257:O257"/>
    <mergeCell ref="G232:K232"/>
    <mergeCell ref="G237:K237"/>
    <mergeCell ref="G238:K238"/>
    <mergeCell ref="G239:K239"/>
    <mergeCell ref="G240:K240"/>
    <mergeCell ref="A207:O207"/>
    <mergeCell ref="A209:N209"/>
    <mergeCell ref="G233:K233"/>
    <mergeCell ref="G234:K234"/>
    <mergeCell ref="G235:K235"/>
    <mergeCell ref="G236:K236"/>
    <mergeCell ref="H214:J214"/>
    <mergeCell ref="A216:A217"/>
    <mergeCell ref="B216:C216"/>
    <mergeCell ref="D216:E216"/>
    <mergeCell ref="A290:B290"/>
    <mergeCell ref="E290:G290"/>
    <mergeCell ref="H290:N290"/>
    <mergeCell ref="O269:O272"/>
    <mergeCell ref="G275:K275"/>
    <mergeCell ref="G276:K276"/>
    <mergeCell ref="G277:K277"/>
    <mergeCell ref="G278:K278"/>
    <mergeCell ref="O305:O316"/>
    <mergeCell ref="G282:K282"/>
    <mergeCell ref="G279:K279"/>
    <mergeCell ref="G280:K280"/>
    <mergeCell ref="G281:K281"/>
    <mergeCell ref="G319:K319"/>
    <mergeCell ref="G320:K320"/>
    <mergeCell ref="G321:K321"/>
    <mergeCell ref="A293:O293"/>
    <mergeCell ref="A294:O294"/>
    <mergeCell ref="A296:N296"/>
    <mergeCell ref="F297:N297"/>
    <mergeCell ref="F299:G299"/>
    <mergeCell ref="K299:N299"/>
    <mergeCell ref="O303:O304"/>
    <mergeCell ref="K303:K304"/>
    <mergeCell ref="G322:K322"/>
    <mergeCell ref="G323:K323"/>
    <mergeCell ref="G324:K324"/>
    <mergeCell ref="G325:K325"/>
    <mergeCell ref="A340:B340"/>
    <mergeCell ref="E340:G340"/>
    <mergeCell ref="H340:N340"/>
    <mergeCell ref="G301:H301"/>
    <mergeCell ref="K301:N301"/>
    <mergeCell ref="L303:L304"/>
    <mergeCell ref="M303:M304"/>
    <mergeCell ref="N303:N304"/>
    <mergeCell ref="G326:K326"/>
    <mergeCell ref="G327:K327"/>
    <mergeCell ref="G328:K328"/>
    <mergeCell ref="G329:K329"/>
    <mergeCell ref="A303:A304"/>
    <mergeCell ref="B303:C303"/>
    <mergeCell ref="D303:E303"/>
    <mergeCell ref="F303:F304"/>
    <mergeCell ref="G303:G304"/>
    <mergeCell ref="H303:H304"/>
    <mergeCell ref="I303:I304"/>
    <mergeCell ref="J303:J304"/>
    <mergeCell ref="O354:O365"/>
    <mergeCell ref="G368:K368"/>
    <mergeCell ref="G369:K369"/>
    <mergeCell ref="G370:K370"/>
    <mergeCell ref="A343:O343"/>
    <mergeCell ref="A344:O344"/>
    <mergeCell ref="A346:N346"/>
    <mergeCell ref="F347:N347"/>
    <mergeCell ref="F349:G349"/>
    <mergeCell ref="K349:N349"/>
    <mergeCell ref="G371:K371"/>
    <mergeCell ref="G372:K372"/>
    <mergeCell ref="G373:K373"/>
    <mergeCell ref="G374:K374"/>
    <mergeCell ref="A378:B378"/>
    <mergeCell ref="E378:G378"/>
    <mergeCell ref="H378:N378"/>
    <mergeCell ref="G351:H351"/>
    <mergeCell ref="K351:N351"/>
    <mergeCell ref="O392:O403"/>
    <mergeCell ref="G406:K406"/>
    <mergeCell ref="G407:K407"/>
    <mergeCell ref="G408:K408"/>
    <mergeCell ref="A381:O381"/>
    <mergeCell ref="A382:O382"/>
    <mergeCell ref="A384:N384"/>
    <mergeCell ref="F385:N385"/>
    <mergeCell ref="F387:G387"/>
    <mergeCell ref="K387:N387"/>
    <mergeCell ref="G409:K409"/>
    <mergeCell ref="G410:K410"/>
    <mergeCell ref="G411:K411"/>
    <mergeCell ref="G412:K412"/>
    <mergeCell ref="A416:B416"/>
    <mergeCell ref="E416:G416"/>
    <mergeCell ref="H416:N416"/>
    <mergeCell ref="G389:H389"/>
    <mergeCell ref="K389:N389"/>
    <mergeCell ref="O430:O441"/>
    <mergeCell ref="G444:K444"/>
    <mergeCell ref="G445:K445"/>
    <mergeCell ref="G446:K446"/>
    <mergeCell ref="A419:O419"/>
    <mergeCell ref="A420:O420"/>
    <mergeCell ref="A422:N422"/>
    <mergeCell ref="F423:N423"/>
    <mergeCell ref="F425:G425"/>
    <mergeCell ref="K425:N425"/>
    <mergeCell ref="G447:K447"/>
    <mergeCell ref="G448:K448"/>
    <mergeCell ref="G449:K449"/>
    <mergeCell ref="G450:K450"/>
    <mergeCell ref="A454:B454"/>
    <mergeCell ref="E454:G454"/>
    <mergeCell ref="H454:N454"/>
    <mergeCell ref="G427:H427"/>
    <mergeCell ref="K427:N427"/>
    <mergeCell ref="G465:H465"/>
    <mergeCell ref="K465:N465"/>
    <mergeCell ref="O468:O473"/>
    <mergeCell ref="O474:O479"/>
    <mergeCell ref="G482:K482"/>
    <mergeCell ref="G483:K483"/>
    <mergeCell ref="A457:O457"/>
    <mergeCell ref="A458:O458"/>
    <mergeCell ref="A460:N460"/>
    <mergeCell ref="F461:N461"/>
    <mergeCell ref="F463:G463"/>
    <mergeCell ref="K463:N463"/>
    <mergeCell ref="A495:O495"/>
    <mergeCell ref="A496:O496"/>
    <mergeCell ref="A498:N498"/>
    <mergeCell ref="F499:N499"/>
    <mergeCell ref="F501:G501"/>
    <mergeCell ref="K501:N501"/>
    <mergeCell ref="G484:K484"/>
    <mergeCell ref="G485:K485"/>
    <mergeCell ref="G486:K486"/>
    <mergeCell ref="G487:K487"/>
    <mergeCell ref="G488:K488"/>
    <mergeCell ref="A492:B492"/>
    <mergeCell ref="E492:G492"/>
    <mergeCell ref="H492:N492"/>
    <mergeCell ref="G521:K521"/>
    <mergeCell ref="G522:K522"/>
    <mergeCell ref="G523:K523"/>
    <mergeCell ref="G524:K524"/>
    <mergeCell ref="G525:K525"/>
    <mergeCell ref="G526:K526"/>
    <mergeCell ref="G503:H503"/>
    <mergeCell ref="K503:N503"/>
    <mergeCell ref="O506:O508"/>
    <mergeCell ref="O509:O514"/>
    <mergeCell ref="O515:O517"/>
    <mergeCell ref="G520:K520"/>
    <mergeCell ref="F537:N537"/>
    <mergeCell ref="F539:G539"/>
    <mergeCell ref="K539:N539"/>
    <mergeCell ref="G541:H541"/>
    <mergeCell ref="K541:N541"/>
    <mergeCell ref="O544:O549"/>
    <mergeCell ref="A530:B530"/>
    <mergeCell ref="E530:G530"/>
    <mergeCell ref="H530:N530"/>
    <mergeCell ref="A533:O533"/>
    <mergeCell ref="A534:O534"/>
    <mergeCell ref="A536:N536"/>
    <mergeCell ref="G563:K563"/>
    <mergeCell ref="G564:K564"/>
    <mergeCell ref="A568:B568"/>
    <mergeCell ref="E568:G568"/>
    <mergeCell ref="H568:N568"/>
    <mergeCell ref="A571:O571"/>
    <mergeCell ref="O550:O555"/>
    <mergeCell ref="G558:K558"/>
    <mergeCell ref="G559:K559"/>
    <mergeCell ref="G560:K560"/>
    <mergeCell ref="G561:K561"/>
    <mergeCell ref="G562:K562"/>
    <mergeCell ref="O582:O584"/>
    <mergeCell ref="O585:O593"/>
    <mergeCell ref="G596:K596"/>
    <mergeCell ref="G597:K597"/>
    <mergeCell ref="G598:K598"/>
    <mergeCell ref="G599:K599"/>
    <mergeCell ref="A572:O572"/>
    <mergeCell ref="A574:N574"/>
    <mergeCell ref="F575:N575"/>
    <mergeCell ref="F577:G577"/>
    <mergeCell ref="K577:N577"/>
    <mergeCell ref="G579:H579"/>
    <mergeCell ref="K579:N579"/>
    <mergeCell ref="A609:O609"/>
    <mergeCell ref="A610:O610"/>
    <mergeCell ref="A612:N612"/>
    <mergeCell ref="F613:N613"/>
    <mergeCell ref="F615:G615"/>
    <mergeCell ref="K615:N615"/>
    <mergeCell ref="G600:K600"/>
    <mergeCell ref="G601:K601"/>
    <mergeCell ref="G602:K602"/>
    <mergeCell ref="A606:B606"/>
    <mergeCell ref="E606:G606"/>
    <mergeCell ref="H606:N606"/>
    <mergeCell ref="G635:K635"/>
    <mergeCell ref="G636:K636"/>
    <mergeCell ref="G637:K637"/>
    <mergeCell ref="G638:K638"/>
    <mergeCell ref="G639:K639"/>
    <mergeCell ref="G640:K640"/>
    <mergeCell ref="G617:H617"/>
    <mergeCell ref="K617:N617"/>
    <mergeCell ref="O620:O622"/>
    <mergeCell ref="O623:O625"/>
    <mergeCell ref="O626:O631"/>
    <mergeCell ref="G634:K634"/>
    <mergeCell ref="F651:N651"/>
    <mergeCell ref="F653:G653"/>
    <mergeCell ref="K653:N653"/>
    <mergeCell ref="G655:H655"/>
    <mergeCell ref="K655:N655"/>
    <mergeCell ref="O658:O669"/>
    <mergeCell ref="A644:B644"/>
    <mergeCell ref="E644:G644"/>
    <mergeCell ref="H644:N644"/>
    <mergeCell ref="A647:O647"/>
    <mergeCell ref="A648:O648"/>
    <mergeCell ref="A650:N650"/>
    <mergeCell ref="G678:K678"/>
    <mergeCell ref="A682:B682"/>
    <mergeCell ref="E682:G682"/>
    <mergeCell ref="H682:N682"/>
    <mergeCell ref="A685:O685"/>
    <mergeCell ref="A686:O686"/>
    <mergeCell ref="G672:K672"/>
    <mergeCell ref="G673:K673"/>
    <mergeCell ref="G674:K674"/>
    <mergeCell ref="G675:K675"/>
    <mergeCell ref="G676:K676"/>
    <mergeCell ref="G677:K677"/>
    <mergeCell ref="O696:O708"/>
    <mergeCell ref="G710:K710"/>
    <mergeCell ref="G711:K711"/>
    <mergeCell ref="G712:K712"/>
    <mergeCell ref="G713:K713"/>
    <mergeCell ref="G714:K714"/>
    <mergeCell ref="A688:N688"/>
    <mergeCell ref="F689:N689"/>
    <mergeCell ref="F691:G691"/>
    <mergeCell ref="K691:N691"/>
    <mergeCell ref="G693:H693"/>
    <mergeCell ref="K693:N693"/>
    <mergeCell ref="A726:N726"/>
    <mergeCell ref="F727:N727"/>
    <mergeCell ref="F729:G729"/>
    <mergeCell ref="K729:N729"/>
    <mergeCell ref="G731:H731"/>
    <mergeCell ref="K731:N731"/>
    <mergeCell ref="G715:K715"/>
    <mergeCell ref="G716:K716"/>
    <mergeCell ref="A720:B720"/>
    <mergeCell ref="E720:G720"/>
    <mergeCell ref="H720:N720"/>
    <mergeCell ref="A723:O723"/>
    <mergeCell ref="O772:O784"/>
    <mergeCell ref="G786:K786"/>
    <mergeCell ref="G787:K787"/>
    <mergeCell ref="G788:K788"/>
    <mergeCell ref="G789:K789"/>
    <mergeCell ref="G790:K790"/>
    <mergeCell ref="A762:O762"/>
    <mergeCell ref="A764:N764"/>
    <mergeCell ref="F765:N765"/>
    <mergeCell ref="F767:G767"/>
    <mergeCell ref="K767:N767"/>
    <mergeCell ref="G769:H769"/>
    <mergeCell ref="K769:N769"/>
    <mergeCell ref="F259:F260"/>
    <mergeCell ref="G259:G260"/>
    <mergeCell ref="H259:H260"/>
    <mergeCell ref="I259:I260"/>
    <mergeCell ref="J259:J260"/>
    <mergeCell ref="K259:K260"/>
    <mergeCell ref="G791:K791"/>
    <mergeCell ref="G792:K792"/>
    <mergeCell ref="A796:B796"/>
    <mergeCell ref="E796:G796"/>
    <mergeCell ref="H796:N796"/>
    <mergeCell ref="G753:K753"/>
    <mergeCell ref="G754:K754"/>
    <mergeCell ref="A758:B758"/>
    <mergeCell ref="E758:G758"/>
    <mergeCell ref="H758:N758"/>
    <mergeCell ref="A761:O761"/>
    <mergeCell ref="O734:O746"/>
    <mergeCell ref="G748:K748"/>
    <mergeCell ref="G749:K749"/>
    <mergeCell ref="G750:K750"/>
    <mergeCell ref="G751:K751"/>
    <mergeCell ref="G752:K752"/>
    <mergeCell ref="A724:O724"/>
    <mergeCell ref="V82:W82"/>
    <mergeCell ref="V84:W84"/>
    <mergeCell ref="V85:W85"/>
    <mergeCell ref="G283:K283"/>
    <mergeCell ref="G284:K284"/>
    <mergeCell ref="G285:K285"/>
    <mergeCell ref="L259:L260"/>
    <mergeCell ref="M259:M260"/>
    <mergeCell ref="N259:N260"/>
    <mergeCell ref="O259:O260"/>
    <mergeCell ref="A250:O250"/>
    <mergeCell ref="A252:N252"/>
    <mergeCell ref="G241:K241"/>
    <mergeCell ref="G242:K242"/>
    <mergeCell ref="A246:B246"/>
    <mergeCell ref="E246:G246"/>
    <mergeCell ref="H246:N246"/>
    <mergeCell ref="A249:O249"/>
    <mergeCell ref="E253:F253"/>
    <mergeCell ref="H253:O253"/>
    <mergeCell ref="I255:O255"/>
    <mergeCell ref="A259:A260"/>
    <mergeCell ref="B259:C259"/>
    <mergeCell ref="D259:E259"/>
  </mergeCells>
  <pageMargins left="0.7" right="0.7" top="0.75" bottom="0.75" header="0.3" footer="0.3"/>
  <pageSetup paperSize="9" scale="96" orientation="portrait" verticalDpi="0" r:id="rId1"/>
  <rowBreaks count="19" manualBreakCount="19">
    <brk id="37" max="16383" man="1"/>
    <brk id="75" max="16383" man="1"/>
    <brk id="118" max="16383" man="1"/>
    <brk id="161" max="16383" man="1"/>
    <brk id="204" max="16383" man="1"/>
    <brk id="247" max="16383" man="1"/>
    <brk id="291" max="16383" man="1"/>
    <brk id="341" max="16383" man="1"/>
    <brk id="379" max="16383" man="1"/>
    <brk id="417" max="16383" man="1"/>
    <brk id="455" max="16383" man="1"/>
    <brk id="493" max="16383" man="1"/>
    <brk id="531" max="16383" man="1"/>
    <brk id="569" max="16383" man="1"/>
    <brk id="607" max="16383" man="1"/>
    <brk id="645" max="16383" man="1"/>
    <brk id="683" max="16383" man="1"/>
    <brk id="721" max="16383" man="1"/>
    <brk id="759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3D2DD-EEFA-4EC9-928B-D66F5713026D}">
  <sheetPr>
    <tabColor rgb="FFFF0000"/>
  </sheetPr>
  <dimension ref="A1:AJ809"/>
  <sheetViews>
    <sheetView topLeftCell="A77" zoomScaleNormal="100" zoomScaleSheetLayoutView="130" workbookViewId="0">
      <selection activeCell="A77" sqref="A77:O77"/>
    </sheetView>
  </sheetViews>
  <sheetFormatPr defaultColWidth="9.109375" defaultRowHeight="14.4" zeroHeight="1"/>
  <cols>
    <col min="1" max="1" width="11.6640625" style="1" customWidth="1"/>
    <col min="2" max="5" width="8.6640625" style="1" customWidth="1"/>
    <col min="6" max="14" width="10.6640625" style="1" customWidth="1"/>
    <col min="15" max="15" width="10.6640625" style="2" customWidth="1"/>
    <col min="16" max="19" width="9.109375" style="1"/>
    <col min="20" max="20" width="11.109375" style="1" bestFit="1" customWidth="1"/>
    <col min="21" max="24" width="9.109375" style="30"/>
    <col min="25" max="25" width="12.33203125" style="30" customWidth="1"/>
    <col min="26" max="26" width="12.109375" style="30" customWidth="1"/>
    <col min="27" max="27" width="12.6640625" style="30" customWidth="1"/>
    <col min="28" max="29" width="11.109375" style="1" bestFit="1" customWidth="1"/>
    <col min="30" max="30" width="14.6640625" style="1" customWidth="1"/>
    <col min="31" max="31" width="13" style="1" customWidth="1"/>
    <col min="32" max="33" width="10.44140625" style="1" bestFit="1" customWidth="1"/>
    <col min="34" max="16384" width="9.109375" style="1"/>
  </cols>
  <sheetData>
    <row r="1" spans="1:30" ht="18.600000000000001" hidden="1">
      <c r="A1" s="224" t="s">
        <v>0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</row>
    <row r="2" spans="1:30" ht="18.600000000000001" hidden="1">
      <c r="A2" s="224" t="s">
        <v>1</v>
      </c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</row>
    <row r="4" spans="1:30" hidden="1">
      <c r="A4" s="258" t="s">
        <v>2</v>
      </c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</row>
    <row r="5" spans="1:30" ht="22.5" hidden="1" customHeight="1">
      <c r="A5" s="3" t="s">
        <v>3</v>
      </c>
      <c r="B5" s="4">
        <v>9255</v>
      </c>
      <c r="C5" s="4"/>
      <c r="D5" s="4"/>
      <c r="E5" s="3" t="s">
        <v>4</v>
      </c>
      <c r="F5" s="216" t="s">
        <v>5</v>
      </c>
      <c r="G5" s="278"/>
      <c r="H5" s="278"/>
      <c r="I5" s="278"/>
      <c r="J5" s="278"/>
      <c r="K5" s="278"/>
      <c r="L5" s="278"/>
      <c r="M5" s="278"/>
      <c r="N5" s="217"/>
    </row>
    <row r="6" spans="1:30" ht="15" hidden="1" customHeight="1">
      <c r="A6" s="5"/>
      <c r="E6" s="5"/>
      <c r="F6" s="5"/>
      <c r="G6" s="5"/>
      <c r="H6" s="5"/>
      <c r="I6" s="5"/>
      <c r="J6" s="5"/>
      <c r="K6" s="6"/>
      <c r="L6" s="6"/>
      <c r="M6" s="6"/>
      <c r="N6" s="5"/>
    </row>
    <row r="7" spans="1:30" ht="20.399999999999999" hidden="1">
      <c r="A7" s="3" t="s">
        <v>6</v>
      </c>
      <c r="B7" s="3" t="str">
        <f>VLOOKUP(B5,'[1]DCPS - Year 2011-2012'!$B$1:$FP$65536,2,0)</f>
        <v>06.06.2007</v>
      </c>
      <c r="C7" s="3"/>
      <c r="D7" s="3"/>
      <c r="E7" s="3" t="s">
        <v>7</v>
      </c>
      <c r="F7" s="3"/>
      <c r="G7" s="3"/>
      <c r="H7" s="3" t="s">
        <v>8</v>
      </c>
      <c r="I7" s="27"/>
      <c r="J7" s="27"/>
      <c r="K7" s="216" t="s">
        <v>9</v>
      </c>
      <c r="L7" s="278"/>
      <c r="M7" s="278"/>
      <c r="N7" s="217"/>
    </row>
    <row r="8" spans="1:30" ht="15" hidden="1" customHeight="1">
      <c r="A8" s="5"/>
      <c r="B8" s="5"/>
      <c r="C8" s="5"/>
      <c r="D8" s="5"/>
      <c r="E8" s="5"/>
      <c r="F8" s="5"/>
      <c r="G8" s="5"/>
      <c r="H8" s="5"/>
      <c r="I8" s="5"/>
      <c r="J8" s="5"/>
      <c r="K8" s="6"/>
      <c r="L8" s="6"/>
      <c r="M8" s="6"/>
      <c r="N8" s="5"/>
    </row>
    <row r="9" spans="1:30" hidden="1">
      <c r="A9" s="3" t="s">
        <v>10</v>
      </c>
      <c r="B9" s="7">
        <v>0.08</v>
      </c>
      <c r="C9" s="7"/>
      <c r="D9" s="7"/>
      <c r="E9" s="3" t="s">
        <v>11</v>
      </c>
      <c r="F9" s="7">
        <v>0</v>
      </c>
      <c r="G9" s="216" t="s">
        <v>12</v>
      </c>
      <c r="H9" s="217"/>
      <c r="I9" s="29"/>
      <c r="J9" s="29"/>
      <c r="K9" s="266">
        <v>0</v>
      </c>
      <c r="L9" s="267"/>
      <c r="M9" s="267"/>
      <c r="N9" s="271"/>
    </row>
    <row r="10" spans="1:30" hidden="1">
      <c r="A10" s="5"/>
      <c r="B10" s="5"/>
      <c r="C10" s="5"/>
      <c r="D10" s="5"/>
      <c r="E10" s="5"/>
      <c r="F10" s="5"/>
      <c r="G10" s="5"/>
      <c r="H10" s="5"/>
      <c r="I10" s="5"/>
      <c r="J10" s="5"/>
      <c r="K10" s="6"/>
      <c r="L10" s="6"/>
      <c r="M10" s="6"/>
      <c r="N10" s="5"/>
    </row>
    <row r="11" spans="1:30" ht="72" hidden="1">
      <c r="A11" s="9" t="s">
        <v>13</v>
      </c>
      <c r="B11" s="9" t="s">
        <v>14</v>
      </c>
      <c r="C11" s="9"/>
      <c r="D11" s="9"/>
      <c r="E11" s="9" t="s">
        <v>349</v>
      </c>
      <c r="F11" s="9" t="s">
        <v>15</v>
      </c>
      <c r="G11" s="9" t="s">
        <v>16</v>
      </c>
      <c r="H11" s="9" t="s">
        <v>17</v>
      </c>
      <c r="I11" s="9"/>
      <c r="J11" s="9"/>
      <c r="K11" s="10" t="s">
        <v>18</v>
      </c>
      <c r="L11" s="10"/>
      <c r="M11" s="10"/>
      <c r="N11" s="10" t="s">
        <v>19</v>
      </c>
      <c r="O11" s="11" t="s">
        <v>20</v>
      </c>
      <c r="Q11" s="12" t="s">
        <v>27</v>
      </c>
      <c r="R11" s="12" t="s">
        <v>28</v>
      </c>
      <c r="S11" s="12" t="s">
        <v>29</v>
      </c>
      <c r="T11" s="12" t="s">
        <v>30</v>
      </c>
      <c r="U11" s="12" t="s">
        <v>21</v>
      </c>
      <c r="V11" s="12" t="s">
        <v>22</v>
      </c>
      <c r="W11" s="12" t="s">
        <v>23</v>
      </c>
      <c r="X11" s="12" t="s">
        <v>24</v>
      </c>
      <c r="Y11" s="12" t="s">
        <v>25</v>
      </c>
      <c r="Z11" s="12" t="s">
        <v>336</v>
      </c>
      <c r="AA11" s="12" t="s">
        <v>26</v>
      </c>
      <c r="AB11" s="12" t="s">
        <v>31</v>
      </c>
      <c r="AC11" s="12" t="s">
        <v>32</v>
      </c>
      <c r="AD11" s="12" t="s">
        <v>333</v>
      </c>
    </row>
    <row r="12" spans="1:30" hidden="1">
      <c r="A12" s="3" t="s">
        <v>33</v>
      </c>
      <c r="B12" s="13">
        <v>0</v>
      </c>
      <c r="C12" s="13"/>
      <c r="D12" s="13"/>
      <c r="E12" s="13">
        <v>0</v>
      </c>
      <c r="F12" s="13">
        <v>0</v>
      </c>
      <c r="G12" s="13">
        <f>(E12+B12)+F12</f>
        <v>0</v>
      </c>
      <c r="H12" s="13">
        <v>0</v>
      </c>
      <c r="I12" s="14"/>
      <c r="J12" s="14"/>
      <c r="K12" s="14">
        <f t="shared" ref="K12:K23" si="0">ROUND((H12*8/100)/12,0)</f>
        <v>0</v>
      </c>
      <c r="L12" s="14"/>
      <c r="M12" s="14"/>
      <c r="N12" s="14">
        <f t="shared" ref="N12:N23" si="1">ROUND((K12*8/100)/12,0)</f>
        <v>0</v>
      </c>
      <c r="O12" s="272" t="s">
        <v>34</v>
      </c>
      <c r="Q12" s="1" t="s">
        <v>334</v>
      </c>
      <c r="R12" s="1" t="s">
        <v>334</v>
      </c>
      <c r="S12" s="1" t="s">
        <v>334</v>
      </c>
      <c r="T12" s="1" t="s">
        <v>334</v>
      </c>
      <c r="U12" s="30" t="s">
        <v>334</v>
      </c>
      <c r="V12" s="30" t="s">
        <v>334</v>
      </c>
      <c r="W12" s="30" t="s">
        <v>334</v>
      </c>
      <c r="X12" s="30" t="s">
        <v>334</v>
      </c>
      <c r="Y12" s="30" t="s">
        <v>334</v>
      </c>
      <c r="Z12" s="30" t="s">
        <v>334</v>
      </c>
      <c r="AA12" s="30" t="s">
        <v>334</v>
      </c>
      <c r="AB12" s="1" t="s">
        <v>334</v>
      </c>
      <c r="AC12" s="1" t="s">
        <v>334</v>
      </c>
      <c r="AD12" s="1" t="s">
        <v>334</v>
      </c>
    </row>
    <row r="13" spans="1:30" hidden="1">
      <c r="A13" s="3" t="s">
        <v>35</v>
      </c>
      <c r="B13" s="13">
        <v>0</v>
      </c>
      <c r="C13" s="13"/>
      <c r="D13" s="13"/>
      <c r="E13" s="13">
        <v>0</v>
      </c>
      <c r="F13" s="13">
        <v>0</v>
      </c>
      <c r="G13" s="13">
        <f t="shared" ref="G13:G23" si="2">(E13+B13)+F13</f>
        <v>0</v>
      </c>
      <c r="H13" s="13">
        <v>0</v>
      </c>
      <c r="I13" s="14"/>
      <c r="J13" s="14"/>
      <c r="K13" s="14">
        <f t="shared" si="0"/>
        <v>0</v>
      </c>
      <c r="L13" s="14"/>
      <c r="M13" s="14"/>
      <c r="N13" s="14">
        <f t="shared" si="1"/>
        <v>0</v>
      </c>
      <c r="O13" s="273"/>
      <c r="Q13" s="1" t="s">
        <v>334</v>
      </c>
      <c r="R13" s="1" t="s">
        <v>334</v>
      </c>
      <c r="S13" s="1" t="s">
        <v>334</v>
      </c>
      <c r="T13" s="1" t="s">
        <v>334</v>
      </c>
      <c r="U13" s="30" t="s">
        <v>334</v>
      </c>
      <c r="V13" s="30" t="s">
        <v>334</v>
      </c>
      <c r="W13" s="30" t="s">
        <v>334</v>
      </c>
      <c r="X13" s="30" t="s">
        <v>334</v>
      </c>
      <c r="Y13" s="30" t="s">
        <v>334</v>
      </c>
      <c r="Z13" s="30" t="s">
        <v>334</v>
      </c>
      <c r="AA13" s="30" t="s">
        <v>334</v>
      </c>
      <c r="AB13" s="1" t="s">
        <v>334</v>
      </c>
      <c r="AC13" s="1" t="s">
        <v>334</v>
      </c>
      <c r="AD13" s="1" t="s">
        <v>334</v>
      </c>
    </row>
    <row r="14" spans="1:30" hidden="1">
      <c r="A14" s="3" t="s">
        <v>36</v>
      </c>
      <c r="B14" s="13">
        <v>0</v>
      </c>
      <c r="C14" s="13"/>
      <c r="D14" s="13"/>
      <c r="E14" s="13">
        <f>B14</f>
        <v>0</v>
      </c>
      <c r="F14" s="13">
        <v>0</v>
      </c>
      <c r="G14" s="13">
        <f t="shared" si="2"/>
        <v>0</v>
      </c>
      <c r="H14" s="13">
        <v>0</v>
      </c>
      <c r="I14" s="14"/>
      <c r="J14" s="14"/>
      <c r="K14" s="14">
        <f t="shared" si="0"/>
        <v>0</v>
      </c>
      <c r="L14" s="14"/>
      <c r="M14" s="14"/>
      <c r="N14" s="14">
        <f t="shared" si="1"/>
        <v>0</v>
      </c>
      <c r="O14" s="273"/>
      <c r="Q14" s="1" t="s">
        <v>334</v>
      </c>
      <c r="R14" s="1" t="s">
        <v>334</v>
      </c>
      <c r="S14" s="1" t="s">
        <v>334</v>
      </c>
      <c r="T14" s="1" t="s">
        <v>334</v>
      </c>
      <c r="U14" s="30" t="s">
        <v>334</v>
      </c>
      <c r="V14" s="30" t="s">
        <v>334</v>
      </c>
      <c r="W14" s="30" t="s">
        <v>334</v>
      </c>
      <c r="X14" s="30" t="s">
        <v>334</v>
      </c>
      <c r="Y14" s="30" t="s">
        <v>334</v>
      </c>
      <c r="Z14" s="30" t="s">
        <v>334</v>
      </c>
      <c r="AA14" s="30" t="s">
        <v>334</v>
      </c>
      <c r="AB14" s="1" t="s">
        <v>334</v>
      </c>
      <c r="AC14" s="1" t="s">
        <v>334</v>
      </c>
      <c r="AD14" s="1" t="s">
        <v>334</v>
      </c>
    </row>
    <row r="15" spans="1:30" hidden="1">
      <c r="A15" s="3" t="s">
        <v>37</v>
      </c>
      <c r="B15" s="13">
        <v>0</v>
      </c>
      <c r="C15" s="13"/>
      <c r="D15" s="13"/>
      <c r="E15" s="13">
        <f t="shared" ref="E15:E23" si="3">B15</f>
        <v>0</v>
      </c>
      <c r="F15" s="13">
        <v>0</v>
      </c>
      <c r="G15" s="13">
        <f t="shared" si="2"/>
        <v>0</v>
      </c>
      <c r="H15" s="13">
        <v>0</v>
      </c>
      <c r="I15" s="14"/>
      <c r="J15" s="14"/>
      <c r="K15" s="14">
        <f t="shared" si="0"/>
        <v>0</v>
      </c>
      <c r="L15" s="14"/>
      <c r="M15" s="14"/>
      <c r="N15" s="14">
        <f t="shared" si="1"/>
        <v>0</v>
      </c>
      <c r="O15" s="273"/>
      <c r="Q15" s="1" t="s">
        <v>334</v>
      </c>
      <c r="R15" s="1" t="s">
        <v>334</v>
      </c>
      <c r="S15" s="1" t="s">
        <v>334</v>
      </c>
      <c r="T15" s="1" t="s">
        <v>334</v>
      </c>
      <c r="U15" s="30" t="s">
        <v>334</v>
      </c>
      <c r="V15" s="30" t="s">
        <v>334</v>
      </c>
      <c r="W15" s="30" t="s">
        <v>334</v>
      </c>
      <c r="X15" s="30" t="s">
        <v>334</v>
      </c>
      <c r="Y15" s="30" t="s">
        <v>334</v>
      </c>
      <c r="Z15" s="30" t="s">
        <v>334</v>
      </c>
      <c r="AA15" s="30" t="s">
        <v>334</v>
      </c>
      <c r="AB15" s="1" t="s">
        <v>334</v>
      </c>
      <c r="AC15" s="1" t="s">
        <v>334</v>
      </c>
      <c r="AD15" s="1" t="s">
        <v>334</v>
      </c>
    </row>
    <row r="16" spans="1:30" hidden="1">
      <c r="A16" s="3" t="s">
        <v>38</v>
      </c>
      <c r="B16" s="13">
        <v>0</v>
      </c>
      <c r="C16" s="13"/>
      <c r="D16" s="13"/>
      <c r="E16" s="13">
        <f t="shared" si="3"/>
        <v>0</v>
      </c>
      <c r="F16" s="13">
        <v>0</v>
      </c>
      <c r="G16" s="13">
        <f t="shared" si="2"/>
        <v>0</v>
      </c>
      <c r="H16" s="13">
        <v>0</v>
      </c>
      <c r="I16" s="14"/>
      <c r="J16" s="14"/>
      <c r="K16" s="14">
        <f t="shared" si="0"/>
        <v>0</v>
      </c>
      <c r="L16" s="14"/>
      <c r="M16" s="14"/>
      <c r="N16" s="14">
        <f t="shared" si="1"/>
        <v>0</v>
      </c>
      <c r="O16" s="273"/>
      <c r="Q16" s="1" t="s">
        <v>334</v>
      </c>
      <c r="R16" s="1" t="s">
        <v>334</v>
      </c>
      <c r="S16" s="1" t="s">
        <v>334</v>
      </c>
      <c r="T16" s="1" t="s">
        <v>334</v>
      </c>
      <c r="U16" s="30" t="s">
        <v>334</v>
      </c>
      <c r="V16" s="30" t="s">
        <v>334</v>
      </c>
      <c r="W16" s="30" t="s">
        <v>334</v>
      </c>
      <c r="X16" s="30" t="s">
        <v>334</v>
      </c>
      <c r="Y16" s="30" t="s">
        <v>334</v>
      </c>
      <c r="Z16" s="30" t="s">
        <v>334</v>
      </c>
      <c r="AA16" s="30" t="s">
        <v>334</v>
      </c>
      <c r="AB16" s="1" t="s">
        <v>334</v>
      </c>
      <c r="AC16" s="1" t="s">
        <v>334</v>
      </c>
      <c r="AD16" s="1" t="s">
        <v>334</v>
      </c>
    </row>
    <row r="17" spans="1:30" hidden="1">
      <c r="A17" s="3" t="s">
        <v>39</v>
      </c>
      <c r="B17" s="13">
        <v>0</v>
      </c>
      <c r="C17" s="13"/>
      <c r="D17" s="13"/>
      <c r="E17" s="13">
        <f t="shared" si="3"/>
        <v>0</v>
      </c>
      <c r="F17" s="13">
        <v>0</v>
      </c>
      <c r="G17" s="13">
        <f t="shared" si="2"/>
        <v>0</v>
      </c>
      <c r="H17" s="13">
        <v>0</v>
      </c>
      <c r="I17" s="14"/>
      <c r="J17" s="14"/>
      <c r="K17" s="14">
        <f t="shared" si="0"/>
        <v>0</v>
      </c>
      <c r="L17" s="14"/>
      <c r="M17" s="14"/>
      <c r="N17" s="14">
        <f t="shared" si="1"/>
        <v>0</v>
      </c>
      <c r="O17" s="273"/>
      <c r="Q17" s="1" t="s">
        <v>334</v>
      </c>
      <c r="R17" s="1" t="s">
        <v>334</v>
      </c>
      <c r="S17" s="1" t="s">
        <v>334</v>
      </c>
      <c r="T17" s="1" t="s">
        <v>334</v>
      </c>
      <c r="U17" s="30" t="s">
        <v>334</v>
      </c>
      <c r="V17" s="30" t="s">
        <v>334</v>
      </c>
      <c r="W17" s="30" t="s">
        <v>334</v>
      </c>
      <c r="X17" s="30" t="s">
        <v>334</v>
      </c>
      <c r="Y17" s="30" t="s">
        <v>334</v>
      </c>
      <c r="Z17" s="30" t="s">
        <v>334</v>
      </c>
      <c r="AA17" s="30" t="s">
        <v>334</v>
      </c>
      <c r="AB17" s="1" t="s">
        <v>334</v>
      </c>
      <c r="AC17" s="1" t="s">
        <v>334</v>
      </c>
      <c r="AD17" s="1" t="s">
        <v>334</v>
      </c>
    </row>
    <row r="18" spans="1:30" hidden="1">
      <c r="A18" s="3" t="s">
        <v>40</v>
      </c>
      <c r="B18" s="13">
        <v>0</v>
      </c>
      <c r="C18" s="13"/>
      <c r="D18" s="13"/>
      <c r="E18" s="13">
        <f t="shared" si="3"/>
        <v>0</v>
      </c>
      <c r="F18" s="13">
        <v>0</v>
      </c>
      <c r="G18" s="13">
        <f t="shared" si="2"/>
        <v>0</v>
      </c>
      <c r="H18" s="13">
        <v>0</v>
      </c>
      <c r="I18" s="14"/>
      <c r="J18" s="14"/>
      <c r="K18" s="14">
        <f t="shared" si="0"/>
        <v>0</v>
      </c>
      <c r="L18" s="14"/>
      <c r="M18" s="14"/>
      <c r="N18" s="14">
        <f t="shared" si="1"/>
        <v>0</v>
      </c>
      <c r="O18" s="273"/>
      <c r="Q18" s="1" t="s">
        <v>334</v>
      </c>
      <c r="R18" s="1" t="s">
        <v>334</v>
      </c>
      <c r="S18" s="1" t="s">
        <v>334</v>
      </c>
      <c r="T18" s="1" t="s">
        <v>334</v>
      </c>
      <c r="U18" s="30" t="s">
        <v>334</v>
      </c>
      <c r="V18" s="30" t="s">
        <v>334</v>
      </c>
      <c r="W18" s="30" t="s">
        <v>334</v>
      </c>
      <c r="X18" s="30" t="s">
        <v>334</v>
      </c>
      <c r="Y18" s="30" t="s">
        <v>334</v>
      </c>
      <c r="Z18" s="30" t="s">
        <v>334</v>
      </c>
      <c r="AA18" s="30" t="s">
        <v>334</v>
      </c>
      <c r="AB18" s="1" t="s">
        <v>334</v>
      </c>
      <c r="AC18" s="1" t="s">
        <v>334</v>
      </c>
      <c r="AD18" s="1" t="s">
        <v>334</v>
      </c>
    </row>
    <row r="19" spans="1:30" hidden="1">
      <c r="A19" s="3" t="s">
        <v>41</v>
      </c>
      <c r="B19" s="13">
        <v>0</v>
      </c>
      <c r="C19" s="13"/>
      <c r="D19" s="13"/>
      <c r="E19" s="13">
        <f t="shared" si="3"/>
        <v>0</v>
      </c>
      <c r="F19" s="13">
        <v>0</v>
      </c>
      <c r="G19" s="13">
        <f t="shared" si="2"/>
        <v>0</v>
      </c>
      <c r="H19" s="13">
        <v>0</v>
      </c>
      <c r="I19" s="14"/>
      <c r="J19" s="14"/>
      <c r="K19" s="14">
        <f t="shared" si="0"/>
        <v>0</v>
      </c>
      <c r="L19" s="14"/>
      <c r="M19" s="14"/>
      <c r="N19" s="14">
        <f t="shared" si="1"/>
        <v>0</v>
      </c>
      <c r="O19" s="273"/>
      <c r="Q19" s="1" t="s">
        <v>334</v>
      </c>
      <c r="R19" s="1" t="s">
        <v>334</v>
      </c>
      <c r="S19" s="1" t="s">
        <v>334</v>
      </c>
      <c r="T19" s="1" t="s">
        <v>334</v>
      </c>
      <c r="U19" s="30" t="s">
        <v>334</v>
      </c>
      <c r="V19" s="30" t="s">
        <v>334</v>
      </c>
      <c r="W19" s="30" t="s">
        <v>334</v>
      </c>
      <c r="X19" s="30" t="s">
        <v>334</v>
      </c>
      <c r="Y19" s="30" t="s">
        <v>334</v>
      </c>
      <c r="Z19" s="30" t="s">
        <v>334</v>
      </c>
      <c r="AA19" s="30" t="s">
        <v>334</v>
      </c>
      <c r="AB19" s="1" t="s">
        <v>334</v>
      </c>
      <c r="AC19" s="1" t="s">
        <v>334</v>
      </c>
      <c r="AD19" s="1" t="s">
        <v>334</v>
      </c>
    </row>
    <row r="20" spans="1:30" hidden="1">
      <c r="A20" s="3" t="s">
        <v>42</v>
      </c>
      <c r="B20" s="13">
        <v>0</v>
      </c>
      <c r="C20" s="13"/>
      <c r="D20" s="13"/>
      <c r="E20" s="13">
        <f t="shared" si="3"/>
        <v>0</v>
      </c>
      <c r="F20" s="13">
        <v>0</v>
      </c>
      <c r="G20" s="13">
        <f t="shared" si="2"/>
        <v>0</v>
      </c>
      <c r="H20" s="13">
        <v>0</v>
      </c>
      <c r="I20" s="14"/>
      <c r="J20" s="14"/>
      <c r="K20" s="14">
        <f t="shared" si="0"/>
        <v>0</v>
      </c>
      <c r="L20" s="14"/>
      <c r="M20" s="14"/>
      <c r="N20" s="14">
        <f t="shared" si="1"/>
        <v>0</v>
      </c>
      <c r="O20" s="273"/>
      <c r="Q20" s="1" t="s">
        <v>334</v>
      </c>
      <c r="R20" s="1" t="s">
        <v>334</v>
      </c>
      <c r="S20" s="1" t="s">
        <v>334</v>
      </c>
      <c r="T20" s="1" t="s">
        <v>334</v>
      </c>
      <c r="U20" s="30" t="s">
        <v>334</v>
      </c>
      <c r="V20" s="30" t="s">
        <v>334</v>
      </c>
      <c r="W20" s="30" t="s">
        <v>334</v>
      </c>
      <c r="X20" s="30" t="s">
        <v>334</v>
      </c>
      <c r="Y20" s="30" t="s">
        <v>334</v>
      </c>
      <c r="Z20" s="30" t="s">
        <v>334</v>
      </c>
      <c r="AA20" s="30" t="s">
        <v>334</v>
      </c>
      <c r="AB20" s="1" t="s">
        <v>334</v>
      </c>
      <c r="AC20" s="1" t="s">
        <v>334</v>
      </c>
      <c r="AD20" s="1" t="s">
        <v>334</v>
      </c>
    </row>
    <row r="21" spans="1:30" hidden="1">
      <c r="A21" s="3" t="s">
        <v>43</v>
      </c>
      <c r="B21" s="13">
        <v>0</v>
      </c>
      <c r="C21" s="13"/>
      <c r="D21" s="13"/>
      <c r="E21" s="13">
        <f t="shared" si="3"/>
        <v>0</v>
      </c>
      <c r="F21" s="13">
        <v>0</v>
      </c>
      <c r="G21" s="13">
        <f t="shared" si="2"/>
        <v>0</v>
      </c>
      <c r="H21" s="13">
        <v>0</v>
      </c>
      <c r="I21" s="14"/>
      <c r="J21" s="14"/>
      <c r="K21" s="14">
        <f t="shared" si="0"/>
        <v>0</v>
      </c>
      <c r="L21" s="14"/>
      <c r="M21" s="14"/>
      <c r="N21" s="14">
        <f t="shared" si="1"/>
        <v>0</v>
      </c>
      <c r="O21" s="273"/>
      <c r="Q21" s="1" t="s">
        <v>334</v>
      </c>
      <c r="R21" s="1" t="s">
        <v>334</v>
      </c>
      <c r="S21" s="1" t="s">
        <v>334</v>
      </c>
      <c r="T21" s="1" t="s">
        <v>334</v>
      </c>
      <c r="U21" s="30" t="s">
        <v>334</v>
      </c>
      <c r="V21" s="30" t="s">
        <v>334</v>
      </c>
      <c r="W21" s="30" t="s">
        <v>334</v>
      </c>
      <c r="X21" s="30" t="s">
        <v>334</v>
      </c>
      <c r="Y21" s="30" t="s">
        <v>334</v>
      </c>
      <c r="Z21" s="30" t="s">
        <v>334</v>
      </c>
      <c r="AA21" s="30" t="s">
        <v>334</v>
      </c>
      <c r="AB21" s="1" t="s">
        <v>334</v>
      </c>
      <c r="AC21" s="1" t="s">
        <v>334</v>
      </c>
      <c r="AD21" s="1" t="s">
        <v>334</v>
      </c>
    </row>
    <row r="22" spans="1:30" hidden="1">
      <c r="A22" s="3" t="s">
        <v>44</v>
      </c>
      <c r="B22" s="13">
        <v>0</v>
      </c>
      <c r="C22" s="13"/>
      <c r="D22" s="13"/>
      <c r="E22" s="13">
        <f t="shared" si="3"/>
        <v>0</v>
      </c>
      <c r="F22" s="13">
        <v>0</v>
      </c>
      <c r="G22" s="13">
        <f t="shared" si="2"/>
        <v>0</v>
      </c>
      <c r="H22" s="13">
        <v>0</v>
      </c>
      <c r="I22" s="14"/>
      <c r="J22" s="14"/>
      <c r="K22" s="14">
        <f t="shared" si="0"/>
        <v>0</v>
      </c>
      <c r="L22" s="14"/>
      <c r="M22" s="14"/>
      <c r="N22" s="14">
        <f t="shared" si="1"/>
        <v>0</v>
      </c>
      <c r="O22" s="273"/>
      <c r="Q22" s="1" t="s">
        <v>334</v>
      </c>
      <c r="R22" s="1" t="s">
        <v>334</v>
      </c>
      <c r="S22" s="1" t="s">
        <v>334</v>
      </c>
      <c r="T22" s="1" t="s">
        <v>334</v>
      </c>
      <c r="U22" s="30" t="s">
        <v>334</v>
      </c>
      <c r="V22" s="30" t="s">
        <v>334</v>
      </c>
      <c r="W22" s="30" t="s">
        <v>334</v>
      </c>
      <c r="X22" s="30" t="s">
        <v>334</v>
      </c>
      <c r="Y22" s="30" t="s">
        <v>334</v>
      </c>
      <c r="Z22" s="30" t="s">
        <v>334</v>
      </c>
      <c r="AA22" s="30" t="s">
        <v>334</v>
      </c>
      <c r="AB22" s="1" t="s">
        <v>334</v>
      </c>
      <c r="AC22" s="1" t="s">
        <v>334</v>
      </c>
      <c r="AD22" s="1" t="s">
        <v>334</v>
      </c>
    </row>
    <row r="23" spans="1:30" hidden="1">
      <c r="A23" s="3" t="s">
        <v>45</v>
      </c>
      <c r="B23" s="13">
        <v>0</v>
      </c>
      <c r="C23" s="13"/>
      <c r="D23" s="13"/>
      <c r="E23" s="13">
        <f t="shared" si="3"/>
        <v>0</v>
      </c>
      <c r="F23" s="13">
        <v>0</v>
      </c>
      <c r="G23" s="13">
        <f t="shared" si="2"/>
        <v>0</v>
      </c>
      <c r="H23" s="13">
        <v>0</v>
      </c>
      <c r="I23" s="14"/>
      <c r="J23" s="14"/>
      <c r="K23" s="14">
        <f t="shared" si="0"/>
        <v>0</v>
      </c>
      <c r="L23" s="14"/>
      <c r="M23" s="14"/>
      <c r="N23" s="14">
        <f t="shared" si="1"/>
        <v>0</v>
      </c>
      <c r="O23" s="274"/>
      <c r="Q23" s="1" t="s">
        <v>334</v>
      </c>
      <c r="R23" s="1" t="s">
        <v>334</v>
      </c>
      <c r="S23" s="1" t="s">
        <v>334</v>
      </c>
      <c r="T23" s="1" t="s">
        <v>334</v>
      </c>
      <c r="U23" s="30" t="s">
        <v>334</v>
      </c>
      <c r="V23" s="30" t="s">
        <v>334</v>
      </c>
      <c r="W23" s="30" t="s">
        <v>334</v>
      </c>
      <c r="X23" s="30" t="s">
        <v>334</v>
      </c>
      <c r="Y23" s="30" t="s">
        <v>334</v>
      </c>
      <c r="Z23" s="30" t="s">
        <v>334</v>
      </c>
      <c r="AA23" s="30" t="s">
        <v>334</v>
      </c>
      <c r="AB23" s="1" t="s">
        <v>334</v>
      </c>
      <c r="AC23" s="1" t="s">
        <v>334</v>
      </c>
      <c r="AD23" s="1" t="s">
        <v>334</v>
      </c>
    </row>
    <row r="24" spans="1:30" hidden="1">
      <c r="A24" s="3" t="s">
        <v>46</v>
      </c>
      <c r="B24" s="15">
        <f t="shared" ref="B24:H24" si="4">SUM(B12:B23)</f>
        <v>0</v>
      </c>
      <c r="C24" s="15"/>
      <c r="D24" s="15"/>
      <c r="E24" s="15">
        <f t="shared" si="4"/>
        <v>0</v>
      </c>
      <c r="F24" s="15">
        <f t="shared" si="4"/>
        <v>0</v>
      </c>
      <c r="G24" s="15">
        <f t="shared" si="4"/>
        <v>0</v>
      </c>
      <c r="H24" s="15">
        <f t="shared" si="4"/>
        <v>0</v>
      </c>
      <c r="I24" s="15"/>
      <c r="J24" s="15"/>
      <c r="K24" s="15">
        <f>SUM(K12:K23)</f>
        <v>0</v>
      </c>
      <c r="L24" s="15"/>
      <c r="M24" s="15"/>
      <c r="N24" s="15">
        <f t="shared" ref="N24" si="5">SUM(N12:N23)</f>
        <v>0</v>
      </c>
      <c r="Q24" s="1" t="s">
        <v>334</v>
      </c>
      <c r="R24" s="1" t="s">
        <v>334</v>
      </c>
      <c r="S24" s="1" t="s">
        <v>334</v>
      </c>
      <c r="T24" s="1" t="s">
        <v>334</v>
      </c>
      <c r="U24" s="30" t="s">
        <v>334</v>
      </c>
      <c r="V24" s="30" t="s">
        <v>334</v>
      </c>
      <c r="W24" s="30" t="s">
        <v>334</v>
      </c>
      <c r="X24" s="30" t="s">
        <v>334</v>
      </c>
      <c r="Y24" s="30" t="s">
        <v>334</v>
      </c>
      <c r="Z24" s="30" t="s">
        <v>334</v>
      </c>
      <c r="AA24" s="30" t="s">
        <v>334</v>
      </c>
      <c r="AB24" s="1" t="s">
        <v>334</v>
      </c>
      <c r="AC24" s="1" t="s">
        <v>334</v>
      </c>
      <c r="AD24" s="1" t="s">
        <v>334</v>
      </c>
    </row>
    <row r="25" spans="1:30" hidden="1">
      <c r="A25" s="5"/>
      <c r="B25" s="5"/>
      <c r="C25" s="5"/>
      <c r="D25" s="5"/>
      <c r="E25" s="5"/>
      <c r="F25" s="5"/>
      <c r="G25" s="5"/>
      <c r="H25" s="5"/>
      <c r="I25" s="5"/>
      <c r="J25" s="5"/>
      <c r="K25" s="6"/>
      <c r="L25" s="6"/>
      <c r="M25" s="6"/>
      <c r="N25" s="6"/>
    </row>
    <row r="26" spans="1:30" ht="15" hidden="1" thickBot="1">
      <c r="A26" s="5"/>
      <c r="B26" s="6"/>
      <c r="C26" s="6"/>
      <c r="D26" s="6"/>
      <c r="E26" s="5"/>
      <c r="F26" s="5"/>
      <c r="G26" s="211" t="s">
        <v>47</v>
      </c>
      <c r="H26" s="212"/>
      <c r="I26" s="212"/>
      <c r="J26" s="212"/>
      <c r="K26" s="213"/>
      <c r="L26" s="26"/>
      <c r="M26" s="26"/>
      <c r="N26" s="16">
        <f>K9</f>
        <v>0</v>
      </c>
    </row>
    <row r="27" spans="1:30" ht="15" hidden="1" thickBot="1">
      <c r="A27" s="5"/>
      <c r="B27" s="5"/>
      <c r="C27" s="5"/>
      <c r="D27" s="5"/>
      <c r="E27" s="5"/>
      <c r="F27" s="5"/>
      <c r="G27" s="211" t="s">
        <v>48</v>
      </c>
      <c r="H27" s="212"/>
      <c r="I27" s="212"/>
      <c r="J27" s="212"/>
      <c r="K27" s="213"/>
      <c r="L27" s="26"/>
      <c r="M27" s="26"/>
      <c r="N27" s="16">
        <f>B24+F24</f>
        <v>0</v>
      </c>
    </row>
    <row r="28" spans="1:30" ht="15" hidden="1" thickBot="1">
      <c r="A28" s="5"/>
      <c r="B28" s="5"/>
      <c r="C28" s="5"/>
      <c r="D28" s="5"/>
      <c r="E28" s="5"/>
      <c r="F28" s="5"/>
      <c r="G28" s="211" t="s">
        <v>349</v>
      </c>
      <c r="H28" s="212"/>
      <c r="I28" s="212"/>
      <c r="J28" s="212"/>
      <c r="K28" s="213"/>
      <c r="L28" s="26"/>
      <c r="M28" s="26"/>
      <c r="N28" s="16">
        <f>E24</f>
        <v>0</v>
      </c>
    </row>
    <row r="29" spans="1:30" ht="15" hidden="1" thickBot="1">
      <c r="A29" s="5"/>
      <c r="B29" s="5"/>
      <c r="C29" s="5"/>
      <c r="D29" s="5"/>
      <c r="E29" s="5"/>
      <c r="F29" s="5"/>
      <c r="G29" s="211" t="s">
        <v>49</v>
      </c>
      <c r="H29" s="212"/>
      <c r="I29" s="212"/>
      <c r="J29" s="212"/>
      <c r="K29" s="213"/>
      <c r="L29" s="26"/>
      <c r="M29" s="26"/>
      <c r="N29" s="16">
        <f>SUM(N26:N28)</f>
        <v>0</v>
      </c>
    </row>
    <row r="30" spans="1:30" ht="15" hidden="1" thickBot="1">
      <c r="A30" s="5"/>
      <c r="B30" s="5"/>
      <c r="C30" s="5"/>
      <c r="D30" s="5"/>
      <c r="E30" s="5"/>
      <c r="F30" s="5"/>
      <c r="G30" s="211" t="s">
        <v>50</v>
      </c>
      <c r="H30" s="212"/>
      <c r="I30" s="212"/>
      <c r="J30" s="212"/>
      <c r="K30" s="213"/>
      <c r="L30" s="26"/>
      <c r="M30" s="26"/>
      <c r="N30" s="16">
        <f>H24</f>
        <v>0</v>
      </c>
    </row>
    <row r="31" spans="1:30" ht="15" hidden="1" thickBot="1">
      <c r="A31" s="5"/>
      <c r="B31" s="5"/>
      <c r="C31" s="5"/>
      <c r="D31" s="5"/>
      <c r="E31" s="5"/>
      <c r="F31" s="5"/>
      <c r="G31" s="211" t="s">
        <v>51</v>
      </c>
      <c r="H31" s="212"/>
      <c r="I31" s="212"/>
      <c r="J31" s="212"/>
      <c r="K31" s="213"/>
      <c r="L31" s="26"/>
      <c r="M31" s="26"/>
      <c r="N31" s="16">
        <f>N24</f>
        <v>0</v>
      </c>
    </row>
    <row r="32" spans="1:30" ht="15" hidden="1" thickBot="1">
      <c r="A32" s="5"/>
      <c r="B32" s="5"/>
      <c r="C32" s="5"/>
      <c r="D32" s="5"/>
      <c r="E32" s="5"/>
      <c r="F32" s="5"/>
      <c r="G32" s="211" t="s">
        <v>52</v>
      </c>
      <c r="H32" s="212"/>
      <c r="I32" s="212"/>
      <c r="J32" s="212"/>
      <c r="K32" s="213"/>
      <c r="L32" s="26"/>
      <c r="M32" s="26"/>
      <c r="N32" s="16">
        <f>N29-N30+N31</f>
        <v>0</v>
      </c>
    </row>
    <row r="33" spans="1:15" hidden="1">
      <c r="A33" s="5"/>
      <c r="B33" s="5"/>
      <c r="C33" s="5"/>
      <c r="D33" s="5"/>
      <c r="E33" s="5"/>
      <c r="F33" s="5"/>
      <c r="G33" s="17"/>
      <c r="H33" s="17"/>
      <c r="I33" s="17"/>
      <c r="J33" s="17"/>
      <c r="K33" s="17"/>
      <c r="L33" s="17"/>
      <c r="M33" s="17"/>
      <c r="N33" s="6"/>
    </row>
    <row r="36" spans="1:15" ht="16.8" hidden="1">
      <c r="A36" s="249" t="s">
        <v>53</v>
      </c>
      <c r="B36" s="249"/>
      <c r="C36" s="18"/>
      <c r="D36" s="18"/>
      <c r="E36" s="249" t="s">
        <v>54</v>
      </c>
      <c r="F36" s="249"/>
      <c r="G36" s="249"/>
      <c r="H36" s="250" t="s">
        <v>55</v>
      </c>
      <c r="I36" s="250"/>
      <c r="J36" s="250"/>
      <c r="K36" s="250"/>
      <c r="L36" s="250"/>
      <c r="M36" s="250"/>
      <c r="N36" s="250"/>
    </row>
    <row r="39" spans="1:15" ht="18.600000000000001" hidden="1">
      <c r="A39" s="224" t="s">
        <v>0</v>
      </c>
      <c r="B39" s="224"/>
      <c r="C39" s="224"/>
      <c r="D39" s="224"/>
      <c r="E39" s="224"/>
      <c r="F39" s="224"/>
      <c r="G39" s="224"/>
      <c r="H39" s="224"/>
      <c r="I39" s="224"/>
      <c r="J39" s="224"/>
      <c r="K39" s="224"/>
      <c r="L39" s="224"/>
      <c r="M39" s="224"/>
      <c r="N39" s="224"/>
      <c r="O39" s="224"/>
    </row>
    <row r="40" spans="1:15" ht="18.600000000000001" hidden="1">
      <c r="A40" s="224" t="s">
        <v>1</v>
      </c>
      <c r="B40" s="224"/>
      <c r="C40" s="224"/>
      <c r="D40" s="224"/>
      <c r="E40" s="224"/>
      <c r="F40" s="224"/>
      <c r="G40" s="224"/>
      <c r="H40" s="224"/>
      <c r="I40" s="224"/>
      <c r="J40" s="224"/>
      <c r="K40" s="224"/>
      <c r="L40" s="224"/>
      <c r="M40" s="224"/>
      <c r="N40" s="224"/>
      <c r="O40" s="224"/>
    </row>
    <row r="42" spans="1:15" hidden="1">
      <c r="A42" s="258" t="s">
        <v>56</v>
      </c>
      <c r="B42" s="258"/>
      <c r="C42" s="258"/>
      <c r="D42" s="258"/>
      <c r="E42" s="258"/>
      <c r="F42" s="258"/>
      <c r="G42" s="258"/>
      <c r="H42" s="258"/>
      <c r="I42" s="258"/>
      <c r="J42" s="258"/>
      <c r="K42" s="258"/>
      <c r="L42" s="258"/>
      <c r="M42" s="258"/>
      <c r="N42" s="258"/>
    </row>
    <row r="43" spans="1:15" hidden="1">
      <c r="A43" s="3" t="s">
        <v>3</v>
      </c>
      <c r="B43" s="4">
        <f>B5</f>
        <v>9255</v>
      </c>
      <c r="C43" s="4"/>
      <c r="D43" s="4"/>
      <c r="E43" s="3" t="s">
        <v>4</v>
      </c>
      <c r="F43" s="216" t="str">
        <f>F5</f>
        <v>Mahajan Ganesh Trambak</v>
      </c>
      <c r="G43" s="278"/>
      <c r="H43" s="278"/>
      <c r="I43" s="278"/>
      <c r="J43" s="278"/>
      <c r="K43" s="278"/>
      <c r="L43" s="278"/>
      <c r="M43" s="278"/>
      <c r="N43" s="217"/>
    </row>
    <row r="44" spans="1:15" hidden="1">
      <c r="A44" s="5"/>
      <c r="E44" s="5"/>
      <c r="F44" s="5"/>
      <c r="G44" s="5"/>
      <c r="H44" s="5"/>
      <c r="I44" s="5"/>
      <c r="J44" s="5"/>
      <c r="K44" s="6"/>
      <c r="L44" s="6"/>
      <c r="M44" s="6"/>
      <c r="N44" s="5"/>
    </row>
    <row r="45" spans="1:15" ht="20.399999999999999" hidden="1">
      <c r="A45" s="3" t="s">
        <v>6</v>
      </c>
      <c r="B45" s="3" t="str">
        <f>B7</f>
        <v>06.06.2007</v>
      </c>
      <c r="C45" s="3"/>
      <c r="D45" s="3"/>
      <c r="E45" s="3" t="s">
        <v>7</v>
      </c>
      <c r="F45" s="3"/>
      <c r="G45" s="3"/>
      <c r="H45" s="3" t="s">
        <v>8</v>
      </c>
      <c r="I45" s="27"/>
      <c r="J45" s="27"/>
      <c r="K45" s="216" t="str">
        <f>K7</f>
        <v>Asst. Jr. Engineer</v>
      </c>
      <c r="L45" s="278"/>
      <c r="M45" s="278"/>
      <c r="N45" s="217"/>
    </row>
    <row r="46" spans="1:15" hidden="1">
      <c r="A46" s="5"/>
      <c r="B46" s="5"/>
      <c r="C46" s="5"/>
      <c r="D46" s="5"/>
      <c r="E46" s="5"/>
      <c r="F46" s="5"/>
      <c r="G46" s="5"/>
      <c r="H46" s="5"/>
      <c r="I46" s="5"/>
      <c r="J46" s="5"/>
      <c r="K46" s="6"/>
      <c r="L46" s="6"/>
      <c r="M46" s="6"/>
      <c r="N46" s="5"/>
    </row>
    <row r="47" spans="1:15" hidden="1">
      <c r="A47" s="3" t="s">
        <v>10</v>
      </c>
      <c r="B47" s="7">
        <v>0.08</v>
      </c>
      <c r="C47" s="7"/>
      <c r="D47" s="7"/>
      <c r="E47" s="3" t="s">
        <v>11</v>
      </c>
      <c r="F47" s="7">
        <v>0</v>
      </c>
      <c r="G47" s="216" t="s">
        <v>12</v>
      </c>
      <c r="H47" s="217"/>
      <c r="I47" s="29"/>
      <c r="J47" s="29"/>
      <c r="K47" s="266">
        <f>N32</f>
        <v>0</v>
      </c>
      <c r="L47" s="267"/>
      <c r="M47" s="267"/>
      <c r="N47" s="271"/>
    </row>
    <row r="48" spans="1:15" hidden="1">
      <c r="A48" s="5"/>
      <c r="B48" s="5"/>
      <c r="C48" s="5"/>
      <c r="D48" s="5"/>
      <c r="E48" s="5"/>
      <c r="F48" s="5"/>
      <c r="G48" s="5"/>
      <c r="H48" s="5"/>
      <c r="I48" s="5"/>
      <c r="J48" s="5"/>
      <c r="K48" s="6"/>
      <c r="L48" s="6"/>
      <c r="M48" s="6"/>
      <c r="N48" s="5"/>
    </row>
    <row r="49" spans="1:30" ht="72" hidden="1">
      <c r="A49" s="9" t="s">
        <v>13</v>
      </c>
      <c r="B49" s="9" t="s">
        <v>14</v>
      </c>
      <c r="C49" s="9"/>
      <c r="D49" s="9"/>
      <c r="E49" s="9" t="s">
        <v>349</v>
      </c>
      <c r="F49" s="9" t="s">
        <v>15</v>
      </c>
      <c r="G49" s="9" t="s">
        <v>16</v>
      </c>
      <c r="H49" s="9" t="s">
        <v>17</v>
      </c>
      <c r="I49" s="9"/>
      <c r="J49" s="9"/>
      <c r="K49" s="10" t="s">
        <v>18</v>
      </c>
      <c r="L49" s="10"/>
      <c r="M49" s="10"/>
      <c r="N49" s="10" t="s">
        <v>19</v>
      </c>
      <c r="O49" s="11" t="s">
        <v>20</v>
      </c>
      <c r="Q49" s="12" t="s">
        <v>27</v>
      </c>
      <c r="R49" s="12" t="s">
        <v>28</v>
      </c>
      <c r="S49" s="12" t="s">
        <v>29</v>
      </c>
      <c r="T49" s="12" t="s">
        <v>30</v>
      </c>
      <c r="U49" s="12" t="s">
        <v>21</v>
      </c>
      <c r="V49" s="12" t="s">
        <v>22</v>
      </c>
      <c r="W49" s="12" t="s">
        <v>23</v>
      </c>
      <c r="X49" s="12" t="s">
        <v>24</v>
      </c>
      <c r="Y49" s="12" t="s">
        <v>25</v>
      </c>
      <c r="Z49" s="12" t="s">
        <v>336</v>
      </c>
      <c r="AA49" s="12" t="s">
        <v>26</v>
      </c>
      <c r="AB49" s="12" t="s">
        <v>31</v>
      </c>
      <c r="AC49" s="12" t="s">
        <v>32</v>
      </c>
      <c r="AD49" s="12" t="s">
        <v>333</v>
      </c>
    </row>
    <row r="50" spans="1:30" hidden="1">
      <c r="A50" s="3" t="s">
        <v>57</v>
      </c>
      <c r="B50" s="13">
        <v>0</v>
      </c>
      <c r="C50" s="13"/>
      <c r="D50" s="13"/>
      <c r="E50" s="13">
        <v>0</v>
      </c>
      <c r="F50" s="13">
        <v>0</v>
      </c>
      <c r="G50" s="13">
        <f>(E50+B50)+F50</f>
        <v>0</v>
      </c>
      <c r="H50" s="13">
        <v>0</v>
      </c>
      <c r="I50" s="13"/>
      <c r="J50" s="13"/>
      <c r="K50" s="13">
        <f>(K47+G50)-H50</f>
        <v>0</v>
      </c>
      <c r="L50" s="14"/>
      <c r="M50" s="14"/>
      <c r="N50" s="14">
        <f t="shared" ref="N50:N61" si="6">ROUND((K50*8/100)/12,0)</f>
        <v>0</v>
      </c>
      <c r="O50" s="272" t="s">
        <v>34</v>
      </c>
      <c r="Q50" s="1" t="s">
        <v>334</v>
      </c>
      <c r="R50" s="1" t="s">
        <v>334</v>
      </c>
      <c r="S50" s="1" t="s">
        <v>334</v>
      </c>
      <c r="T50" s="1" t="s">
        <v>334</v>
      </c>
      <c r="U50" s="30" t="s">
        <v>334</v>
      </c>
      <c r="V50" s="30" t="s">
        <v>334</v>
      </c>
      <c r="W50" s="30" t="s">
        <v>334</v>
      </c>
      <c r="X50" s="30" t="s">
        <v>334</v>
      </c>
      <c r="Y50" s="30" t="s">
        <v>334</v>
      </c>
      <c r="Z50" s="30" t="s">
        <v>334</v>
      </c>
      <c r="AA50" s="30" t="s">
        <v>334</v>
      </c>
      <c r="AB50" s="1" t="s">
        <v>334</v>
      </c>
      <c r="AC50" s="1" t="s">
        <v>334</v>
      </c>
      <c r="AD50" s="1" t="s">
        <v>334</v>
      </c>
    </row>
    <row r="51" spans="1:30" hidden="1">
      <c r="A51" s="3" t="s">
        <v>58</v>
      </c>
      <c r="B51" s="13">
        <v>0</v>
      </c>
      <c r="C51" s="13"/>
      <c r="D51" s="13"/>
      <c r="E51" s="13">
        <v>0</v>
      </c>
      <c r="F51" s="13">
        <v>0</v>
      </c>
      <c r="G51" s="13">
        <f t="shared" ref="G51:G61" si="7">(E51+B51)+F51</f>
        <v>0</v>
      </c>
      <c r="H51" s="13">
        <v>0</v>
      </c>
      <c r="I51" s="48"/>
      <c r="J51" s="48"/>
      <c r="K51" s="20">
        <f t="shared" ref="K51:K61" si="8">(K50+G51)-H51</f>
        <v>0</v>
      </c>
      <c r="L51" s="52"/>
      <c r="M51" s="52"/>
      <c r="N51" s="14">
        <f t="shared" si="6"/>
        <v>0</v>
      </c>
      <c r="O51" s="273"/>
      <c r="Q51" s="1" t="s">
        <v>334</v>
      </c>
      <c r="R51" s="1" t="s">
        <v>334</v>
      </c>
      <c r="S51" s="1" t="s">
        <v>334</v>
      </c>
      <c r="T51" s="1" t="s">
        <v>334</v>
      </c>
      <c r="U51" s="30" t="s">
        <v>334</v>
      </c>
      <c r="V51" s="30" t="s">
        <v>334</v>
      </c>
      <c r="W51" s="30" t="s">
        <v>334</v>
      </c>
      <c r="X51" s="30" t="s">
        <v>334</v>
      </c>
      <c r="Y51" s="30" t="s">
        <v>334</v>
      </c>
      <c r="Z51" s="30" t="s">
        <v>334</v>
      </c>
      <c r="AA51" s="30" t="s">
        <v>334</v>
      </c>
      <c r="AB51" s="1" t="s">
        <v>334</v>
      </c>
      <c r="AC51" s="1" t="s">
        <v>334</v>
      </c>
      <c r="AD51" s="1" t="s">
        <v>334</v>
      </c>
    </row>
    <row r="52" spans="1:30" hidden="1">
      <c r="A52" s="3" t="s">
        <v>59</v>
      </c>
      <c r="B52" s="13">
        <v>0</v>
      </c>
      <c r="C52" s="13"/>
      <c r="D52" s="13"/>
      <c r="E52" s="13">
        <f>B52</f>
        <v>0</v>
      </c>
      <c r="F52" s="13">
        <v>0</v>
      </c>
      <c r="G52" s="13">
        <f t="shared" si="7"/>
        <v>0</v>
      </c>
      <c r="H52" s="13">
        <v>0</v>
      </c>
      <c r="I52" s="48"/>
      <c r="J52" s="48"/>
      <c r="K52" s="20">
        <f t="shared" si="8"/>
        <v>0</v>
      </c>
      <c r="L52" s="52"/>
      <c r="M52" s="52"/>
      <c r="N52" s="14">
        <f t="shared" si="6"/>
        <v>0</v>
      </c>
      <c r="O52" s="273"/>
      <c r="Q52" s="1" t="s">
        <v>334</v>
      </c>
      <c r="R52" s="1" t="s">
        <v>334</v>
      </c>
      <c r="S52" s="1" t="s">
        <v>334</v>
      </c>
      <c r="T52" s="1" t="s">
        <v>334</v>
      </c>
      <c r="U52" s="30" t="s">
        <v>334</v>
      </c>
      <c r="V52" s="30" t="s">
        <v>334</v>
      </c>
      <c r="W52" s="30" t="s">
        <v>334</v>
      </c>
      <c r="X52" s="30" t="s">
        <v>334</v>
      </c>
      <c r="Y52" s="30" t="s">
        <v>334</v>
      </c>
      <c r="Z52" s="30" t="s">
        <v>334</v>
      </c>
      <c r="AA52" s="30" t="s">
        <v>334</v>
      </c>
      <c r="AB52" s="1" t="s">
        <v>334</v>
      </c>
      <c r="AC52" s="1" t="s">
        <v>334</v>
      </c>
      <c r="AD52" s="1" t="s">
        <v>334</v>
      </c>
    </row>
    <row r="53" spans="1:30" hidden="1">
      <c r="A53" s="3" t="s">
        <v>60</v>
      </c>
      <c r="B53" s="13">
        <v>0</v>
      </c>
      <c r="C53" s="13"/>
      <c r="D53" s="13"/>
      <c r="E53" s="13">
        <f t="shared" ref="E53:E61" si="9">B53</f>
        <v>0</v>
      </c>
      <c r="F53" s="13">
        <v>0</v>
      </c>
      <c r="G53" s="13">
        <f t="shared" si="7"/>
        <v>0</v>
      </c>
      <c r="H53" s="13">
        <v>0</v>
      </c>
      <c r="I53" s="48"/>
      <c r="J53" s="48"/>
      <c r="K53" s="20">
        <f t="shared" si="8"/>
        <v>0</v>
      </c>
      <c r="L53" s="52"/>
      <c r="M53" s="52"/>
      <c r="N53" s="14">
        <f t="shared" si="6"/>
        <v>0</v>
      </c>
      <c r="O53" s="273"/>
      <c r="Q53" s="1" t="s">
        <v>334</v>
      </c>
      <c r="R53" s="1" t="s">
        <v>334</v>
      </c>
      <c r="S53" s="1" t="s">
        <v>334</v>
      </c>
      <c r="T53" s="1" t="s">
        <v>334</v>
      </c>
      <c r="U53" s="30" t="s">
        <v>334</v>
      </c>
      <c r="V53" s="30" t="s">
        <v>334</v>
      </c>
      <c r="W53" s="30" t="s">
        <v>334</v>
      </c>
      <c r="X53" s="30" t="s">
        <v>334</v>
      </c>
      <c r="Y53" s="30" t="s">
        <v>334</v>
      </c>
      <c r="Z53" s="30" t="s">
        <v>334</v>
      </c>
      <c r="AA53" s="30" t="s">
        <v>334</v>
      </c>
      <c r="AB53" s="1" t="s">
        <v>334</v>
      </c>
      <c r="AC53" s="1" t="s">
        <v>334</v>
      </c>
      <c r="AD53" s="1" t="s">
        <v>334</v>
      </c>
    </row>
    <row r="54" spans="1:30" hidden="1">
      <c r="A54" s="3" t="s">
        <v>61</v>
      </c>
      <c r="B54" s="13">
        <v>0</v>
      </c>
      <c r="C54" s="13"/>
      <c r="D54" s="13"/>
      <c r="E54" s="13">
        <f t="shared" si="9"/>
        <v>0</v>
      </c>
      <c r="F54" s="13">
        <v>0</v>
      </c>
      <c r="G54" s="13">
        <f t="shared" si="7"/>
        <v>0</v>
      </c>
      <c r="H54" s="13">
        <v>0</v>
      </c>
      <c r="I54" s="48"/>
      <c r="J54" s="48"/>
      <c r="K54" s="20">
        <f t="shared" si="8"/>
        <v>0</v>
      </c>
      <c r="L54" s="52"/>
      <c r="M54" s="52"/>
      <c r="N54" s="14">
        <f t="shared" si="6"/>
        <v>0</v>
      </c>
      <c r="O54" s="273"/>
      <c r="Q54" s="1" t="s">
        <v>334</v>
      </c>
      <c r="R54" s="1" t="s">
        <v>334</v>
      </c>
      <c r="S54" s="1" t="s">
        <v>334</v>
      </c>
      <c r="T54" s="1" t="s">
        <v>334</v>
      </c>
      <c r="U54" s="30" t="s">
        <v>334</v>
      </c>
      <c r="V54" s="30" t="s">
        <v>334</v>
      </c>
      <c r="W54" s="30" t="s">
        <v>334</v>
      </c>
      <c r="X54" s="30" t="s">
        <v>334</v>
      </c>
      <c r="Y54" s="30" t="s">
        <v>334</v>
      </c>
      <c r="Z54" s="30" t="s">
        <v>334</v>
      </c>
      <c r="AA54" s="30" t="s">
        <v>334</v>
      </c>
      <c r="AB54" s="1" t="s">
        <v>334</v>
      </c>
      <c r="AC54" s="1" t="s">
        <v>334</v>
      </c>
      <c r="AD54" s="1" t="s">
        <v>334</v>
      </c>
    </row>
    <row r="55" spans="1:30" hidden="1">
      <c r="A55" s="3" t="s">
        <v>62</v>
      </c>
      <c r="B55" s="13">
        <v>0</v>
      </c>
      <c r="C55" s="13"/>
      <c r="D55" s="13"/>
      <c r="E55" s="13">
        <f t="shared" si="9"/>
        <v>0</v>
      </c>
      <c r="F55" s="13">
        <v>0</v>
      </c>
      <c r="G55" s="13">
        <f t="shared" si="7"/>
        <v>0</v>
      </c>
      <c r="H55" s="13">
        <v>0</v>
      </c>
      <c r="I55" s="48"/>
      <c r="J55" s="48"/>
      <c r="K55" s="20">
        <f t="shared" si="8"/>
        <v>0</v>
      </c>
      <c r="L55" s="52"/>
      <c r="M55" s="52"/>
      <c r="N55" s="14">
        <f t="shared" si="6"/>
        <v>0</v>
      </c>
      <c r="O55" s="273"/>
      <c r="Q55" s="1" t="s">
        <v>334</v>
      </c>
      <c r="R55" s="1" t="s">
        <v>334</v>
      </c>
      <c r="S55" s="1" t="s">
        <v>334</v>
      </c>
      <c r="T55" s="1" t="s">
        <v>334</v>
      </c>
      <c r="U55" s="30" t="s">
        <v>334</v>
      </c>
      <c r="V55" s="30" t="s">
        <v>334</v>
      </c>
      <c r="W55" s="30" t="s">
        <v>334</v>
      </c>
      <c r="X55" s="30" t="s">
        <v>334</v>
      </c>
      <c r="Y55" s="30" t="s">
        <v>334</v>
      </c>
      <c r="Z55" s="30" t="s">
        <v>334</v>
      </c>
      <c r="AA55" s="30" t="s">
        <v>334</v>
      </c>
      <c r="AB55" s="1" t="s">
        <v>334</v>
      </c>
      <c r="AC55" s="1" t="s">
        <v>334</v>
      </c>
      <c r="AD55" s="1" t="s">
        <v>334</v>
      </c>
    </row>
    <row r="56" spans="1:30" hidden="1">
      <c r="A56" s="3" t="s">
        <v>63</v>
      </c>
      <c r="B56" s="13">
        <v>0</v>
      </c>
      <c r="C56" s="13"/>
      <c r="D56" s="13"/>
      <c r="E56" s="13">
        <f t="shared" si="9"/>
        <v>0</v>
      </c>
      <c r="F56" s="13">
        <v>0</v>
      </c>
      <c r="G56" s="13">
        <f t="shared" si="7"/>
        <v>0</v>
      </c>
      <c r="H56" s="13">
        <v>0</v>
      </c>
      <c r="I56" s="48"/>
      <c r="J56" s="48"/>
      <c r="K56" s="20">
        <f t="shared" si="8"/>
        <v>0</v>
      </c>
      <c r="L56" s="52"/>
      <c r="M56" s="52"/>
      <c r="N56" s="14">
        <f t="shared" si="6"/>
        <v>0</v>
      </c>
      <c r="O56" s="273"/>
      <c r="Q56" s="1" t="s">
        <v>334</v>
      </c>
      <c r="R56" s="1" t="s">
        <v>334</v>
      </c>
      <c r="S56" s="1" t="s">
        <v>334</v>
      </c>
      <c r="T56" s="1" t="s">
        <v>334</v>
      </c>
      <c r="U56" s="30" t="s">
        <v>334</v>
      </c>
      <c r="V56" s="30" t="s">
        <v>334</v>
      </c>
      <c r="W56" s="30" t="s">
        <v>334</v>
      </c>
      <c r="X56" s="30" t="s">
        <v>334</v>
      </c>
      <c r="Y56" s="30" t="s">
        <v>334</v>
      </c>
      <c r="Z56" s="30" t="s">
        <v>334</v>
      </c>
      <c r="AA56" s="30" t="s">
        <v>334</v>
      </c>
      <c r="AB56" s="1" t="s">
        <v>334</v>
      </c>
      <c r="AC56" s="1" t="s">
        <v>334</v>
      </c>
      <c r="AD56" s="1" t="s">
        <v>334</v>
      </c>
    </row>
    <row r="57" spans="1:30" hidden="1">
      <c r="A57" s="3" t="s">
        <v>64</v>
      </c>
      <c r="B57" s="13">
        <v>0</v>
      </c>
      <c r="C57" s="13"/>
      <c r="D57" s="13"/>
      <c r="E57" s="13">
        <f t="shared" si="9"/>
        <v>0</v>
      </c>
      <c r="F57" s="13">
        <v>0</v>
      </c>
      <c r="G57" s="13">
        <f t="shared" si="7"/>
        <v>0</v>
      </c>
      <c r="H57" s="13">
        <v>0</v>
      </c>
      <c r="I57" s="48"/>
      <c r="J57" s="48"/>
      <c r="K57" s="20">
        <f t="shared" si="8"/>
        <v>0</v>
      </c>
      <c r="L57" s="52"/>
      <c r="M57" s="52"/>
      <c r="N57" s="14">
        <f t="shared" si="6"/>
        <v>0</v>
      </c>
      <c r="O57" s="273"/>
      <c r="Q57" s="1" t="s">
        <v>334</v>
      </c>
      <c r="R57" s="1" t="s">
        <v>334</v>
      </c>
      <c r="S57" s="1" t="s">
        <v>334</v>
      </c>
      <c r="T57" s="1" t="s">
        <v>334</v>
      </c>
      <c r="U57" s="30" t="s">
        <v>334</v>
      </c>
      <c r="V57" s="30" t="s">
        <v>334</v>
      </c>
      <c r="W57" s="30" t="s">
        <v>334</v>
      </c>
      <c r="X57" s="30" t="s">
        <v>334</v>
      </c>
      <c r="Y57" s="30" t="s">
        <v>334</v>
      </c>
      <c r="Z57" s="30" t="s">
        <v>334</v>
      </c>
      <c r="AA57" s="30" t="s">
        <v>334</v>
      </c>
      <c r="AB57" s="1" t="s">
        <v>334</v>
      </c>
      <c r="AC57" s="1" t="s">
        <v>334</v>
      </c>
      <c r="AD57" s="1" t="s">
        <v>334</v>
      </c>
    </row>
    <row r="58" spans="1:30" hidden="1">
      <c r="A58" s="3" t="s">
        <v>65</v>
      </c>
      <c r="B58" s="13">
        <v>0</v>
      </c>
      <c r="C58" s="13"/>
      <c r="D58" s="13"/>
      <c r="E58" s="13">
        <f t="shared" si="9"/>
        <v>0</v>
      </c>
      <c r="F58" s="13">
        <v>0</v>
      </c>
      <c r="G58" s="13">
        <f t="shared" si="7"/>
        <v>0</v>
      </c>
      <c r="H58" s="13">
        <v>0</v>
      </c>
      <c r="I58" s="48"/>
      <c r="J58" s="48"/>
      <c r="K58" s="20">
        <f t="shared" si="8"/>
        <v>0</v>
      </c>
      <c r="L58" s="52"/>
      <c r="M58" s="52"/>
      <c r="N58" s="14">
        <f t="shared" si="6"/>
        <v>0</v>
      </c>
      <c r="O58" s="273"/>
      <c r="Q58" s="1" t="s">
        <v>334</v>
      </c>
      <c r="R58" s="1" t="s">
        <v>334</v>
      </c>
      <c r="S58" s="1" t="s">
        <v>334</v>
      </c>
      <c r="T58" s="1" t="s">
        <v>334</v>
      </c>
      <c r="U58" s="30" t="s">
        <v>334</v>
      </c>
      <c r="V58" s="30" t="s">
        <v>334</v>
      </c>
      <c r="W58" s="30" t="s">
        <v>334</v>
      </c>
      <c r="X58" s="30" t="s">
        <v>334</v>
      </c>
      <c r="Y58" s="30" t="s">
        <v>334</v>
      </c>
      <c r="Z58" s="30" t="s">
        <v>334</v>
      </c>
      <c r="AA58" s="30" t="s">
        <v>334</v>
      </c>
      <c r="AB58" s="1" t="s">
        <v>334</v>
      </c>
      <c r="AC58" s="1" t="s">
        <v>334</v>
      </c>
      <c r="AD58" s="1" t="s">
        <v>334</v>
      </c>
    </row>
    <row r="59" spans="1:30" hidden="1">
      <c r="A59" s="3" t="s">
        <v>66</v>
      </c>
      <c r="B59" s="13">
        <v>0</v>
      </c>
      <c r="C59" s="13"/>
      <c r="D59" s="13"/>
      <c r="E59" s="13">
        <f t="shared" si="9"/>
        <v>0</v>
      </c>
      <c r="F59" s="13">
        <v>0</v>
      </c>
      <c r="G59" s="13">
        <f t="shared" si="7"/>
        <v>0</v>
      </c>
      <c r="H59" s="13">
        <v>0</v>
      </c>
      <c r="I59" s="48"/>
      <c r="J59" s="48"/>
      <c r="K59" s="20">
        <f t="shared" si="8"/>
        <v>0</v>
      </c>
      <c r="L59" s="52"/>
      <c r="M59" s="52"/>
      <c r="N59" s="14">
        <f t="shared" si="6"/>
        <v>0</v>
      </c>
      <c r="O59" s="273"/>
      <c r="Q59" s="1" t="s">
        <v>334</v>
      </c>
      <c r="R59" s="1" t="s">
        <v>334</v>
      </c>
      <c r="S59" s="1" t="s">
        <v>334</v>
      </c>
      <c r="T59" s="1" t="s">
        <v>334</v>
      </c>
      <c r="U59" s="30" t="s">
        <v>334</v>
      </c>
      <c r="V59" s="30" t="s">
        <v>334</v>
      </c>
      <c r="W59" s="30" t="s">
        <v>334</v>
      </c>
      <c r="X59" s="30" t="s">
        <v>334</v>
      </c>
      <c r="Y59" s="30" t="s">
        <v>334</v>
      </c>
      <c r="Z59" s="30" t="s">
        <v>334</v>
      </c>
      <c r="AA59" s="30" t="s">
        <v>334</v>
      </c>
      <c r="AB59" s="1" t="s">
        <v>334</v>
      </c>
      <c r="AC59" s="1" t="s">
        <v>334</v>
      </c>
      <c r="AD59" s="1" t="s">
        <v>334</v>
      </c>
    </row>
    <row r="60" spans="1:30" hidden="1">
      <c r="A60" s="3" t="s">
        <v>67</v>
      </c>
      <c r="B60" s="13">
        <v>0</v>
      </c>
      <c r="C60" s="13"/>
      <c r="D60" s="13"/>
      <c r="E60" s="13">
        <f t="shared" si="9"/>
        <v>0</v>
      </c>
      <c r="F60" s="13">
        <v>0</v>
      </c>
      <c r="G60" s="13">
        <f t="shared" si="7"/>
        <v>0</v>
      </c>
      <c r="H60" s="13">
        <v>0</v>
      </c>
      <c r="I60" s="48"/>
      <c r="J60" s="48"/>
      <c r="K60" s="20">
        <f t="shared" si="8"/>
        <v>0</v>
      </c>
      <c r="L60" s="52"/>
      <c r="M60" s="52"/>
      <c r="N60" s="14">
        <f t="shared" si="6"/>
        <v>0</v>
      </c>
      <c r="O60" s="273"/>
      <c r="Q60" s="1" t="s">
        <v>334</v>
      </c>
      <c r="R60" s="1" t="s">
        <v>334</v>
      </c>
      <c r="S60" s="1" t="s">
        <v>334</v>
      </c>
      <c r="T60" s="1" t="s">
        <v>334</v>
      </c>
      <c r="U60" s="30" t="s">
        <v>334</v>
      </c>
      <c r="V60" s="30" t="s">
        <v>334</v>
      </c>
      <c r="W60" s="30" t="s">
        <v>334</v>
      </c>
      <c r="X60" s="30" t="s">
        <v>334</v>
      </c>
      <c r="Y60" s="30" t="s">
        <v>334</v>
      </c>
      <c r="Z60" s="30" t="s">
        <v>334</v>
      </c>
      <c r="AA60" s="30" t="s">
        <v>334</v>
      </c>
      <c r="AB60" s="1" t="s">
        <v>334</v>
      </c>
      <c r="AC60" s="1" t="s">
        <v>334</v>
      </c>
      <c r="AD60" s="1" t="s">
        <v>334</v>
      </c>
    </row>
    <row r="61" spans="1:30" hidden="1">
      <c r="A61" s="3" t="s">
        <v>68</v>
      </c>
      <c r="B61" s="13">
        <v>0</v>
      </c>
      <c r="C61" s="13"/>
      <c r="D61" s="13"/>
      <c r="E61" s="13">
        <f t="shared" si="9"/>
        <v>0</v>
      </c>
      <c r="F61" s="13">
        <v>0</v>
      </c>
      <c r="G61" s="13">
        <f t="shared" si="7"/>
        <v>0</v>
      </c>
      <c r="H61" s="13">
        <v>0</v>
      </c>
      <c r="I61" s="48"/>
      <c r="J61" s="48"/>
      <c r="K61" s="20">
        <f t="shared" si="8"/>
        <v>0</v>
      </c>
      <c r="L61" s="52"/>
      <c r="M61" s="52"/>
      <c r="N61" s="14">
        <f t="shared" si="6"/>
        <v>0</v>
      </c>
      <c r="O61" s="274"/>
      <c r="Q61" s="1" t="s">
        <v>334</v>
      </c>
      <c r="R61" s="1" t="s">
        <v>334</v>
      </c>
      <c r="S61" s="1" t="s">
        <v>334</v>
      </c>
      <c r="T61" s="1" t="s">
        <v>334</v>
      </c>
      <c r="U61" s="30" t="s">
        <v>334</v>
      </c>
      <c r="V61" s="30" t="s">
        <v>334</v>
      </c>
      <c r="W61" s="30" t="s">
        <v>334</v>
      </c>
      <c r="X61" s="30" t="s">
        <v>334</v>
      </c>
      <c r="Y61" s="30" t="s">
        <v>334</v>
      </c>
      <c r="Z61" s="30" t="s">
        <v>334</v>
      </c>
      <c r="AA61" s="30" t="s">
        <v>334</v>
      </c>
      <c r="AB61" s="1" t="s">
        <v>334</v>
      </c>
      <c r="AC61" s="1" t="s">
        <v>334</v>
      </c>
      <c r="AD61" s="1" t="s">
        <v>334</v>
      </c>
    </row>
    <row r="62" spans="1:30" hidden="1">
      <c r="A62" s="3" t="s">
        <v>69</v>
      </c>
      <c r="B62" s="15">
        <f t="shared" ref="B62:H62" si="10">SUM(B50:B61)</f>
        <v>0</v>
      </c>
      <c r="C62" s="15"/>
      <c r="D62" s="15"/>
      <c r="E62" s="15">
        <f t="shared" si="10"/>
        <v>0</v>
      </c>
      <c r="F62" s="15">
        <f t="shared" si="10"/>
        <v>0</v>
      </c>
      <c r="G62" s="15">
        <f t="shared" si="10"/>
        <v>0</v>
      </c>
      <c r="H62" s="15">
        <f t="shared" si="10"/>
        <v>0</v>
      </c>
      <c r="I62" s="15"/>
      <c r="J62" s="15"/>
      <c r="K62" s="15">
        <f>SUM(K50:K61)</f>
        <v>0</v>
      </c>
      <c r="L62" s="15"/>
      <c r="M62" s="15"/>
      <c r="N62" s="15">
        <f t="shared" ref="N62" si="11">SUM(N50:N61)</f>
        <v>0</v>
      </c>
      <c r="Q62" s="1" t="s">
        <v>334</v>
      </c>
      <c r="R62" s="1" t="s">
        <v>334</v>
      </c>
      <c r="S62" s="1" t="s">
        <v>334</v>
      </c>
      <c r="T62" s="1" t="s">
        <v>334</v>
      </c>
      <c r="U62" s="30" t="s">
        <v>334</v>
      </c>
      <c r="V62" s="30" t="s">
        <v>334</v>
      </c>
      <c r="W62" s="30" t="s">
        <v>334</v>
      </c>
      <c r="X62" s="30" t="s">
        <v>334</v>
      </c>
      <c r="Y62" s="30" t="s">
        <v>334</v>
      </c>
      <c r="Z62" s="30" t="s">
        <v>334</v>
      </c>
      <c r="AA62" s="30" t="s">
        <v>334</v>
      </c>
      <c r="AB62" s="1" t="s">
        <v>334</v>
      </c>
      <c r="AC62" s="1" t="s">
        <v>334</v>
      </c>
      <c r="AD62" s="1" t="s">
        <v>334</v>
      </c>
    </row>
    <row r="63" spans="1:30" hidden="1">
      <c r="A63" s="5"/>
      <c r="B63" s="5"/>
      <c r="C63" s="5"/>
      <c r="D63" s="5"/>
      <c r="E63" s="5"/>
      <c r="F63" s="5"/>
      <c r="G63" s="5"/>
      <c r="H63" s="5"/>
      <c r="I63" s="5"/>
      <c r="J63" s="5"/>
      <c r="K63" s="6"/>
      <c r="L63" s="6"/>
      <c r="M63" s="6"/>
      <c r="N63" s="6"/>
    </row>
    <row r="64" spans="1:30" ht="15" hidden="1" thickBot="1">
      <c r="A64" s="5"/>
      <c r="B64" s="6"/>
      <c r="C64" s="6"/>
      <c r="D64" s="6"/>
      <c r="E64" s="5"/>
      <c r="F64" s="5"/>
      <c r="G64" s="211" t="s">
        <v>47</v>
      </c>
      <c r="H64" s="212"/>
      <c r="I64" s="212"/>
      <c r="J64" s="212"/>
      <c r="K64" s="213"/>
      <c r="L64" s="26"/>
      <c r="M64" s="26"/>
      <c r="N64" s="16">
        <f>K47</f>
        <v>0</v>
      </c>
    </row>
    <row r="65" spans="1:32" ht="15" hidden="1" thickBot="1">
      <c r="A65" s="5"/>
      <c r="B65" s="5"/>
      <c r="C65" s="5"/>
      <c r="D65" s="5"/>
      <c r="E65" s="5"/>
      <c r="F65" s="5"/>
      <c r="G65" s="211" t="s">
        <v>48</v>
      </c>
      <c r="H65" s="212"/>
      <c r="I65" s="212"/>
      <c r="J65" s="212"/>
      <c r="K65" s="213"/>
      <c r="L65" s="26"/>
      <c r="M65" s="26"/>
      <c r="N65" s="16">
        <f>B62+F62</f>
        <v>0</v>
      </c>
    </row>
    <row r="66" spans="1:32" ht="15" hidden="1" thickBot="1">
      <c r="A66" s="5"/>
      <c r="B66" s="5"/>
      <c r="C66" s="5"/>
      <c r="D66" s="5"/>
      <c r="E66" s="5"/>
      <c r="F66" s="5"/>
      <c r="G66" s="211" t="s">
        <v>349</v>
      </c>
      <c r="H66" s="212"/>
      <c r="I66" s="212"/>
      <c r="J66" s="212"/>
      <c r="K66" s="213"/>
      <c r="L66" s="26"/>
      <c r="M66" s="26"/>
      <c r="N66" s="16">
        <f>E62</f>
        <v>0</v>
      </c>
    </row>
    <row r="67" spans="1:32" ht="15" hidden="1" thickBot="1">
      <c r="A67" s="5"/>
      <c r="B67" s="5"/>
      <c r="C67" s="5"/>
      <c r="D67" s="5"/>
      <c r="E67" s="5"/>
      <c r="F67" s="5"/>
      <c r="G67" s="211" t="s">
        <v>49</v>
      </c>
      <c r="H67" s="212"/>
      <c r="I67" s="212"/>
      <c r="J67" s="212"/>
      <c r="K67" s="213"/>
      <c r="L67" s="26"/>
      <c r="M67" s="26"/>
      <c r="N67" s="16">
        <f>SUM(N64:N66)</f>
        <v>0</v>
      </c>
    </row>
    <row r="68" spans="1:32" ht="15" hidden="1" thickBot="1">
      <c r="A68" s="5"/>
      <c r="B68" s="5"/>
      <c r="C68" s="5"/>
      <c r="D68" s="5"/>
      <c r="E68" s="5"/>
      <c r="F68" s="5"/>
      <c r="G68" s="211" t="s">
        <v>50</v>
      </c>
      <c r="H68" s="212"/>
      <c r="I68" s="212"/>
      <c r="J68" s="212"/>
      <c r="K68" s="213"/>
      <c r="L68" s="26"/>
      <c r="M68" s="26"/>
      <c r="N68" s="16">
        <f>H62</f>
        <v>0</v>
      </c>
    </row>
    <row r="69" spans="1:32" ht="15" hidden="1" thickBot="1">
      <c r="A69" s="5"/>
      <c r="B69" s="5"/>
      <c r="C69" s="5"/>
      <c r="D69" s="5"/>
      <c r="E69" s="5"/>
      <c r="F69" s="5"/>
      <c r="G69" s="211" t="s">
        <v>51</v>
      </c>
      <c r="H69" s="212"/>
      <c r="I69" s="212"/>
      <c r="J69" s="212"/>
      <c r="K69" s="213"/>
      <c r="L69" s="26"/>
      <c r="M69" s="26"/>
      <c r="N69" s="16">
        <f>N62</f>
        <v>0</v>
      </c>
    </row>
    <row r="70" spans="1:32" ht="15" hidden="1" thickBot="1">
      <c r="A70" s="5"/>
      <c r="B70" s="5"/>
      <c r="C70" s="5"/>
      <c r="D70" s="5"/>
      <c r="E70" s="5"/>
      <c r="F70" s="5"/>
      <c r="G70" s="211" t="s">
        <v>52</v>
      </c>
      <c r="H70" s="212"/>
      <c r="I70" s="212"/>
      <c r="J70" s="212"/>
      <c r="K70" s="213"/>
      <c r="L70" s="26"/>
      <c r="M70" s="26"/>
      <c r="N70" s="16">
        <f>N67-N68+N69</f>
        <v>0</v>
      </c>
    </row>
    <row r="71" spans="1:32" hidden="1">
      <c r="A71" s="5"/>
      <c r="B71" s="5"/>
      <c r="C71" s="5"/>
      <c r="D71" s="5"/>
      <c r="E71" s="5"/>
      <c r="F71" s="5"/>
      <c r="G71" s="17"/>
      <c r="H71" s="17"/>
      <c r="I71" s="17"/>
      <c r="J71" s="17"/>
      <c r="K71" s="17"/>
      <c r="L71" s="17"/>
      <c r="M71" s="17"/>
      <c r="N71" s="6"/>
    </row>
    <row r="74" spans="1:32" ht="16.8" hidden="1">
      <c r="A74" s="249" t="s">
        <v>53</v>
      </c>
      <c r="B74" s="249"/>
      <c r="C74" s="18"/>
      <c r="D74" s="18"/>
      <c r="E74" s="249" t="s">
        <v>54</v>
      </c>
      <c r="F74" s="249"/>
      <c r="G74" s="249"/>
      <c r="H74" s="250" t="s">
        <v>55</v>
      </c>
      <c r="I74" s="250"/>
      <c r="J74" s="250"/>
      <c r="K74" s="250"/>
      <c r="L74" s="250"/>
      <c r="M74" s="250"/>
      <c r="N74" s="250"/>
    </row>
    <row r="75" spans="1:32" ht="16.8" hidden="1">
      <c r="A75" s="18"/>
      <c r="B75" s="18"/>
      <c r="C75" s="18"/>
      <c r="D75" s="18"/>
      <c r="E75" s="18"/>
      <c r="F75" s="18"/>
      <c r="G75" s="18"/>
      <c r="H75" s="19"/>
      <c r="I75" s="19"/>
      <c r="J75" s="19"/>
      <c r="K75" s="19"/>
      <c r="L75" s="19"/>
      <c r="M75" s="19"/>
      <c r="N75" s="19"/>
    </row>
    <row r="76" spans="1:32" ht="16.8" hidden="1">
      <c r="A76" s="18"/>
      <c r="B76" s="18"/>
      <c r="C76" s="18"/>
      <c r="D76" s="18"/>
      <c r="E76" s="18"/>
      <c r="F76" s="18"/>
      <c r="G76" s="18"/>
      <c r="H76" s="19"/>
      <c r="I76" s="19"/>
      <c r="J76" s="19"/>
      <c r="K76" s="19"/>
      <c r="L76" s="19"/>
      <c r="M76" s="19"/>
      <c r="N76" s="19"/>
    </row>
    <row r="77" spans="1:32" ht="18.75" customHeight="1">
      <c r="A77" s="224" t="s">
        <v>0</v>
      </c>
      <c r="B77" s="224"/>
      <c r="C77" s="224"/>
      <c r="D77" s="224"/>
      <c r="E77" s="224"/>
      <c r="F77" s="224"/>
      <c r="G77" s="224"/>
      <c r="H77" s="224"/>
      <c r="I77" s="224"/>
      <c r="J77" s="224"/>
      <c r="K77" s="224"/>
      <c r="L77" s="224"/>
      <c r="M77" s="224"/>
      <c r="N77" s="224"/>
      <c r="O77" s="224"/>
      <c r="V77" s="309" t="s">
        <v>382</v>
      </c>
      <c r="W77" s="309"/>
      <c r="AA77" s="309" t="s">
        <v>360</v>
      </c>
      <c r="AB77" s="309"/>
      <c r="AD77" s="309" t="s">
        <v>361</v>
      </c>
      <c r="AE77" s="309"/>
    </row>
    <row r="78" spans="1:32" ht="18.600000000000001">
      <c r="A78" s="224" t="s">
        <v>1</v>
      </c>
      <c r="B78" s="224"/>
      <c r="C78" s="224"/>
      <c r="D78" s="224"/>
      <c r="E78" s="224"/>
      <c r="F78" s="224"/>
      <c r="G78" s="224"/>
      <c r="H78" s="224"/>
      <c r="I78" s="224"/>
      <c r="J78" s="224"/>
      <c r="K78" s="224"/>
      <c r="L78" s="224"/>
      <c r="M78" s="224"/>
      <c r="N78" s="224"/>
      <c r="O78" s="224"/>
      <c r="V78" s="309"/>
      <c r="W78" s="309"/>
      <c r="AA78" s="309"/>
      <c r="AB78" s="309"/>
      <c r="AD78" s="309"/>
      <c r="AE78" s="309"/>
    </row>
    <row r="79" spans="1:32">
      <c r="V79" s="309">
        <v>195668</v>
      </c>
      <c r="W79" s="309"/>
      <c r="Z79" s="30" t="s">
        <v>70</v>
      </c>
      <c r="AA79" s="312">
        <f>AA91+AA92+AA93+AA94+AA95+AA96+AA97+AA98+AA99+AA100</f>
        <v>-2763</v>
      </c>
      <c r="AB79" s="312"/>
      <c r="AC79" s="32"/>
      <c r="AD79" s="312">
        <v>0</v>
      </c>
      <c r="AE79" s="312"/>
      <c r="AF79" s="32">
        <f t="shared" ref="AF79:AF84" si="12">AA79+AD79</f>
        <v>-2763</v>
      </c>
    </row>
    <row r="80" spans="1:32" ht="15" thickBot="1">
      <c r="A80" s="225" t="s">
        <v>70</v>
      </c>
      <c r="B80" s="225"/>
      <c r="C80" s="225"/>
      <c r="D80" s="225"/>
      <c r="E80" s="225"/>
      <c r="F80" s="225"/>
      <c r="G80" s="225"/>
      <c r="H80" s="225"/>
      <c r="I80" s="225"/>
      <c r="J80" s="225"/>
      <c r="K80" s="225"/>
      <c r="L80" s="225"/>
      <c r="M80" s="225"/>
      <c r="N80" s="225"/>
      <c r="Z80" s="30" t="s">
        <v>85</v>
      </c>
      <c r="AA80" s="312">
        <f>AA132+AA133+AA134+AA135+AA136+AA137+AA138+AA139+AA140+AA141+AA142+AA143</f>
        <v>-5703</v>
      </c>
      <c r="AB80" s="312"/>
      <c r="AC80" s="32"/>
      <c r="AD80" s="312">
        <v>0</v>
      </c>
      <c r="AE80" s="312"/>
      <c r="AF80" s="32">
        <f t="shared" si="12"/>
        <v>-5703</v>
      </c>
    </row>
    <row r="81" spans="1:36" ht="36" customHeight="1" thickBot="1">
      <c r="A81" s="55" t="s">
        <v>3</v>
      </c>
      <c r="B81" s="53">
        <f>B43</f>
        <v>9255</v>
      </c>
      <c r="C81" s="5"/>
      <c r="D81" s="5"/>
      <c r="E81" s="211" t="s">
        <v>4</v>
      </c>
      <c r="F81" s="213"/>
      <c r="G81" s="5"/>
      <c r="H81" s="211" t="str">
        <f>F43</f>
        <v>Mahajan Ganesh Trambak</v>
      </c>
      <c r="I81" s="212"/>
      <c r="J81" s="212"/>
      <c r="K81" s="212"/>
      <c r="L81" s="212"/>
      <c r="M81" s="212"/>
      <c r="N81" s="212"/>
      <c r="O81" s="213"/>
      <c r="V81" s="309" t="s">
        <v>383</v>
      </c>
      <c r="W81" s="309"/>
      <c r="Z81" s="30" t="s">
        <v>362</v>
      </c>
      <c r="AA81" s="312">
        <f>AA175+AA176+AA177+AA178+AA179+AA180+AA181+AA182+AA183+AA184+AA185</f>
        <v>-434</v>
      </c>
      <c r="AB81" s="312"/>
      <c r="AC81" s="32"/>
      <c r="AD81" s="312">
        <f>AA186</f>
        <v>931</v>
      </c>
      <c r="AE81" s="312"/>
      <c r="AF81" s="32">
        <f t="shared" si="12"/>
        <v>497</v>
      </c>
    </row>
    <row r="82" spans="1:36" ht="15" thickBot="1">
      <c r="A82" s="5"/>
      <c r="E82" s="5"/>
      <c r="F82" s="5"/>
      <c r="G82" s="5"/>
      <c r="H82" s="5"/>
      <c r="I82" s="5"/>
      <c r="J82" s="5"/>
      <c r="K82" s="6"/>
      <c r="L82" s="6"/>
      <c r="M82" s="6"/>
      <c r="N82" s="5"/>
      <c r="V82" s="308">
        <f>L334</f>
        <v>207297</v>
      </c>
      <c r="W82" s="309"/>
      <c r="Z82" s="30" t="s">
        <v>363</v>
      </c>
      <c r="AA82" s="312">
        <f>AA219</f>
        <v>-2407</v>
      </c>
      <c r="AB82" s="312"/>
      <c r="AC82" s="32"/>
      <c r="AD82" s="312">
        <f>AA218+AA220+AA221+AA222+AA223+AA224+AA225+AA225+AA227+AA228+AA229+AA230</f>
        <v>11172</v>
      </c>
      <c r="AE82" s="312"/>
      <c r="AF82" s="32">
        <f t="shared" si="12"/>
        <v>8765</v>
      </c>
    </row>
    <row r="83" spans="1:36" ht="36" customHeight="1" thickBot="1">
      <c r="A83" s="55" t="s">
        <v>6</v>
      </c>
      <c r="B83" s="55" t="str">
        <f>B45</f>
        <v>06.06.2007</v>
      </c>
      <c r="C83" s="5"/>
      <c r="D83" s="5"/>
      <c r="E83" s="55" t="s">
        <v>7</v>
      </c>
      <c r="F83" s="55">
        <v>2301</v>
      </c>
      <c r="G83" s="5"/>
      <c r="H83" s="55" t="s">
        <v>8</v>
      </c>
      <c r="I83" s="211" t="str">
        <f>K45</f>
        <v>Asst. Jr. Engineer</v>
      </c>
      <c r="J83" s="212"/>
      <c r="K83" s="212"/>
      <c r="L83" s="212"/>
      <c r="M83" s="212"/>
      <c r="N83" s="212"/>
      <c r="O83" s="213"/>
      <c r="Z83" s="30" t="s">
        <v>128</v>
      </c>
      <c r="AA83" s="312">
        <f>AA263+AA264+AA265+AA266+AA267+AA268+AA269+AA270+AA271</f>
        <v>-10061</v>
      </c>
      <c r="AB83" s="312"/>
      <c r="AC83" s="32"/>
      <c r="AD83" s="312">
        <f>AA262+AA272+AA273+AA274+AA275+AA276+AA277</f>
        <v>931</v>
      </c>
      <c r="AE83" s="312"/>
      <c r="AF83" s="32">
        <f t="shared" si="12"/>
        <v>-9130</v>
      </c>
    </row>
    <row r="84" spans="1:36" ht="30.75" customHeight="1" thickBot="1">
      <c r="A84" s="5"/>
      <c r="B84" s="5"/>
      <c r="C84" s="5"/>
      <c r="D84" s="5"/>
      <c r="E84" s="5"/>
      <c r="F84" s="5"/>
      <c r="G84" s="5"/>
      <c r="H84" s="5"/>
      <c r="I84" s="5"/>
      <c r="J84" s="5"/>
      <c r="K84" s="6"/>
      <c r="L84" s="6"/>
      <c r="M84" s="6"/>
      <c r="N84" s="5"/>
      <c r="V84" s="309" t="s">
        <v>384</v>
      </c>
      <c r="W84" s="309"/>
      <c r="Z84" s="30" t="s">
        <v>143</v>
      </c>
      <c r="AA84" s="312">
        <f>AA313+AA314+AA315+AA316</f>
        <v>-4</v>
      </c>
      <c r="AB84" s="312"/>
      <c r="AC84" s="32"/>
      <c r="AD84" s="312">
        <f>AA310++AA311+AA312+AA317+AA318+AA319</f>
        <v>2532</v>
      </c>
      <c r="AE84" s="312"/>
      <c r="AF84" s="32">
        <f t="shared" si="12"/>
        <v>2528</v>
      </c>
    </row>
    <row r="85" spans="1:36" ht="24" customHeight="1" thickBot="1">
      <c r="A85" s="55" t="s">
        <v>10</v>
      </c>
      <c r="B85" s="58">
        <v>0.08</v>
      </c>
      <c r="C85" s="5"/>
      <c r="D85" s="5"/>
      <c r="E85" s="55" t="s">
        <v>11</v>
      </c>
      <c r="F85" s="58">
        <v>0</v>
      </c>
      <c r="G85" s="5"/>
      <c r="H85" s="239" t="s">
        <v>12</v>
      </c>
      <c r="I85" s="240"/>
      <c r="J85" s="241"/>
      <c r="K85" s="242">
        <f>N70</f>
        <v>0</v>
      </c>
      <c r="L85" s="243"/>
      <c r="M85" s="243"/>
      <c r="N85" s="243"/>
      <c r="O85" s="244"/>
      <c r="V85" s="308">
        <f>V79-V82</f>
        <v>-11629</v>
      </c>
      <c r="W85" s="309"/>
      <c r="Z85" s="30" t="s">
        <v>24</v>
      </c>
      <c r="AA85" s="313">
        <f>SUM(AA79:AB84)</f>
        <v>-21372</v>
      </c>
      <c r="AB85" s="313"/>
      <c r="AC85" s="61"/>
      <c r="AD85" s="313">
        <f>SUM(AD79:AE84)</f>
        <v>15566</v>
      </c>
      <c r="AE85" s="313"/>
      <c r="AF85" s="61">
        <f>AA85+AD85</f>
        <v>-5806</v>
      </c>
      <c r="AH85" s="1">
        <f>AA101+AA144+AA187+AA231+AA278+AA322</f>
        <v>-5806</v>
      </c>
      <c r="AJ85" s="21">
        <f>AF85-AH85</f>
        <v>0</v>
      </c>
    </row>
    <row r="86" spans="1:36" ht="15" thickBot="1">
      <c r="A86" s="5"/>
      <c r="B86" s="5"/>
      <c r="C86" s="5"/>
      <c r="D86" s="5"/>
      <c r="E86" s="5"/>
      <c r="F86" s="5"/>
      <c r="G86" s="5"/>
      <c r="H86" s="5"/>
      <c r="I86" s="5"/>
      <c r="J86" s="5"/>
      <c r="K86" s="6"/>
      <c r="L86" s="6"/>
      <c r="M86" s="6"/>
      <c r="N86" s="5"/>
    </row>
    <row r="87" spans="1:36" ht="39.9" customHeight="1" thickBot="1">
      <c r="A87" s="235" t="s">
        <v>13</v>
      </c>
      <c r="B87" s="256" t="s">
        <v>14</v>
      </c>
      <c r="C87" s="257"/>
      <c r="D87" s="256" t="s">
        <v>349</v>
      </c>
      <c r="E87" s="257"/>
      <c r="F87" s="235" t="s">
        <v>342</v>
      </c>
      <c r="G87" s="235" t="s">
        <v>16</v>
      </c>
      <c r="H87" s="235" t="s">
        <v>17</v>
      </c>
      <c r="I87" s="235" t="s">
        <v>341</v>
      </c>
      <c r="J87" s="235" t="s">
        <v>354</v>
      </c>
      <c r="K87" s="254" t="s">
        <v>353</v>
      </c>
      <c r="L87" s="254" t="s">
        <v>340</v>
      </c>
      <c r="M87" s="254" t="s">
        <v>355</v>
      </c>
      <c r="N87" s="254" t="s">
        <v>343</v>
      </c>
      <c r="O87" s="247" t="s">
        <v>20</v>
      </c>
      <c r="Q87" s="12" t="s">
        <v>27</v>
      </c>
      <c r="R87" s="12" t="s">
        <v>28</v>
      </c>
      <c r="S87" s="12" t="s">
        <v>29</v>
      </c>
      <c r="T87" s="12" t="s">
        <v>30</v>
      </c>
      <c r="U87" s="12" t="s">
        <v>21</v>
      </c>
      <c r="V87" s="12" t="s">
        <v>22</v>
      </c>
      <c r="W87" s="12" t="s">
        <v>23</v>
      </c>
      <c r="X87" s="12" t="s">
        <v>24</v>
      </c>
      <c r="Y87" s="12" t="s">
        <v>356</v>
      </c>
      <c r="Z87" s="12" t="s">
        <v>336</v>
      </c>
      <c r="AA87" s="12" t="s">
        <v>26</v>
      </c>
      <c r="AB87" s="12" t="s">
        <v>31</v>
      </c>
      <c r="AC87" s="12" t="s">
        <v>32</v>
      </c>
      <c r="AD87" s="12" t="s">
        <v>333</v>
      </c>
    </row>
    <row r="88" spans="1:36" ht="39.9" customHeight="1" thickBot="1">
      <c r="A88" s="236"/>
      <c r="B88" s="55" t="s">
        <v>350</v>
      </c>
      <c r="C88" s="55" t="s">
        <v>351</v>
      </c>
      <c r="D88" s="55" t="s">
        <v>350</v>
      </c>
      <c r="E88" s="55" t="s">
        <v>351</v>
      </c>
      <c r="F88" s="236"/>
      <c r="G88" s="236"/>
      <c r="H88" s="236"/>
      <c r="I88" s="236"/>
      <c r="J88" s="236"/>
      <c r="K88" s="255"/>
      <c r="L88" s="255"/>
      <c r="M88" s="255"/>
      <c r="N88" s="255"/>
      <c r="O88" s="248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</row>
    <row r="89" spans="1:36" ht="18" customHeight="1">
      <c r="A89" s="51" t="s">
        <v>71</v>
      </c>
      <c r="B89" s="48">
        <v>0</v>
      </c>
      <c r="C89" s="48">
        <v>0</v>
      </c>
      <c r="D89" s="48">
        <f>B89</f>
        <v>0</v>
      </c>
      <c r="E89" s="48">
        <f>C89</f>
        <v>0</v>
      </c>
      <c r="F89" s="48">
        <v>0</v>
      </c>
      <c r="G89" s="48">
        <f>(B89+C89+F89)+(D89+E89)</f>
        <v>0</v>
      </c>
      <c r="H89" s="48">
        <v>0</v>
      </c>
      <c r="I89" s="48">
        <f>(K85+B89+C89+F89)-H89</f>
        <v>0</v>
      </c>
      <c r="J89" s="48">
        <f>(D89+E89)</f>
        <v>0</v>
      </c>
      <c r="K89" s="48">
        <f>(K85+G89)-H89</f>
        <v>0</v>
      </c>
      <c r="L89" s="48">
        <f>ROUND((I89*8/100)/12,0)</f>
        <v>0</v>
      </c>
      <c r="M89" s="48">
        <f>ROUND((J89*8/100)/12,0)</f>
        <v>0</v>
      </c>
      <c r="N89" s="48">
        <f>L89+M89</f>
        <v>0</v>
      </c>
      <c r="O89" s="252" t="s">
        <v>34</v>
      </c>
      <c r="Q89" s="1" t="s">
        <v>334</v>
      </c>
      <c r="R89" s="1" t="s">
        <v>334</v>
      </c>
      <c r="S89" s="1" t="s">
        <v>334</v>
      </c>
      <c r="T89" s="1" t="s">
        <v>334</v>
      </c>
      <c r="U89" s="30" t="s">
        <v>334</v>
      </c>
      <c r="V89" s="30" t="s">
        <v>334</v>
      </c>
      <c r="W89" s="30" t="s">
        <v>334</v>
      </c>
      <c r="X89" s="30" t="s">
        <v>334</v>
      </c>
      <c r="Y89" s="30" t="s">
        <v>334</v>
      </c>
      <c r="Z89" s="30" t="s">
        <v>334</v>
      </c>
      <c r="AA89" s="30" t="s">
        <v>334</v>
      </c>
      <c r="AB89" s="25">
        <v>39173</v>
      </c>
      <c r="AC89" s="25">
        <v>39202</v>
      </c>
      <c r="AD89" s="1" t="s">
        <v>334</v>
      </c>
    </row>
    <row r="90" spans="1:36" ht="18" customHeight="1">
      <c r="A90" s="42" t="s">
        <v>72</v>
      </c>
      <c r="B90" s="20">
        <v>0</v>
      </c>
      <c r="C90" s="20">
        <v>0</v>
      </c>
      <c r="D90" s="20">
        <f t="shared" ref="D90:E100" si="13">B90</f>
        <v>0</v>
      </c>
      <c r="E90" s="20">
        <f t="shared" si="13"/>
        <v>0</v>
      </c>
      <c r="F90" s="20">
        <v>0</v>
      </c>
      <c r="G90" s="20">
        <f t="shared" ref="G90:G100" si="14">(B90+C90+F90)+(D90+E90)</f>
        <v>0</v>
      </c>
      <c r="H90" s="20">
        <v>0</v>
      </c>
      <c r="I90" s="20">
        <f>(I89+B90+C90+F90)-H90</f>
        <v>0</v>
      </c>
      <c r="J90" s="20">
        <f>(J89+D90+E90)</f>
        <v>0</v>
      </c>
      <c r="K90" s="20">
        <f t="shared" ref="K90:K100" si="15">(K89+G90)-H90</f>
        <v>0</v>
      </c>
      <c r="L90" s="20">
        <f t="shared" ref="L90:M100" si="16">ROUND((I90*8/100)/12,0)</f>
        <v>0</v>
      </c>
      <c r="M90" s="20">
        <f t="shared" si="16"/>
        <v>0</v>
      </c>
      <c r="N90" s="20">
        <f t="shared" ref="N90:N100" si="17">L90+M90</f>
        <v>0</v>
      </c>
      <c r="O90" s="210"/>
      <c r="Q90" s="1" t="s">
        <v>334</v>
      </c>
      <c r="R90" s="1" t="s">
        <v>334</v>
      </c>
      <c r="S90" s="1" t="s">
        <v>334</v>
      </c>
      <c r="T90" s="1" t="s">
        <v>334</v>
      </c>
      <c r="U90" s="30" t="s">
        <v>334</v>
      </c>
      <c r="V90" s="30" t="s">
        <v>334</v>
      </c>
      <c r="W90" s="30" t="s">
        <v>334</v>
      </c>
      <c r="X90" s="30" t="s">
        <v>334</v>
      </c>
      <c r="Y90" s="30" t="s">
        <v>334</v>
      </c>
      <c r="Z90" s="30" t="s">
        <v>334</v>
      </c>
      <c r="AA90" s="30" t="s">
        <v>334</v>
      </c>
      <c r="AB90" s="25">
        <v>39203</v>
      </c>
      <c r="AC90" s="25">
        <v>39233</v>
      </c>
      <c r="AD90" s="1" t="s">
        <v>334</v>
      </c>
    </row>
    <row r="91" spans="1:36" ht="18" customHeight="1">
      <c r="A91" s="42" t="s">
        <v>73</v>
      </c>
      <c r="B91" s="20">
        <v>0</v>
      </c>
      <c r="C91" s="20">
        <f t="shared" ref="C91:C100" si="18">Y91</f>
        <v>702</v>
      </c>
      <c r="D91" s="20">
        <f t="shared" si="13"/>
        <v>0</v>
      </c>
      <c r="E91" s="20">
        <f t="shared" si="13"/>
        <v>702</v>
      </c>
      <c r="F91" s="20">
        <v>0</v>
      </c>
      <c r="G91" s="20">
        <f t="shared" si="14"/>
        <v>1404</v>
      </c>
      <c r="H91" s="20">
        <v>0</v>
      </c>
      <c r="I91" s="20">
        <f t="shared" ref="I91:I100" si="19">(I90+B91+C91+F91)-H91</f>
        <v>702</v>
      </c>
      <c r="J91" s="20">
        <f t="shared" ref="J91:J100" si="20">(J90+D91+E91)</f>
        <v>702</v>
      </c>
      <c r="K91" s="20">
        <f t="shared" si="15"/>
        <v>1404</v>
      </c>
      <c r="L91" s="20">
        <f t="shared" si="16"/>
        <v>5</v>
      </c>
      <c r="M91" s="20">
        <f t="shared" si="16"/>
        <v>5</v>
      </c>
      <c r="N91" s="20">
        <f t="shared" si="17"/>
        <v>10</v>
      </c>
      <c r="O91" s="210"/>
      <c r="Q91" s="24">
        <v>13</v>
      </c>
      <c r="R91" s="24">
        <v>49</v>
      </c>
      <c r="S91" s="24">
        <v>4517</v>
      </c>
      <c r="T91" s="25">
        <v>39284</v>
      </c>
      <c r="U91" s="33">
        <v>7020</v>
      </c>
      <c r="V91" s="33">
        <v>0</v>
      </c>
      <c r="W91" s="33">
        <v>0</v>
      </c>
      <c r="X91" s="33">
        <f>U91+V91+W91</f>
        <v>7020</v>
      </c>
      <c r="Y91" s="33">
        <f>ROUND(X91*10%,0)</f>
        <v>702</v>
      </c>
      <c r="Z91" s="33">
        <v>0</v>
      </c>
      <c r="AA91" s="34">
        <f>Z91-Y91</f>
        <v>-702</v>
      </c>
      <c r="AB91" s="25">
        <v>39173</v>
      </c>
      <c r="AC91" s="25">
        <v>39263</v>
      </c>
      <c r="AD91" s="24" t="s">
        <v>74</v>
      </c>
      <c r="AE91" s="24"/>
      <c r="AF91" s="25">
        <v>39173</v>
      </c>
      <c r="AG91" s="25">
        <v>39202</v>
      </c>
    </row>
    <row r="92" spans="1:36" ht="18" customHeight="1">
      <c r="A92" s="42" t="s">
        <v>75</v>
      </c>
      <c r="B92" s="20">
        <v>0</v>
      </c>
      <c r="C92" s="20">
        <f t="shared" si="18"/>
        <v>225</v>
      </c>
      <c r="D92" s="20">
        <f t="shared" si="13"/>
        <v>0</v>
      </c>
      <c r="E92" s="20">
        <f t="shared" si="13"/>
        <v>225</v>
      </c>
      <c r="F92" s="20">
        <v>0</v>
      </c>
      <c r="G92" s="20">
        <f t="shared" si="14"/>
        <v>450</v>
      </c>
      <c r="H92" s="20">
        <v>0</v>
      </c>
      <c r="I92" s="20">
        <f t="shared" si="19"/>
        <v>927</v>
      </c>
      <c r="J92" s="20">
        <f t="shared" si="20"/>
        <v>927</v>
      </c>
      <c r="K92" s="20">
        <f t="shared" si="15"/>
        <v>1854</v>
      </c>
      <c r="L92" s="20">
        <f t="shared" si="16"/>
        <v>6</v>
      </c>
      <c r="M92" s="20">
        <f t="shared" si="16"/>
        <v>6</v>
      </c>
      <c r="N92" s="20">
        <f t="shared" si="17"/>
        <v>12</v>
      </c>
      <c r="O92" s="210"/>
      <c r="Q92" s="1">
        <v>16</v>
      </c>
      <c r="R92" s="1">
        <v>59</v>
      </c>
      <c r="S92" s="1">
        <v>5448</v>
      </c>
      <c r="T92" s="22">
        <v>39304</v>
      </c>
      <c r="U92" s="30">
        <v>2250</v>
      </c>
      <c r="V92" s="30">
        <v>0</v>
      </c>
      <c r="W92" s="30">
        <v>0</v>
      </c>
      <c r="X92" s="30">
        <f>U92+V92+W92</f>
        <v>2250</v>
      </c>
      <c r="Y92" s="30">
        <f>ROUND(X92*10%,0)</f>
        <v>225</v>
      </c>
      <c r="Z92" s="30">
        <v>0</v>
      </c>
      <c r="AA92" s="32">
        <f t="shared" ref="AA92:AA100" si="21">Z92-Y92</f>
        <v>-225</v>
      </c>
      <c r="AB92" s="22">
        <v>39264</v>
      </c>
      <c r="AC92" s="22">
        <v>39294</v>
      </c>
      <c r="AD92" s="1" t="s">
        <v>74</v>
      </c>
      <c r="AF92" s="25">
        <v>39203</v>
      </c>
      <c r="AG92" s="25">
        <v>39233</v>
      </c>
    </row>
    <row r="93" spans="1:36" ht="18" customHeight="1">
      <c r="A93" s="42" t="s">
        <v>76</v>
      </c>
      <c r="B93" s="20">
        <v>0</v>
      </c>
      <c r="C93" s="20">
        <f t="shared" si="18"/>
        <v>225</v>
      </c>
      <c r="D93" s="20">
        <f t="shared" si="13"/>
        <v>0</v>
      </c>
      <c r="E93" s="20">
        <f t="shared" si="13"/>
        <v>225</v>
      </c>
      <c r="F93" s="20">
        <v>0</v>
      </c>
      <c r="G93" s="20">
        <f t="shared" si="14"/>
        <v>450</v>
      </c>
      <c r="H93" s="20">
        <v>0</v>
      </c>
      <c r="I93" s="20">
        <f t="shared" si="19"/>
        <v>1152</v>
      </c>
      <c r="J93" s="20">
        <f t="shared" si="20"/>
        <v>1152</v>
      </c>
      <c r="K93" s="20">
        <f t="shared" si="15"/>
        <v>2304</v>
      </c>
      <c r="L93" s="20">
        <f t="shared" si="16"/>
        <v>8</v>
      </c>
      <c r="M93" s="20">
        <f t="shared" si="16"/>
        <v>8</v>
      </c>
      <c r="N93" s="20">
        <f t="shared" si="17"/>
        <v>16</v>
      </c>
      <c r="O93" s="210"/>
      <c r="Q93" s="24"/>
      <c r="R93" s="24"/>
      <c r="S93" s="24"/>
      <c r="T93" s="25"/>
      <c r="U93" s="33">
        <v>2250</v>
      </c>
      <c r="V93" s="33"/>
      <c r="W93" s="33"/>
      <c r="X93" s="33">
        <f t="shared" ref="X93:X100" si="22">U93+V93+W93</f>
        <v>2250</v>
      </c>
      <c r="Y93" s="33">
        <f t="shared" ref="Y93:Y100" si="23">ROUND(X93*10%,0)</f>
        <v>225</v>
      </c>
      <c r="Z93" s="33"/>
      <c r="AA93" s="34">
        <f t="shared" si="21"/>
        <v>-225</v>
      </c>
      <c r="AB93" s="25">
        <v>39295</v>
      </c>
      <c r="AC93" s="25">
        <v>39325</v>
      </c>
      <c r="AD93" s="24" t="s">
        <v>74</v>
      </c>
      <c r="AF93" s="25">
        <v>39234</v>
      </c>
      <c r="AG93" s="25">
        <v>39263</v>
      </c>
    </row>
    <row r="94" spans="1:36" ht="18" customHeight="1">
      <c r="A94" s="42" t="s">
        <v>77</v>
      </c>
      <c r="B94" s="20">
        <v>0</v>
      </c>
      <c r="C94" s="20">
        <f t="shared" si="18"/>
        <v>225</v>
      </c>
      <c r="D94" s="20">
        <f t="shared" si="13"/>
        <v>0</v>
      </c>
      <c r="E94" s="20">
        <f t="shared" si="13"/>
        <v>225</v>
      </c>
      <c r="F94" s="20">
        <v>0</v>
      </c>
      <c r="G94" s="20">
        <f t="shared" si="14"/>
        <v>450</v>
      </c>
      <c r="H94" s="20">
        <v>0</v>
      </c>
      <c r="I94" s="20">
        <f t="shared" si="19"/>
        <v>1377</v>
      </c>
      <c r="J94" s="20">
        <f t="shared" si="20"/>
        <v>1377</v>
      </c>
      <c r="K94" s="20">
        <f t="shared" si="15"/>
        <v>2754</v>
      </c>
      <c r="L94" s="20">
        <f t="shared" si="16"/>
        <v>9</v>
      </c>
      <c r="M94" s="20">
        <f t="shared" si="16"/>
        <v>9</v>
      </c>
      <c r="N94" s="20">
        <f t="shared" si="17"/>
        <v>18</v>
      </c>
      <c r="O94" s="210"/>
      <c r="Q94" s="1">
        <v>23</v>
      </c>
      <c r="R94" s="1">
        <v>86</v>
      </c>
      <c r="S94" s="1">
        <v>8533</v>
      </c>
      <c r="T94" s="22">
        <v>39363</v>
      </c>
      <c r="U94" s="30">
        <v>2250</v>
      </c>
      <c r="V94" s="30">
        <v>0</v>
      </c>
      <c r="W94" s="30">
        <v>0</v>
      </c>
      <c r="X94" s="30">
        <f t="shared" si="22"/>
        <v>2250</v>
      </c>
      <c r="Y94" s="30">
        <f t="shared" si="23"/>
        <v>225</v>
      </c>
      <c r="Z94" s="30">
        <v>0</v>
      </c>
      <c r="AA94" s="32">
        <f t="shared" si="21"/>
        <v>-225</v>
      </c>
      <c r="AB94" s="22">
        <v>39326</v>
      </c>
      <c r="AC94" s="22">
        <v>39355</v>
      </c>
      <c r="AD94" s="1" t="s">
        <v>74</v>
      </c>
    </row>
    <row r="95" spans="1:36" ht="18" customHeight="1">
      <c r="A95" s="42" t="s">
        <v>78</v>
      </c>
      <c r="B95" s="20">
        <v>0</v>
      </c>
      <c r="C95" s="20">
        <f t="shared" si="18"/>
        <v>243</v>
      </c>
      <c r="D95" s="20">
        <f t="shared" si="13"/>
        <v>0</v>
      </c>
      <c r="E95" s="20">
        <f t="shared" si="13"/>
        <v>243</v>
      </c>
      <c r="F95" s="20">
        <v>0</v>
      </c>
      <c r="G95" s="20">
        <f t="shared" si="14"/>
        <v>486</v>
      </c>
      <c r="H95" s="20">
        <v>0</v>
      </c>
      <c r="I95" s="20">
        <f t="shared" si="19"/>
        <v>1620</v>
      </c>
      <c r="J95" s="20">
        <f t="shared" si="20"/>
        <v>1620</v>
      </c>
      <c r="K95" s="20">
        <f t="shared" si="15"/>
        <v>3240</v>
      </c>
      <c r="L95" s="20">
        <f t="shared" si="16"/>
        <v>11</v>
      </c>
      <c r="M95" s="20">
        <f t="shared" si="16"/>
        <v>11</v>
      </c>
      <c r="N95" s="20">
        <f t="shared" si="17"/>
        <v>22</v>
      </c>
      <c r="O95" s="210"/>
      <c r="Q95" s="24">
        <v>28</v>
      </c>
      <c r="R95" s="24">
        <v>106</v>
      </c>
      <c r="S95" s="24">
        <v>10444</v>
      </c>
      <c r="T95" s="25">
        <v>39392</v>
      </c>
      <c r="U95" s="33">
        <v>2430</v>
      </c>
      <c r="V95" s="33">
        <v>0</v>
      </c>
      <c r="W95" s="33">
        <v>0</v>
      </c>
      <c r="X95" s="33">
        <f t="shared" si="22"/>
        <v>2430</v>
      </c>
      <c r="Y95" s="33">
        <f t="shared" si="23"/>
        <v>243</v>
      </c>
      <c r="Z95" s="33">
        <v>0</v>
      </c>
      <c r="AA95" s="34">
        <f t="shared" si="21"/>
        <v>-243</v>
      </c>
      <c r="AB95" s="25">
        <v>39356</v>
      </c>
      <c r="AC95" s="25">
        <v>39386</v>
      </c>
      <c r="AD95" s="24" t="s">
        <v>74</v>
      </c>
    </row>
    <row r="96" spans="1:36" ht="18" customHeight="1">
      <c r="A96" s="42" t="s">
        <v>79</v>
      </c>
      <c r="B96" s="20">
        <v>0</v>
      </c>
      <c r="C96" s="20">
        <f t="shared" si="18"/>
        <v>234</v>
      </c>
      <c r="D96" s="20">
        <f t="shared" si="13"/>
        <v>0</v>
      </c>
      <c r="E96" s="20">
        <f t="shared" si="13"/>
        <v>234</v>
      </c>
      <c r="F96" s="20">
        <v>0</v>
      </c>
      <c r="G96" s="20">
        <f t="shared" si="14"/>
        <v>468</v>
      </c>
      <c r="H96" s="20">
        <v>0</v>
      </c>
      <c r="I96" s="20">
        <f t="shared" si="19"/>
        <v>1854</v>
      </c>
      <c r="J96" s="20">
        <f t="shared" si="20"/>
        <v>1854</v>
      </c>
      <c r="K96" s="20">
        <f t="shared" si="15"/>
        <v>3708</v>
      </c>
      <c r="L96" s="20">
        <f t="shared" si="16"/>
        <v>12</v>
      </c>
      <c r="M96" s="20">
        <f t="shared" si="16"/>
        <v>12</v>
      </c>
      <c r="N96" s="20">
        <f t="shared" si="17"/>
        <v>24</v>
      </c>
      <c r="O96" s="210"/>
      <c r="Q96" s="1">
        <v>33</v>
      </c>
      <c r="R96" s="1">
        <v>123</v>
      </c>
      <c r="S96" s="1">
        <v>12034</v>
      </c>
      <c r="T96" s="22">
        <v>39431</v>
      </c>
      <c r="U96" s="30">
        <v>2340</v>
      </c>
      <c r="V96" s="30">
        <v>0</v>
      </c>
      <c r="W96" s="30">
        <v>0</v>
      </c>
      <c r="X96" s="30">
        <f t="shared" si="22"/>
        <v>2340</v>
      </c>
      <c r="Y96" s="30">
        <f t="shared" si="23"/>
        <v>234</v>
      </c>
      <c r="Z96" s="30">
        <v>0</v>
      </c>
      <c r="AA96" s="32">
        <f t="shared" si="21"/>
        <v>-234</v>
      </c>
      <c r="AB96" s="22">
        <v>39387</v>
      </c>
      <c r="AC96" s="22">
        <v>39416</v>
      </c>
      <c r="AD96" s="1" t="s">
        <v>74</v>
      </c>
    </row>
    <row r="97" spans="1:30" ht="18" customHeight="1">
      <c r="A97" s="42" t="s">
        <v>80</v>
      </c>
      <c r="B97" s="20">
        <v>0</v>
      </c>
      <c r="C97" s="20">
        <f t="shared" si="18"/>
        <v>234</v>
      </c>
      <c r="D97" s="20">
        <f t="shared" si="13"/>
        <v>0</v>
      </c>
      <c r="E97" s="20">
        <f t="shared" si="13"/>
        <v>234</v>
      </c>
      <c r="F97" s="20">
        <v>0</v>
      </c>
      <c r="G97" s="20">
        <f t="shared" si="14"/>
        <v>468</v>
      </c>
      <c r="H97" s="20">
        <v>0</v>
      </c>
      <c r="I97" s="20">
        <f t="shared" si="19"/>
        <v>2088</v>
      </c>
      <c r="J97" s="20">
        <f t="shared" si="20"/>
        <v>2088</v>
      </c>
      <c r="K97" s="20">
        <f t="shared" si="15"/>
        <v>4176</v>
      </c>
      <c r="L97" s="20">
        <f t="shared" si="16"/>
        <v>14</v>
      </c>
      <c r="M97" s="20">
        <f t="shared" si="16"/>
        <v>14</v>
      </c>
      <c r="N97" s="20">
        <f t="shared" si="17"/>
        <v>28</v>
      </c>
      <c r="O97" s="210"/>
      <c r="Q97" s="1">
        <v>36</v>
      </c>
      <c r="R97" s="1">
        <v>133</v>
      </c>
      <c r="S97" s="1">
        <v>12927</v>
      </c>
      <c r="T97" s="22">
        <v>39454</v>
      </c>
      <c r="U97" s="30">
        <v>2340</v>
      </c>
      <c r="V97" s="30">
        <v>0</v>
      </c>
      <c r="W97" s="30">
        <v>0</v>
      </c>
      <c r="X97" s="30">
        <f t="shared" si="22"/>
        <v>2340</v>
      </c>
      <c r="Y97" s="30">
        <f t="shared" si="23"/>
        <v>234</v>
      </c>
      <c r="Z97" s="30">
        <v>0</v>
      </c>
      <c r="AA97" s="32">
        <f t="shared" si="21"/>
        <v>-234</v>
      </c>
      <c r="AB97" s="22">
        <v>39417</v>
      </c>
      <c r="AC97" s="22">
        <v>39447</v>
      </c>
      <c r="AD97" s="1" t="s">
        <v>74</v>
      </c>
    </row>
    <row r="98" spans="1:30" ht="18" customHeight="1">
      <c r="A98" s="42" t="s">
        <v>81</v>
      </c>
      <c r="B98" s="20">
        <v>0</v>
      </c>
      <c r="C98" s="20">
        <f t="shared" si="18"/>
        <v>225</v>
      </c>
      <c r="D98" s="20">
        <f t="shared" si="13"/>
        <v>0</v>
      </c>
      <c r="E98" s="20">
        <f t="shared" si="13"/>
        <v>225</v>
      </c>
      <c r="F98" s="20">
        <v>0</v>
      </c>
      <c r="G98" s="20">
        <f t="shared" si="14"/>
        <v>450</v>
      </c>
      <c r="H98" s="20">
        <v>0</v>
      </c>
      <c r="I98" s="20">
        <f t="shared" si="19"/>
        <v>2313</v>
      </c>
      <c r="J98" s="20">
        <f t="shared" si="20"/>
        <v>2313</v>
      </c>
      <c r="K98" s="20">
        <f t="shared" si="15"/>
        <v>4626</v>
      </c>
      <c r="L98" s="20">
        <f t="shared" si="16"/>
        <v>15</v>
      </c>
      <c r="M98" s="20">
        <f t="shared" si="16"/>
        <v>15</v>
      </c>
      <c r="N98" s="20">
        <f t="shared" si="17"/>
        <v>30</v>
      </c>
      <c r="O98" s="210"/>
      <c r="Q98" s="24"/>
      <c r="R98" s="24"/>
      <c r="S98" s="24"/>
      <c r="T98" s="24"/>
      <c r="U98" s="33">
        <v>2250</v>
      </c>
      <c r="V98" s="33"/>
      <c r="W98" s="33"/>
      <c r="X98" s="33">
        <f t="shared" si="22"/>
        <v>2250</v>
      </c>
      <c r="Y98" s="33">
        <f t="shared" si="23"/>
        <v>225</v>
      </c>
      <c r="Z98" s="33"/>
      <c r="AA98" s="34">
        <f t="shared" si="21"/>
        <v>-225</v>
      </c>
      <c r="AB98" s="25">
        <v>39448</v>
      </c>
      <c r="AC98" s="25">
        <v>39478</v>
      </c>
      <c r="AD98" s="24" t="s">
        <v>74</v>
      </c>
    </row>
    <row r="99" spans="1:30" ht="18" customHeight="1">
      <c r="A99" s="42" t="s">
        <v>82</v>
      </c>
      <c r="B99" s="20">
        <v>0</v>
      </c>
      <c r="C99" s="20">
        <f t="shared" si="18"/>
        <v>225</v>
      </c>
      <c r="D99" s="20">
        <f t="shared" si="13"/>
        <v>0</v>
      </c>
      <c r="E99" s="20">
        <f t="shared" si="13"/>
        <v>225</v>
      </c>
      <c r="F99" s="20">
        <v>0</v>
      </c>
      <c r="G99" s="20">
        <f t="shared" si="14"/>
        <v>450</v>
      </c>
      <c r="H99" s="20">
        <v>0</v>
      </c>
      <c r="I99" s="20">
        <f t="shared" si="19"/>
        <v>2538</v>
      </c>
      <c r="J99" s="20">
        <f t="shared" si="20"/>
        <v>2538</v>
      </c>
      <c r="K99" s="20">
        <f t="shared" si="15"/>
        <v>5076</v>
      </c>
      <c r="L99" s="20">
        <f t="shared" si="16"/>
        <v>17</v>
      </c>
      <c r="M99" s="20">
        <f t="shared" si="16"/>
        <v>17</v>
      </c>
      <c r="N99" s="20">
        <f t="shared" si="17"/>
        <v>34</v>
      </c>
      <c r="O99" s="210"/>
      <c r="Q99" s="1">
        <v>43</v>
      </c>
      <c r="R99" s="1">
        <v>157</v>
      </c>
      <c r="S99" s="1">
        <v>15705</v>
      </c>
      <c r="T99" s="22">
        <v>39521</v>
      </c>
      <c r="U99" s="30">
        <v>2250</v>
      </c>
      <c r="V99" s="30">
        <v>0</v>
      </c>
      <c r="W99" s="30">
        <v>0</v>
      </c>
      <c r="X99" s="30">
        <f t="shared" si="22"/>
        <v>2250</v>
      </c>
      <c r="Y99" s="30">
        <f t="shared" si="23"/>
        <v>225</v>
      </c>
      <c r="Z99" s="30">
        <v>0</v>
      </c>
      <c r="AA99" s="32">
        <f t="shared" si="21"/>
        <v>-225</v>
      </c>
      <c r="AB99" s="22">
        <v>39479</v>
      </c>
      <c r="AC99" s="22">
        <v>39506</v>
      </c>
      <c r="AD99" s="1" t="s">
        <v>74</v>
      </c>
    </row>
    <row r="100" spans="1:30" ht="18" customHeight="1" thickBot="1">
      <c r="A100" s="50" t="s">
        <v>83</v>
      </c>
      <c r="B100" s="47">
        <v>0</v>
      </c>
      <c r="C100" s="47">
        <f t="shared" si="18"/>
        <v>225</v>
      </c>
      <c r="D100" s="47">
        <f t="shared" si="13"/>
        <v>0</v>
      </c>
      <c r="E100" s="47">
        <f t="shared" si="13"/>
        <v>225</v>
      </c>
      <c r="F100" s="47">
        <v>0</v>
      </c>
      <c r="G100" s="47">
        <f t="shared" si="14"/>
        <v>450</v>
      </c>
      <c r="H100" s="47">
        <v>0</v>
      </c>
      <c r="I100" s="47">
        <f t="shared" si="19"/>
        <v>2763</v>
      </c>
      <c r="J100" s="47">
        <f t="shared" si="20"/>
        <v>2763</v>
      </c>
      <c r="K100" s="47">
        <f t="shared" si="15"/>
        <v>5526</v>
      </c>
      <c r="L100" s="47">
        <f t="shared" si="16"/>
        <v>18</v>
      </c>
      <c r="M100" s="47">
        <f t="shared" si="16"/>
        <v>18</v>
      </c>
      <c r="N100" s="47">
        <f t="shared" si="17"/>
        <v>36</v>
      </c>
      <c r="O100" s="253"/>
      <c r="Q100" s="24"/>
      <c r="R100" s="24"/>
      <c r="S100" s="24"/>
      <c r="T100" s="25"/>
      <c r="U100" s="33">
        <v>2250</v>
      </c>
      <c r="V100" s="33"/>
      <c r="W100" s="33"/>
      <c r="X100" s="33">
        <f t="shared" si="22"/>
        <v>2250</v>
      </c>
      <c r="Y100" s="33">
        <f t="shared" si="23"/>
        <v>225</v>
      </c>
      <c r="Z100" s="33"/>
      <c r="AA100" s="34">
        <f t="shared" si="21"/>
        <v>-225</v>
      </c>
      <c r="AB100" s="25">
        <v>39508</v>
      </c>
      <c r="AC100" s="25">
        <v>39538</v>
      </c>
      <c r="AD100" s="24" t="s">
        <v>74</v>
      </c>
    </row>
    <row r="101" spans="1:30" ht="18" customHeight="1" thickBot="1">
      <c r="A101" s="55" t="s">
        <v>84</v>
      </c>
      <c r="B101" s="54">
        <f t="shared" ref="B101:H101" si="24">SUM(B89:B100)</f>
        <v>0</v>
      </c>
      <c r="C101" s="54">
        <f t="shared" si="24"/>
        <v>2763</v>
      </c>
      <c r="D101" s="54">
        <f t="shared" si="24"/>
        <v>0</v>
      </c>
      <c r="E101" s="54">
        <f t="shared" si="24"/>
        <v>2763</v>
      </c>
      <c r="F101" s="54">
        <f t="shared" si="24"/>
        <v>0</v>
      </c>
      <c r="G101" s="54">
        <f t="shared" si="24"/>
        <v>5526</v>
      </c>
      <c r="H101" s="54">
        <f t="shared" si="24"/>
        <v>0</v>
      </c>
      <c r="I101" s="54">
        <f>SUM(I89:I100)</f>
        <v>17334</v>
      </c>
      <c r="J101" s="54">
        <f>SUM(J89:J100)</f>
        <v>17334</v>
      </c>
      <c r="K101" s="54">
        <f>SUM(K89:K100)</f>
        <v>34668</v>
      </c>
      <c r="L101" s="54">
        <f t="shared" ref="L101:N101" si="25">SUM(L89:L100)</f>
        <v>115</v>
      </c>
      <c r="M101" s="54">
        <f t="shared" si="25"/>
        <v>115</v>
      </c>
      <c r="N101" s="57">
        <f t="shared" si="25"/>
        <v>230</v>
      </c>
      <c r="O101" s="56"/>
      <c r="U101" s="31">
        <f t="shared" ref="U101:AA101" si="26">SUM(U89:U100)</f>
        <v>27630</v>
      </c>
      <c r="V101" s="31">
        <f t="shared" si="26"/>
        <v>0</v>
      </c>
      <c r="W101" s="31">
        <f t="shared" si="26"/>
        <v>0</v>
      </c>
      <c r="X101" s="31">
        <f t="shared" si="26"/>
        <v>27630</v>
      </c>
      <c r="Y101" s="31">
        <f t="shared" si="26"/>
        <v>2763</v>
      </c>
      <c r="Z101" s="31">
        <f t="shared" si="26"/>
        <v>0</v>
      </c>
      <c r="AA101" s="31">
        <f t="shared" si="26"/>
        <v>-2763</v>
      </c>
    </row>
    <row r="102" spans="1:30" ht="15" thickBo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6"/>
      <c r="L102" s="6"/>
      <c r="M102" s="6"/>
      <c r="N102" s="6"/>
    </row>
    <row r="103" spans="1:30" ht="18" customHeight="1" thickBot="1">
      <c r="A103" s="5"/>
      <c r="B103" s="6"/>
      <c r="C103" s="6"/>
      <c r="D103" s="6"/>
      <c r="E103" s="5"/>
      <c r="F103" s="53">
        <v>1</v>
      </c>
      <c r="G103" s="212" t="s">
        <v>47</v>
      </c>
      <c r="H103" s="212"/>
      <c r="I103" s="212"/>
      <c r="J103" s="212"/>
      <c r="K103" s="213"/>
      <c r="L103" s="54">
        <f>K85</f>
        <v>0</v>
      </c>
      <c r="M103" s="2"/>
      <c r="O103" s="1"/>
      <c r="S103" s="30"/>
      <c r="T103" s="30"/>
      <c r="Z103" s="1"/>
      <c r="AA103" s="1"/>
    </row>
    <row r="104" spans="1:30" ht="18" customHeight="1" thickBot="1">
      <c r="A104" s="5"/>
      <c r="B104" s="5"/>
      <c r="C104" s="5"/>
      <c r="D104" s="5"/>
      <c r="E104" s="5"/>
      <c r="F104" s="53">
        <v>2</v>
      </c>
      <c r="G104" s="212" t="s">
        <v>344</v>
      </c>
      <c r="H104" s="212"/>
      <c r="I104" s="212"/>
      <c r="J104" s="212"/>
      <c r="K104" s="213"/>
      <c r="L104" s="54">
        <f>B101+C101</f>
        <v>2763</v>
      </c>
      <c r="M104" s="2"/>
      <c r="O104" s="1"/>
      <c r="S104" s="30"/>
      <c r="T104" s="30"/>
      <c r="Z104" s="1"/>
      <c r="AA104" s="1"/>
    </row>
    <row r="105" spans="1:30" ht="18" customHeight="1" thickBot="1">
      <c r="A105" s="5"/>
      <c r="B105" s="5"/>
      <c r="C105" s="5"/>
      <c r="D105" s="5"/>
      <c r="E105" s="5"/>
      <c r="F105" s="53">
        <v>3</v>
      </c>
      <c r="G105" s="212" t="s">
        <v>352</v>
      </c>
      <c r="H105" s="212"/>
      <c r="I105" s="212"/>
      <c r="J105" s="212"/>
      <c r="K105" s="213"/>
      <c r="L105" s="54">
        <f>F101</f>
        <v>0</v>
      </c>
      <c r="M105" s="2"/>
      <c r="O105" s="1"/>
      <c r="S105" s="30"/>
      <c r="T105" s="30"/>
      <c r="Z105" s="1"/>
      <c r="AA105" s="1"/>
    </row>
    <row r="106" spans="1:30" ht="18" customHeight="1" thickBot="1">
      <c r="A106" s="5"/>
      <c r="B106" s="5"/>
      <c r="C106" s="5"/>
      <c r="D106" s="5"/>
      <c r="E106" s="5"/>
      <c r="F106" s="53">
        <v>4</v>
      </c>
      <c r="G106" s="212" t="s">
        <v>346</v>
      </c>
      <c r="H106" s="212"/>
      <c r="I106" s="212"/>
      <c r="J106" s="212"/>
      <c r="K106" s="213"/>
      <c r="L106" s="54">
        <f>L104+L105</f>
        <v>2763</v>
      </c>
      <c r="M106" s="2"/>
      <c r="O106" s="1"/>
      <c r="S106" s="30"/>
      <c r="T106" s="30"/>
      <c r="Z106" s="1"/>
      <c r="AA106" s="1"/>
    </row>
    <row r="107" spans="1:30" ht="18" customHeight="1" thickBot="1">
      <c r="A107" s="5"/>
      <c r="B107" s="5"/>
      <c r="C107" s="5"/>
      <c r="D107" s="5"/>
      <c r="E107" s="5"/>
      <c r="F107" s="53">
        <v>5</v>
      </c>
      <c r="G107" s="212" t="s">
        <v>349</v>
      </c>
      <c r="H107" s="212"/>
      <c r="I107" s="212"/>
      <c r="J107" s="212"/>
      <c r="K107" s="213"/>
      <c r="L107" s="54">
        <f>D101+E101</f>
        <v>2763</v>
      </c>
      <c r="M107" s="2"/>
      <c r="O107" s="1"/>
      <c r="S107" s="30"/>
      <c r="T107" s="30"/>
      <c r="Z107" s="1"/>
      <c r="AA107" s="1"/>
    </row>
    <row r="108" spans="1:30" ht="18" customHeight="1" thickBot="1">
      <c r="A108" s="5"/>
      <c r="B108" s="5"/>
      <c r="C108" s="5"/>
      <c r="D108" s="5"/>
      <c r="E108" s="5"/>
      <c r="F108" s="53">
        <v>6</v>
      </c>
      <c r="G108" s="212" t="s">
        <v>347</v>
      </c>
      <c r="H108" s="212"/>
      <c r="I108" s="212"/>
      <c r="J108" s="212"/>
      <c r="K108" s="213"/>
      <c r="L108" s="54">
        <f>L103+L106+L107</f>
        <v>5526</v>
      </c>
      <c r="M108" s="2"/>
      <c r="O108" s="1"/>
      <c r="S108" s="30"/>
      <c r="T108" s="30"/>
      <c r="Z108" s="1"/>
      <c r="AA108" s="1"/>
    </row>
    <row r="109" spans="1:30" ht="18" customHeight="1" thickBot="1">
      <c r="A109" s="5"/>
      <c r="B109" s="5"/>
      <c r="C109" s="5"/>
      <c r="D109" s="5"/>
      <c r="E109" s="5"/>
      <c r="F109" s="53">
        <v>7</v>
      </c>
      <c r="G109" s="212" t="s">
        <v>50</v>
      </c>
      <c r="H109" s="212"/>
      <c r="I109" s="212"/>
      <c r="J109" s="212"/>
      <c r="K109" s="213"/>
      <c r="L109" s="54">
        <f>H101</f>
        <v>0</v>
      </c>
      <c r="M109" s="2"/>
      <c r="O109" s="1"/>
      <c r="S109" s="30"/>
      <c r="T109" s="30"/>
      <c r="Z109" s="1"/>
      <c r="AA109" s="1"/>
    </row>
    <row r="110" spans="1:30" ht="18" customHeight="1" thickBot="1">
      <c r="A110" s="5"/>
      <c r="B110" s="5"/>
      <c r="C110" s="5"/>
      <c r="D110" s="5"/>
      <c r="E110" s="5"/>
      <c r="F110" s="53">
        <v>8</v>
      </c>
      <c r="G110" s="212" t="s">
        <v>340</v>
      </c>
      <c r="H110" s="212"/>
      <c r="I110" s="212"/>
      <c r="J110" s="212"/>
      <c r="K110" s="213"/>
      <c r="L110" s="54">
        <f>L101</f>
        <v>115</v>
      </c>
      <c r="M110" s="2"/>
      <c r="O110" s="1"/>
      <c r="S110" s="30"/>
      <c r="T110" s="30"/>
      <c r="Z110" s="1"/>
      <c r="AA110" s="1"/>
    </row>
    <row r="111" spans="1:30" ht="18" customHeight="1" thickBot="1">
      <c r="A111" s="5"/>
      <c r="B111" s="5"/>
      <c r="C111" s="5"/>
      <c r="D111" s="5"/>
      <c r="E111" s="5"/>
      <c r="F111" s="53">
        <v>9</v>
      </c>
      <c r="G111" s="212" t="s">
        <v>355</v>
      </c>
      <c r="H111" s="212"/>
      <c r="I111" s="212"/>
      <c r="J111" s="212"/>
      <c r="K111" s="213"/>
      <c r="L111" s="54">
        <f>M101</f>
        <v>115</v>
      </c>
      <c r="M111" s="2"/>
      <c r="O111" s="1"/>
      <c r="S111" s="30"/>
      <c r="T111" s="30"/>
      <c r="Z111" s="1"/>
      <c r="AA111" s="1"/>
    </row>
    <row r="112" spans="1:30" ht="18" customHeight="1" thickBot="1">
      <c r="A112" s="5"/>
      <c r="B112" s="5"/>
      <c r="C112" s="5"/>
      <c r="D112" s="5"/>
      <c r="E112" s="5"/>
      <c r="F112" s="53">
        <v>10</v>
      </c>
      <c r="G112" s="212" t="s">
        <v>348</v>
      </c>
      <c r="H112" s="212"/>
      <c r="I112" s="212"/>
      <c r="J112" s="212"/>
      <c r="K112" s="213"/>
      <c r="L112" s="54">
        <f>N101</f>
        <v>230</v>
      </c>
      <c r="M112" s="2"/>
      <c r="O112" s="1"/>
      <c r="S112" s="30"/>
      <c r="T112" s="30"/>
      <c r="Z112" s="1"/>
      <c r="AA112" s="1"/>
    </row>
    <row r="113" spans="1:27" ht="18" customHeight="1" thickBot="1">
      <c r="A113" s="5"/>
      <c r="B113" s="5"/>
      <c r="C113" s="5"/>
      <c r="D113" s="5"/>
      <c r="E113" s="5"/>
      <c r="F113" s="53">
        <v>11</v>
      </c>
      <c r="G113" s="212" t="s">
        <v>357</v>
      </c>
      <c r="H113" s="212"/>
      <c r="I113" s="212"/>
      <c r="J113" s="212"/>
      <c r="K113" s="213"/>
      <c r="L113" s="54">
        <f>L108-L109+L112</f>
        <v>5756</v>
      </c>
      <c r="M113" s="2"/>
      <c r="O113" s="1"/>
      <c r="S113" s="30"/>
      <c r="T113" s="30"/>
      <c r="Z113" s="1"/>
      <c r="AA113" s="1"/>
    </row>
    <row r="114" spans="1:27">
      <c r="A114" s="5"/>
      <c r="B114" s="5"/>
      <c r="C114" s="5"/>
      <c r="D114" s="5"/>
      <c r="E114" s="5"/>
      <c r="F114" s="5"/>
      <c r="G114" s="17"/>
      <c r="H114" s="17"/>
      <c r="I114" s="17"/>
      <c r="J114" s="17"/>
      <c r="K114" s="17"/>
      <c r="L114" s="17"/>
      <c r="M114" s="17"/>
      <c r="N114" s="6"/>
    </row>
    <row r="115" spans="1:27"/>
    <row r="116" spans="1:27"/>
    <row r="117" spans="1:27" ht="16.8">
      <c r="A117" s="249" t="s">
        <v>53</v>
      </c>
      <c r="B117" s="249"/>
      <c r="C117" s="18"/>
      <c r="D117" s="18"/>
      <c r="E117" s="249" t="s">
        <v>54</v>
      </c>
      <c r="F117" s="249"/>
      <c r="G117" s="249"/>
      <c r="H117" s="250" t="s">
        <v>55</v>
      </c>
      <c r="I117" s="250"/>
      <c r="J117" s="250"/>
      <c r="K117" s="250"/>
      <c r="L117" s="250"/>
      <c r="M117" s="250"/>
      <c r="N117" s="250"/>
    </row>
    <row r="118" spans="1:27"/>
    <row r="119" spans="1:27"/>
    <row r="120" spans="1:27" ht="18.600000000000001">
      <c r="A120" s="224" t="s">
        <v>0</v>
      </c>
      <c r="B120" s="224"/>
      <c r="C120" s="224"/>
      <c r="D120" s="224"/>
      <c r="E120" s="224"/>
      <c r="F120" s="224"/>
      <c r="G120" s="224"/>
      <c r="H120" s="224"/>
      <c r="I120" s="224"/>
      <c r="J120" s="224"/>
      <c r="K120" s="224"/>
      <c r="L120" s="224"/>
      <c r="M120" s="224"/>
      <c r="N120" s="224"/>
      <c r="O120" s="224"/>
      <c r="P120" s="23"/>
    </row>
    <row r="121" spans="1:27" ht="18.600000000000001">
      <c r="A121" s="224" t="s">
        <v>1</v>
      </c>
      <c r="B121" s="224"/>
      <c r="C121" s="224"/>
      <c r="D121" s="224"/>
      <c r="E121" s="224"/>
      <c r="F121" s="224"/>
      <c r="G121" s="224"/>
      <c r="H121" s="224"/>
      <c r="I121" s="224"/>
      <c r="J121" s="224"/>
      <c r="K121" s="224"/>
      <c r="L121" s="224"/>
      <c r="M121" s="224"/>
      <c r="N121" s="224"/>
      <c r="O121" s="224"/>
      <c r="P121" s="23"/>
    </row>
    <row r="122" spans="1:27"/>
    <row r="123" spans="1:27" ht="15" thickBot="1">
      <c r="A123" s="258" t="s">
        <v>85</v>
      </c>
      <c r="B123" s="258"/>
      <c r="C123" s="258"/>
      <c r="D123" s="258"/>
      <c r="E123" s="258"/>
      <c r="F123" s="258"/>
      <c r="G123" s="258"/>
      <c r="H123" s="258"/>
      <c r="I123" s="258"/>
      <c r="J123" s="258"/>
      <c r="K123" s="258"/>
      <c r="L123" s="258"/>
      <c r="M123" s="258"/>
      <c r="N123" s="258"/>
    </row>
    <row r="124" spans="1:27" ht="36" customHeight="1" thickBot="1">
      <c r="A124" s="55" t="s">
        <v>3</v>
      </c>
      <c r="B124" s="53">
        <f>B81</f>
        <v>9255</v>
      </c>
      <c r="C124" s="5"/>
      <c r="D124" s="5"/>
      <c r="E124" s="211" t="s">
        <v>4</v>
      </c>
      <c r="F124" s="213" t="str">
        <f>H81</f>
        <v>Mahajan Ganesh Trambak</v>
      </c>
      <c r="G124" s="5"/>
      <c r="H124" s="211" t="str">
        <f>H81</f>
        <v>Mahajan Ganesh Trambak</v>
      </c>
      <c r="I124" s="212"/>
      <c r="J124" s="212"/>
      <c r="K124" s="212"/>
      <c r="L124" s="212"/>
      <c r="M124" s="212"/>
      <c r="N124" s="212"/>
      <c r="O124" s="213"/>
    </row>
    <row r="125" spans="1:27" ht="15" thickBot="1">
      <c r="A125" s="5"/>
      <c r="E125" s="5"/>
      <c r="F125" s="5"/>
      <c r="G125" s="5"/>
      <c r="H125" s="5"/>
      <c r="I125" s="5"/>
      <c r="J125" s="5"/>
      <c r="K125" s="6"/>
      <c r="L125" s="6"/>
      <c r="M125" s="6"/>
      <c r="N125" s="5"/>
    </row>
    <row r="126" spans="1:27" ht="36" customHeight="1" thickBot="1">
      <c r="A126" s="55" t="s">
        <v>6</v>
      </c>
      <c r="B126" s="55" t="str">
        <f>B83</f>
        <v>06.06.2007</v>
      </c>
      <c r="C126" s="5"/>
      <c r="D126" s="5"/>
      <c r="E126" s="55" t="s">
        <v>7</v>
      </c>
      <c r="F126" s="55">
        <f>F83</f>
        <v>2301</v>
      </c>
      <c r="G126" s="5"/>
      <c r="H126" s="55" t="s">
        <v>8</v>
      </c>
      <c r="I126" s="211" t="str">
        <f>I83</f>
        <v>Asst. Jr. Engineer</v>
      </c>
      <c r="J126" s="212"/>
      <c r="K126" s="212" t="str">
        <f>I83</f>
        <v>Asst. Jr. Engineer</v>
      </c>
      <c r="L126" s="212"/>
      <c r="M126" s="212"/>
      <c r="N126" s="212"/>
      <c r="O126" s="213"/>
    </row>
    <row r="127" spans="1:27" ht="15" thickBo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6"/>
      <c r="L127" s="6"/>
      <c r="M127" s="6"/>
      <c r="N127" s="5"/>
    </row>
    <row r="128" spans="1:27" ht="24" customHeight="1" thickBot="1">
      <c r="A128" s="55" t="s">
        <v>10</v>
      </c>
      <c r="B128" s="58">
        <v>0.08</v>
      </c>
      <c r="C128" s="5"/>
      <c r="D128" s="5"/>
      <c r="E128" s="55" t="s">
        <v>11</v>
      </c>
      <c r="F128" s="58">
        <v>0</v>
      </c>
      <c r="G128" s="5"/>
      <c r="H128" s="239" t="s">
        <v>12</v>
      </c>
      <c r="I128" s="240"/>
      <c r="J128" s="241"/>
      <c r="K128" s="242">
        <f>L113</f>
        <v>5756</v>
      </c>
      <c r="L128" s="243"/>
      <c r="M128" s="243"/>
      <c r="N128" s="243"/>
      <c r="O128" s="244"/>
    </row>
    <row r="129" spans="1:30" ht="15" thickBo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6"/>
      <c r="L129" s="6"/>
      <c r="M129" s="6"/>
      <c r="N129" s="5"/>
    </row>
    <row r="130" spans="1:30" ht="39.9" customHeight="1" thickBot="1">
      <c r="A130" s="235" t="s">
        <v>13</v>
      </c>
      <c r="B130" s="256" t="s">
        <v>14</v>
      </c>
      <c r="C130" s="257"/>
      <c r="D130" s="256" t="s">
        <v>349</v>
      </c>
      <c r="E130" s="257"/>
      <c r="F130" s="235" t="s">
        <v>342</v>
      </c>
      <c r="G130" s="235" t="s">
        <v>16</v>
      </c>
      <c r="H130" s="235" t="s">
        <v>17</v>
      </c>
      <c r="I130" s="235" t="s">
        <v>341</v>
      </c>
      <c r="J130" s="235" t="s">
        <v>354</v>
      </c>
      <c r="K130" s="254" t="s">
        <v>353</v>
      </c>
      <c r="L130" s="254" t="s">
        <v>340</v>
      </c>
      <c r="M130" s="254" t="s">
        <v>355</v>
      </c>
      <c r="N130" s="254" t="s">
        <v>343</v>
      </c>
      <c r="O130" s="247" t="s">
        <v>20</v>
      </c>
      <c r="Q130" s="12" t="s">
        <v>27</v>
      </c>
      <c r="R130" s="12" t="s">
        <v>28</v>
      </c>
      <c r="S130" s="12" t="s">
        <v>29</v>
      </c>
      <c r="T130" s="12" t="s">
        <v>30</v>
      </c>
      <c r="U130" s="12" t="s">
        <v>21</v>
      </c>
      <c r="V130" s="12" t="s">
        <v>22</v>
      </c>
      <c r="W130" s="12" t="s">
        <v>23</v>
      </c>
      <c r="X130" s="12" t="s">
        <v>24</v>
      </c>
      <c r="Y130" s="12" t="s">
        <v>356</v>
      </c>
      <c r="Z130" s="12" t="s">
        <v>336</v>
      </c>
      <c r="AA130" s="12" t="s">
        <v>26</v>
      </c>
      <c r="AB130" s="12" t="s">
        <v>31</v>
      </c>
      <c r="AC130" s="12" t="s">
        <v>32</v>
      </c>
      <c r="AD130" s="12" t="s">
        <v>333</v>
      </c>
    </row>
    <row r="131" spans="1:30" ht="39.9" customHeight="1" thickBot="1">
      <c r="A131" s="236"/>
      <c r="B131" s="55" t="s">
        <v>350</v>
      </c>
      <c r="C131" s="55" t="s">
        <v>351</v>
      </c>
      <c r="D131" s="55" t="s">
        <v>350</v>
      </c>
      <c r="E131" s="55" t="s">
        <v>351</v>
      </c>
      <c r="F131" s="236"/>
      <c r="G131" s="236"/>
      <c r="H131" s="236"/>
      <c r="I131" s="236"/>
      <c r="J131" s="236"/>
      <c r="K131" s="255"/>
      <c r="L131" s="255"/>
      <c r="M131" s="255"/>
      <c r="N131" s="255"/>
      <c r="O131" s="248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</row>
    <row r="132" spans="1:30" ht="18" customHeight="1">
      <c r="A132" s="42" t="s">
        <v>86</v>
      </c>
      <c r="B132" s="20">
        <v>0</v>
      </c>
      <c r="C132" s="20">
        <f t="shared" ref="C132:C142" si="27">Y132</f>
        <v>0</v>
      </c>
      <c r="D132" s="20">
        <f>B132</f>
        <v>0</v>
      </c>
      <c r="E132" s="20">
        <f>C132</f>
        <v>0</v>
      </c>
      <c r="F132" s="20">
        <v>0</v>
      </c>
      <c r="G132" s="20">
        <f t="shared" ref="G132:G143" si="28">(B132+C132+F132)+(D132+E132)</f>
        <v>0</v>
      </c>
      <c r="H132" s="20">
        <v>0</v>
      </c>
      <c r="I132" s="20">
        <f>(K128+B132+C132+F132)-H132</f>
        <v>5756</v>
      </c>
      <c r="J132" s="20">
        <f>(D132+E132)</f>
        <v>0</v>
      </c>
      <c r="K132" s="20">
        <f>(K128+G132)-H132</f>
        <v>5756</v>
      </c>
      <c r="L132" s="20">
        <f>ROUND((I132*8/100)/12,0)</f>
        <v>38</v>
      </c>
      <c r="M132" s="20">
        <f>ROUND((J132*8/100)/12,0)</f>
        <v>0</v>
      </c>
      <c r="N132" s="20">
        <f>L132+M132</f>
        <v>38</v>
      </c>
      <c r="O132" s="253" t="s">
        <v>34</v>
      </c>
      <c r="Q132" s="24"/>
      <c r="R132" s="24"/>
      <c r="S132" s="24"/>
      <c r="T132" s="24"/>
      <c r="U132" s="33"/>
      <c r="V132" s="33"/>
      <c r="W132" s="33"/>
      <c r="X132" s="33">
        <f t="shared" ref="X132:X143" si="29">U132+V132+W132</f>
        <v>0</v>
      </c>
      <c r="Y132" s="33">
        <f t="shared" ref="Y132:Y143" si="30">ROUND(X132*10%,0)</f>
        <v>0</v>
      </c>
      <c r="Z132" s="33"/>
      <c r="AA132" s="34">
        <f t="shared" ref="AA132:AA143" si="31">Z132-Y132</f>
        <v>0</v>
      </c>
      <c r="AB132" s="25">
        <v>39539</v>
      </c>
      <c r="AC132" s="25">
        <v>39568</v>
      </c>
      <c r="AD132" s="24" t="s">
        <v>74</v>
      </c>
    </row>
    <row r="133" spans="1:30" ht="18" customHeight="1">
      <c r="A133" s="42" t="s">
        <v>87</v>
      </c>
      <c r="B133" s="20">
        <v>0</v>
      </c>
      <c r="C133" s="20">
        <f t="shared" si="27"/>
        <v>607</v>
      </c>
      <c r="D133" s="20">
        <f t="shared" ref="D133:E143" si="32">B133</f>
        <v>0</v>
      </c>
      <c r="E133" s="20">
        <f t="shared" si="32"/>
        <v>607</v>
      </c>
      <c r="F133" s="20">
        <v>0</v>
      </c>
      <c r="G133" s="20">
        <f t="shared" si="28"/>
        <v>1214</v>
      </c>
      <c r="H133" s="20">
        <v>0</v>
      </c>
      <c r="I133" s="20">
        <f>(I132+B133+C133+F133)-H133</f>
        <v>6363</v>
      </c>
      <c r="J133" s="20">
        <f>(J132+D133+E133)</f>
        <v>607</v>
      </c>
      <c r="K133" s="20">
        <f t="shared" ref="K133:K143" si="33">(K132+G133)-H133</f>
        <v>6970</v>
      </c>
      <c r="L133" s="20">
        <f t="shared" ref="L133:M143" si="34">ROUND((I133*8/100)/12,0)</f>
        <v>42</v>
      </c>
      <c r="M133" s="20">
        <f t="shared" si="34"/>
        <v>4</v>
      </c>
      <c r="N133" s="20">
        <f t="shared" ref="N133:N143" si="35">L133+M133</f>
        <v>46</v>
      </c>
      <c r="O133" s="260"/>
      <c r="Q133" s="24">
        <v>11</v>
      </c>
      <c r="R133" s="24">
        <v>42</v>
      </c>
      <c r="S133" s="24">
        <v>3889</v>
      </c>
      <c r="T133" s="25">
        <v>39618</v>
      </c>
      <c r="U133" s="33">
        <v>6067</v>
      </c>
      <c r="V133" s="33">
        <v>0</v>
      </c>
      <c r="W133" s="33">
        <v>0</v>
      </c>
      <c r="X133" s="33">
        <f t="shared" si="29"/>
        <v>6067</v>
      </c>
      <c r="Y133" s="33">
        <f t="shared" si="30"/>
        <v>607</v>
      </c>
      <c r="Z133" s="33">
        <v>0</v>
      </c>
      <c r="AA133" s="34">
        <f t="shared" si="31"/>
        <v>-607</v>
      </c>
      <c r="AB133" s="25">
        <v>39569</v>
      </c>
      <c r="AC133" s="25">
        <v>39599</v>
      </c>
      <c r="AD133" s="24" t="s">
        <v>74</v>
      </c>
    </row>
    <row r="134" spans="1:30" ht="18" customHeight="1">
      <c r="A134" s="42" t="s">
        <v>88</v>
      </c>
      <c r="B134" s="20">
        <v>0</v>
      </c>
      <c r="C134" s="20">
        <f t="shared" si="27"/>
        <v>350</v>
      </c>
      <c r="D134" s="20">
        <f t="shared" si="32"/>
        <v>0</v>
      </c>
      <c r="E134" s="20">
        <f t="shared" si="32"/>
        <v>350</v>
      </c>
      <c r="F134" s="20">
        <v>0</v>
      </c>
      <c r="G134" s="20">
        <f t="shared" si="28"/>
        <v>700</v>
      </c>
      <c r="H134" s="20">
        <v>0</v>
      </c>
      <c r="I134" s="20">
        <f t="shared" ref="I134:I143" si="36">(I133+B134+C134+F134)-H134</f>
        <v>6713</v>
      </c>
      <c r="J134" s="20">
        <f t="shared" ref="J134:J143" si="37">(J133+D134+E134)</f>
        <v>957</v>
      </c>
      <c r="K134" s="20">
        <f t="shared" si="33"/>
        <v>7670</v>
      </c>
      <c r="L134" s="20">
        <f t="shared" si="34"/>
        <v>45</v>
      </c>
      <c r="M134" s="20">
        <f t="shared" si="34"/>
        <v>6</v>
      </c>
      <c r="N134" s="20">
        <f t="shared" si="35"/>
        <v>51</v>
      </c>
      <c r="O134" s="260"/>
      <c r="Q134" s="1">
        <v>15</v>
      </c>
      <c r="R134" s="1">
        <v>56</v>
      </c>
      <c r="S134" s="1">
        <v>5037</v>
      </c>
      <c r="T134" s="22">
        <v>39644</v>
      </c>
      <c r="U134" s="30">
        <v>3500</v>
      </c>
      <c r="V134" s="30">
        <v>0</v>
      </c>
      <c r="W134" s="30">
        <v>0</v>
      </c>
      <c r="X134" s="30">
        <f t="shared" si="29"/>
        <v>3500</v>
      </c>
      <c r="Y134" s="30">
        <f t="shared" si="30"/>
        <v>350</v>
      </c>
      <c r="Z134" s="30">
        <v>0</v>
      </c>
      <c r="AA134" s="32">
        <f t="shared" si="31"/>
        <v>-350</v>
      </c>
      <c r="AB134" s="22">
        <v>39600</v>
      </c>
      <c r="AC134" s="22">
        <v>39629</v>
      </c>
      <c r="AD134" s="1" t="s">
        <v>74</v>
      </c>
    </row>
    <row r="135" spans="1:30" ht="18" customHeight="1">
      <c r="A135" s="42" t="s">
        <v>89</v>
      </c>
      <c r="B135" s="20">
        <v>0</v>
      </c>
      <c r="C135" s="20">
        <f t="shared" si="27"/>
        <v>350</v>
      </c>
      <c r="D135" s="20">
        <f t="shared" si="32"/>
        <v>0</v>
      </c>
      <c r="E135" s="20">
        <f t="shared" si="32"/>
        <v>350</v>
      </c>
      <c r="F135" s="20">
        <v>0</v>
      </c>
      <c r="G135" s="20">
        <f t="shared" si="28"/>
        <v>700</v>
      </c>
      <c r="H135" s="20">
        <v>0</v>
      </c>
      <c r="I135" s="20">
        <f t="shared" si="36"/>
        <v>7063</v>
      </c>
      <c r="J135" s="20">
        <f t="shared" si="37"/>
        <v>1307</v>
      </c>
      <c r="K135" s="20">
        <f t="shared" si="33"/>
        <v>8370</v>
      </c>
      <c r="L135" s="20">
        <f t="shared" si="34"/>
        <v>47</v>
      </c>
      <c r="M135" s="20">
        <f t="shared" si="34"/>
        <v>9</v>
      </c>
      <c r="N135" s="20">
        <f t="shared" si="35"/>
        <v>56</v>
      </c>
      <c r="O135" s="260"/>
      <c r="Q135" s="1">
        <v>19</v>
      </c>
      <c r="R135" s="1">
        <v>73</v>
      </c>
      <c r="S135" s="1">
        <v>6608</v>
      </c>
      <c r="T135" s="22">
        <v>39674</v>
      </c>
      <c r="U135" s="30">
        <v>3500</v>
      </c>
      <c r="V135" s="30">
        <v>0</v>
      </c>
      <c r="W135" s="30">
        <v>0</v>
      </c>
      <c r="X135" s="30">
        <f t="shared" si="29"/>
        <v>3500</v>
      </c>
      <c r="Y135" s="30">
        <f t="shared" si="30"/>
        <v>350</v>
      </c>
      <c r="Z135" s="30">
        <v>0</v>
      </c>
      <c r="AA135" s="32">
        <f t="shared" si="31"/>
        <v>-350</v>
      </c>
      <c r="AB135" s="22">
        <v>39630</v>
      </c>
      <c r="AC135" s="22">
        <v>39660</v>
      </c>
      <c r="AD135" s="1" t="s">
        <v>74</v>
      </c>
    </row>
    <row r="136" spans="1:30" ht="18" customHeight="1">
      <c r="A136" s="42" t="s">
        <v>90</v>
      </c>
      <c r="B136" s="20">
        <v>0</v>
      </c>
      <c r="C136" s="20">
        <f t="shared" si="27"/>
        <v>350</v>
      </c>
      <c r="D136" s="20">
        <f t="shared" si="32"/>
        <v>0</v>
      </c>
      <c r="E136" s="20">
        <f t="shared" si="32"/>
        <v>350</v>
      </c>
      <c r="F136" s="20">
        <v>0</v>
      </c>
      <c r="G136" s="20">
        <f t="shared" si="28"/>
        <v>700</v>
      </c>
      <c r="H136" s="20">
        <v>0</v>
      </c>
      <c r="I136" s="20">
        <f t="shared" si="36"/>
        <v>7413</v>
      </c>
      <c r="J136" s="20">
        <f t="shared" si="37"/>
        <v>1657</v>
      </c>
      <c r="K136" s="20">
        <f t="shared" si="33"/>
        <v>9070</v>
      </c>
      <c r="L136" s="20">
        <f t="shared" si="34"/>
        <v>49</v>
      </c>
      <c r="M136" s="20">
        <f t="shared" si="34"/>
        <v>11</v>
      </c>
      <c r="N136" s="20">
        <f t="shared" si="35"/>
        <v>60</v>
      </c>
      <c r="O136" s="260"/>
      <c r="Q136" s="1">
        <v>23</v>
      </c>
      <c r="R136" s="1">
        <v>86</v>
      </c>
      <c r="S136" s="1">
        <v>7656</v>
      </c>
      <c r="T136" s="22">
        <v>39699</v>
      </c>
      <c r="U136" s="30">
        <v>3500</v>
      </c>
      <c r="V136" s="30">
        <v>0</v>
      </c>
      <c r="W136" s="30">
        <v>0</v>
      </c>
      <c r="X136" s="30">
        <f t="shared" si="29"/>
        <v>3500</v>
      </c>
      <c r="Y136" s="30">
        <f t="shared" si="30"/>
        <v>350</v>
      </c>
      <c r="Z136" s="30">
        <v>0</v>
      </c>
      <c r="AA136" s="32">
        <f t="shared" si="31"/>
        <v>-350</v>
      </c>
      <c r="AB136" s="22">
        <v>39661</v>
      </c>
      <c r="AC136" s="22">
        <v>39691</v>
      </c>
      <c r="AD136" s="1" t="s">
        <v>74</v>
      </c>
    </row>
    <row r="137" spans="1:30" ht="18" customHeight="1">
      <c r="A137" s="42" t="s">
        <v>91</v>
      </c>
      <c r="B137" s="20">
        <v>0</v>
      </c>
      <c r="C137" s="20">
        <f t="shared" si="27"/>
        <v>350</v>
      </c>
      <c r="D137" s="20">
        <f t="shared" si="32"/>
        <v>0</v>
      </c>
      <c r="E137" s="20">
        <f t="shared" si="32"/>
        <v>350</v>
      </c>
      <c r="F137" s="20">
        <v>0</v>
      </c>
      <c r="G137" s="20">
        <f t="shared" si="28"/>
        <v>700</v>
      </c>
      <c r="H137" s="20">
        <v>0</v>
      </c>
      <c r="I137" s="20">
        <f t="shared" si="36"/>
        <v>7763</v>
      </c>
      <c r="J137" s="20">
        <f t="shared" si="37"/>
        <v>2007</v>
      </c>
      <c r="K137" s="20">
        <f t="shared" si="33"/>
        <v>9770</v>
      </c>
      <c r="L137" s="20">
        <f t="shared" si="34"/>
        <v>52</v>
      </c>
      <c r="M137" s="20">
        <f t="shared" si="34"/>
        <v>13</v>
      </c>
      <c r="N137" s="20">
        <f t="shared" si="35"/>
        <v>65</v>
      </c>
      <c r="O137" s="260"/>
      <c r="Q137" s="1">
        <v>27</v>
      </c>
      <c r="R137" s="1">
        <v>103</v>
      </c>
      <c r="S137" s="1">
        <v>8926</v>
      </c>
      <c r="T137" s="22">
        <v>39727</v>
      </c>
      <c r="U137" s="30">
        <v>3500</v>
      </c>
      <c r="V137" s="30">
        <v>0</v>
      </c>
      <c r="W137" s="30">
        <v>0</v>
      </c>
      <c r="X137" s="30">
        <f t="shared" si="29"/>
        <v>3500</v>
      </c>
      <c r="Y137" s="30">
        <f t="shared" si="30"/>
        <v>350</v>
      </c>
      <c r="Z137" s="30">
        <v>0</v>
      </c>
      <c r="AA137" s="32">
        <f t="shared" si="31"/>
        <v>-350</v>
      </c>
      <c r="AB137" s="22">
        <v>39692</v>
      </c>
      <c r="AC137" s="22">
        <v>39721</v>
      </c>
      <c r="AD137" s="1" t="s">
        <v>74</v>
      </c>
    </row>
    <row r="138" spans="1:30" ht="18" customHeight="1">
      <c r="A138" s="42" t="s">
        <v>92</v>
      </c>
      <c r="B138" s="20">
        <v>0</v>
      </c>
      <c r="C138" s="20">
        <f t="shared" si="27"/>
        <v>350</v>
      </c>
      <c r="D138" s="20">
        <f t="shared" si="32"/>
        <v>0</v>
      </c>
      <c r="E138" s="20">
        <f t="shared" si="32"/>
        <v>350</v>
      </c>
      <c r="F138" s="20">
        <v>0</v>
      </c>
      <c r="G138" s="20">
        <f t="shared" si="28"/>
        <v>700</v>
      </c>
      <c r="H138" s="20">
        <v>0</v>
      </c>
      <c r="I138" s="20">
        <f t="shared" si="36"/>
        <v>8113</v>
      </c>
      <c r="J138" s="20">
        <f t="shared" si="37"/>
        <v>2357</v>
      </c>
      <c r="K138" s="20">
        <f t="shared" si="33"/>
        <v>10470</v>
      </c>
      <c r="L138" s="20">
        <f t="shared" si="34"/>
        <v>54</v>
      </c>
      <c r="M138" s="20">
        <f t="shared" si="34"/>
        <v>16</v>
      </c>
      <c r="N138" s="20">
        <f t="shared" si="35"/>
        <v>70</v>
      </c>
      <c r="O138" s="260"/>
      <c r="Q138" s="1">
        <v>33</v>
      </c>
      <c r="R138" s="1">
        <v>127</v>
      </c>
      <c r="S138" s="1">
        <v>11249</v>
      </c>
      <c r="T138" s="22">
        <v>39758</v>
      </c>
      <c r="U138" s="30">
        <v>3500</v>
      </c>
      <c r="V138" s="30">
        <v>0</v>
      </c>
      <c r="W138" s="30">
        <v>0</v>
      </c>
      <c r="X138" s="30">
        <f t="shared" si="29"/>
        <v>3500</v>
      </c>
      <c r="Y138" s="30">
        <f t="shared" si="30"/>
        <v>350</v>
      </c>
      <c r="Z138" s="30">
        <v>0</v>
      </c>
      <c r="AA138" s="32">
        <f t="shared" si="31"/>
        <v>-350</v>
      </c>
      <c r="AB138" s="22">
        <v>39722</v>
      </c>
      <c r="AC138" s="22">
        <v>39752</v>
      </c>
      <c r="AD138" s="1" t="s">
        <v>74</v>
      </c>
    </row>
    <row r="139" spans="1:30" ht="18" customHeight="1">
      <c r="A139" s="42" t="s">
        <v>93</v>
      </c>
      <c r="B139" s="20">
        <v>0</v>
      </c>
      <c r="C139" s="20">
        <f t="shared" si="27"/>
        <v>350</v>
      </c>
      <c r="D139" s="20">
        <f t="shared" si="32"/>
        <v>0</v>
      </c>
      <c r="E139" s="20">
        <f t="shared" si="32"/>
        <v>350</v>
      </c>
      <c r="F139" s="20">
        <v>0</v>
      </c>
      <c r="G139" s="20">
        <f t="shared" si="28"/>
        <v>700</v>
      </c>
      <c r="H139" s="20">
        <v>0</v>
      </c>
      <c r="I139" s="20">
        <f t="shared" si="36"/>
        <v>8463</v>
      </c>
      <c r="J139" s="20">
        <f t="shared" si="37"/>
        <v>2707</v>
      </c>
      <c r="K139" s="20">
        <f t="shared" si="33"/>
        <v>11170</v>
      </c>
      <c r="L139" s="20">
        <f t="shared" si="34"/>
        <v>56</v>
      </c>
      <c r="M139" s="20">
        <f t="shared" si="34"/>
        <v>18</v>
      </c>
      <c r="N139" s="20">
        <f t="shared" si="35"/>
        <v>74</v>
      </c>
      <c r="O139" s="260"/>
      <c r="Q139" s="1">
        <v>37</v>
      </c>
      <c r="R139" s="1">
        <v>144</v>
      </c>
      <c r="S139" s="1">
        <v>12796</v>
      </c>
      <c r="T139" s="22">
        <v>39797</v>
      </c>
      <c r="U139" s="30">
        <v>3500</v>
      </c>
      <c r="V139" s="30">
        <v>0</v>
      </c>
      <c r="W139" s="30">
        <v>0</v>
      </c>
      <c r="X139" s="30">
        <f t="shared" si="29"/>
        <v>3500</v>
      </c>
      <c r="Y139" s="30">
        <f t="shared" si="30"/>
        <v>350</v>
      </c>
      <c r="Z139" s="30">
        <v>0</v>
      </c>
      <c r="AA139" s="32">
        <f t="shared" si="31"/>
        <v>-350</v>
      </c>
      <c r="AB139" s="22">
        <v>39753</v>
      </c>
      <c r="AC139" s="22">
        <v>39782</v>
      </c>
      <c r="AD139" s="1" t="s">
        <v>74</v>
      </c>
    </row>
    <row r="140" spans="1:30" ht="18" customHeight="1">
      <c r="A140" s="42" t="s">
        <v>94</v>
      </c>
      <c r="B140" s="20">
        <v>0</v>
      </c>
      <c r="C140" s="20">
        <f t="shared" si="27"/>
        <v>350</v>
      </c>
      <c r="D140" s="20">
        <f t="shared" si="32"/>
        <v>0</v>
      </c>
      <c r="E140" s="20">
        <f t="shared" si="32"/>
        <v>350</v>
      </c>
      <c r="F140" s="20">
        <v>0</v>
      </c>
      <c r="G140" s="20">
        <f t="shared" si="28"/>
        <v>700</v>
      </c>
      <c r="H140" s="20">
        <v>0</v>
      </c>
      <c r="I140" s="20">
        <f t="shared" si="36"/>
        <v>8813</v>
      </c>
      <c r="J140" s="20">
        <f t="shared" si="37"/>
        <v>3057</v>
      </c>
      <c r="K140" s="20">
        <f t="shared" si="33"/>
        <v>11870</v>
      </c>
      <c r="L140" s="20">
        <f t="shared" si="34"/>
        <v>59</v>
      </c>
      <c r="M140" s="20">
        <f t="shared" si="34"/>
        <v>20</v>
      </c>
      <c r="N140" s="20">
        <f t="shared" si="35"/>
        <v>79</v>
      </c>
      <c r="O140" s="260"/>
      <c r="Q140" s="1">
        <v>40</v>
      </c>
      <c r="R140" s="1">
        <v>157</v>
      </c>
      <c r="S140" s="1">
        <v>13891</v>
      </c>
      <c r="T140" s="22">
        <v>39454</v>
      </c>
      <c r="U140" s="30">
        <v>3500</v>
      </c>
      <c r="V140" s="30">
        <v>0</v>
      </c>
      <c r="W140" s="30">
        <v>0</v>
      </c>
      <c r="X140" s="30">
        <f t="shared" si="29"/>
        <v>3500</v>
      </c>
      <c r="Y140" s="30">
        <f t="shared" si="30"/>
        <v>350</v>
      </c>
      <c r="Z140" s="30">
        <v>0</v>
      </c>
      <c r="AA140" s="32">
        <f t="shared" si="31"/>
        <v>-350</v>
      </c>
      <c r="AB140" s="22">
        <v>39783</v>
      </c>
      <c r="AC140" s="22">
        <v>39813</v>
      </c>
      <c r="AD140" s="1" t="s">
        <v>74</v>
      </c>
    </row>
    <row r="141" spans="1:30" ht="18" customHeight="1">
      <c r="A141" s="42" t="s">
        <v>95</v>
      </c>
      <c r="B141" s="20">
        <v>0</v>
      </c>
      <c r="C141" s="20">
        <f t="shared" si="27"/>
        <v>350</v>
      </c>
      <c r="D141" s="20">
        <f t="shared" si="32"/>
        <v>0</v>
      </c>
      <c r="E141" s="20">
        <f t="shared" si="32"/>
        <v>350</v>
      </c>
      <c r="F141" s="20">
        <v>0</v>
      </c>
      <c r="G141" s="20">
        <f t="shared" si="28"/>
        <v>700</v>
      </c>
      <c r="H141" s="20">
        <v>0</v>
      </c>
      <c r="I141" s="20">
        <f t="shared" si="36"/>
        <v>9163</v>
      </c>
      <c r="J141" s="20">
        <f t="shared" si="37"/>
        <v>3407</v>
      </c>
      <c r="K141" s="20">
        <f t="shared" si="33"/>
        <v>12570</v>
      </c>
      <c r="L141" s="20">
        <f t="shared" si="34"/>
        <v>61</v>
      </c>
      <c r="M141" s="20">
        <f t="shared" si="34"/>
        <v>23</v>
      </c>
      <c r="N141" s="20">
        <f t="shared" si="35"/>
        <v>84</v>
      </c>
      <c r="O141" s="260"/>
      <c r="Q141" s="1">
        <v>44</v>
      </c>
      <c r="R141" s="1">
        <v>174</v>
      </c>
      <c r="S141" s="1">
        <v>15394</v>
      </c>
      <c r="T141" s="22">
        <v>39487</v>
      </c>
      <c r="U141" s="30">
        <v>3500</v>
      </c>
      <c r="V141" s="30">
        <v>0</v>
      </c>
      <c r="W141" s="30">
        <v>0</v>
      </c>
      <c r="X141" s="30">
        <f t="shared" si="29"/>
        <v>3500</v>
      </c>
      <c r="Y141" s="30">
        <f t="shared" si="30"/>
        <v>350</v>
      </c>
      <c r="Z141" s="30">
        <v>0</v>
      </c>
      <c r="AA141" s="32">
        <f t="shared" si="31"/>
        <v>-350</v>
      </c>
      <c r="AB141" s="22">
        <v>39814</v>
      </c>
      <c r="AC141" s="22">
        <v>39844</v>
      </c>
      <c r="AD141" s="1" t="s">
        <v>74</v>
      </c>
    </row>
    <row r="142" spans="1:30" ht="18" customHeight="1">
      <c r="A142" s="42" t="s">
        <v>96</v>
      </c>
      <c r="B142" s="20">
        <v>0</v>
      </c>
      <c r="C142" s="20">
        <f t="shared" si="27"/>
        <v>1256</v>
      </c>
      <c r="D142" s="20">
        <f t="shared" si="32"/>
        <v>0</v>
      </c>
      <c r="E142" s="20">
        <f t="shared" si="32"/>
        <v>1256</v>
      </c>
      <c r="F142" s="20">
        <v>0</v>
      </c>
      <c r="G142" s="20">
        <f t="shared" si="28"/>
        <v>2512</v>
      </c>
      <c r="H142" s="20">
        <v>0</v>
      </c>
      <c r="I142" s="20">
        <f t="shared" si="36"/>
        <v>10419</v>
      </c>
      <c r="J142" s="20">
        <f t="shared" si="37"/>
        <v>4663</v>
      </c>
      <c r="K142" s="20">
        <f t="shared" si="33"/>
        <v>15082</v>
      </c>
      <c r="L142" s="20">
        <f t="shared" si="34"/>
        <v>69</v>
      </c>
      <c r="M142" s="20">
        <f t="shared" si="34"/>
        <v>31</v>
      </c>
      <c r="N142" s="20">
        <f t="shared" si="35"/>
        <v>100</v>
      </c>
      <c r="O142" s="260"/>
      <c r="Q142" s="24">
        <v>44</v>
      </c>
      <c r="R142" s="24">
        <v>174</v>
      </c>
      <c r="S142" s="24">
        <v>15394</v>
      </c>
      <c r="T142" s="25">
        <v>39487</v>
      </c>
      <c r="U142" s="33">
        <v>12563</v>
      </c>
      <c r="V142" s="33">
        <v>0</v>
      </c>
      <c r="W142" s="33">
        <v>0</v>
      </c>
      <c r="X142" s="33">
        <f t="shared" si="29"/>
        <v>12563</v>
      </c>
      <c r="Y142" s="33">
        <f t="shared" si="30"/>
        <v>1256</v>
      </c>
      <c r="Z142" s="33">
        <v>0</v>
      </c>
      <c r="AA142" s="34">
        <f t="shared" si="31"/>
        <v>-1256</v>
      </c>
      <c r="AB142" s="25">
        <v>39845</v>
      </c>
      <c r="AC142" s="25">
        <v>39872</v>
      </c>
      <c r="AD142" s="24" t="s">
        <v>74</v>
      </c>
    </row>
    <row r="143" spans="1:30" ht="18" customHeight="1" thickBot="1">
      <c r="A143" s="50" t="s">
        <v>97</v>
      </c>
      <c r="B143" s="47">
        <f>Y143</f>
        <v>1040</v>
      </c>
      <c r="C143" s="47">
        <v>0</v>
      </c>
      <c r="D143" s="47">
        <f t="shared" si="32"/>
        <v>1040</v>
      </c>
      <c r="E143" s="47">
        <f t="shared" si="32"/>
        <v>0</v>
      </c>
      <c r="F143" s="47">
        <v>0</v>
      </c>
      <c r="G143" s="47">
        <f t="shared" si="28"/>
        <v>2080</v>
      </c>
      <c r="H143" s="47">
        <v>0</v>
      </c>
      <c r="I143" s="47">
        <f t="shared" si="36"/>
        <v>11459</v>
      </c>
      <c r="J143" s="47">
        <f t="shared" si="37"/>
        <v>5703</v>
      </c>
      <c r="K143" s="47">
        <f t="shared" si="33"/>
        <v>17162</v>
      </c>
      <c r="L143" s="47">
        <f t="shared" si="34"/>
        <v>76</v>
      </c>
      <c r="M143" s="47">
        <f t="shared" si="34"/>
        <v>38</v>
      </c>
      <c r="N143" s="47">
        <f t="shared" si="35"/>
        <v>114</v>
      </c>
      <c r="O143" s="260"/>
      <c r="Q143" s="1">
        <v>3</v>
      </c>
      <c r="R143" s="1">
        <v>3</v>
      </c>
      <c r="S143" s="1">
        <v>108</v>
      </c>
      <c r="T143" s="22">
        <v>39540</v>
      </c>
      <c r="U143" s="30">
        <v>4500</v>
      </c>
      <c r="V143" s="30">
        <v>2250</v>
      </c>
      <c r="W143" s="30">
        <v>3645</v>
      </c>
      <c r="X143" s="30">
        <f t="shared" si="29"/>
        <v>10395</v>
      </c>
      <c r="Y143" s="30">
        <f t="shared" si="30"/>
        <v>1040</v>
      </c>
      <c r="Z143" s="30">
        <v>0</v>
      </c>
      <c r="AA143" s="32">
        <f t="shared" si="31"/>
        <v>-1040</v>
      </c>
      <c r="AB143" s="22">
        <v>39873</v>
      </c>
      <c r="AC143" s="22">
        <v>39903</v>
      </c>
      <c r="AD143" s="1" t="s">
        <v>98</v>
      </c>
    </row>
    <row r="144" spans="1:30" ht="18" customHeight="1" thickBot="1">
      <c r="A144" s="55" t="s">
        <v>99</v>
      </c>
      <c r="B144" s="54">
        <f t="shared" ref="B144:N144" si="38">SUM(B132:B143)</f>
        <v>1040</v>
      </c>
      <c r="C144" s="54">
        <f t="shared" si="38"/>
        <v>4663</v>
      </c>
      <c r="D144" s="54">
        <f t="shared" si="38"/>
        <v>1040</v>
      </c>
      <c r="E144" s="54">
        <f t="shared" si="38"/>
        <v>4663</v>
      </c>
      <c r="F144" s="54">
        <f t="shared" si="38"/>
        <v>0</v>
      </c>
      <c r="G144" s="54">
        <f t="shared" si="38"/>
        <v>11406</v>
      </c>
      <c r="H144" s="54">
        <f t="shared" si="38"/>
        <v>0</v>
      </c>
      <c r="I144" s="54">
        <f t="shared" si="38"/>
        <v>97501</v>
      </c>
      <c r="J144" s="54">
        <f t="shared" si="38"/>
        <v>28429</v>
      </c>
      <c r="K144" s="54">
        <f>SUM(K132:K143)</f>
        <v>125930</v>
      </c>
      <c r="L144" s="54">
        <f t="shared" ref="L144:M144" si="39">SUM(L132:L143)</f>
        <v>648</v>
      </c>
      <c r="M144" s="54">
        <f t="shared" si="39"/>
        <v>189</v>
      </c>
      <c r="N144" s="54">
        <f t="shared" si="38"/>
        <v>837</v>
      </c>
      <c r="O144" s="56"/>
      <c r="U144" s="31">
        <f t="shared" ref="U144:AA144" si="40">SUM(U132:U143)</f>
        <v>51130</v>
      </c>
      <c r="V144" s="31">
        <f t="shared" si="40"/>
        <v>2250</v>
      </c>
      <c r="W144" s="31">
        <f t="shared" si="40"/>
        <v>3645</v>
      </c>
      <c r="X144" s="31">
        <f t="shared" si="40"/>
        <v>57025</v>
      </c>
      <c r="Y144" s="31">
        <f t="shared" si="40"/>
        <v>5703</v>
      </c>
      <c r="Z144" s="31">
        <f t="shared" si="40"/>
        <v>0</v>
      </c>
      <c r="AA144" s="31">
        <f t="shared" si="40"/>
        <v>-5703</v>
      </c>
    </row>
    <row r="145" spans="1:27" ht="15" thickBo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6"/>
      <c r="L145" s="6"/>
      <c r="M145" s="6"/>
      <c r="N145" s="6"/>
    </row>
    <row r="146" spans="1:27" ht="18" customHeight="1" thickBot="1">
      <c r="A146" s="5"/>
      <c r="B146" s="6"/>
      <c r="C146" s="6"/>
      <c r="D146" s="6"/>
      <c r="E146" s="5"/>
      <c r="F146" s="53">
        <v>1</v>
      </c>
      <c r="G146" s="212" t="s">
        <v>47</v>
      </c>
      <c r="H146" s="212"/>
      <c r="I146" s="212"/>
      <c r="J146" s="212"/>
      <c r="K146" s="213"/>
      <c r="L146" s="54">
        <f>K128</f>
        <v>5756</v>
      </c>
      <c r="M146" s="2"/>
      <c r="O146" s="1"/>
      <c r="S146" s="30"/>
      <c r="T146" s="30"/>
      <c r="Z146" s="1"/>
      <c r="AA146" s="1"/>
    </row>
    <row r="147" spans="1:27" ht="18" customHeight="1" thickBot="1">
      <c r="A147" s="5"/>
      <c r="B147" s="6"/>
      <c r="C147" s="6"/>
      <c r="D147" s="6"/>
      <c r="E147" s="5"/>
      <c r="F147" s="53">
        <v>2</v>
      </c>
      <c r="G147" s="212" t="s">
        <v>344</v>
      </c>
      <c r="H147" s="212"/>
      <c r="I147" s="212"/>
      <c r="J147" s="212"/>
      <c r="K147" s="213"/>
      <c r="L147" s="54">
        <f>B144+C144</f>
        <v>5703</v>
      </c>
      <c r="M147" s="2"/>
      <c r="O147" s="1"/>
      <c r="S147" s="30"/>
      <c r="T147" s="30"/>
      <c r="Z147" s="1"/>
      <c r="AA147" s="1"/>
    </row>
    <row r="148" spans="1:27" ht="18" customHeight="1" thickBot="1">
      <c r="A148" s="5"/>
      <c r="B148" s="6"/>
      <c r="C148" s="6"/>
      <c r="D148" s="6"/>
      <c r="E148" s="5"/>
      <c r="F148" s="53">
        <v>3</v>
      </c>
      <c r="G148" s="212" t="s">
        <v>345</v>
      </c>
      <c r="H148" s="212"/>
      <c r="I148" s="212"/>
      <c r="J148" s="212"/>
      <c r="K148" s="213"/>
      <c r="L148" s="54">
        <f>F144</f>
        <v>0</v>
      </c>
      <c r="M148" s="2"/>
      <c r="O148" s="1"/>
      <c r="S148" s="30"/>
      <c r="T148" s="30"/>
      <c r="Z148" s="1"/>
      <c r="AA148" s="1"/>
    </row>
    <row r="149" spans="1:27" ht="18" customHeight="1" thickBot="1">
      <c r="A149" s="5"/>
      <c r="B149" s="5"/>
      <c r="C149" s="5"/>
      <c r="D149" s="5"/>
      <c r="E149" s="5"/>
      <c r="F149" s="53">
        <v>4</v>
      </c>
      <c r="G149" s="212" t="s">
        <v>346</v>
      </c>
      <c r="H149" s="212"/>
      <c r="I149" s="212"/>
      <c r="J149" s="212"/>
      <c r="K149" s="213"/>
      <c r="L149" s="54">
        <f>L147+L148</f>
        <v>5703</v>
      </c>
      <c r="M149" s="2"/>
      <c r="O149" s="1"/>
      <c r="S149" s="30"/>
      <c r="T149" s="30"/>
      <c r="Z149" s="1"/>
      <c r="AA149" s="1"/>
    </row>
    <row r="150" spans="1:27" ht="18" customHeight="1" thickBot="1">
      <c r="A150" s="5"/>
      <c r="B150" s="5"/>
      <c r="C150" s="5"/>
      <c r="D150" s="5"/>
      <c r="E150" s="5"/>
      <c r="F150" s="53">
        <v>5</v>
      </c>
      <c r="G150" s="212" t="s">
        <v>349</v>
      </c>
      <c r="H150" s="212"/>
      <c r="I150" s="212"/>
      <c r="J150" s="212"/>
      <c r="K150" s="213"/>
      <c r="L150" s="54">
        <f>D144+E144</f>
        <v>5703</v>
      </c>
      <c r="M150" s="2"/>
      <c r="O150" s="1"/>
      <c r="S150" s="30"/>
      <c r="T150" s="30"/>
      <c r="Z150" s="1"/>
      <c r="AA150" s="1"/>
    </row>
    <row r="151" spans="1:27" ht="18" customHeight="1" thickBot="1">
      <c r="A151" s="5"/>
      <c r="B151" s="5"/>
      <c r="C151" s="5"/>
      <c r="D151" s="5"/>
      <c r="E151" s="5"/>
      <c r="F151" s="53">
        <v>6</v>
      </c>
      <c r="G151" s="212" t="s">
        <v>347</v>
      </c>
      <c r="H151" s="212"/>
      <c r="I151" s="212"/>
      <c r="J151" s="212"/>
      <c r="K151" s="213"/>
      <c r="L151" s="54">
        <f>L146+L149+L150</f>
        <v>17162</v>
      </c>
      <c r="M151" s="2"/>
      <c r="O151" s="1"/>
      <c r="S151" s="30"/>
      <c r="T151" s="30"/>
      <c r="Z151" s="1"/>
      <c r="AA151" s="1"/>
    </row>
    <row r="152" spans="1:27" ht="18" customHeight="1" thickBot="1">
      <c r="A152" s="5"/>
      <c r="B152" s="5"/>
      <c r="C152" s="5"/>
      <c r="D152" s="5"/>
      <c r="E152" s="5"/>
      <c r="F152" s="53">
        <v>7</v>
      </c>
      <c r="G152" s="212" t="s">
        <v>50</v>
      </c>
      <c r="H152" s="212"/>
      <c r="I152" s="212"/>
      <c r="J152" s="212"/>
      <c r="K152" s="213"/>
      <c r="L152" s="54">
        <f>H144</f>
        <v>0</v>
      </c>
      <c r="M152" s="2"/>
      <c r="O152" s="1"/>
      <c r="S152" s="30"/>
      <c r="T152" s="30"/>
      <c r="Z152" s="1"/>
      <c r="AA152" s="1"/>
    </row>
    <row r="153" spans="1:27" ht="18" customHeight="1" thickBot="1">
      <c r="A153" s="5"/>
      <c r="B153" s="5"/>
      <c r="C153" s="5"/>
      <c r="D153" s="5"/>
      <c r="E153" s="5"/>
      <c r="F153" s="53">
        <v>8</v>
      </c>
      <c r="G153" s="212" t="s">
        <v>340</v>
      </c>
      <c r="H153" s="212"/>
      <c r="I153" s="212"/>
      <c r="J153" s="212"/>
      <c r="K153" s="213"/>
      <c r="L153" s="54">
        <f>L144</f>
        <v>648</v>
      </c>
      <c r="M153" s="2"/>
      <c r="O153" s="1"/>
      <c r="S153" s="30"/>
      <c r="T153" s="30"/>
      <c r="Z153" s="1"/>
      <c r="AA153" s="1"/>
    </row>
    <row r="154" spans="1:27" ht="18" customHeight="1" thickBot="1">
      <c r="A154" s="5"/>
      <c r="B154" s="5"/>
      <c r="C154" s="5"/>
      <c r="D154" s="5"/>
      <c r="E154" s="5"/>
      <c r="F154" s="53">
        <v>9</v>
      </c>
      <c r="G154" s="212" t="s">
        <v>355</v>
      </c>
      <c r="H154" s="212"/>
      <c r="I154" s="212"/>
      <c r="J154" s="212"/>
      <c r="K154" s="213"/>
      <c r="L154" s="54">
        <f>M144</f>
        <v>189</v>
      </c>
      <c r="M154" s="2"/>
      <c r="O154" s="1"/>
      <c r="S154" s="30"/>
      <c r="T154" s="30"/>
      <c r="Z154" s="1"/>
      <c r="AA154" s="1"/>
    </row>
    <row r="155" spans="1:27" ht="18" customHeight="1" thickBot="1">
      <c r="A155" s="5"/>
      <c r="B155" s="5"/>
      <c r="C155" s="5"/>
      <c r="D155" s="5"/>
      <c r="E155" s="5"/>
      <c r="F155" s="53">
        <v>10</v>
      </c>
      <c r="G155" s="212" t="s">
        <v>348</v>
      </c>
      <c r="H155" s="212"/>
      <c r="I155" s="212"/>
      <c r="J155" s="212"/>
      <c r="K155" s="213"/>
      <c r="L155" s="54">
        <f>N144</f>
        <v>837</v>
      </c>
      <c r="M155" s="2"/>
      <c r="O155" s="1"/>
      <c r="S155" s="30"/>
      <c r="T155" s="30"/>
      <c r="Z155" s="1"/>
      <c r="AA155" s="1"/>
    </row>
    <row r="156" spans="1:27" ht="18" customHeight="1" thickBot="1">
      <c r="A156" s="5"/>
      <c r="B156" s="5"/>
      <c r="C156" s="5"/>
      <c r="D156" s="5"/>
      <c r="E156" s="5"/>
      <c r="F156" s="53">
        <v>11</v>
      </c>
      <c r="G156" s="212" t="s">
        <v>358</v>
      </c>
      <c r="H156" s="212"/>
      <c r="I156" s="212"/>
      <c r="J156" s="212"/>
      <c r="K156" s="213"/>
      <c r="L156" s="54">
        <f>L151-L152+L155</f>
        <v>17999</v>
      </c>
      <c r="M156" s="2"/>
      <c r="O156" s="1"/>
      <c r="S156" s="30"/>
      <c r="T156" s="30"/>
      <c r="Z156" s="1"/>
      <c r="AA156" s="1"/>
    </row>
    <row r="157" spans="1:27">
      <c r="A157" s="5"/>
      <c r="B157" s="5"/>
      <c r="C157" s="5"/>
      <c r="D157" s="5"/>
      <c r="E157" s="5"/>
      <c r="F157" s="5"/>
      <c r="G157" s="17"/>
      <c r="H157" s="17"/>
      <c r="I157" s="17"/>
      <c r="J157" s="17"/>
      <c r="K157" s="17"/>
      <c r="L157" s="17"/>
      <c r="M157" s="17"/>
      <c r="N157" s="6"/>
    </row>
    <row r="158" spans="1:27"/>
    <row r="159" spans="1:27"/>
    <row r="160" spans="1:27" ht="16.8">
      <c r="A160" s="249" t="s">
        <v>53</v>
      </c>
      <c r="B160" s="249"/>
      <c r="C160" s="18"/>
      <c r="D160" s="18"/>
      <c r="E160" s="249" t="s">
        <v>54</v>
      </c>
      <c r="F160" s="249"/>
      <c r="G160" s="249"/>
      <c r="H160" s="250" t="s">
        <v>55</v>
      </c>
      <c r="I160" s="250"/>
      <c r="J160" s="250"/>
      <c r="K160" s="250"/>
      <c r="L160" s="250"/>
      <c r="M160" s="250"/>
      <c r="N160" s="250"/>
    </row>
    <row r="161" spans="1:30" ht="16.8">
      <c r="A161" s="18"/>
      <c r="B161" s="18"/>
      <c r="C161" s="18"/>
      <c r="D161" s="18"/>
      <c r="E161" s="18"/>
      <c r="F161" s="18"/>
      <c r="G161" s="19"/>
      <c r="H161" s="19"/>
      <c r="I161" s="19"/>
      <c r="J161" s="19"/>
    </row>
    <row r="162" spans="1:30" ht="16.8">
      <c r="A162" s="18"/>
      <c r="B162" s="18"/>
      <c r="C162" s="18"/>
      <c r="D162" s="18"/>
      <c r="E162" s="18"/>
      <c r="F162" s="18"/>
      <c r="G162" s="19"/>
      <c r="H162" s="19"/>
      <c r="I162" s="19"/>
      <c r="J162" s="19"/>
    </row>
    <row r="163" spans="1:30" ht="18.600000000000001">
      <c r="A163" s="224" t="s">
        <v>0</v>
      </c>
      <c r="B163" s="224"/>
      <c r="C163" s="224"/>
      <c r="D163" s="224"/>
      <c r="E163" s="224"/>
      <c r="F163" s="224"/>
      <c r="G163" s="224"/>
      <c r="H163" s="224"/>
      <c r="I163" s="224"/>
      <c r="J163" s="224"/>
      <c r="K163" s="224"/>
      <c r="L163" s="224"/>
      <c r="M163" s="224"/>
      <c r="N163" s="224"/>
      <c r="O163" s="224"/>
    </row>
    <row r="164" spans="1:30" ht="18.600000000000001">
      <c r="A164" s="224" t="s">
        <v>1</v>
      </c>
      <c r="B164" s="224"/>
      <c r="C164" s="224"/>
      <c r="D164" s="224"/>
      <c r="E164" s="224"/>
      <c r="F164" s="224"/>
      <c r="G164" s="224"/>
      <c r="H164" s="224"/>
      <c r="I164" s="224"/>
      <c r="J164" s="224"/>
      <c r="K164" s="224"/>
      <c r="L164" s="224"/>
      <c r="M164" s="224"/>
      <c r="N164" s="224"/>
      <c r="O164" s="224"/>
    </row>
    <row r="165" spans="1:30"/>
    <row r="166" spans="1:30" ht="15" thickBot="1">
      <c r="A166" s="225" t="s">
        <v>100</v>
      </c>
      <c r="B166" s="225"/>
      <c r="C166" s="225"/>
      <c r="D166" s="225"/>
      <c r="E166" s="225"/>
      <c r="F166" s="225"/>
      <c r="G166" s="225"/>
      <c r="H166" s="225"/>
      <c r="I166" s="225"/>
      <c r="J166" s="225"/>
      <c r="K166" s="225"/>
      <c r="L166" s="225"/>
      <c r="M166" s="225"/>
      <c r="N166" s="225"/>
    </row>
    <row r="167" spans="1:30" ht="36" customHeight="1" thickBot="1">
      <c r="A167" s="55" t="s">
        <v>3</v>
      </c>
      <c r="B167" s="53">
        <f>B124</f>
        <v>9255</v>
      </c>
      <c r="C167" s="5"/>
      <c r="D167" s="5"/>
      <c r="E167" s="211" t="s">
        <v>4</v>
      </c>
      <c r="F167" s="213" t="str">
        <f>F124</f>
        <v>Mahajan Ganesh Trambak</v>
      </c>
      <c r="G167" s="5"/>
      <c r="H167" s="211" t="str">
        <f>H124</f>
        <v>Mahajan Ganesh Trambak</v>
      </c>
      <c r="I167" s="212"/>
      <c r="J167" s="212"/>
      <c r="K167" s="212"/>
      <c r="L167" s="212"/>
      <c r="M167" s="212"/>
      <c r="N167" s="212"/>
      <c r="O167" s="213"/>
    </row>
    <row r="168" spans="1:30" ht="15" thickBot="1">
      <c r="A168" s="5"/>
      <c r="E168" s="5"/>
      <c r="F168" s="5"/>
      <c r="G168" s="5"/>
      <c r="H168" s="5"/>
      <c r="I168" s="5"/>
      <c r="J168" s="5"/>
      <c r="K168" s="6"/>
      <c r="L168" s="6"/>
      <c r="M168" s="6"/>
      <c r="N168" s="5"/>
    </row>
    <row r="169" spans="1:30" ht="36" customHeight="1" thickBot="1">
      <c r="A169" s="55" t="s">
        <v>6</v>
      </c>
      <c r="B169" s="55" t="str">
        <f>B126</f>
        <v>06.06.2007</v>
      </c>
      <c r="C169" s="5"/>
      <c r="D169" s="5"/>
      <c r="E169" s="55" t="s">
        <v>7</v>
      </c>
      <c r="F169" s="55">
        <f>F126</f>
        <v>2301</v>
      </c>
      <c r="G169" s="5"/>
      <c r="H169" s="55" t="s">
        <v>8</v>
      </c>
      <c r="I169" s="211" t="str">
        <f>I126</f>
        <v>Asst. Jr. Engineer</v>
      </c>
      <c r="J169" s="212"/>
      <c r="K169" s="212" t="str">
        <f>K126</f>
        <v>Asst. Jr. Engineer</v>
      </c>
      <c r="L169" s="212"/>
      <c r="M169" s="212"/>
      <c r="N169" s="212"/>
      <c r="O169" s="213"/>
    </row>
    <row r="170" spans="1:30" ht="15" thickBo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6"/>
      <c r="L170" s="6"/>
      <c r="M170" s="6"/>
      <c r="N170" s="5"/>
    </row>
    <row r="171" spans="1:30" ht="24" customHeight="1" thickBot="1">
      <c r="A171" s="55" t="s">
        <v>10</v>
      </c>
      <c r="B171" s="58">
        <v>0.08</v>
      </c>
      <c r="C171" s="5"/>
      <c r="D171" s="5"/>
      <c r="E171" s="55" t="s">
        <v>11</v>
      </c>
      <c r="F171" s="58">
        <v>0</v>
      </c>
      <c r="G171" s="5"/>
      <c r="H171" s="239" t="s">
        <v>12</v>
      </c>
      <c r="I171" s="240"/>
      <c r="J171" s="241"/>
      <c r="K171" s="242">
        <v>0</v>
      </c>
      <c r="L171" s="243"/>
      <c r="M171" s="243"/>
      <c r="N171" s="243"/>
      <c r="O171" s="244"/>
    </row>
    <row r="172" spans="1:30" ht="15" thickBo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6"/>
      <c r="L172" s="6"/>
      <c r="M172" s="6"/>
      <c r="N172" s="5"/>
    </row>
    <row r="173" spans="1:30" ht="39.9" customHeight="1" thickBot="1">
      <c r="A173" s="235" t="s">
        <v>13</v>
      </c>
      <c r="B173" s="256" t="s">
        <v>14</v>
      </c>
      <c r="C173" s="257"/>
      <c r="D173" s="256" t="s">
        <v>349</v>
      </c>
      <c r="E173" s="257"/>
      <c r="F173" s="235" t="s">
        <v>342</v>
      </c>
      <c r="G173" s="235" t="s">
        <v>16</v>
      </c>
      <c r="H173" s="235" t="s">
        <v>17</v>
      </c>
      <c r="I173" s="235" t="s">
        <v>341</v>
      </c>
      <c r="J173" s="235" t="s">
        <v>354</v>
      </c>
      <c r="K173" s="254" t="s">
        <v>353</v>
      </c>
      <c r="L173" s="254" t="s">
        <v>340</v>
      </c>
      <c r="M173" s="254" t="s">
        <v>355</v>
      </c>
      <c r="N173" s="254" t="s">
        <v>343</v>
      </c>
      <c r="O173" s="247" t="s">
        <v>20</v>
      </c>
      <c r="Q173" s="12" t="s">
        <v>27</v>
      </c>
      <c r="R173" s="12" t="s">
        <v>28</v>
      </c>
      <c r="S173" s="12" t="s">
        <v>29</v>
      </c>
      <c r="T173" s="12" t="s">
        <v>30</v>
      </c>
      <c r="U173" s="12" t="s">
        <v>21</v>
      </c>
      <c r="V173" s="12" t="s">
        <v>22</v>
      </c>
      <c r="W173" s="12" t="s">
        <v>23</v>
      </c>
      <c r="X173" s="12" t="s">
        <v>24</v>
      </c>
      <c r="Y173" s="12" t="s">
        <v>356</v>
      </c>
      <c r="Z173" s="12" t="s">
        <v>336</v>
      </c>
      <c r="AA173" s="12" t="s">
        <v>26</v>
      </c>
      <c r="AB173" s="12" t="s">
        <v>31</v>
      </c>
      <c r="AC173" s="12" t="s">
        <v>32</v>
      </c>
      <c r="AD173" s="12" t="s">
        <v>333</v>
      </c>
    </row>
    <row r="174" spans="1:30" ht="39.9" customHeight="1" thickBot="1">
      <c r="A174" s="236"/>
      <c r="B174" s="55" t="s">
        <v>350</v>
      </c>
      <c r="C174" s="55" t="s">
        <v>351</v>
      </c>
      <c r="D174" s="55" t="s">
        <v>350</v>
      </c>
      <c r="E174" s="55" t="s">
        <v>351</v>
      </c>
      <c r="F174" s="236"/>
      <c r="G174" s="236"/>
      <c r="H174" s="236"/>
      <c r="I174" s="236"/>
      <c r="J174" s="236"/>
      <c r="K174" s="255"/>
      <c r="L174" s="255"/>
      <c r="M174" s="255"/>
      <c r="N174" s="255"/>
      <c r="O174" s="248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</row>
    <row r="175" spans="1:30" ht="15.75" customHeight="1">
      <c r="A175" s="42" t="s">
        <v>101</v>
      </c>
      <c r="B175" s="20">
        <v>0</v>
      </c>
      <c r="C175" s="20">
        <v>0</v>
      </c>
      <c r="D175" s="20">
        <f>B175</f>
        <v>0</v>
      </c>
      <c r="E175" s="20">
        <f>C175</f>
        <v>0</v>
      </c>
      <c r="F175" s="20">
        <v>0</v>
      </c>
      <c r="G175" s="20">
        <f t="shared" ref="G175:G186" si="41">(B175+C175+F175)+(D175+E175)</f>
        <v>0</v>
      </c>
      <c r="H175" s="20">
        <v>0</v>
      </c>
      <c r="I175" s="20">
        <f>(K171+B175+C175+F175)-H175</f>
        <v>0</v>
      </c>
      <c r="J175" s="20">
        <f>(D175+E175)</f>
        <v>0</v>
      </c>
      <c r="K175" s="20">
        <f>(K171+G175)-H175</f>
        <v>0</v>
      </c>
      <c r="L175" s="20">
        <f>ROUND((I175*8/100)/12,0)</f>
        <v>0</v>
      </c>
      <c r="M175" s="20">
        <f>ROUND((J175*8/100)/12,0)</f>
        <v>0</v>
      </c>
      <c r="N175" s="20">
        <f t="shared" ref="N175:N186" si="42">L175+M175</f>
        <v>0</v>
      </c>
      <c r="O175" s="210" t="s">
        <v>34</v>
      </c>
      <c r="Q175" s="1">
        <v>16</v>
      </c>
      <c r="R175" s="1">
        <v>16</v>
      </c>
      <c r="S175" s="1">
        <v>1356</v>
      </c>
      <c r="T175" s="22">
        <v>39933</v>
      </c>
      <c r="U175" s="30">
        <v>4500</v>
      </c>
      <c r="V175" s="30">
        <v>2250</v>
      </c>
      <c r="W175" s="30">
        <v>3645</v>
      </c>
      <c r="X175" s="30">
        <f t="shared" ref="X175:X186" si="43">U175+V175+W175</f>
        <v>10395</v>
      </c>
      <c r="Y175" s="30">
        <f t="shared" ref="Y175:Y186" si="44">ROUND(X175*10%,0)</f>
        <v>1040</v>
      </c>
      <c r="Z175" s="30">
        <v>1000</v>
      </c>
      <c r="AA175" s="30">
        <f t="shared" ref="AA175:AA186" si="45">Z175-Y175</f>
        <v>-40</v>
      </c>
      <c r="AB175" s="22">
        <v>39904</v>
      </c>
      <c r="AC175" s="1" t="s">
        <v>335</v>
      </c>
      <c r="AD175" s="1" t="s">
        <v>98</v>
      </c>
    </row>
    <row r="176" spans="1:30" ht="15.75" customHeight="1">
      <c r="A176" s="42" t="s">
        <v>102</v>
      </c>
      <c r="B176" s="20">
        <v>1000</v>
      </c>
      <c r="C176" s="20">
        <v>0</v>
      </c>
      <c r="D176" s="20">
        <f t="shared" ref="D176:E186" si="46">B176</f>
        <v>1000</v>
      </c>
      <c r="E176" s="20">
        <f t="shared" si="46"/>
        <v>0</v>
      </c>
      <c r="F176" s="20">
        <v>0</v>
      </c>
      <c r="G176" s="20">
        <f t="shared" si="41"/>
        <v>2000</v>
      </c>
      <c r="H176" s="20">
        <v>0</v>
      </c>
      <c r="I176" s="20">
        <f>(I175+B176+C176+F176)-H176</f>
        <v>1000</v>
      </c>
      <c r="J176" s="20">
        <f>(J175+D176+E176)</f>
        <v>1000</v>
      </c>
      <c r="K176" s="20">
        <f t="shared" ref="K176:K186" si="47">(K175+G176)-H176</f>
        <v>2000</v>
      </c>
      <c r="L176" s="20">
        <f t="shared" ref="L176:M186" si="48">ROUND((I176*8/100)/12,0)</f>
        <v>7</v>
      </c>
      <c r="M176" s="20">
        <f t="shared" si="48"/>
        <v>7</v>
      </c>
      <c r="N176" s="20">
        <f t="shared" si="42"/>
        <v>14</v>
      </c>
      <c r="O176" s="210"/>
      <c r="Q176" s="1">
        <v>27</v>
      </c>
      <c r="R176" s="1">
        <v>27</v>
      </c>
      <c r="S176" s="1">
        <v>2533</v>
      </c>
      <c r="T176" s="22">
        <v>39963</v>
      </c>
      <c r="U176" s="30">
        <v>4500</v>
      </c>
      <c r="V176" s="30">
        <v>2250</v>
      </c>
      <c r="W176" s="30">
        <v>3645</v>
      </c>
      <c r="X176" s="30">
        <f t="shared" si="43"/>
        <v>10395</v>
      </c>
      <c r="Y176" s="30">
        <f t="shared" si="44"/>
        <v>1040</v>
      </c>
      <c r="Z176" s="30">
        <v>1000</v>
      </c>
      <c r="AA176" s="30">
        <f t="shared" si="45"/>
        <v>-40</v>
      </c>
      <c r="AB176" s="22">
        <v>39934</v>
      </c>
      <c r="AC176" s="22">
        <v>39963</v>
      </c>
      <c r="AD176" s="1" t="s">
        <v>98</v>
      </c>
    </row>
    <row r="177" spans="1:30" ht="15.75" customHeight="1">
      <c r="A177" s="42" t="s">
        <v>103</v>
      </c>
      <c r="B177" s="20">
        <v>1000</v>
      </c>
      <c r="C177" s="20">
        <v>0</v>
      </c>
      <c r="D177" s="20">
        <f t="shared" si="46"/>
        <v>1000</v>
      </c>
      <c r="E177" s="20">
        <f t="shared" si="46"/>
        <v>0</v>
      </c>
      <c r="F177" s="20">
        <v>0</v>
      </c>
      <c r="G177" s="20">
        <f t="shared" si="41"/>
        <v>2000</v>
      </c>
      <c r="H177" s="20">
        <v>0</v>
      </c>
      <c r="I177" s="20">
        <f t="shared" ref="I177:I186" si="49">(I176+B177+C177+F177)-H177</f>
        <v>2000</v>
      </c>
      <c r="J177" s="20">
        <f t="shared" ref="J177:J186" si="50">(J176+D177+E177)</f>
        <v>2000</v>
      </c>
      <c r="K177" s="20">
        <f t="shared" si="47"/>
        <v>4000</v>
      </c>
      <c r="L177" s="20">
        <f t="shared" si="48"/>
        <v>13</v>
      </c>
      <c r="M177" s="20">
        <f t="shared" si="48"/>
        <v>13</v>
      </c>
      <c r="N177" s="20">
        <f t="shared" si="42"/>
        <v>26</v>
      </c>
      <c r="O177" s="210"/>
      <c r="Q177" s="1">
        <v>41</v>
      </c>
      <c r="R177" s="1">
        <v>41</v>
      </c>
      <c r="S177" s="1">
        <v>3884</v>
      </c>
      <c r="T177" s="22">
        <v>39994</v>
      </c>
      <c r="U177" s="30">
        <v>4350</v>
      </c>
      <c r="V177" s="30">
        <v>2175</v>
      </c>
      <c r="W177" s="30">
        <v>3524</v>
      </c>
      <c r="X177" s="30">
        <f t="shared" si="43"/>
        <v>10049</v>
      </c>
      <c r="Y177" s="30">
        <f t="shared" si="44"/>
        <v>1005</v>
      </c>
      <c r="Z177" s="30">
        <v>1000</v>
      </c>
      <c r="AA177" s="30">
        <f t="shared" si="45"/>
        <v>-5</v>
      </c>
      <c r="AB177" s="22">
        <v>39965</v>
      </c>
      <c r="AC177" s="22">
        <v>39994</v>
      </c>
      <c r="AD177" s="1" t="s">
        <v>98</v>
      </c>
    </row>
    <row r="178" spans="1:30" ht="15.75" customHeight="1">
      <c r="A178" s="42" t="s">
        <v>104</v>
      </c>
      <c r="B178" s="20">
        <v>1000</v>
      </c>
      <c r="C178" s="20">
        <v>0</v>
      </c>
      <c r="D178" s="20">
        <f t="shared" si="46"/>
        <v>1000</v>
      </c>
      <c r="E178" s="20">
        <f t="shared" si="46"/>
        <v>0</v>
      </c>
      <c r="F178" s="20">
        <v>0</v>
      </c>
      <c r="G178" s="20">
        <f t="shared" si="41"/>
        <v>2000</v>
      </c>
      <c r="H178" s="20">
        <v>0</v>
      </c>
      <c r="I178" s="20">
        <f t="shared" si="49"/>
        <v>3000</v>
      </c>
      <c r="J178" s="20">
        <f t="shared" si="50"/>
        <v>3000</v>
      </c>
      <c r="K178" s="20">
        <f t="shared" si="47"/>
        <v>6000</v>
      </c>
      <c r="L178" s="20">
        <f t="shared" si="48"/>
        <v>20</v>
      </c>
      <c r="M178" s="20">
        <f t="shared" si="48"/>
        <v>20</v>
      </c>
      <c r="N178" s="20">
        <f t="shared" si="42"/>
        <v>40</v>
      </c>
      <c r="O178" s="210"/>
      <c r="Q178" s="1">
        <v>54</v>
      </c>
      <c r="R178" s="1">
        <v>54</v>
      </c>
      <c r="S178" s="1">
        <v>5107</v>
      </c>
      <c r="T178" s="22">
        <v>40024</v>
      </c>
      <c r="U178" s="30">
        <v>4500</v>
      </c>
      <c r="V178" s="30">
        <v>2250</v>
      </c>
      <c r="W178" s="30">
        <v>3645</v>
      </c>
      <c r="X178" s="30">
        <f t="shared" si="43"/>
        <v>10395</v>
      </c>
      <c r="Y178" s="30">
        <f t="shared" si="44"/>
        <v>1040</v>
      </c>
      <c r="Z178" s="30">
        <v>1000</v>
      </c>
      <c r="AA178" s="30">
        <f t="shared" si="45"/>
        <v>-40</v>
      </c>
      <c r="AB178" s="22">
        <v>39995</v>
      </c>
      <c r="AC178" s="22">
        <v>40025</v>
      </c>
      <c r="AD178" s="1" t="s">
        <v>98</v>
      </c>
    </row>
    <row r="179" spans="1:30" ht="15.75" customHeight="1">
      <c r="A179" s="42" t="s">
        <v>105</v>
      </c>
      <c r="B179" s="20">
        <v>1000</v>
      </c>
      <c r="C179" s="20">
        <v>0</v>
      </c>
      <c r="D179" s="20">
        <f t="shared" si="46"/>
        <v>1000</v>
      </c>
      <c r="E179" s="20">
        <f t="shared" si="46"/>
        <v>0</v>
      </c>
      <c r="F179" s="20">
        <v>0</v>
      </c>
      <c r="G179" s="20">
        <f t="shared" si="41"/>
        <v>2000</v>
      </c>
      <c r="H179" s="20">
        <v>0</v>
      </c>
      <c r="I179" s="20">
        <f t="shared" si="49"/>
        <v>4000</v>
      </c>
      <c r="J179" s="20">
        <f t="shared" si="50"/>
        <v>4000</v>
      </c>
      <c r="K179" s="20">
        <f t="shared" si="47"/>
        <v>8000</v>
      </c>
      <c r="L179" s="20">
        <f t="shared" si="48"/>
        <v>27</v>
      </c>
      <c r="M179" s="20">
        <f t="shared" si="48"/>
        <v>27</v>
      </c>
      <c r="N179" s="20">
        <f t="shared" si="42"/>
        <v>54</v>
      </c>
      <c r="O179" s="210"/>
      <c r="Q179" s="1">
        <v>66</v>
      </c>
      <c r="R179" s="1">
        <v>66</v>
      </c>
      <c r="S179" s="1">
        <v>6316</v>
      </c>
      <c r="T179" s="22">
        <v>40056</v>
      </c>
      <c r="U179" s="30">
        <v>4500</v>
      </c>
      <c r="V179" s="30">
        <v>2250</v>
      </c>
      <c r="W179" s="30">
        <v>3645</v>
      </c>
      <c r="X179" s="30">
        <f t="shared" si="43"/>
        <v>10395</v>
      </c>
      <c r="Y179" s="30">
        <f t="shared" si="44"/>
        <v>1040</v>
      </c>
      <c r="Z179" s="30">
        <v>1000</v>
      </c>
      <c r="AA179" s="30">
        <f t="shared" si="45"/>
        <v>-40</v>
      </c>
      <c r="AB179" s="22">
        <v>40026</v>
      </c>
      <c r="AC179" s="22">
        <v>40056</v>
      </c>
      <c r="AD179" s="1" t="s">
        <v>98</v>
      </c>
    </row>
    <row r="180" spans="1:30" ht="15.75" customHeight="1">
      <c r="A180" s="42" t="s">
        <v>106</v>
      </c>
      <c r="B180" s="20">
        <v>1000</v>
      </c>
      <c r="C180" s="20">
        <v>0</v>
      </c>
      <c r="D180" s="20">
        <f t="shared" si="46"/>
        <v>1000</v>
      </c>
      <c r="E180" s="20">
        <f t="shared" si="46"/>
        <v>0</v>
      </c>
      <c r="F180" s="20">
        <v>0</v>
      </c>
      <c r="G180" s="20">
        <f t="shared" si="41"/>
        <v>2000</v>
      </c>
      <c r="H180" s="20">
        <v>0</v>
      </c>
      <c r="I180" s="20">
        <f t="shared" si="49"/>
        <v>5000</v>
      </c>
      <c r="J180" s="20">
        <f t="shared" si="50"/>
        <v>5000</v>
      </c>
      <c r="K180" s="20">
        <f t="shared" si="47"/>
        <v>10000</v>
      </c>
      <c r="L180" s="20">
        <f t="shared" si="48"/>
        <v>33</v>
      </c>
      <c r="M180" s="20">
        <f t="shared" si="48"/>
        <v>33</v>
      </c>
      <c r="N180" s="20">
        <f t="shared" si="42"/>
        <v>66</v>
      </c>
      <c r="O180" s="210"/>
      <c r="Q180" s="1">
        <v>80</v>
      </c>
      <c r="R180" s="1">
        <v>80</v>
      </c>
      <c r="S180" s="1">
        <v>7971</v>
      </c>
      <c r="T180" s="22">
        <v>40086</v>
      </c>
      <c r="U180" s="30">
        <v>4500</v>
      </c>
      <c r="V180" s="30">
        <v>2250</v>
      </c>
      <c r="W180" s="30">
        <v>3645</v>
      </c>
      <c r="X180" s="30">
        <f t="shared" si="43"/>
        <v>10395</v>
      </c>
      <c r="Y180" s="30">
        <f t="shared" si="44"/>
        <v>1040</v>
      </c>
      <c r="Z180" s="30">
        <v>1000</v>
      </c>
      <c r="AA180" s="30">
        <f t="shared" si="45"/>
        <v>-40</v>
      </c>
      <c r="AB180" s="22">
        <v>40057</v>
      </c>
      <c r="AC180" s="22">
        <v>40086</v>
      </c>
      <c r="AD180" s="1" t="s">
        <v>98</v>
      </c>
    </row>
    <row r="181" spans="1:30" ht="15.75" customHeight="1">
      <c r="A181" s="42" t="s">
        <v>107</v>
      </c>
      <c r="B181" s="20">
        <v>1000</v>
      </c>
      <c r="C181" s="20">
        <v>0</v>
      </c>
      <c r="D181" s="20">
        <f t="shared" si="46"/>
        <v>1000</v>
      </c>
      <c r="E181" s="20">
        <f t="shared" si="46"/>
        <v>0</v>
      </c>
      <c r="F181" s="20">
        <v>0</v>
      </c>
      <c r="G181" s="20">
        <f t="shared" si="41"/>
        <v>2000</v>
      </c>
      <c r="H181" s="20">
        <v>0</v>
      </c>
      <c r="I181" s="20">
        <f t="shared" si="49"/>
        <v>6000</v>
      </c>
      <c r="J181" s="20">
        <f t="shared" si="50"/>
        <v>6000</v>
      </c>
      <c r="K181" s="20">
        <f t="shared" si="47"/>
        <v>12000</v>
      </c>
      <c r="L181" s="20">
        <f t="shared" si="48"/>
        <v>40</v>
      </c>
      <c r="M181" s="20">
        <f t="shared" si="48"/>
        <v>40</v>
      </c>
      <c r="N181" s="20">
        <f t="shared" si="42"/>
        <v>80</v>
      </c>
      <c r="O181" s="210"/>
      <c r="Q181" s="1">
        <v>94</v>
      </c>
      <c r="R181" s="1">
        <v>94</v>
      </c>
      <c r="S181" s="1">
        <v>9495</v>
      </c>
      <c r="T181" s="22">
        <v>40117</v>
      </c>
      <c r="U181" s="30">
        <v>4500</v>
      </c>
      <c r="V181" s="30">
        <v>2250</v>
      </c>
      <c r="W181" s="30">
        <v>3645</v>
      </c>
      <c r="X181" s="30">
        <f t="shared" si="43"/>
        <v>10395</v>
      </c>
      <c r="Y181" s="30">
        <f t="shared" si="44"/>
        <v>1040</v>
      </c>
      <c r="Z181" s="30">
        <v>1000</v>
      </c>
      <c r="AA181" s="30">
        <f t="shared" si="45"/>
        <v>-40</v>
      </c>
      <c r="AB181" s="22">
        <v>40087</v>
      </c>
      <c r="AC181" s="22">
        <v>40117</v>
      </c>
      <c r="AD181" s="1" t="s">
        <v>98</v>
      </c>
    </row>
    <row r="182" spans="1:30" ht="15.75" customHeight="1">
      <c r="A182" s="42" t="s">
        <v>108</v>
      </c>
      <c r="B182" s="20">
        <v>1000</v>
      </c>
      <c r="C182" s="20">
        <v>0</v>
      </c>
      <c r="D182" s="20">
        <f t="shared" si="46"/>
        <v>1000</v>
      </c>
      <c r="E182" s="20">
        <f t="shared" si="46"/>
        <v>0</v>
      </c>
      <c r="F182" s="20">
        <v>0</v>
      </c>
      <c r="G182" s="20">
        <f t="shared" si="41"/>
        <v>2000</v>
      </c>
      <c r="H182" s="20">
        <v>0</v>
      </c>
      <c r="I182" s="20">
        <f t="shared" si="49"/>
        <v>7000</v>
      </c>
      <c r="J182" s="20">
        <f t="shared" si="50"/>
        <v>7000</v>
      </c>
      <c r="K182" s="20">
        <f t="shared" si="47"/>
        <v>14000</v>
      </c>
      <c r="L182" s="20">
        <f t="shared" si="48"/>
        <v>47</v>
      </c>
      <c r="M182" s="20">
        <f t="shared" si="48"/>
        <v>47</v>
      </c>
      <c r="N182" s="20">
        <f t="shared" si="42"/>
        <v>94</v>
      </c>
      <c r="O182" s="210"/>
      <c r="Q182" s="1">
        <v>105</v>
      </c>
      <c r="R182" s="1">
        <v>105</v>
      </c>
      <c r="S182" s="1">
        <v>10642</v>
      </c>
      <c r="T182" s="22">
        <v>40147</v>
      </c>
      <c r="U182" s="30">
        <v>4500</v>
      </c>
      <c r="V182" s="30">
        <v>2250</v>
      </c>
      <c r="W182" s="30">
        <v>3645</v>
      </c>
      <c r="X182" s="30">
        <f t="shared" si="43"/>
        <v>10395</v>
      </c>
      <c r="Y182" s="30">
        <f t="shared" si="44"/>
        <v>1040</v>
      </c>
      <c r="Z182" s="30">
        <v>1000</v>
      </c>
      <c r="AA182" s="30">
        <f t="shared" si="45"/>
        <v>-40</v>
      </c>
      <c r="AB182" s="22">
        <v>40118</v>
      </c>
      <c r="AC182" s="22">
        <v>40147</v>
      </c>
      <c r="AD182" s="1" t="s">
        <v>98</v>
      </c>
    </row>
    <row r="183" spans="1:30" ht="15.75" customHeight="1">
      <c r="A183" s="42" t="s">
        <v>109</v>
      </c>
      <c r="B183" s="20">
        <v>1000</v>
      </c>
      <c r="C183" s="20">
        <v>0</v>
      </c>
      <c r="D183" s="20">
        <f t="shared" si="46"/>
        <v>1000</v>
      </c>
      <c r="E183" s="20">
        <f t="shared" si="46"/>
        <v>0</v>
      </c>
      <c r="F183" s="20">
        <v>0</v>
      </c>
      <c r="G183" s="20">
        <f t="shared" si="41"/>
        <v>2000</v>
      </c>
      <c r="H183" s="20">
        <v>0</v>
      </c>
      <c r="I183" s="20">
        <f t="shared" si="49"/>
        <v>8000</v>
      </c>
      <c r="J183" s="20">
        <f t="shared" si="50"/>
        <v>8000</v>
      </c>
      <c r="K183" s="20">
        <f t="shared" si="47"/>
        <v>16000</v>
      </c>
      <c r="L183" s="20">
        <f t="shared" si="48"/>
        <v>53</v>
      </c>
      <c r="M183" s="20">
        <f t="shared" si="48"/>
        <v>53</v>
      </c>
      <c r="N183" s="20">
        <f t="shared" si="42"/>
        <v>106</v>
      </c>
      <c r="O183" s="210"/>
      <c r="Q183" s="1">
        <v>114</v>
      </c>
      <c r="R183" s="1">
        <v>114</v>
      </c>
      <c r="S183" s="1">
        <v>11497</v>
      </c>
      <c r="T183" s="22">
        <v>40178</v>
      </c>
      <c r="U183" s="30">
        <v>4500</v>
      </c>
      <c r="V183" s="30">
        <v>2250</v>
      </c>
      <c r="W183" s="30">
        <v>3645</v>
      </c>
      <c r="X183" s="30">
        <f t="shared" si="43"/>
        <v>10395</v>
      </c>
      <c r="Y183" s="30">
        <f t="shared" si="44"/>
        <v>1040</v>
      </c>
      <c r="Z183" s="30">
        <v>1000</v>
      </c>
      <c r="AA183" s="30">
        <f t="shared" si="45"/>
        <v>-40</v>
      </c>
      <c r="AB183" s="22">
        <v>40148</v>
      </c>
      <c r="AC183" s="22">
        <v>40178</v>
      </c>
      <c r="AD183" s="1" t="s">
        <v>98</v>
      </c>
    </row>
    <row r="184" spans="1:30" ht="15.75" customHeight="1">
      <c r="A184" s="42" t="s">
        <v>110</v>
      </c>
      <c r="B184" s="20">
        <v>1000</v>
      </c>
      <c r="C184" s="20">
        <v>0</v>
      </c>
      <c r="D184" s="20">
        <f t="shared" si="46"/>
        <v>1000</v>
      </c>
      <c r="E184" s="20">
        <f t="shared" si="46"/>
        <v>0</v>
      </c>
      <c r="F184" s="20">
        <v>0</v>
      </c>
      <c r="G184" s="20">
        <f t="shared" si="41"/>
        <v>2000</v>
      </c>
      <c r="H184" s="20">
        <v>0</v>
      </c>
      <c r="I184" s="20">
        <f t="shared" si="49"/>
        <v>9000</v>
      </c>
      <c r="J184" s="20">
        <f t="shared" si="50"/>
        <v>9000</v>
      </c>
      <c r="K184" s="20">
        <f t="shared" si="47"/>
        <v>18000</v>
      </c>
      <c r="L184" s="20">
        <f t="shared" si="48"/>
        <v>60</v>
      </c>
      <c r="M184" s="20">
        <f t="shared" si="48"/>
        <v>60</v>
      </c>
      <c r="N184" s="20">
        <f t="shared" si="42"/>
        <v>120</v>
      </c>
      <c r="O184" s="210"/>
      <c r="Q184" s="1">
        <v>126</v>
      </c>
      <c r="R184" s="1">
        <v>126</v>
      </c>
      <c r="S184" s="1">
        <v>12695</v>
      </c>
      <c r="T184" s="22">
        <v>40208</v>
      </c>
      <c r="U184" s="30">
        <v>4500</v>
      </c>
      <c r="V184" s="30">
        <v>2250</v>
      </c>
      <c r="W184" s="30">
        <v>3645</v>
      </c>
      <c r="X184" s="30">
        <f t="shared" si="43"/>
        <v>10395</v>
      </c>
      <c r="Y184" s="30">
        <f t="shared" si="44"/>
        <v>1040</v>
      </c>
      <c r="Z184" s="30">
        <v>1000</v>
      </c>
      <c r="AA184" s="30">
        <f t="shared" si="45"/>
        <v>-40</v>
      </c>
      <c r="AB184" s="22">
        <v>40179</v>
      </c>
      <c r="AC184" s="22">
        <v>40209</v>
      </c>
      <c r="AD184" s="1" t="s">
        <v>98</v>
      </c>
    </row>
    <row r="185" spans="1:30" ht="15.75" customHeight="1">
      <c r="A185" s="42" t="s">
        <v>111</v>
      </c>
      <c r="B185" s="20">
        <v>1000</v>
      </c>
      <c r="C185" s="20">
        <v>0</v>
      </c>
      <c r="D185" s="20">
        <f t="shared" si="46"/>
        <v>1000</v>
      </c>
      <c r="E185" s="20">
        <f t="shared" si="46"/>
        <v>0</v>
      </c>
      <c r="F185" s="20">
        <v>0</v>
      </c>
      <c r="G185" s="20">
        <f t="shared" si="41"/>
        <v>2000</v>
      </c>
      <c r="H185" s="20">
        <v>0</v>
      </c>
      <c r="I185" s="20">
        <f t="shared" si="49"/>
        <v>10000</v>
      </c>
      <c r="J185" s="20">
        <f t="shared" si="50"/>
        <v>10000</v>
      </c>
      <c r="K185" s="20">
        <f t="shared" si="47"/>
        <v>20000</v>
      </c>
      <c r="L185" s="20">
        <f t="shared" si="48"/>
        <v>67</v>
      </c>
      <c r="M185" s="20">
        <f t="shared" si="48"/>
        <v>67</v>
      </c>
      <c r="N185" s="20">
        <f t="shared" si="42"/>
        <v>134</v>
      </c>
      <c r="O185" s="210"/>
      <c r="Q185" s="1">
        <v>135</v>
      </c>
      <c r="R185" s="1">
        <v>135</v>
      </c>
      <c r="S185" s="1">
        <v>13705</v>
      </c>
      <c r="T185" s="22">
        <v>40235</v>
      </c>
      <c r="U185" s="30">
        <v>4625</v>
      </c>
      <c r="V185" s="30">
        <v>2313</v>
      </c>
      <c r="W185" s="30">
        <v>3747</v>
      </c>
      <c r="X185" s="30">
        <f t="shared" si="43"/>
        <v>10685</v>
      </c>
      <c r="Y185" s="30">
        <f t="shared" si="44"/>
        <v>1069</v>
      </c>
      <c r="Z185" s="30">
        <v>1000</v>
      </c>
      <c r="AA185" s="30">
        <f t="shared" si="45"/>
        <v>-69</v>
      </c>
      <c r="AB185" s="22">
        <v>40210</v>
      </c>
      <c r="AC185" s="22">
        <v>40235</v>
      </c>
      <c r="AD185" s="1" t="s">
        <v>98</v>
      </c>
    </row>
    <row r="186" spans="1:30" ht="15.75" customHeight="1" thickBot="1">
      <c r="A186" s="50" t="s">
        <v>112</v>
      </c>
      <c r="B186" s="20">
        <v>1000</v>
      </c>
      <c r="C186" s="47">
        <v>0</v>
      </c>
      <c r="D186" s="47">
        <f t="shared" si="46"/>
        <v>1000</v>
      </c>
      <c r="E186" s="47">
        <f t="shared" si="46"/>
        <v>0</v>
      </c>
      <c r="F186" s="47">
        <v>0</v>
      </c>
      <c r="G186" s="47">
        <f t="shared" si="41"/>
        <v>2000</v>
      </c>
      <c r="H186" s="47">
        <v>0</v>
      </c>
      <c r="I186" s="47">
        <f t="shared" si="49"/>
        <v>11000</v>
      </c>
      <c r="J186" s="47">
        <f t="shared" si="50"/>
        <v>11000</v>
      </c>
      <c r="K186" s="47">
        <f t="shared" si="47"/>
        <v>22000</v>
      </c>
      <c r="L186" s="47">
        <f t="shared" si="48"/>
        <v>73</v>
      </c>
      <c r="M186" s="47">
        <f t="shared" si="48"/>
        <v>73</v>
      </c>
      <c r="N186" s="47">
        <f t="shared" si="42"/>
        <v>146</v>
      </c>
      <c r="O186" s="253"/>
      <c r="Q186" s="1">
        <v>3</v>
      </c>
      <c r="R186" s="1">
        <v>3</v>
      </c>
      <c r="S186" s="1">
        <v>108</v>
      </c>
      <c r="T186" s="22">
        <v>40271</v>
      </c>
      <c r="U186" s="30">
        <v>4625</v>
      </c>
      <c r="V186" s="30">
        <v>2313</v>
      </c>
      <c r="W186" s="30">
        <v>3747</v>
      </c>
      <c r="X186" s="30">
        <f t="shared" si="43"/>
        <v>10685</v>
      </c>
      <c r="Y186" s="30">
        <f t="shared" si="44"/>
        <v>1069</v>
      </c>
      <c r="Z186" s="30">
        <v>2000</v>
      </c>
      <c r="AA186" s="30">
        <f t="shared" si="45"/>
        <v>931</v>
      </c>
      <c r="AB186" s="22">
        <v>40238</v>
      </c>
      <c r="AC186" s="22">
        <v>40268</v>
      </c>
      <c r="AD186" s="1" t="s">
        <v>98</v>
      </c>
    </row>
    <row r="187" spans="1:30" ht="15" thickBot="1">
      <c r="A187" s="55" t="s">
        <v>113</v>
      </c>
      <c r="B187" s="54">
        <f t="shared" ref="B187:M187" si="51">SUM(B175:B186)</f>
        <v>11000</v>
      </c>
      <c r="C187" s="54">
        <f t="shared" si="51"/>
        <v>0</v>
      </c>
      <c r="D187" s="54">
        <f t="shared" si="51"/>
        <v>11000</v>
      </c>
      <c r="E187" s="54">
        <f t="shared" si="51"/>
        <v>0</v>
      </c>
      <c r="F187" s="54">
        <f t="shared" si="51"/>
        <v>0</v>
      </c>
      <c r="G187" s="54">
        <f t="shared" si="51"/>
        <v>22000</v>
      </c>
      <c r="H187" s="54">
        <f t="shared" si="51"/>
        <v>0</v>
      </c>
      <c r="I187" s="54">
        <f t="shared" si="51"/>
        <v>66000</v>
      </c>
      <c r="J187" s="54">
        <f t="shared" si="51"/>
        <v>66000</v>
      </c>
      <c r="K187" s="54">
        <f t="shared" si="51"/>
        <v>132000</v>
      </c>
      <c r="L187" s="54">
        <f t="shared" si="51"/>
        <v>440</v>
      </c>
      <c r="M187" s="54">
        <f t="shared" si="51"/>
        <v>440</v>
      </c>
      <c r="N187" s="54">
        <f>SUM(N175:N186)</f>
        <v>880</v>
      </c>
      <c r="O187" s="56"/>
      <c r="P187" s="12"/>
      <c r="U187" s="31">
        <f t="shared" ref="U187:AA187" si="52">SUM(U175:U186)</f>
        <v>54100</v>
      </c>
      <c r="V187" s="31">
        <f t="shared" si="52"/>
        <v>27051</v>
      </c>
      <c r="W187" s="31">
        <f t="shared" si="52"/>
        <v>43823</v>
      </c>
      <c r="X187" s="31">
        <f t="shared" si="52"/>
        <v>124974</v>
      </c>
      <c r="Y187" s="31">
        <f t="shared" si="52"/>
        <v>12503</v>
      </c>
      <c r="Z187" s="31">
        <f t="shared" si="52"/>
        <v>13000</v>
      </c>
      <c r="AA187" s="31">
        <f t="shared" si="52"/>
        <v>497</v>
      </c>
    </row>
    <row r="188" spans="1:30" ht="15" thickBot="1">
      <c r="A188" s="5"/>
      <c r="B188" s="5"/>
      <c r="C188" s="5"/>
      <c r="D188" s="5"/>
      <c r="E188" s="5"/>
      <c r="H188" s="21"/>
      <c r="I188" s="21"/>
      <c r="J188" s="21"/>
      <c r="K188" s="6"/>
      <c r="L188" s="6"/>
      <c r="M188" s="6"/>
      <c r="N188" s="5"/>
    </row>
    <row r="189" spans="1:30" ht="15.75" customHeight="1" thickBot="1">
      <c r="A189" s="5"/>
      <c r="B189" s="6"/>
      <c r="C189" s="6"/>
      <c r="D189" s="6"/>
      <c r="E189" s="5"/>
      <c r="F189" s="53">
        <v>1</v>
      </c>
      <c r="G189" s="211" t="s">
        <v>47</v>
      </c>
      <c r="H189" s="212"/>
      <c r="I189" s="212"/>
      <c r="J189" s="212"/>
      <c r="K189" s="213"/>
      <c r="L189" s="54">
        <f>K171</f>
        <v>0</v>
      </c>
      <c r="M189" s="2"/>
      <c r="O189" s="1"/>
      <c r="S189" s="30"/>
      <c r="T189" s="30"/>
      <c r="Z189" s="1"/>
      <c r="AA189" s="1"/>
    </row>
    <row r="190" spans="1:30" ht="15.75" customHeight="1" thickBot="1">
      <c r="A190" s="5"/>
      <c r="B190" s="6"/>
      <c r="C190" s="6"/>
      <c r="D190" s="6"/>
      <c r="E190" s="5"/>
      <c r="F190" s="53">
        <v>2</v>
      </c>
      <c r="G190" s="211" t="s">
        <v>344</v>
      </c>
      <c r="H190" s="212"/>
      <c r="I190" s="212"/>
      <c r="J190" s="212"/>
      <c r="K190" s="213"/>
      <c r="L190" s="54">
        <f>B187+C187</f>
        <v>11000</v>
      </c>
      <c r="M190" s="2"/>
      <c r="O190" s="1"/>
      <c r="S190" s="30"/>
      <c r="T190" s="30"/>
      <c r="Z190" s="1"/>
      <c r="AA190" s="1"/>
    </row>
    <row r="191" spans="1:30" ht="15.75" customHeight="1" thickBot="1">
      <c r="A191" s="5"/>
      <c r="B191" s="6"/>
      <c r="C191" s="6"/>
      <c r="D191" s="6"/>
      <c r="E191" s="5"/>
      <c r="F191" s="53">
        <v>3</v>
      </c>
      <c r="G191" s="211" t="s">
        <v>345</v>
      </c>
      <c r="H191" s="212"/>
      <c r="I191" s="212"/>
      <c r="J191" s="212"/>
      <c r="K191" s="213"/>
      <c r="L191" s="54">
        <f>F187</f>
        <v>0</v>
      </c>
      <c r="M191" s="2"/>
      <c r="O191" s="1"/>
      <c r="S191" s="30"/>
      <c r="T191" s="30"/>
      <c r="Z191" s="1"/>
      <c r="AA191" s="1"/>
    </row>
    <row r="192" spans="1:30" ht="15.75" customHeight="1" thickBot="1">
      <c r="A192" s="5"/>
      <c r="B192" s="6"/>
      <c r="C192" s="6"/>
      <c r="D192" s="6"/>
      <c r="E192" s="5"/>
      <c r="F192" s="53">
        <v>4</v>
      </c>
      <c r="G192" s="211" t="s">
        <v>346</v>
      </c>
      <c r="H192" s="212"/>
      <c r="I192" s="212"/>
      <c r="J192" s="212"/>
      <c r="K192" s="213"/>
      <c r="L192" s="54">
        <f>L190+L191</f>
        <v>11000</v>
      </c>
      <c r="M192" s="2"/>
      <c r="O192" s="1"/>
      <c r="S192" s="30"/>
      <c r="T192" s="30"/>
      <c r="Z192" s="1"/>
      <c r="AA192" s="1"/>
    </row>
    <row r="193" spans="1:27" ht="15" thickBot="1">
      <c r="A193" s="5"/>
      <c r="B193" s="6"/>
      <c r="C193" s="6"/>
      <c r="D193" s="6"/>
      <c r="E193" s="5"/>
      <c r="F193" s="53">
        <v>5</v>
      </c>
      <c r="G193" s="211" t="s">
        <v>349</v>
      </c>
      <c r="H193" s="212"/>
      <c r="I193" s="212"/>
      <c r="J193" s="212"/>
      <c r="K193" s="213"/>
      <c r="L193" s="54">
        <f>D187+E187</f>
        <v>11000</v>
      </c>
      <c r="M193" s="2"/>
      <c r="O193" s="1"/>
      <c r="S193" s="30"/>
      <c r="T193" s="30"/>
      <c r="Z193" s="1"/>
      <c r="AA193" s="1"/>
    </row>
    <row r="194" spans="1:27" ht="15.75" customHeight="1" thickBot="1">
      <c r="A194" s="5"/>
      <c r="B194" s="5"/>
      <c r="C194" s="5"/>
      <c r="D194" s="5"/>
      <c r="E194" s="5"/>
      <c r="F194" s="53">
        <v>6</v>
      </c>
      <c r="G194" s="211" t="s">
        <v>347</v>
      </c>
      <c r="H194" s="212"/>
      <c r="I194" s="212"/>
      <c r="J194" s="212"/>
      <c r="K194" s="213"/>
      <c r="L194" s="54">
        <f>L189+L192+L193</f>
        <v>22000</v>
      </c>
      <c r="M194" s="2"/>
      <c r="O194" s="1"/>
      <c r="S194" s="30"/>
      <c r="T194" s="30"/>
      <c r="Z194" s="1"/>
      <c r="AA194" s="1"/>
    </row>
    <row r="195" spans="1:27" ht="15.75" customHeight="1" thickBot="1">
      <c r="A195" s="5"/>
      <c r="B195" s="5"/>
      <c r="C195" s="5"/>
      <c r="D195" s="5"/>
      <c r="E195" s="5"/>
      <c r="F195" s="53">
        <v>7</v>
      </c>
      <c r="G195" s="211" t="s">
        <v>50</v>
      </c>
      <c r="H195" s="212"/>
      <c r="I195" s="212"/>
      <c r="J195" s="212"/>
      <c r="K195" s="213"/>
      <c r="L195" s="54">
        <f>H187</f>
        <v>0</v>
      </c>
      <c r="M195" s="2"/>
      <c r="O195" s="1"/>
      <c r="S195" s="30"/>
      <c r="T195" s="30"/>
      <c r="Z195" s="1"/>
      <c r="AA195" s="1"/>
    </row>
    <row r="196" spans="1:27" ht="15.75" customHeight="1" thickBot="1">
      <c r="A196" s="5"/>
      <c r="B196" s="5"/>
      <c r="C196" s="5"/>
      <c r="D196" s="5"/>
      <c r="E196" s="5"/>
      <c r="F196" s="53">
        <v>8</v>
      </c>
      <c r="G196" s="211" t="s">
        <v>340</v>
      </c>
      <c r="H196" s="212"/>
      <c r="I196" s="212"/>
      <c r="J196" s="212"/>
      <c r="K196" s="213"/>
      <c r="L196" s="54">
        <f>L187</f>
        <v>440</v>
      </c>
      <c r="M196" s="2"/>
      <c r="O196" s="1"/>
      <c r="S196" s="30"/>
      <c r="T196" s="30"/>
      <c r="Z196" s="1"/>
      <c r="AA196" s="1"/>
    </row>
    <row r="197" spans="1:27" ht="15.75" customHeight="1" thickBot="1">
      <c r="A197" s="5"/>
      <c r="B197" s="5"/>
      <c r="C197" s="5"/>
      <c r="D197" s="5"/>
      <c r="E197" s="5"/>
      <c r="F197" s="53">
        <v>9</v>
      </c>
      <c r="G197" s="211" t="s">
        <v>355</v>
      </c>
      <c r="H197" s="212"/>
      <c r="I197" s="212"/>
      <c r="J197" s="212"/>
      <c r="K197" s="213"/>
      <c r="L197" s="54">
        <f>M187</f>
        <v>440</v>
      </c>
      <c r="M197" s="2"/>
      <c r="O197" s="1"/>
      <c r="S197" s="30"/>
      <c r="T197" s="30"/>
      <c r="Z197" s="1"/>
      <c r="AA197" s="1"/>
    </row>
    <row r="198" spans="1:27" ht="15.75" customHeight="1" thickBot="1">
      <c r="A198" s="5"/>
      <c r="B198" s="5"/>
      <c r="C198" s="5"/>
      <c r="D198" s="5"/>
      <c r="E198" s="5"/>
      <c r="F198" s="53">
        <v>10</v>
      </c>
      <c r="G198" s="211" t="s">
        <v>348</v>
      </c>
      <c r="H198" s="212"/>
      <c r="I198" s="212"/>
      <c r="J198" s="212"/>
      <c r="K198" s="213"/>
      <c r="L198" s="54">
        <f>N187</f>
        <v>880</v>
      </c>
      <c r="M198" s="2"/>
      <c r="O198" s="1"/>
      <c r="S198" s="30"/>
      <c r="T198" s="30"/>
      <c r="Z198" s="1"/>
      <c r="AA198" s="1"/>
    </row>
    <row r="199" spans="1:27" ht="15.75" customHeight="1" thickBot="1">
      <c r="A199" s="5"/>
      <c r="B199" s="5"/>
      <c r="C199" s="5"/>
      <c r="D199" s="5"/>
      <c r="E199" s="5"/>
      <c r="F199" s="53">
        <v>11</v>
      </c>
      <c r="G199" s="212" t="s">
        <v>359</v>
      </c>
      <c r="H199" s="212"/>
      <c r="I199" s="212"/>
      <c r="J199" s="212"/>
      <c r="K199" s="213"/>
      <c r="L199" s="54">
        <f>L194-L195+L198</f>
        <v>22880</v>
      </c>
      <c r="M199" s="2"/>
      <c r="O199" s="1"/>
      <c r="S199" s="30"/>
      <c r="T199" s="30"/>
      <c r="Z199" s="1"/>
      <c r="AA199" s="1"/>
    </row>
    <row r="200" spans="1:27">
      <c r="A200" s="5"/>
      <c r="B200" s="5"/>
      <c r="C200" s="5"/>
      <c r="D200" s="5"/>
      <c r="E200" s="5"/>
      <c r="F200" s="5"/>
      <c r="G200" s="17"/>
      <c r="H200" s="17"/>
      <c r="I200" s="17"/>
      <c r="J200" s="17"/>
      <c r="K200" s="17"/>
      <c r="L200" s="17"/>
      <c r="M200" s="17"/>
      <c r="N200" s="6"/>
    </row>
    <row r="201" spans="1:27"/>
    <row r="202" spans="1:27"/>
    <row r="203" spans="1:27" ht="16.8">
      <c r="A203" s="249" t="s">
        <v>53</v>
      </c>
      <c r="B203" s="249"/>
      <c r="C203" s="18"/>
      <c r="D203" s="18"/>
      <c r="E203" s="249" t="s">
        <v>54</v>
      </c>
      <c r="F203" s="249"/>
      <c r="G203" s="249"/>
      <c r="H203" s="250" t="s">
        <v>55</v>
      </c>
      <c r="I203" s="250"/>
      <c r="J203" s="250"/>
      <c r="K203" s="250"/>
      <c r="L203" s="250"/>
      <c r="M203" s="250"/>
      <c r="N203" s="250"/>
    </row>
    <row r="204" spans="1:27" ht="16.8">
      <c r="A204" s="18"/>
      <c r="B204" s="18"/>
      <c r="C204" s="18"/>
      <c r="D204" s="18"/>
      <c r="E204" s="18"/>
      <c r="F204" s="18"/>
      <c r="G204" s="19"/>
      <c r="H204" s="19"/>
      <c r="I204" s="19"/>
      <c r="J204" s="19"/>
    </row>
    <row r="205" spans="1:27" ht="16.8">
      <c r="A205" s="18"/>
      <c r="B205" s="18"/>
      <c r="C205" s="18"/>
      <c r="D205" s="18"/>
      <c r="E205" s="18"/>
      <c r="F205" s="18"/>
      <c r="G205" s="19"/>
      <c r="H205" s="19"/>
      <c r="I205" s="19"/>
      <c r="J205" s="19"/>
    </row>
    <row r="206" spans="1:27" ht="18.600000000000001">
      <c r="A206" s="224" t="s">
        <v>0</v>
      </c>
      <c r="B206" s="224"/>
      <c r="C206" s="224"/>
      <c r="D206" s="224"/>
      <c r="E206" s="224"/>
      <c r="F206" s="224"/>
      <c r="G206" s="224"/>
      <c r="H206" s="224"/>
      <c r="I206" s="224"/>
      <c r="J206" s="224"/>
      <c r="K206" s="224"/>
      <c r="L206" s="224"/>
      <c r="M206" s="224"/>
      <c r="N206" s="224"/>
      <c r="O206" s="224"/>
    </row>
    <row r="207" spans="1:27" ht="18.600000000000001">
      <c r="A207" s="224" t="s">
        <v>1</v>
      </c>
      <c r="B207" s="224"/>
      <c r="C207" s="224"/>
      <c r="D207" s="224"/>
      <c r="E207" s="224"/>
      <c r="F207" s="224"/>
      <c r="G207" s="224"/>
      <c r="H207" s="224"/>
      <c r="I207" s="224"/>
      <c r="J207" s="224"/>
      <c r="K207" s="224"/>
      <c r="L207" s="224"/>
      <c r="M207" s="224"/>
      <c r="N207" s="224"/>
      <c r="O207" s="224"/>
    </row>
    <row r="208" spans="1:27"/>
    <row r="209" spans="1:31" ht="15" thickBot="1">
      <c r="A209" s="225" t="s">
        <v>114</v>
      </c>
      <c r="B209" s="225"/>
      <c r="C209" s="225"/>
      <c r="D209" s="225"/>
      <c r="E209" s="225"/>
      <c r="F209" s="225"/>
      <c r="G209" s="225"/>
      <c r="H209" s="225"/>
      <c r="I209" s="225"/>
      <c r="J209" s="225"/>
      <c r="K209" s="225"/>
      <c r="L209" s="225"/>
      <c r="M209" s="225"/>
      <c r="N209" s="225"/>
    </row>
    <row r="210" spans="1:31" ht="36" customHeight="1" thickBot="1">
      <c r="A210" s="55" t="s">
        <v>3</v>
      </c>
      <c r="B210" s="53">
        <f>B167</f>
        <v>9255</v>
      </c>
      <c r="C210" s="5"/>
      <c r="D210" s="5"/>
      <c r="E210" s="211" t="s">
        <v>4</v>
      </c>
      <c r="F210" s="213" t="str">
        <f>F167</f>
        <v>Mahajan Ganesh Trambak</v>
      </c>
      <c r="G210" s="5"/>
      <c r="H210" s="211" t="str">
        <f>H167</f>
        <v>Mahajan Ganesh Trambak</v>
      </c>
      <c r="I210" s="212"/>
      <c r="J210" s="212"/>
      <c r="K210" s="212"/>
      <c r="L210" s="212"/>
      <c r="M210" s="212"/>
      <c r="N210" s="212"/>
      <c r="O210" s="213"/>
    </row>
    <row r="211" spans="1:31" ht="15" thickBot="1">
      <c r="A211" s="5"/>
      <c r="E211" s="5"/>
      <c r="F211" s="5"/>
      <c r="G211" s="5"/>
      <c r="H211" s="5"/>
      <c r="I211" s="5"/>
      <c r="J211" s="5"/>
      <c r="K211" s="6"/>
      <c r="L211" s="6"/>
      <c r="M211" s="6"/>
      <c r="N211" s="5"/>
    </row>
    <row r="212" spans="1:31" ht="36" customHeight="1" thickBot="1">
      <c r="A212" s="55" t="s">
        <v>6</v>
      </c>
      <c r="B212" s="55" t="str">
        <f>B169</f>
        <v>06.06.2007</v>
      </c>
      <c r="C212" s="5"/>
      <c r="D212" s="5"/>
      <c r="E212" s="55" t="s">
        <v>7</v>
      </c>
      <c r="F212" s="55">
        <f>F169</f>
        <v>2301</v>
      </c>
      <c r="G212" s="5"/>
      <c r="H212" s="55" t="s">
        <v>8</v>
      </c>
      <c r="I212" s="211" t="str">
        <f>I169</f>
        <v>Asst. Jr. Engineer</v>
      </c>
      <c r="J212" s="212"/>
      <c r="K212" s="212" t="str">
        <f>K169</f>
        <v>Asst. Jr. Engineer</v>
      </c>
      <c r="L212" s="212"/>
      <c r="M212" s="212"/>
      <c r="N212" s="212"/>
      <c r="O212" s="213"/>
    </row>
    <row r="213" spans="1:31" ht="15" thickBo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6"/>
      <c r="L213" s="6"/>
      <c r="M213" s="6"/>
      <c r="N213" s="5"/>
    </row>
    <row r="214" spans="1:31" ht="24" customHeight="1" thickBot="1">
      <c r="A214" s="55" t="s">
        <v>10</v>
      </c>
      <c r="B214" s="58">
        <v>0.08</v>
      </c>
      <c r="C214" s="5"/>
      <c r="D214" s="5"/>
      <c r="E214" s="55" t="s">
        <v>11</v>
      </c>
      <c r="F214" s="58">
        <v>0</v>
      </c>
      <c r="G214" s="5"/>
      <c r="H214" s="239" t="s">
        <v>12</v>
      </c>
      <c r="I214" s="240"/>
      <c r="J214" s="241"/>
      <c r="K214" s="242">
        <f>L199</f>
        <v>22880</v>
      </c>
      <c r="L214" s="243"/>
      <c r="M214" s="243"/>
      <c r="N214" s="243"/>
      <c r="O214" s="244"/>
    </row>
    <row r="215" spans="1:31" ht="15" thickBo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6"/>
      <c r="L215" s="6"/>
      <c r="M215" s="6"/>
      <c r="N215" s="5"/>
    </row>
    <row r="216" spans="1:31" ht="39.9" customHeight="1" thickBot="1">
      <c r="A216" s="235" t="s">
        <v>13</v>
      </c>
      <c r="B216" s="256" t="s">
        <v>14</v>
      </c>
      <c r="C216" s="257"/>
      <c r="D216" s="256" t="s">
        <v>349</v>
      </c>
      <c r="E216" s="257"/>
      <c r="F216" s="235" t="s">
        <v>342</v>
      </c>
      <c r="G216" s="235" t="s">
        <v>16</v>
      </c>
      <c r="H216" s="235" t="s">
        <v>17</v>
      </c>
      <c r="I216" s="235" t="s">
        <v>341</v>
      </c>
      <c r="J216" s="235" t="s">
        <v>354</v>
      </c>
      <c r="K216" s="254" t="s">
        <v>353</v>
      </c>
      <c r="L216" s="254" t="s">
        <v>340</v>
      </c>
      <c r="M216" s="254" t="s">
        <v>355</v>
      </c>
      <c r="N216" s="254" t="s">
        <v>343</v>
      </c>
      <c r="O216" s="247" t="s">
        <v>20</v>
      </c>
      <c r="Q216" s="12" t="s">
        <v>27</v>
      </c>
      <c r="R216" s="12" t="s">
        <v>28</v>
      </c>
      <c r="S216" s="12" t="s">
        <v>29</v>
      </c>
      <c r="T216" s="12" t="s">
        <v>30</v>
      </c>
      <c r="U216" s="12" t="s">
        <v>21</v>
      </c>
      <c r="V216" s="12" t="s">
        <v>22</v>
      </c>
      <c r="W216" s="12" t="s">
        <v>23</v>
      </c>
      <c r="X216" s="12" t="s">
        <v>24</v>
      </c>
      <c r="Y216" s="12" t="s">
        <v>356</v>
      </c>
      <c r="Z216" s="12" t="s">
        <v>336</v>
      </c>
      <c r="AA216" s="12" t="s">
        <v>26</v>
      </c>
      <c r="AB216" s="12" t="s">
        <v>31</v>
      </c>
      <c r="AC216" s="12" t="s">
        <v>32</v>
      </c>
      <c r="AD216" s="12" t="s">
        <v>333</v>
      </c>
    </row>
    <row r="217" spans="1:31" ht="39.9" customHeight="1" thickBot="1">
      <c r="A217" s="236"/>
      <c r="B217" s="55" t="s">
        <v>350</v>
      </c>
      <c r="C217" s="55" t="s">
        <v>351</v>
      </c>
      <c r="D217" s="55" t="s">
        <v>350</v>
      </c>
      <c r="E217" s="55" t="s">
        <v>351</v>
      </c>
      <c r="F217" s="236"/>
      <c r="G217" s="236"/>
      <c r="H217" s="236"/>
      <c r="I217" s="236"/>
      <c r="J217" s="236"/>
      <c r="K217" s="255"/>
      <c r="L217" s="255"/>
      <c r="M217" s="255"/>
      <c r="N217" s="255"/>
      <c r="O217" s="248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</row>
    <row r="218" spans="1:31" ht="18" customHeight="1">
      <c r="A218" s="42" t="s">
        <v>115</v>
      </c>
      <c r="B218" s="20">
        <v>2000</v>
      </c>
      <c r="C218" s="20">
        <v>0</v>
      </c>
      <c r="D218" s="20">
        <f>B218</f>
        <v>2000</v>
      </c>
      <c r="E218" s="20">
        <f>C218</f>
        <v>0</v>
      </c>
      <c r="F218" s="20">
        <v>0</v>
      </c>
      <c r="G218" s="20">
        <f t="shared" ref="G218:G230" si="53">(B218+C218+F218)+(D218+E218)</f>
        <v>4000</v>
      </c>
      <c r="H218" s="20">
        <v>0</v>
      </c>
      <c r="I218" s="20">
        <f>(K214+B218+C218+F218)-H218</f>
        <v>24880</v>
      </c>
      <c r="J218" s="20">
        <f>(D218+E218)</f>
        <v>2000</v>
      </c>
      <c r="K218" s="20">
        <f>(K214+G218)-H218</f>
        <v>26880</v>
      </c>
      <c r="L218" s="20">
        <f>ROUND((I218*8/100)/12,0)</f>
        <v>166</v>
      </c>
      <c r="M218" s="20">
        <f>ROUND((J218*8/100)/12,0)</f>
        <v>13</v>
      </c>
      <c r="N218" s="20">
        <f>L218+M218</f>
        <v>179</v>
      </c>
      <c r="O218" s="210" t="s">
        <v>34</v>
      </c>
      <c r="Q218" s="1">
        <v>11</v>
      </c>
      <c r="R218" s="1">
        <v>11</v>
      </c>
      <c r="S218" s="1">
        <v>1034</v>
      </c>
      <c r="T218" s="22">
        <v>40298</v>
      </c>
      <c r="U218" s="30">
        <v>4625</v>
      </c>
      <c r="V218" s="30">
        <v>2313</v>
      </c>
      <c r="W218" s="30">
        <v>3747</v>
      </c>
      <c r="X218" s="30">
        <f t="shared" ref="X218:X219" si="54">U218+V218+W218</f>
        <v>10685</v>
      </c>
      <c r="Y218" s="30">
        <f t="shared" ref="Y218:Y219" si="55">ROUND(X218*10%,0)</f>
        <v>1069</v>
      </c>
      <c r="Z218" s="30">
        <v>2000</v>
      </c>
      <c r="AA218" s="30">
        <f t="shared" ref="AA218:AA219" si="56">Z218-Y218</f>
        <v>931</v>
      </c>
      <c r="AB218" s="22">
        <v>40269</v>
      </c>
      <c r="AC218" s="22">
        <v>40298</v>
      </c>
      <c r="AD218" s="1" t="s">
        <v>98</v>
      </c>
    </row>
    <row r="219" spans="1:31" ht="18" customHeight="1">
      <c r="A219" s="262" t="s">
        <v>116</v>
      </c>
      <c r="B219" s="208">
        <v>2000</v>
      </c>
      <c r="C219" s="208">
        <v>0</v>
      </c>
      <c r="D219" s="208">
        <f t="shared" ref="D219:E230" si="57">B219</f>
        <v>2000</v>
      </c>
      <c r="E219" s="208">
        <f t="shared" si="57"/>
        <v>0</v>
      </c>
      <c r="F219" s="208">
        <v>0</v>
      </c>
      <c r="G219" s="208">
        <f t="shared" si="53"/>
        <v>4000</v>
      </c>
      <c r="H219" s="208">
        <v>0</v>
      </c>
      <c r="I219" s="208">
        <f>(I218+B219+C219+F219)-H219</f>
        <v>26880</v>
      </c>
      <c r="J219" s="208">
        <f>(J218+D219+E219)</f>
        <v>4000</v>
      </c>
      <c r="K219" s="208">
        <f t="shared" ref="K219:K230" si="58">(K218+G219)-H219</f>
        <v>30880</v>
      </c>
      <c r="L219" s="208">
        <f t="shared" ref="L219:M230" si="59">ROUND((I219*8/100)/12,0)</f>
        <v>179</v>
      </c>
      <c r="M219" s="208">
        <f t="shared" si="59"/>
        <v>27</v>
      </c>
      <c r="N219" s="208">
        <f t="shared" ref="N219:N230" si="60">L219+M219</f>
        <v>206</v>
      </c>
      <c r="O219" s="210"/>
      <c r="Q219" s="24">
        <v>15</v>
      </c>
      <c r="R219" s="24">
        <v>15</v>
      </c>
      <c r="S219" s="24">
        <v>1377</v>
      </c>
      <c r="T219" s="25">
        <v>40309</v>
      </c>
      <c r="U219" s="33">
        <v>24072</v>
      </c>
      <c r="V219" s="33">
        <v>0</v>
      </c>
      <c r="W219" s="33">
        <v>0</v>
      </c>
      <c r="X219" s="33">
        <f t="shared" si="54"/>
        <v>24072</v>
      </c>
      <c r="Y219" s="33">
        <f t="shared" si="55"/>
        <v>2407</v>
      </c>
      <c r="Z219" s="33">
        <v>0</v>
      </c>
      <c r="AA219" s="33">
        <f t="shared" si="56"/>
        <v>-2407</v>
      </c>
      <c r="AB219" s="25">
        <v>40299</v>
      </c>
      <c r="AC219" s="25">
        <v>40329</v>
      </c>
      <c r="AD219" s="24" t="s">
        <v>74</v>
      </c>
      <c r="AE219" s="1" t="s">
        <v>337</v>
      </c>
    </row>
    <row r="220" spans="1:31" ht="18" customHeight="1">
      <c r="A220" s="262"/>
      <c r="B220" s="214"/>
      <c r="C220" s="214"/>
      <c r="D220" s="214"/>
      <c r="E220" s="214"/>
      <c r="F220" s="214"/>
      <c r="G220" s="214"/>
      <c r="H220" s="214"/>
      <c r="I220" s="214"/>
      <c r="J220" s="214"/>
      <c r="K220" s="214"/>
      <c r="L220" s="214"/>
      <c r="M220" s="214"/>
      <c r="N220" s="214"/>
      <c r="O220" s="210"/>
      <c r="Q220" s="37">
        <v>20</v>
      </c>
      <c r="R220" s="37">
        <v>20</v>
      </c>
      <c r="S220" s="37">
        <v>1949</v>
      </c>
      <c r="T220" s="36">
        <v>40329</v>
      </c>
      <c r="U220" s="35">
        <v>4625</v>
      </c>
      <c r="V220" s="35">
        <v>2313</v>
      </c>
      <c r="W220" s="35">
        <v>3747</v>
      </c>
      <c r="X220" s="35">
        <v>10685</v>
      </c>
      <c r="Y220" s="35">
        <v>1069</v>
      </c>
      <c r="Z220" s="35">
        <v>2000</v>
      </c>
      <c r="AA220" s="35">
        <v>931</v>
      </c>
      <c r="AB220" s="36">
        <v>40299</v>
      </c>
      <c r="AC220" s="36">
        <v>40329</v>
      </c>
      <c r="AD220" s="37" t="s">
        <v>98</v>
      </c>
    </row>
    <row r="221" spans="1:31" ht="18" customHeight="1">
      <c r="A221" s="42" t="s">
        <v>117</v>
      </c>
      <c r="B221" s="20">
        <v>2000</v>
      </c>
      <c r="C221" s="20">
        <v>0</v>
      </c>
      <c r="D221" s="20">
        <f t="shared" si="57"/>
        <v>2000</v>
      </c>
      <c r="E221" s="20">
        <f t="shared" si="57"/>
        <v>0</v>
      </c>
      <c r="F221" s="20">
        <v>0</v>
      </c>
      <c r="G221" s="20">
        <f t="shared" si="53"/>
        <v>4000</v>
      </c>
      <c r="H221" s="20">
        <v>0</v>
      </c>
      <c r="I221" s="20">
        <f t="shared" ref="I221:I230" si="61">(I220+B221+C221+F221)-H221</f>
        <v>2000</v>
      </c>
      <c r="J221" s="20">
        <f t="shared" ref="J221:J230" si="62">(J220+D221+E221)</f>
        <v>2000</v>
      </c>
      <c r="K221" s="20">
        <f t="shared" si="58"/>
        <v>4000</v>
      </c>
      <c r="L221" s="20">
        <f t="shared" si="59"/>
        <v>13</v>
      </c>
      <c r="M221" s="20">
        <f t="shared" si="59"/>
        <v>13</v>
      </c>
      <c r="N221" s="20">
        <f t="shared" si="60"/>
        <v>26</v>
      </c>
      <c r="O221" s="210"/>
      <c r="Q221" s="1">
        <v>30</v>
      </c>
      <c r="R221" s="1">
        <v>30</v>
      </c>
      <c r="S221" s="1">
        <v>3147</v>
      </c>
      <c r="T221" s="22">
        <v>40359</v>
      </c>
      <c r="U221" s="30">
        <v>4625</v>
      </c>
      <c r="V221" s="30">
        <v>2313</v>
      </c>
      <c r="W221" s="30">
        <v>3747</v>
      </c>
      <c r="X221" s="30">
        <f t="shared" ref="X221:X230" si="63">U221+V221+W221</f>
        <v>10685</v>
      </c>
      <c r="Y221" s="30">
        <f t="shared" ref="Y221:Y230" si="64">ROUND(X221*10%,0)</f>
        <v>1069</v>
      </c>
      <c r="Z221" s="30">
        <v>2000</v>
      </c>
      <c r="AA221" s="30">
        <f t="shared" ref="AA221:AA230" si="65">Z221-Y221</f>
        <v>931</v>
      </c>
      <c r="AB221" s="22">
        <v>40330</v>
      </c>
      <c r="AC221" s="22">
        <v>40359</v>
      </c>
      <c r="AD221" s="1" t="s">
        <v>98</v>
      </c>
    </row>
    <row r="222" spans="1:31" ht="18" customHeight="1">
      <c r="A222" s="42" t="s">
        <v>118</v>
      </c>
      <c r="B222" s="20">
        <v>2000</v>
      </c>
      <c r="C222" s="20">
        <v>0</v>
      </c>
      <c r="D222" s="20">
        <f t="shared" si="57"/>
        <v>2000</v>
      </c>
      <c r="E222" s="20">
        <f t="shared" si="57"/>
        <v>0</v>
      </c>
      <c r="F222" s="20">
        <v>0</v>
      </c>
      <c r="G222" s="20">
        <f t="shared" si="53"/>
        <v>4000</v>
      </c>
      <c r="H222" s="20">
        <v>0</v>
      </c>
      <c r="I222" s="20">
        <f t="shared" si="61"/>
        <v>4000</v>
      </c>
      <c r="J222" s="20">
        <f t="shared" si="62"/>
        <v>4000</v>
      </c>
      <c r="K222" s="20">
        <f t="shared" si="58"/>
        <v>8000</v>
      </c>
      <c r="L222" s="20">
        <f t="shared" si="59"/>
        <v>27</v>
      </c>
      <c r="M222" s="20">
        <f t="shared" si="59"/>
        <v>27</v>
      </c>
      <c r="N222" s="20">
        <f t="shared" si="60"/>
        <v>54</v>
      </c>
      <c r="O222" s="210"/>
      <c r="Q222" s="1">
        <v>43</v>
      </c>
      <c r="R222" s="1">
        <v>43</v>
      </c>
      <c r="S222" s="1">
        <v>4558</v>
      </c>
      <c r="T222" s="22">
        <v>40390</v>
      </c>
      <c r="U222" s="30">
        <v>4625</v>
      </c>
      <c r="V222" s="30">
        <v>2313</v>
      </c>
      <c r="W222" s="30">
        <v>3747</v>
      </c>
      <c r="X222" s="30">
        <f t="shared" si="63"/>
        <v>10685</v>
      </c>
      <c r="Y222" s="30">
        <f t="shared" si="64"/>
        <v>1069</v>
      </c>
      <c r="Z222" s="30">
        <v>2000</v>
      </c>
      <c r="AA222" s="30">
        <f t="shared" si="65"/>
        <v>931</v>
      </c>
      <c r="AB222" s="22">
        <v>40360</v>
      </c>
      <c r="AC222" s="22">
        <v>40390</v>
      </c>
      <c r="AD222" s="1" t="s">
        <v>98</v>
      </c>
    </row>
    <row r="223" spans="1:31" ht="18" customHeight="1">
      <c r="A223" s="42" t="s">
        <v>119</v>
      </c>
      <c r="B223" s="20">
        <v>2000</v>
      </c>
      <c r="C223" s="20">
        <v>0</v>
      </c>
      <c r="D223" s="20">
        <f t="shared" si="57"/>
        <v>2000</v>
      </c>
      <c r="E223" s="20">
        <f t="shared" si="57"/>
        <v>0</v>
      </c>
      <c r="F223" s="20">
        <v>0</v>
      </c>
      <c r="G223" s="20">
        <f t="shared" si="53"/>
        <v>4000</v>
      </c>
      <c r="H223" s="20">
        <v>0</v>
      </c>
      <c r="I223" s="20">
        <f t="shared" si="61"/>
        <v>6000</v>
      </c>
      <c r="J223" s="20">
        <f t="shared" si="62"/>
        <v>6000</v>
      </c>
      <c r="K223" s="20">
        <f t="shared" si="58"/>
        <v>12000</v>
      </c>
      <c r="L223" s="20">
        <f t="shared" si="59"/>
        <v>40</v>
      </c>
      <c r="M223" s="20">
        <f t="shared" si="59"/>
        <v>40</v>
      </c>
      <c r="N223" s="20">
        <f t="shared" si="60"/>
        <v>80</v>
      </c>
      <c r="O223" s="210"/>
      <c r="Q223" s="1">
        <v>53</v>
      </c>
      <c r="R223" s="1">
        <v>53</v>
      </c>
      <c r="S223" s="1">
        <v>5687</v>
      </c>
      <c r="T223" s="22">
        <v>40421</v>
      </c>
      <c r="U223" s="30">
        <v>4625</v>
      </c>
      <c r="V223" s="30">
        <v>2313</v>
      </c>
      <c r="W223" s="30">
        <v>3747</v>
      </c>
      <c r="X223" s="30">
        <f t="shared" si="63"/>
        <v>10685</v>
      </c>
      <c r="Y223" s="30">
        <f t="shared" si="64"/>
        <v>1069</v>
      </c>
      <c r="Z223" s="30">
        <v>2000</v>
      </c>
      <c r="AA223" s="30">
        <f t="shared" si="65"/>
        <v>931</v>
      </c>
      <c r="AB223" s="22">
        <v>40391</v>
      </c>
      <c r="AC223" s="22">
        <v>40421</v>
      </c>
      <c r="AD223" s="1" t="s">
        <v>98</v>
      </c>
    </row>
    <row r="224" spans="1:31" ht="18" customHeight="1">
      <c r="A224" s="42" t="s">
        <v>120</v>
      </c>
      <c r="B224" s="20">
        <v>2000</v>
      </c>
      <c r="C224" s="20">
        <v>0</v>
      </c>
      <c r="D224" s="20">
        <f t="shared" si="57"/>
        <v>2000</v>
      </c>
      <c r="E224" s="20">
        <f t="shared" si="57"/>
        <v>0</v>
      </c>
      <c r="F224" s="20">
        <v>0</v>
      </c>
      <c r="G224" s="20">
        <f t="shared" si="53"/>
        <v>4000</v>
      </c>
      <c r="H224" s="20">
        <v>0</v>
      </c>
      <c r="I224" s="20">
        <f t="shared" si="61"/>
        <v>8000</v>
      </c>
      <c r="J224" s="20">
        <f t="shared" si="62"/>
        <v>8000</v>
      </c>
      <c r="K224" s="20">
        <f t="shared" si="58"/>
        <v>16000</v>
      </c>
      <c r="L224" s="20">
        <f t="shared" si="59"/>
        <v>53</v>
      </c>
      <c r="M224" s="20">
        <f t="shared" si="59"/>
        <v>53</v>
      </c>
      <c r="N224" s="20">
        <f t="shared" si="60"/>
        <v>106</v>
      </c>
      <c r="O224" s="210"/>
      <c r="Q224" s="1">
        <v>64</v>
      </c>
      <c r="R224" s="1">
        <v>64</v>
      </c>
      <c r="S224" s="1">
        <v>6963</v>
      </c>
      <c r="T224" s="22">
        <v>40451</v>
      </c>
      <c r="U224" s="30">
        <v>4625</v>
      </c>
      <c r="V224" s="30">
        <v>2313</v>
      </c>
      <c r="W224" s="30">
        <v>3747</v>
      </c>
      <c r="X224" s="30">
        <f t="shared" si="63"/>
        <v>10685</v>
      </c>
      <c r="Y224" s="30">
        <f t="shared" si="64"/>
        <v>1069</v>
      </c>
      <c r="Z224" s="30">
        <v>2000</v>
      </c>
      <c r="AA224" s="30">
        <f t="shared" si="65"/>
        <v>931</v>
      </c>
      <c r="AB224" s="22">
        <v>40422</v>
      </c>
      <c r="AC224" s="22">
        <v>40451</v>
      </c>
      <c r="AD224" s="1" t="s">
        <v>98</v>
      </c>
    </row>
    <row r="225" spans="1:30" ht="18" customHeight="1">
      <c r="A225" s="42" t="s">
        <v>121</v>
      </c>
      <c r="B225" s="20">
        <v>2000</v>
      </c>
      <c r="C225" s="20">
        <v>0</v>
      </c>
      <c r="D225" s="20">
        <f t="shared" si="57"/>
        <v>2000</v>
      </c>
      <c r="E225" s="20">
        <f t="shared" si="57"/>
        <v>0</v>
      </c>
      <c r="F225" s="20">
        <v>0</v>
      </c>
      <c r="G225" s="20">
        <f t="shared" si="53"/>
        <v>4000</v>
      </c>
      <c r="H225" s="20">
        <v>0</v>
      </c>
      <c r="I225" s="20">
        <f t="shared" si="61"/>
        <v>10000</v>
      </c>
      <c r="J225" s="20">
        <f t="shared" si="62"/>
        <v>10000</v>
      </c>
      <c r="K225" s="20">
        <f t="shared" si="58"/>
        <v>20000</v>
      </c>
      <c r="L225" s="20">
        <f t="shared" si="59"/>
        <v>67</v>
      </c>
      <c r="M225" s="20">
        <f t="shared" si="59"/>
        <v>67</v>
      </c>
      <c r="N225" s="20">
        <f t="shared" si="60"/>
        <v>134</v>
      </c>
      <c r="O225" s="210"/>
      <c r="Q225" s="1">
        <v>80</v>
      </c>
      <c r="R225" s="1">
        <v>80</v>
      </c>
      <c r="S225" s="1">
        <v>8605</v>
      </c>
      <c r="T225" s="22">
        <v>40480</v>
      </c>
      <c r="U225" s="30">
        <v>4625</v>
      </c>
      <c r="V225" s="30">
        <v>2313</v>
      </c>
      <c r="W225" s="30">
        <v>3747</v>
      </c>
      <c r="X225" s="30">
        <f t="shared" si="63"/>
        <v>10685</v>
      </c>
      <c r="Y225" s="30">
        <f t="shared" si="64"/>
        <v>1069</v>
      </c>
      <c r="Z225" s="30">
        <v>2000</v>
      </c>
      <c r="AA225" s="30">
        <f t="shared" si="65"/>
        <v>931</v>
      </c>
      <c r="AB225" s="22">
        <v>40452</v>
      </c>
      <c r="AC225" s="22">
        <v>40482</v>
      </c>
      <c r="AD225" s="1" t="s">
        <v>98</v>
      </c>
    </row>
    <row r="226" spans="1:30" ht="18" customHeight="1">
      <c r="A226" s="42" t="s">
        <v>122</v>
      </c>
      <c r="B226" s="20">
        <v>2000</v>
      </c>
      <c r="C226" s="20">
        <v>0</v>
      </c>
      <c r="D226" s="20">
        <f t="shared" si="57"/>
        <v>2000</v>
      </c>
      <c r="E226" s="20">
        <f t="shared" si="57"/>
        <v>0</v>
      </c>
      <c r="F226" s="20">
        <v>0</v>
      </c>
      <c r="G226" s="20">
        <f t="shared" si="53"/>
        <v>4000</v>
      </c>
      <c r="H226" s="20">
        <v>0</v>
      </c>
      <c r="I226" s="20">
        <f t="shared" si="61"/>
        <v>12000</v>
      </c>
      <c r="J226" s="20">
        <f t="shared" si="62"/>
        <v>12000</v>
      </c>
      <c r="K226" s="20">
        <f t="shared" si="58"/>
        <v>24000</v>
      </c>
      <c r="L226" s="20">
        <f t="shared" si="59"/>
        <v>80</v>
      </c>
      <c r="M226" s="20">
        <f t="shared" si="59"/>
        <v>80</v>
      </c>
      <c r="N226" s="20">
        <f t="shared" si="60"/>
        <v>160</v>
      </c>
      <c r="O226" s="210"/>
      <c r="Q226" s="1">
        <v>93</v>
      </c>
      <c r="R226" s="1">
        <v>93</v>
      </c>
      <c r="S226" s="1">
        <v>10157</v>
      </c>
      <c r="T226" s="22">
        <v>40511</v>
      </c>
      <c r="U226" s="30">
        <v>4625</v>
      </c>
      <c r="V226" s="30">
        <v>2313</v>
      </c>
      <c r="W226" s="30">
        <v>3747</v>
      </c>
      <c r="X226" s="30">
        <f t="shared" si="63"/>
        <v>10685</v>
      </c>
      <c r="Y226" s="30">
        <f t="shared" si="64"/>
        <v>1069</v>
      </c>
      <c r="Z226" s="30">
        <v>2000</v>
      </c>
      <c r="AA226" s="30">
        <f t="shared" si="65"/>
        <v>931</v>
      </c>
      <c r="AB226" s="22">
        <v>40483</v>
      </c>
      <c r="AC226" s="22">
        <v>40512</v>
      </c>
      <c r="AD226" s="1" t="s">
        <v>98</v>
      </c>
    </row>
    <row r="227" spans="1:30" ht="18" customHeight="1">
      <c r="A227" s="42" t="s">
        <v>123</v>
      </c>
      <c r="B227" s="20">
        <v>2000</v>
      </c>
      <c r="C227" s="20">
        <v>0</v>
      </c>
      <c r="D227" s="20">
        <f t="shared" si="57"/>
        <v>2000</v>
      </c>
      <c r="E227" s="20">
        <f t="shared" si="57"/>
        <v>0</v>
      </c>
      <c r="F227" s="20">
        <v>0</v>
      </c>
      <c r="G227" s="20">
        <f t="shared" si="53"/>
        <v>4000</v>
      </c>
      <c r="H227" s="20">
        <v>0</v>
      </c>
      <c r="I227" s="20">
        <f t="shared" si="61"/>
        <v>14000</v>
      </c>
      <c r="J227" s="20">
        <f t="shared" si="62"/>
        <v>14000</v>
      </c>
      <c r="K227" s="20">
        <f t="shared" si="58"/>
        <v>28000</v>
      </c>
      <c r="L227" s="20">
        <f t="shared" si="59"/>
        <v>93</v>
      </c>
      <c r="M227" s="20">
        <f t="shared" si="59"/>
        <v>93</v>
      </c>
      <c r="N227" s="20">
        <f t="shared" si="60"/>
        <v>186</v>
      </c>
      <c r="O227" s="210"/>
      <c r="Q227" s="1">
        <v>105</v>
      </c>
      <c r="R227" s="1">
        <v>105</v>
      </c>
      <c r="S227" s="1">
        <v>11337</v>
      </c>
      <c r="T227" s="22">
        <v>40543</v>
      </c>
      <c r="U227" s="30">
        <v>4625</v>
      </c>
      <c r="V227" s="30">
        <v>2313</v>
      </c>
      <c r="W227" s="30">
        <v>3747</v>
      </c>
      <c r="X227" s="30">
        <f t="shared" si="63"/>
        <v>10685</v>
      </c>
      <c r="Y227" s="30">
        <f t="shared" si="64"/>
        <v>1069</v>
      </c>
      <c r="Z227" s="30">
        <v>2000</v>
      </c>
      <c r="AA227" s="30">
        <f t="shared" si="65"/>
        <v>931</v>
      </c>
      <c r="AB227" s="22">
        <v>40513</v>
      </c>
      <c r="AC227" s="22">
        <v>40543</v>
      </c>
      <c r="AD227" s="1" t="s">
        <v>98</v>
      </c>
    </row>
    <row r="228" spans="1:30" ht="18" customHeight="1">
      <c r="A228" s="42" t="s">
        <v>124</v>
      </c>
      <c r="B228" s="20">
        <v>2000</v>
      </c>
      <c r="C228" s="20">
        <v>0</v>
      </c>
      <c r="D228" s="20">
        <f t="shared" si="57"/>
        <v>2000</v>
      </c>
      <c r="E228" s="20">
        <f t="shared" si="57"/>
        <v>0</v>
      </c>
      <c r="F228" s="20">
        <v>0</v>
      </c>
      <c r="G228" s="20">
        <f t="shared" si="53"/>
        <v>4000</v>
      </c>
      <c r="H228" s="20">
        <v>0</v>
      </c>
      <c r="I228" s="20">
        <f t="shared" si="61"/>
        <v>16000</v>
      </c>
      <c r="J228" s="20">
        <f t="shared" si="62"/>
        <v>16000</v>
      </c>
      <c r="K228" s="20">
        <f t="shared" si="58"/>
        <v>32000</v>
      </c>
      <c r="L228" s="20">
        <f t="shared" si="59"/>
        <v>107</v>
      </c>
      <c r="M228" s="20">
        <f t="shared" si="59"/>
        <v>107</v>
      </c>
      <c r="N228" s="20">
        <f t="shared" si="60"/>
        <v>214</v>
      </c>
      <c r="O228" s="210"/>
      <c r="Q228" s="1">
        <v>116</v>
      </c>
      <c r="R228" s="1">
        <v>116</v>
      </c>
      <c r="S228" s="1">
        <v>12446</v>
      </c>
      <c r="T228" s="22">
        <v>40572</v>
      </c>
      <c r="U228" s="30">
        <v>4625</v>
      </c>
      <c r="V228" s="30">
        <v>2313</v>
      </c>
      <c r="W228" s="30">
        <v>3747</v>
      </c>
      <c r="X228" s="30">
        <f t="shared" si="63"/>
        <v>10685</v>
      </c>
      <c r="Y228" s="30">
        <f t="shared" si="64"/>
        <v>1069</v>
      </c>
      <c r="Z228" s="30">
        <v>2000</v>
      </c>
      <c r="AA228" s="30">
        <f t="shared" si="65"/>
        <v>931</v>
      </c>
      <c r="AB228" s="22">
        <v>40544</v>
      </c>
      <c r="AC228" s="22">
        <v>40574</v>
      </c>
      <c r="AD228" s="1" t="s">
        <v>98</v>
      </c>
    </row>
    <row r="229" spans="1:30" ht="18" customHeight="1">
      <c r="A229" s="42" t="s">
        <v>125</v>
      </c>
      <c r="B229" s="20">
        <v>2000</v>
      </c>
      <c r="C229" s="20">
        <v>0</v>
      </c>
      <c r="D229" s="20">
        <f t="shared" si="57"/>
        <v>2000</v>
      </c>
      <c r="E229" s="20">
        <f t="shared" si="57"/>
        <v>0</v>
      </c>
      <c r="F229" s="20">
        <v>0</v>
      </c>
      <c r="G229" s="20">
        <f t="shared" si="53"/>
        <v>4000</v>
      </c>
      <c r="H229" s="20">
        <v>0</v>
      </c>
      <c r="I229" s="20">
        <f t="shared" si="61"/>
        <v>18000</v>
      </c>
      <c r="J229" s="20">
        <f t="shared" si="62"/>
        <v>18000</v>
      </c>
      <c r="K229" s="20">
        <f t="shared" si="58"/>
        <v>36000</v>
      </c>
      <c r="L229" s="20">
        <f t="shared" si="59"/>
        <v>120</v>
      </c>
      <c r="M229" s="20">
        <f t="shared" si="59"/>
        <v>120</v>
      </c>
      <c r="N229" s="20">
        <f t="shared" si="60"/>
        <v>240</v>
      </c>
      <c r="O229" s="210"/>
      <c r="Q229" s="1">
        <v>126</v>
      </c>
      <c r="R229" s="1">
        <v>126</v>
      </c>
      <c r="S229" s="1">
        <v>13501</v>
      </c>
      <c r="T229" s="22">
        <v>40602</v>
      </c>
      <c r="U229" s="30">
        <v>4625</v>
      </c>
      <c r="V229" s="30">
        <v>2313</v>
      </c>
      <c r="W229" s="30">
        <v>3747</v>
      </c>
      <c r="X229" s="30">
        <f t="shared" si="63"/>
        <v>10685</v>
      </c>
      <c r="Y229" s="30">
        <f t="shared" si="64"/>
        <v>1069</v>
      </c>
      <c r="Z229" s="30">
        <v>2000</v>
      </c>
      <c r="AA229" s="30">
        <f t="shared" si="65"/>
        <v>931</v>
      </c>
      <c r="AB229" s="22">
        <v>40575</v>
      </c>
      <c r="AC229" s="22">
        <v>40602</v>
      </c>
      <c r="AD229" s="1" t="s">
        <v>98</v>
      </c>
    </row>
    <row r="230" spans="1:30" ht="18" customHeight="1">
      <c r="A230" s="42" t="s">
        <v>126</v>
      </c>
      <c r="B230" s="20">
        <v>2000</v>
      </c>
      <c r="C230" s="20">
        <v>0</v>
      </c>
      <c r="D230" s="20">
        <f t="shared" si="57"/>
        <v>2000</v>
      </c>
      <c r="E230" s="20">
        <f t="shared" si="57"/>
        <v>0</v>
      </c>
      <c r="F230" s="20">
        <v>0</v>
      </c>
      <c r="G230" s="20">
        <f t="shared" si="53"/>
        <v>4000</v>
      </c>
      <c r="H230" s="20">
        <v>0</v>
      </c>
      <c r="I230" s="20">
        <f t="shared" si="61"/>
        <v>20000</v>
      </c>
      <c r="J230" s="20">
        <f t="shared" si="62"/>
        <v>20000</v>
      </c>
      <c r="K230" s="20">
        <f t="shared" si="58"/>
        <v>40000</v>
      </c>
      <c r="L230" s="20">
        <f t="shared" si="59"/>
        <v>133</v>
      </c>
      <c r="M230" s="20">
        <f t="shared" si="59"/>
        <v>133</v>
      </c>
      <c r="N230" s="20">
        <f t="shared" si="60"/>
        <v>266</v>
      </c>
      <c r="O230" s="210"/>
      <c r="Q230" s="1">
        <v>3</v>
      </c>
      <c r="R230" s="1">
        <v>3</v>
      </c>
      <c r="S230" s="1">
        <v>105</v>
      </c>
      <c r="T230" s="22">
        <v>40635</v>
      </c>
      <c r="U230" s="30">
        <v>4625</v>
      </c>
      <c r="V230" s="30">
        <v>2313</v>
      </c>
      <c r="W230" s="30">
        <v>3747</v>
      </c>
      <c r="X230" s="30">
        <f t="shared" si="63"/>
        <v>10685</v>
      </c>
      <c r="Y230" s="30">
        <f t="shared" si="64"/>
        <v>1069</v>
      </c>
      <c r="Z230" s="30">
        <v>2000</v>
      </c>
      <c r="AA230" s="30">
        <f t="shared" si="65"/>
        <v>931</v>
      </c>
      <c r="AB230" s="22">
        <v>40603</v>
      </c>
      <c r="AC230" s="22">
        <v>40633</v>
      </c>
      <c r="AD230" s="1" t="s">
        <v>98</v>
      </c>
    </row>
    <row r="231" spans="1:30" ht="18" customHeight="1" thickBot="1">
      <c r="A231" s="43" t="s">
        <v>127</v>
      </c>
      <c r="B231" s="44">
        <f>SUM(B218:B230)</f>
        <v>24000</v>
      </c>
      <c r="C231" s="44">
        <f t="shared" ref="C231:M231" si="66">SUM(C218:C230)</f>
        <v>0</v>
      </c>
      <c r="D231" s="44">
        <f t="shared" si="66"/>
        <v>24000</v>
      </c>
      <c r="E231" s="44">
        <f t="shared" si="66"/>
        <v>0</v>
      </c>
      <c r="F231" s="44">
        <f t="shared" si="66"/>
        <v>0</v>
      </c>
      <c r="G231" s="44">
        <f t="shared" si="66"/>
        <v>48000</v>
      </c>
      <c r="H231" s="44">
        <f t="shared" si="66"/>
        <v>0</v>
      </c>
      <c r="I231" s="44">
        <f t="shared" si="66"/>
        <v>161760</v>
      </c>
      <c r="J231" s="44">
        <f t="shared" si="66"/>
        <v>116000</v>
      </c>
      <c r="K231" s="44">
        <f t="shared" si="66"/>
        <v>277760</v>
      </c>
      <c r="L231" s="44">
        <f t="shared" si="66"/>
        <v>1078</v>
      </c>
      <c r="M231" s="44">
        <f t="shared" si="66"/>
        <v>773</v>
      </c>
      <c r="N231" s="44">
        <f>SUM(N218:N230)</f>
        <v>1851</v>
      </c>
      <c r="O231" s="223"/>
      <c r="U231" s="31">
        <f t="shared" ref="U231:AA231" si="67">SUM(U218:U230)</f>
        <v>79572</v>
      </c>
      <c r="V231" s="31">
        <f t="shared" si="67"/>
        <v>27756</v>
      </c>
      <c r="W231" s="31">
        <f t="shared" si="67"/>
        <v>44964</v>
      </c>
      <c r="X231" s="31">
        <f t="shared" si="67"/>
        <v>152292</v>
      </c>
      <c r="Y231" s="31">
        <f t="shared" si="67"/>
        <v>15235</v>
      </c>
      <c r="Z231" s="31">
        <f t="shared" si="67"/>
        <v>24000</v>
      </c>
      <c r="AA231" s="31">
        <f t="shared" si="67"/>
        <v>8765</v>
      </c>
    </row>
    <row r="232" spans="1:30" ht="15" thickBot="1">
      <c r="A232" s="5"/>
      <c r="B232" s="5"/>
      <c r="C232" s="5"/>
      <c r="D232" s="5"/>
      <c r="E232" s="5"/>
      <c r="G232" s="5"/>
      <c r="H232" s="5"/>
      <c r="I232" s="5"/>
      <c r="J232" s="5"/>
      <c r="N232" s="21"/>
    </row>
    <row r="233" spans="1:30" ht="18" customHeight="1" thickBot="1">
      <c r="A233" s="5"/>
      <c r="B233" s="6"/>
      <c r="C233" s="6"/>
      <c r="D233" s="6"/>
      <c r="E233" s="5"/>
      <c r="F233" s="53">
        <v>1</v>
      </c>
      <c r="G233" s="211" t="s">
        <v>47</v>
      </c>
      <c r="H233" s="212"/>
      <c r="I233" s="212"/>
      <c r="J233" s="212"/>
      <c r="K233" s="213"/>
      <c r="L233" s="54">
        <f>K214</f>
        <v>22880</v>
      </c>
      <c r="M233" s="2"/>
      <c r="O233" s="1"/>
      <c r="S233" s="30"/>
      <c r="T233" s="30"/>
      <c r="Z233" s="1"/>
      <c r="AA233" s="1"/>
    </row>
    <row r="234" spans="1:30" ht="18" customHeight="1" thickBot="1">
      <c r="A234" s="5"/>
      <c r="B234" s="6"/>
      <c r="C234" s="6"/>
      <c r="D234" s="6"/>
      <c r="E234" s="5"/>
      <c r="F234" s="53">
        <v>2</v>
      </c>
      <c r="G234" s="211" t="s">
        <v>344</v>
      </c>
      <c r="H234" s="212"/>
      <c r="I234" s="212"/>
      <c r="J234" s="212"/>
      <c r="K234" s="213"/>
      <c r="L234" s="54">
        <f>B231+C231</f>
        <v>24000</v>
      </c>
      <c r="M234" s="2"/>
      <c r="O234" s="1"/>
      <c r="S234" s="30"/>
      <c r="T234" s="30"/>
      <c r="Z234" s="1"/>
      <c r="AA234" s="1"/>
    </row>
    <row r="235" spans="1:30" ht="18" customHeight="1" thickBot="1">
      <c r="A235" s="5"/>
      <c r="B235" s="6"/>
      <c r="C235" s="6"/>
      <c r="D235" s="6"/>
      <c r="E235" s="5"/>
      <c r="F235" s="53">
        <v>3</v>
      </c>
      <c r="G235" s="211" t="s">
        <v>345</v>
      </c>
      <c r="H235" s="212"/>
      <c r="I235" s="212"/>
      <c r="J235" s="212"/>
      <c r="K235" s="213"/>
      <c r="L235" s="54">
        <f>F231</f>
        <v>0</v>
      </c>
      <c r="M235" s="2"/>
      <c r="O235" s="1"/>
      <c r="S235" s="30"/>
      <c r="T235" s="30"/>
      <c r="Z235" s="1"/>
      <c r="AA235" s="1"/>
    </row>
    <row r="236" spans="1:30" ht="18" customHeight="1" thickBot="1">
      <c r="A236" s="5"/>
      <c r="B236" s="6"/>
      <c r="C236" s="6"/>
      <c r="D236" s="6"/>
      <c r="E236" s="5"/>
      <c r="F236" s="53">
        <v>4</v>
      </c>
      <c r="G236" s="211" t="s">
        <v>346</v>
      </c>
      <c r="H236" s="212"/>
      <c r="I236" s="212"/>
      <c r="J236" s="212"/>
      <c r="K236" s="213"/>
      <c r="L236" s="54">
        <f>L234+L235</f>
        <v>24000</v>
      </c>
      <c r="M236" s="2"/>
      <c r="O236" s="1"/>
      <c r="S236" s="30"/>
      <c r="T236" s="30"/>
      <c r="Z236" s="1"/>
      <c r="AA236" s="1"/>
    </row>
    <row r="237" spans="1:30" ht="18" customHeight="1" thickBot="1">
      <c r="A237" s="5"/>
      <c r="B237" s="6"/>
      <c r="C237" s="6"/>
      <c r="D237" s="6"/>
      <c r="E237" s="5"/>
      <c r="F237" s="53">
        <v>5</v>
      </c>
      <c r="G237" s="211" t="s">
        <v>349</v>
      </c>
      <c r="H237" s="212"/>
      <c r="I237" s="212"/>
      <c r="J237" s="212"/>
      <c r="K237" s="213"/>
      <c r="L237" s="54">
        <f>D231+E231</f>
        <v>24000</v>
      </c>
      <c r="M237" s="2"/>
      <c r="O237" s="1"/>
      <c r="S237" s="30"/>
      <c r="T237" s="30"/>
      <c r="Z237" s="1"/>
      <c r="AA237" s="1"/>
    </row>
    <row r="238" spans="1:30" ht="18" customHeight="1" thickBot="1">
      <c r="A238" s="5"/>
      <c r="B238" s="5"/>
      <c r="C238" s="5"/>
      <c r="D238" s="5"/>
      <c r="E238" s="5"/>
      <c r="F238" s="53">
        <v>6</v>
      </c>
      <c r="G238" s="211" t="s">
        <v>347</v>
      </c>
      <c r="H238" s="212"/>
      <c r="I238" s="212"/>
      <c r="J238" s="212"/>
      <c r="K238" s="213"/>
      <c r="L238" s="54">
        <f>L233+L236+L237</f>
        <v>70880</v>
      </c>
      <c r="M238" s="2"/>
      <c r="O238" s="1"/>
      <c r="S238" s="30"/>
      <c r="T238" s="30"/>
      <c r="Z238" s="1"/>
      <c r="AA238" s="1"/>
    </row>
    <row r="239" spans="1:30" ht="18" customHeight="1" thickBot="1">
      <c r="A239" s="5"/>
      <c r="B239" s="5"/>
      <c r="C239" s="5"/>
      <c r="D239" s="5"/>
      <c r="E239" s="5"/>
      <c r="F239" s="53">
        <v>7</v>
      </c>
      <c r="G239" s="211" t="s">
        <v>50</v>
      </c>
      <c r="H239" s="212"/>
      <c r="I239" s="212"/>
      <c r="J239" s="212"/>
      <c r="K239" s="213"/>
      <c r="L239" s="54">
        <f>H231</f>
        <v>0</v>
      </c>
      <c r="M239" s="2"/>
      <c r="O239" s="1"/>
      <c r="S239" s="30"/>
      <c r="T239" s="30"/>
      <c r="Z239" s="1"/>
      <c r="AA239" s="1"/>
    </row>
    <row r="240" spans="1:30" ht="18" customHeight="1" thickBot="1">
      <c r="A240" s="5"/>
      <c r="B240" s="5"/>
      <c r="C240" s="5"/>
      <c r="D240" s="5"/>
      <c r="E240" s="5"/>
      <c r="F240" s="53">
        <v>8</v>
      </c>
      <c r="G240" s="211" t="s">
        <v>340</v>
      </c>
      <c r="H240" s="212"/>
      <c r="I240" s="212"/>
      <c r="J240" s="212"/>
      <c r="K240" s="213"/>
      <c r="L240" s="54">
        <f>L231</f>
        <v>1078</v>
      </c>
      <c r="M240" s="2"/>
      <c r="O240" s="1"/>
      <c r="S240" s="30"/>
      <c r="T240" s="30"/>
      <c r="Z240" s="1"/>
      <c r="AA240" s="1"/>
    </row>
    <row r="241" spans="1:27" ht="18" customHeight="1" thickBot="1">
      <c r="A241" s="5"/>
      <c r="B241" s="5"/>
      <c r="C241" s="5"/>
      <c r="D241" s="5"/>
      <c r="E241" s="5"/>
      <c r="F241" s="53">
        <v>9</v>
      </c>
      <c r="G241" s="211" t="s">
        <v>355</v>
      </c>
      <c r="H241" s="212"/>
      <c r="I241" s="212"/>
      <c r="J241" s="212"/>
      <c r="K241" s="213"/>
      <c r="L241" s="54">
        <f>M231</f>
        <v>773</v>
      </c>
      <c r="M241" s="2"/>
      <c r="O241" s="1"/>
      <c r="S241" s="30"/>
      <c r="T241" s="30"/>
      <c r="Z241" s="1"/>
      <c r="AA241" s="1"/>
    </row>
    <row r="242" spans="1:27" ht="18" customHeight="1" thickBot="1">
      <c r="A242" s="5"/>
      <c r="B242" s="5"/>
      <c r="C242" s="5"/>
      <c r="D242" s="5"/>
      <c r="E242" s="5"/>
      <c r="F242" s="53">
        <v>10</v>
      </c>
      <c r="G242" s="211" t="s">
        <v>348</v>
      </c>
      <c r="H242" s="212"/>
      <c r="I242" s="212"/>
      <c r="J242" s="212"/>
      <c r="K242" s="213"/>
      <c r="L242" s="54">
        <f>N231</f>
        <v>1851</v>
      </c>
      <c r="M242" s="2"/>
      <c r="O242" s="1"/>
      <c r="S242" s="30"/>
      <c r="T242" s="30"/>
      <c r="Z242" s="1"/>
      <c r="AA242" s="1"/>
    </row>
    <row r="243" spans="1:27" ht="18" customHeight="1" thickBot="1">
      <c r="A243" s="5"/>
      <c r="B243" s="5"/>
      <c r="C243" s="5"/>
      <c r="D243" s="5"/>
      <c r="E243" s="5"/>
      <c r="F243" s="53">
        <v>11</v>
      </c>
      <c r="G243" s="212" t="s">
        <v>359</v>
      </c>
      <c r="H243" s="212"/>
      <c r="I243" s="212"/>
      <c r="J243" s="212"/>
      <c r="K243" s="213"/>
      <c r="L243" s="54">
        <f>L238-L239+L242</f>
        <v>72731</v>
      </c>
      <c r="M243" s="2"/>
      <c r="O243" s="1"/>
      <c r="S243" s="30"/>
      <c r="T243" s="30"/>
      <c r="Z243" s="1"/>
      <c r="AA243" s="1"/>
    </row>
    <row r="244" spans="1:27">
      <c r="A244" s="5"/>
      <c r="B244" s="5"/>
      <c r="C244" s="5"/>
      <c r="D244" s="5"/>
      <c r="E244" s="5"/>
      <c r="F244" s="5"/>
      <c r="G244" s="17"/>
      <c r="H244" s="17"/>
      <c r="I244" s="17"/>
      <c r="J244" s="17"/>
      <c r="K244" s="17"/>
      <c r="L244" s="17"/>
      <c r="M244" s="17"/>
      <c r="N244" s="6"/>
    </row>
    <row r="245" spans="1:27"/>
    <row r="246" spans="1:27"/>
    <row r="247" spans="1:27" ht="16.8">
      <c r="A247" s="249" t="s">
        <v>53</v>
      </c>
      <c r="B247" s="249"/>
      <c r="C247" s="18"/>
      <c r="D247" s="18"/>
      <c r="E247" s="249" t="s">
        <v>54</v>
      </c>
      <c r="F247" s="249"/>
      <c r="G247" s="249"/>
      <c r="H247" s="250" t="s">
        <v>55</v>
      </c>
      <c r="I247" s="250"/>
      <c r="J247" s="250"/>
      <c r="K247" s="250"/>
      <c r="L247" s="250"/>
      <c r="M247" s="250"/>
      <c r="N247" s="250"/>
    </row>
    <row r="248" spans="1:27" ht="16.8">
      <c r="A248" s="18"/>
      <c r="B248" s="18"/>
      <c r="C248" s="18"/>
      <c r="D248" s="18"/>
      <c r="E248" s="18"/>
      <c r="F248" s="18"/>
      <c r="G248" s="19"/>
      <c r="H248" s="19"/>
      <c r="I248" s="19"/>
      <c r="J248" s="19"/>
    </row>
    <row r="249" spans="1:27" ht="16.8">
      <c r="A249" s="18"/>
      <c r="B249" s="18"/>
      <c r="C249" s="18"/>
      <c r="D249" s="18"/>
      <c r="E249" s="18"/>
      <c r="F249" s="18"/>
      <c r="G249" s="19"/>
      <c r="H249" s="19"/>
      <c r="I249" s="19"/>
      <c r="J249" s="19"/>
    </row>
    <row r="250" spans="1:27" ht="18.600000000000001">
      <c r="A250" s="224" t="s">
        <v>0</v>
      </c>
      <c r="B250" s="224"/>
      <c r="C250" s="224"/>
      <c r="D250" s="224"/>
      <c r="E250" s="224"/>
      <c r="F250" s="224"/>
      <c r="G250" s="224"/>
      <c r="H250" s="224"/>
      <c r="I250" s="224"/>
      <c r="J250" s="224"/>
      <c r="K250" s="224"/>
      <c r="L250" s="224"/>
      <c r="M250" s="224"/>
      <c r="N250" s="224"/>
      <c r="O250" s="224"/>
    </row>
    <row r="251" spans="1:27" ht="18.600000000000001">
      <c r="A251" s="224" t="s">
        <v>1</v>
      </c>
      <c r="B251" s="224"/>
      <c r="C251" s="224"/>
      <c r="D251" s="224"/>
      <c r="E251" s="224"/>
      <c r="F251" s="224"/>
      <c r="G251" s="224"/>
      <c r="H251" s="224"/>
      <c r="I251" s="224"/>
      <c r="J251" s="224"/>
      <c r="K251" s="224"/>
      <c r="L251" s="224"/>
      <c r="M251" s="224"/>
      <c r="N251" s="224"/>
      <c r="O251" s="224"/>
    </row>
    <row r="252" spans="1:27"/>
    <row r="253" spans="1:27" ht="15" thickBot="1">
      <c r="A253" s="225" t="s">
        <v>128</v>
      </c>
      <c r="B253" s="225"/>
      <c r="C253" s="225"/>
      <c r="D253" s="225"/>
      <c r="E253" s="225"/>
      <c r="F253" s="225"/>
      <c r="G253" s="225"/>
      <c r="H253" s="225"/>
      <c r="I253" s="225"/>
      <c r="J253" s="225"/>
      <c r="K253" s="225"/>
      <c r="L253" s="225"/>
      <c r="M253" s="225"/>
      <c r="N253" s="225"/>
    </row>
    <row r="254" spans="1:27" ht="36" customHeight="1" thickBot="1">
      <c r="A254" s="55" t="s">
        <v>3</v>
      </c>
      <c r="B254" s="53">
        <f>B210</f>
        <v>9255</v>
      </c>
      <c r="C254" s="5"/>
      <c r="D254" s="5"/>
      <c r="E254" s="211" t="s">
        <v>4</v>
      </c>
      <c r="F254" s="213" t="str">
        <f>F210</f>
        <v>Mahajan Ganesh Trambak</v>
      </c>
      <c r="G254" s="5"/>
      <c r="H254" s="211" t="str">
        <f>H210</f>
        <v>Mahajan Ganesh Trambak</v>
      </c>
      <c r="I254" s="212"/>
      <c r="J254" s="212"/>
      <c r="K254" s="212"/>
      <c r="L254" s="212"/>
      <c r="M254" s="212"/>
      <c r="N254" s="212"/>
      <c r="O254" s="213"/>
    </row>
    <row r="255" spans="1:27" ht="15" thickBo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6"/>
      <c r="L255" s="6"/>
      <c r="M255" s="6"/>
      <c r="N255" s="5"/>
    </row>
    <row r="256" spans="1:27" ht="36" customHeight="1" thickBot="1">
      <c r="A256" s="55" t="s">
        <v>6</v>
      </c>
      <c r="B256" s="55" t="str">
        <f>B212</f>
        <v>06.06.2007</v>
      </c>
      <c r="C256" s="5"/>
      <c r="D256" s="5"/>
      <c r="E256" s="55" t="s">
        <v>7</v>
      </c>
      <c r="F256" s="55"/>
      <c r="G256" s="5"/>
      <c r="H256" s="55" t="s">
        <v>8</v>
      </c>
      <c r="I256" s="211" t="str">
        <f>I212</f>
        <v>Asst. Jr. Engineer</v>
      </c>
      <c r="J256" s="212"/>
      <c r="K256" s="212" t="str">
        <f>K212</f>
        <v>Asst. Jr. Engineer</v>
      </c>
      <c r="L256" s="212"/>
      <c r="M256" s="212"/>
      <c r="N256" s="212"/>
      <c r="O256" s="213"/>
    </row>
    <row r="257" spans="1:31" ht="15" thickBo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6"/>
      <c r="L257" s="6"/>
      <c r="M257" s="6"/>
      <c r="N257" s="5"/>
    </row>
    <row r="258" spans="1:31" ht="24" customHeight="1" thickBot="1">
      <c r="A258" s="55" t="s">
        <v>10</v>
      </c>
      <c r="B258" s="58">
        <v>0.08</v>
      </c>
      <c r="C258" s="5"/>
      <c r="D258" s="5"/>
      <c r="E258" s="55" t="s">
        <v>11</v>
      </c>
      <c r="F258" s="58">
        <v>8.5999999999999993E-2</v>
      </c>
      <c r="G258" s="5"/>
      <c r="H258" s="239" t="s">
        <v>12</v>
      </c>
      <c r="I258" s="240"/>
      <c r="J258" s="241"/>
      <c r="K258" s="242">
        <f>L243</f>
        <v>72731</v>
      </c>
      <c r="L258" s="243"/>
      <c r="M258" s="243"/>
      <c r="N258" s="243"/>
      <c r="O258" s="244"/>
    </row>
    <row r="259" spans="1:31" ht="15" thickBo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6"/>
      <c r="L259" s="6"/>
      <c r="M259" s="6"/>
      <c r="N259" s="5"/>
    </row>
    <row r="260" spans="1:31" ht="39.9" customHeight="1" thickBot="1">
      <c r="A260" s="235" t="s">
        <v>13</v>
      </c>
      <c r="B260" s="256" t="s">
        <v>14</v>
      </c>
      <c r="C260" s="257"/>
      <c r="D260" s="256" t="s">
        <v>349</v>
      </c>
      <c r="E260" s="257"/>
      <c r="F260" s="235" t="s">
        <v>342</v>
      </c>
      <c r="G260" s="235" t="s">
        <v>16</v>
      </c>
      <c r="H260" s="235" t="s">
        <v>17</v>
      </c>
      <c r="I260" s="235" t="s">
        <v>341</v>
      </c>
      <c r="J260" s="235" t="s">
        <v>354</v>
      </c>
      <c r="K260" s="254" t="s">
        <v>353</v>
      </c>
      <c r="L260" s="254" t="s">
        <v>340</v>
      </c>
      <c r="M260" s="254" t="s">
        <v>355</v>
      </c>
      <c r="N260" s="254" t="s">
        <v>343</v>
      </c>
      <c r="O260" s="247" t="s">
        <v>20</v>
      </c>
      <c r="Q260" s="12" t="s">
        <v>27</v>
      </c>
      <c r="R260" s="12" t="s">
        <v>28</v>
      </c>
      <c r="S260" s="12" t="s">
        <v>29</v>
      </c>
      <c r="T260" s="12" t="s">
        <v>30</v>
      </c>
      <c r="U260" s="12" t="s">
        <v>21</v>
      </c>
      <c r="V260" s="12" t="s">
        <v>22</v>
      </c>
      <c r="W260" s="12" t="s">
        <v>23</v>
      </c>
      <c r="X260" s="12" t="s">
        <v>24</v>
      </c>
      <c r="Y260" s="12" t="s">
        <v>356</v>
      </c>
      <c r="Z260" s="12" t="s">
        <v>336</v>
      </c>
      <c r="AA260" s="12" t="s">
        <v>26</v>
      </c>
      <c r="AB260" s="12" t="s">
        <v>31</v>
      </c>
      <c r="AC260" s="12" t="s">
        <v>32</v>
      </c>
      <c r="AD260" s="12" t="s">
        <v>333</v>
      </c>
    </row>
    <row r="261" spans="1:31" ht="39.9" customHeight="1" thickBot="1">
      <c r="A261" s="236"/>
      <c r="B261" s="55" t="s">
        <v>350</v>
      </c>
      <c r="C261" s="55" t="s">
        <v>351</v>
      </c>
      <c r="D261" s="55" t="s">
        <v>350</v>
      </c>
      <c r="E261" s="55" t="s">
        <v>351</v>
      </c>
      <c r="F261" s="236"/>
      <c r="G261" s="236"/>
      <c r="H261" s="236"/>
      <c r="I261" s="236"/>
      <c r="J261" s="236"/>
      <c r="K261" s="255"/>
      <c r="L261" s="255"/>
      <c r="M261" s="255"/>
      <c r="N261" s="255"/>
      <c r="O261" s="248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</row>
    <row r="262" spans="1:31" ht="18" customHeight="1">
      <c r="A262" s="42" t="s">
        <v>129</v>
      </c>
      <c r="B262" s="20">
        <v>2000</v>
      </c>
      <c r="C262" s="20">
        <v>0</v>
      </c>
      <c r="D262" s="20">
        <f>B262</f>
        <v>2000</v>
      </c>
      <c r="E262" s="20">
        <f>C262</f>
        <v>0</v>
      </c>
      <c r="F262" s="20">
        <v>0</v>
      </c>
      <c r="G262" s="20">
        <f t="shared" ref="G262:G277" si="68">(B262+C262+F262)+(D262+E262)</f>
        <v>4000</v>
      </c>
      <c r="H262" s="20">
        <v>0</v>
      </c>
      <c r="I262" s="20">
        <f>(K258+B262+C262+F262)-H262</f>
        <v>74731</v>
      </c>
      <c r="J262" s="20">
        <f>(D262+E262)</f>
        <v>2000</v>
      </c>
      <c r="K262" s="20">
        <f>(K258+G262)-H262</f>
        <v>76731</v>
      </c>
      <c r="L262" s="20">
        <f>ROUND((I262*8/100)/12,0)</f>
        <v>498</v>
      </c>
      <c r="M262" s="20">
        <f>ROUND((J262*8/100)/12,0)</f>
        <v>13</v>
      </c>
      <c r="N262" s="20">
        <f>L262+M262</f>
        <v>511</v>
      </c>
      <c r="O262" s="210" t="s">
        <v>34</v>
      </c>
      <c r="Q262" s="1">
        <v>14</v>
      </c>
      <c r="R262" s="1">
        <v>14</v>
      </c>
      <c r="S262" s="1">
        <v>962</v>
      </c>
      <c r="T262" s="22">
        <v>40663</v>
      </c>
      <c r="U262" s="30">
        <v>4625</v>
      </c>
      <c r="V262" s="30">
        <v>2313</v>
      </c>
      <c r="W262" s="30">
        <v>3747</v>
      </c>
      <c r="X262" s="30">
        <f t="shared" ref="X262:X277" si="69">U262+V262+W262</f>
        <v>10685</v>
      </c>
      <c r="Y262" s="30">
        <f t="shared" ref="Y262:Y277" si="70">ROUND(X262*10%,0)</f>
        <v>1069</v>
      </c>
      <c r="Z262" s="30">
        <v>2000</v>
      </c>
      <c r="AA262" s="30">
        <f t="shared" ref="AA262:AA277" si="71">Z262-Y262</f>
        <v>931</v>
      </c>
      <c r="AB262" s="22">
        <v>40634</v>
      </c>
      <c r="AC262" s="22">
        <v>40663</v>
      </c>
      <c r="AD262" s="1" t="s">
        <v>98</v>
      </c>
    </row>
    <row r="263" spans="1:31" ht="18" customHeight="1">
      <c r="A263" s="42" t="s">
        <v>130</v>
      </c>
      <c r="B263" s="20">
        <v>2000</v>
      </c>
      <c r="C263" s="20">
        <v>0</v>
      </c>
      <c r="D263" s="20">
        <f t="shared" ref="D263:E277" si="72">B263</f>
        <v>2000</v>
      </c>
      <c r="E263" s="20">
        <f t="shared" si="72"/>
        <v>0</v>
      </c>
      <c r="F263" s="20">
        <v>0</v>
      </c>
      <c r="G263" s="20">
        <f t="shared" si="68"/>
        <v>4000</v>
      </c>
      <c r="H263" s="20">
        <v>0</v>
      </c>
      <c r="I263" s="20">
        <f>(I262+B263+C263+F263)-H263</f>
        <v>76731</v>
      </c>
      <c r="J263" s="20">
        <f>(J262+D263+E263)</f>
        <v>4000</v>
      </c>
      <c r="K263" s="20">
        <f>(K262+G263)-H263</f>
        <v>80731</v>
      </c>
      <c r="L263" s="20">
        <f t="shared" ref="L263:M273" si="73">ROUND((I263*8/100)/12,0)</f>
        <v>512</v>
      </c>
      <c r="M263" s="20">
        <f t="shared" si="73"/>
        <v>27</v>
      </c>
      <c r="N263" s="20">
        <f t="shared" ref="N263:N277" si="74">L263+M263</f>
        <v>539</v>
      </c>
      <c r="O263" s="210"/>
      <c r="Q263" s="1">
        <v>29</v>
      </c>
      <c r="R263" s="1">
        <v>29</v>
      </c>
      <c r="S263" s="1">
        <v>2568</v>
      </c>
      <c r="T263" s="22">
        <v>40693</v>
      </c>
      <c r="U263" s="30">
        <v>4625</v>
      </c>
      <c r="V263" s="30">
        <v>2313</v>
      </c>
      <c r="W263" s="30">
        <v>3747</v>
      </c>
      <c r="X263" s="30">
        <f t="shared" si="69"/>
        <v>10685</v>
      </c>
      <c r="Y263" s="30">
        <f t="shared" si="70"/>
        <v>1069</v>
      </c>
      <c r="Z263" s="30">
        <v>837</v>
      </c>
      <c r="AA263" s="30">
        <f t="shared" si="71"/>
        <v>-232</v>
      </c>
      <c r="AB263" s="22">
        <v>40664</v>
      </c>
      <c r="AC263" s="22">
        <v>40693</v>
      </c>
      <c r="AD263" s="1" t="s">
        <v>98</v>
      </c>
    </row>
    <row r="264" spans="1:31" ht="18" customHeight="1">
      <c r="A264" s="42" t="s">
        <v>131</v>
      </c>
      <c r="B264" s="20">
        <v>837</v>
      </c>
      <c r="C264" s="20">
        <v>0</v>
      </c>
      <c r="D264" s="20">
        <f t="shared" si="72"/>
        <v>837</v>
      </c>
      <c r="E264" s="20">
        <f t="shared" si="72"/>
        <v>0</v>
      </c>
      <c r="F264" s="20">
        <v>0</v>
      </c>
      <c r="G264" s="20">
        <f t="shared" si="68"/>
        <v>1674</v>
      </c>
      <c r="H264" s="20">
        <v>0</v>
      </c>
      <c r="I264" s="20">
        <f t="shared" ref="I264:I265" si="75">(I263+B264+C264+F264)-H264</f>
        <v>77568</v>
      </c>
      <c r="J264" s="20">
        <f t="shared" ref="J264" si="76">(J263+D264+E264)</f>
        <v>4837</v>
      </c>
      <c r="K264" s="20">
        <f>(K263+G264)-H264</f>
        <v>82405</v>
      </c>
      <c r="L264" s="20">
        <f t="shared" si="73"/>
        <v>517</v>
      </c>
      <c r="M264" s="20">
        <f t="shared" si="73"/>
        <v>32</v>
      </c>
      <c r="N264" s="20">
        <f t="shared" si="74"/>
        <v>549</v>
      </c>
      <c r="O264" s="210"/>
      <c r="Q264" s="1">
        <v>39</v>
      </c>
      <c r="R264" s="1">
        <v>39</v>
      </c>
      <c r="S264" s="1">
        <v>3682</v>
      </c>
      <c r="T264" s="22">
        <v>40723</v>
      </c>
      <c r="U264" s="30">
        <v>4625</v>
      </c>
      <c r="V264" s="30">
        <v>2313</v>
      </c>
      <c r="W264" s="30">
        <v>3747</v>
      </c>
      <c r="X264" s="30">
        <f t="shared" si="69"/>
        <v>10685</v>
      </c>
      <c r="Y264" s="30">
        <f t="shared" si="70"/>
        <v>1069</v>
      </c>
      <c r="Z264" s="30">
        <v>837</v>
      </c>
      <c r="AA264" s="30">
        <f t="shared" si="71"/>
        <v>-232</v>
      </c>
      <c r="AB264" s="22">
        <v>40695</v>
      </c>
      <c r="AC264" s="22">
        <v>40724</v>
      </c>
      <c r="AD264" s="1" t="s">
        <v>98</v>
      </c>
    </row>
    <row r="265" spans="1:31" ht="18" customHeight="1">
      <c r="A265" s="42" t="s">
        <v>132</v>
      </c>
      <c r="B265" s="20">
        <v>837</v>
      </c>
      <c r="C265" s="20">
        <v>0</v>
      </c>
      <c r="D265" s="20">
        <f t="shared" si="72"/>
        <v>837</v>
      </c>
      <c r="E265" s="20">
        <f t="shared" si="72"/>
        <v>0</v>
      </c>
      <c r="F265" s="20">
        <v>0</v>
      </c>
      <c r="G265" s="20">
        <f t="shared" si="68"/>
        <v>1674</v>
      </c>
      <c r="H265" s="20">
        <v>0</v>
      </c>
      <c r="I265" s="20">
        <f t="shared" si="75"/>
        <v>78405</v>
      </c>
      <c r="J265" s="20">
        <f>(J264+D265+E265)</f>
        <v>5674</v>
      </c>
      <c r="K265" s="20">
        <f>(K264+G265)-H265</f>
        <v>84079</v>
      </c>
      <c r="L265" s="20">
        <f t="shared" si="73"/>
        <v>523</v>
      </c>
      <c r="M265" s="20">
        <f t="shared" si="73"/>
        <v>38</v>
      </c>
      <c r="N265" s="20">
        <f t="shared" si="74"/>
        <v>561</v>
      </c>
      <c r="O265" s="210"/>
      <c r="Q265" s="1">
        <v>51</v>
      </c>
      <c r="R265" s="1">
        <v>51</v>
      </c>
      <c r="S265" s="1">
        <v>4827</v>
      </c>
      <c r="T265" s="22">
        <v>40754</v>
      </c>
      <c r="U265" s="30">
        <v>4625</v>
      </c>
      <c r="V265" s="30">
        <v>2313</v>
      </c>
      <c r="W265" s="30">
        <v>3747</v>
      </c>
      <c r="X265" s="30">
        <f t="shared" si="69"/>
        <v>10685</v>
      </c>
      <c r="Y265" s="30">
        <f t="shared" si="70"/>
        <v>1069</v>
      </c>
      <c r="Z265" s="30">
        <v>837</v>
      </c>
      <c r="AA265" s="30">
        <f t="shared" si="71"/>
        <v>-232</v>
      </c>
      <c r="AB265" s="22">
        <v>40725</v>
      </c>
      <c r="AC265" s="22">
        <v>40755</v>
      </c>
      <c r="AD265" s="1" t="s">
        <v>98</v>
      </c>
    </row>
    <row r="266" spans="1:31" ht="18" customHeight="1">
      <c r="A266" s="263" t="s">
        <v>133</v>
      </c>
      <c r="B266" s="208">
        <v>837</v>
      </c>
      <c r="C266" s="208">
        <f>Y266</f>
        <v>5286</v>
      </c>
      <c r="D266" s="208">
        <f>B266</f>
        <v>837</v>
      </c>
      <c r="E266" s="208">
        <f>C266</f>
        <v>5286</v>
      </c>
      <c r="F266" s="208">
        <v>0</v>
      </c>
      <c r="G266" s="208">
        <f t="shared" si="68"/>
        <v>12246</v>
      </c>
      <c r="H266" s="208">
        <v>0</v>
      </c>
      <c r="I266" s="208">
        <f>(I265+B266+C266+F266)-H266</f>
        <v>84528</v>
      </c>
      <c r="J266" s="208">
        <f>(J265+D266+E266)</f>
        <v>11797</v>
      </c>
      <c r="K266" s="208">
        <f>(K265+G266)-H266</f>
        <v>96325</v>
      </c>
      <c r="L266" s="208">
        <f t="shared" si="73"/>
        <v>564</v>
      </c>
      <c r="M266" s="208">
        <f t="shared" si="73"/>
        <v>79</v>
      </c>
      <c r="N266" s="208">
        <f t="shared" si="74"/>
        <v>643</v>
      </c>
      <c r="O266" s="210"/>
      <c r="Q266" s="24">
        <v>60</v>
      </c>
      <c r="R266" s="24">
        <v>60</v>
      </c>
      <c r="S266" s="24">
        <v>5778</v>
      </c>
      <c r="T266" s="25">
        <v>40780</v>
      </c>
      <c r="U266" s="33">
        <v>52858</v>
      </c>
      <c r="V266" s="33">
        <v>0</v>
      </c>
      <c r="W266" s="33">
        <v>0</v>
      </c>
      <c r="X266" s="33">
        <f t="shared" si="69"/>
        <v>52858</v>
      </c>
      <c r="Y266" s="33">
        <f t="shared" si="70"/>
        <v>5286</v>
      </c>
      <c r="Z266" s="33">
        <v>0</v>
      </c>
      <c r="AA266" s="33">
        <f t="shared" si="71"/>
        <v>-5286</v>
      </c>
      <c r="AB266" s="25">
        <v>44409</v>
      </c>
      <c r="AC266" s="25">
        <v>40786</v>
      </c>
      <c r="AD266" s="24" t="s">
        <v>74</v>
      </c>
      <c r="AE266" s="24" t="s">
        <v>337</v>
      </c>
    </row>
    <row r="267" spans="1:31" ht="18" customHeight="1">
      <c r="A267" s="265"/>
      <c r="B267" s="214"/>
      <c r="C267" s="214"/>
      <c r="D267" s="214"/>
      <c r="E267" s="214"/>
      <c r="F267" s="214"/>
      <c r="G267" s="214"/>
      <c r="H267" s="214"/>
      <c r="I267" s="214"/>
      <c r="J267" s="214"/>
      <c r="K267" s="214"/>
      <c r="L267" s="214"/>
      <c r="M267" s="214"/>
      <c r="N267" s="214"/>
      <c r="O267" s="210"/>
      <c r="Q267" s="24">
        <v>64</v>
      </c>
      <c r="R267" s="24">
        <v>64</v>
      </c>
      <c r="S267" s="24">
        <v>9096</v>
      </c>
      <c r="T267" s="25">
        <v>40785</v>
      </c>
      <c r="U267" s="33">
        <v>10560</v>
      </c>
      <c r="V267" s="33">
        <v>5280</v>
      </c>
      <c r="W267" s="33">
        <v>8554</v>
      </c>
      <c r="X267" s="33">
        <f t="shared" si="69"/>
        <v>24394</v>
      </c>
      <c r="Y267" s="33">
        <f t="shared" si="70"/>
        <v>2439</v>
      </c>
      <c r="Z267" s="33">
        <v>2331</v>
      </c>
      <c r="AA267" s="33">
        <f t="shared" si="71"/>
        <v>-108</v>
      </c>
      <c r="AB267" s="25">
        <v>44409</v>
      </c>
      <c r="AC267" s="25">
        <v>40786</v>
      </c>
      <c r="AD267" s="24" t="s">
        <v>98</v>
      </c>
      <c r="AE267" s="24" t="s">
        <v>337</v>
      </c>
    </row>
    <row r="268" spans="1:31" ht="18" customHeight="1">
      <c r="A268" s="42" t="s">
        <v>134</v>
      </c>
      <c r="B268" s="20">
        <v>2331</v>
      </c>
      <c r="C268" s="20">
        <v>0</v>
      </c>
      <c r="D268" s="20">
        <f t="shared" si="72"/>
        <v>2331</v>
      </c>
      <c r="E268" s="20">
        <f t="shared" si="72"/>
        <v>0</v>
      </c>
      <c r="F268" s="20">
        <v>0</v>
      </c>
      <c r="G268" s="20">
        <f t="shared" si="68"/>
        <v>4662</v>
      </c>
      <c r="H268" s="20">
        <v>0</v>
      </c>
      <c r="I268" s="20">
        <f>(I266+B268+C268+F268)-H268</f>
        <v>86859</v>
      </c>
      <c r="J268" s="20">
        <f>(J266+D268+E268)</f>
        <v>14128</v>
      </c>
      <c r="K268" s="20">
        <f>(K266+G268)-H268</f>
        <v>100987</v>
      </c>
      <c r="L268" s="20">
        <f t="shared" si="73"/>
        <v>579</v>
      </c>
      <c r="M268" s="20">
        <f t="shared" si="73"/>
        <v>94</v>
      </c>
      <c r="N268" s="20">
        <f t="shared" si="74"/>
        <v>673</v>
      </c>
      <c r="O268" s="210"/>
      <c r="Q268" s="1">
        <v>77</v>
      </c>
      <c r="R268" s="1">
        <v>77</v>
      </c>
      <c r="S268" s="1">
        <v>7357</v>
      </c>
      <c r="T268" s="22">
        <v>40816</v>
      </c>
      <c r="U268" s="30">
        <v>10560</v>
      </c>
      <c r="V268" s="30">
        <v>5280</v>
      </c>
      <c r="W268" s="30">
        <v>8554</v>
      </c>
      <c r="X268" s="30">
        <f t="shared" si="69"/>
        <v>24394</v>
      </c>
      <c r="Y268" s="30">
        <f t="shared" si="70"/>
        <v>2439</v>
      </c>
      <c r="Z268" s="30">
        <v>2331</v>
      </c>
      <c r="AA268" s="30">
        <f t="shared" si="71"/>
        <v>-108</v>
      </c>
      <c r="AB268" s="22">
        <v>40787</v>
      </c>
      <c r="AC268" s="22">
        <v>40816</v>
      </c>
      <c r="AD268" s="1" t="s">
        <v>98</v>
      </c>
      <c r="AE268" s="1" t="s">
        <v>337</v>
      </c>
    </row>
    <row r="269" spans="1:31" ht="18" customHeight="1">
      <c r="A269" s="263" t="s">
        <v>135</v>
      </c>
      <c r="B269" s="208">
        <v>2331</v>
      </c>
      <c r="C269" s="208">
        <v>0</v>
      </c>
      <c r="D269" s="208">
        <f t="shared" si="72"/>
        <v>2331</v>
      </c>
      <c r="E269" s="208">
        <f t="shared" si="72"/>
        <v>0</v>
      </c>
      <c r="F269" s="208">
        <v>0</v>
      </c>
      <c r="G269" s="208">
        <f t="shared" si="68"/>
        <v>4662</v>
      </c>
      <c r="H269" s="208">
        <v>0</v>
      </c>
      <c r="I269" s="208">
        <f>(I268+B269+C269+F269)-H269</f>
        <v>89190</v>
      </c>
      <c r="J269" s="208">
        <f>(J268+D269+E269)</f>
        <v>16459</v>
      </c>
      <c r="K269" s="208">
        <f>(K268+G269)-H269</f>
        <v>105649</v>
      </c>
      <c r="L269" s="208">
        <f t="shared" si="73"/>
        <v>595</v>
      </c>
      <c r="M269" s="208">
        <f t="shared" si="73"/>
        <v>110</v>
      </c>
      <c r="N269" s="208">
        <f t="shared" si="74"/>
        <v>705</v>
      </c>
      <c r="O269" s="210"/>
      <c r="Q269" s="24">
        <v>82</v>
      </c>
      <c r="R269" s="24">
        <v>82</v>
      </c>
      <c r="S269" s="24">
        <v>7996</v>
      </c>
      <c r="T269" s="25">
        <v>40827</v>
      </c>
      <c r="U269" s="49">
        <v>18114</v>
      </c>
      <c r="V269" s="33">
        <v>0</v>
      </c>
      <c r="W269" s="33">
        <v>0</v>
      </c>
      <c r="X269" s="33">
        <f t="shared" si="69"/>
        <v>18114</v>
      </c>
      <c r="Y269" s="33">
        <f t="shared" si="70"/>
        <v>1811</v>
      </c>
      <c r="Z269" s="33">
        <v>0</v>
      </c>
      <c r="AA269" s="33">
        <f t="shared" si="71"/>
        <v>-1811</v>
      </c>
      <c r="AB269" s="25">
        <v>40817</v>
      </c>
      <c r="AC269" s="25">
        <v>40847</v>
      </c>
      <c r="AD269" s="24" t="s">
        <v>74</v>
      </c>
      <c r="AE269" s="24" t="s">
        <v>337</v>
      </c>
    </row>
    <row r="270" spans="1:31" ht="18" customHeight="1">
      <c r="A270" s="264"/>
      <c r="B270" s="209"/>
      <c r="C270" s="209"/>
      <c r="D270" s="209"/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  <c r="O270" s="210"/>
      <c r="Q270" s="24">
        <v>82</v>
      </c>
      <c r="R270" s="24">
        <v>82</v>
      </c>
      <c r="S270" s="24">
        <v>7997</v>
      </c>
      <c r="T270" s="25">
        <v>40827</v>
      </c>
      <c r="U270" s="33">
        <v>18116</v>
      </c>
      <c r="V270" s="33">
        <v>0</v>
      </c>
      <c r="W270" s="33">
        <v>0</v>
      </c>
      <c r="X270" s="33">
        <f t="shared" si="69"/>
        <v>18116</v>
      </c>
      <c r="Y270" s="33">
        <f t="shared" si="70"/>
        <v>1812</v>
      </c>
      <c r="Z270" s="33">
        <v>0</v>
      </c>
      <c r="AA270" s="33">
        <f t="shared" si="71"/>
        <v>-1812</v>
      </c>
      <c r="AB270" s="25">
        <v>40817</v>
      </c>
      <c r="AC270" s="25">
        <v>40847</v>
      </c>
      <c r="AD270" s="24" t="s">
        <v>74</v>
      </c>
      <c r="AE270" s="24" t="s">
        <v>337</v>
      </c>
    </row>
    <row r="271" spans="1:31" ht="18" customHeight="1">
      <c r="A271" s="264"/>
      <c r="B271" s="209"/>
      <c r="C271" s="209"/>
      <c r="D271" s="209"/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  <c r="O271" s="210"/>
      <c r="Q271" s="24">
        <v>82</v>
      </c>
      <c r="R271" s="24">
        <v>82</v>
      </c>
      <c r="S271" s="24">
        <v>8029</v>
      </c>
      <c r="T271" s="25">
        <v>40827</v>
      </c>
      <c r="U271" s="33">
        <v>2400</v>
      </c>
      <c r="V271" s="33">
        <v>0</v>
      </c>
      <c r="W271" s="33">
        <v>0</v>
      </c>
      <c r="X271" s="33">
        <f t="shared" si="69"/>
        <v>2400</v>
      </c>
      <c r="Y271" s="33">
        <f t="shared" si="70"/>
        <v>240</v>
      </c>
      <c r="Z271" s="33">
        <v>0</v>
      </c>
      <c r="AA271" s="33">
        <f t="shared" si="71"/>
        <v>-240</v>
      </c>
      <c r="AB271" s="25">
        <v>40817</v>
      </c>
      <c r="AC271" s="25">
        <v>40847</v>
      </c>
      <c r="AD271" s="24" t="s">
        <v>74</v>
      </c>
      <c r="AE271" s="24" t="s">
        <v>337</v>
      </c>
    </row>
    <row r="272" spans="1:31" ht="18" customHeight="1">
      <c r="A272" s="265"/>
      <c r="B272" s="214"/>
      <c r="C272" s="214"/>
      <c r="D272" s="214"/>
      <c r="E272" s="214"/>
      <c r="F272" s="214"/>
      <c r="G272" s="214"/>
      <c r="H272" s="214"/>
      <c r="I272" s="214"/>
      <c r="J272" s="214"/>
      <c r="K272" s="214"/>
      <c r="L272" s="214"/>
      <c r="M272" s="214"/>
      <c r="N272" s="214"/>
      <c r="O272" s="210"/>
      <c r="Q272" s="24">
        <v>89</v>
      </c>
      <c r="R272" s="24">
        <v>89</v>
      </c>
      <c r="S272" s="24">
        <v>8648</v>
      </c>
      <c r="T272" s="25">
        <v>40833</v>
      </c>
      <c r="U272" s="33">
        <v>10560</v>
      </c>
      <c r="V272" s="33">
        <v>4200</v>
      </c>
      <c r="W272" s="33">
        <v>8561</v>
      </c>
      <c r="X272" s="33">
        <f t="shared" si="69"/>
        <v>23321</v>
      </c>
      <c r="Y272" s="33">
        <f t="shared" si="70"/>
        <v>2332</v>
      </c>
      <c r="Z272" s="33">
        <v>2332</v>
      </c>
      <c r="AA272" s="33">
        <f t="shared" si="71"/>
        <v>0</v>
      </c>
      <c r="AB272" s="25">
        <v>40817</v>
      </c>
      <c r="AC272" s="25">
        <v>40847</v>
      </c>
      <c r="AD272" s="24" t="s">
        <v>98</v>
      </c>
      <c r="AE272" s="24" t="s">
        <v>337</v>
      </c>
    </row>
    <row r="273" spans="1:30" ht="18" customHeight="1">
      <c r="A273" s="42" t="s">
        <v>136</v>
      </c>
      <c r="B273" s="20">
        <f t="shared" ref="B273:B277" si="77">Y273</f>
        <v>2332</v>
      </c>
      <c r="C273" s="20">
        <v>0</v>
      </c>
      <c r="D273" s="20">
        <f t="shared" si="72"/>
        <v>2332</v>
      </c>
      <c r="E273" s="20">
        <f t="shared" si="72"/>
        <v>0</v>
      </c>
      <c r="F273" s="20">
        <v>0</v>
      </c>
      <c r="G273" s="20">
        <f t="shared" si="68"/>
        <v>4664</v>
      </c>
      <c r="H273" s="20">
        <v>0</v>
      </c>
      <c r="I273" s="20">
        <f>(I269+B273+C273+F273)-H273</f>
        <v>91522</v>
      </c>
      <c r="J273" s="20">
        <f>(J269+D273+E273)</f>
        <v>18791</v>
      </c>
      <c r="K273" s="20">
        <f>(K269+G273)-H273</f>
        <v>110313</v>
      </c>
      <c r="L273" s="20">
        <f t="shared" si="73"/>
        <v>610</v>
      </c>
      <c r="M273" s="20">
        <f t="shared" si="73"/>
        <v>125</v>
      </c>
      <c r="N273" s="20">
        <f t="shared" si="74"/>
        <v>735</v>
      </c>
      <c r="O273" s="210"/>
      <c r="Q273" s="1">
        <v>107</v>
      </c>
      <c r="R273" s="1">
        <v>107</v>
      </c>
      <c r="S273" s="1">
        <v>10873</v>
      </c>
      <c r="T273" s="22">
        <v>40877</v>
      </c>
      <c r="U273" s="30">
        <v>10560</v>
      </c>
      <c r="V273" s="30">
        <v>4200</v>
      </c>
      <c r="W273" s="30">
        <v>8561</v>
      </c>
      <c r="X273" s="30">
        <f t="shared" si="69"/>
        <v>23321</v>
      </c>
      <c r="Y273" s="30">
        <f t="shared" si="70"/>
        <v>2332</v>
      </c>
      <c r="Z273" s="30">
        <v>2332</v>
      </c>
      <c r="AA273" s="30">
        <f t="shared" si="71"/>
        <v>0</v>
      </c>
      <c r="AB273" s="22">
        <v>40848</v>
      </c>
      <c r="AC273" s="22">
        <v>40877</v>
      </c>
      <c r="AD273" s="1" t="s">
        <v>98</v>
      </c>
    </row>
    <row r="274" spans="1:30" ht="18" customHeight="1">
      <c r="A274" s="42" t="s">
        <v>137</v>
      </c>
      <c r="B274" s="20">
        <f t="shared" si="77"/>
        <v>2332</v>
      </c>
      <c r="C274" s="20">
        <v>0</v>
      </c>
      <c r="D274" s="20">
        <f t="shared" si="72"/>
        <v>2332</v>
      </c>
      <c r="E274" s="20">
        <f t="shared" si="72"/>
        <v>0</v>
      </c>
      <c r="F274" s="20">
        <v>0</v>
      </c>
      <c r="G274" s="20">
        <f t="shared" si="68"/>
        <v>4664</v>
      </c>
      <c r="H274" s="20">
        <v>0</v>
      </c>
      <c r="I274" s="20">
        <f>(I273+B274+C274+F274)-H274</f>
        <v>93854</v>
      </c>
      <c r="J274" s="20">
        <f>(J273+D274+E274)</f>
        <v>21123</v>
      </c>
      <c r="K274" s="20">
        <f>(K273+G274)-H274</f>
        <v>114977</v>
      </c>
      <c r="L274" s="20">
        <f>ROUND((I274*8.6/100)/12,0)</f>
        <v>673</v>
      </c>
      <c r="M274" s="20">
        <f>ROUND((J274*8.6/100)/12,0)</f>
        <v>151</v>
      </c>
      <c r="N274" s="20">
        <f t="shared" si="74"/>
        <v>824</v>
      </c>
      <c r="O274" s="210" t="s">
        <v>138</v>
      </c>
      <c r="Q274" s="1">
        <v>119</v>
      </c>
      <c r="R274" s="1">
        <v>119</v>
      </c>
      <c r="S274" s="1">
        <v>12224</v>
      </c>
      <c r="T274" s="22">
        <v>40907</v>
      </c>
      <c r="U274" s="30">
        <v>10560</v>
      </c>
      <c r="V274" s="30">
        <v>4200</v>
      </c>
      <c r="W274" s="30">
        <v>8561</v>
      </c>
      <c r="X274" s="30">
        <f t="shared" si="69"/>
        <v>23321</v>
      </c>
      <c r="Y274" s="30">
        <f t="shared" si="70"/>
        <v>2332</v>
      </c>
      <c r="Z274" s="30">
        <v>2332</v>
      </c>
      <c r="AA274" s="30">
        <f t="shared" si="71"/>
        <v>0</v>
      </c>
      <c r="AB274" s="22">
        <v>40878</v>
      </c>
      <c r="AC274" s="22">
        <v>40908</v>
      </c>
      <c r="AD274" s="1" t="s">
        <v>98</v>
      </c>
    </row>
    <row r="275" spans="1:30" ht="18" customHeight="1">
      <c r="A275" s="42" t="s">
        <v>139</v>
      </c>
      <c r="B275" s="20">
        <f t="shared" si="77"/>
        <v>2332</v>
      </c>
      <c r="C275" s="20">
        <v>0</v>
      </c>
      <c r="D275" s="20">
        <f t="shared" si="72"/>
        <v>2332</v>
      </c>
      <c r="E275" s="20">
        <f t="shared" si="72"/>
        <v>0</v>
      </c>
      <c r="F275" s="20">
        <v>0</v>
      </c>
      <c r="G275" s="20">
        <f t="shared" si="68"/>
        <v>4664</v>
      </c>
      <c r="H275" s="20">
        <v>0</v>
      </c>
      <c r="I275" s="20">
        <f>(I274+B275+C275+F275)-H275</f>
        <v>96186</v>
      </c>
      <c r="J275" s="20">
        <f>(J274+D275+E275)</f>
        <v>23455</v>
      </c>
      <c r="K275" s="20">
        <f>(K274+G275)-H275</f>
        <v>119641</v>
      </c>
      <c r="L275" s="20">
        <f t="shared" ref="L275:M277" si="78">ROUND((I275*8.6/100)/12,0)</f>
        <v>689</v>
      </c>
      <c r="M275" s="20">
        <f t="shared" si="78"/>
        <v>168</v>
      </c>
      <c r="N275" s="20">
        <f t="shared" si="74"/>
        <v>857</v>
      </c>
      <c r="O275" s="210"/>
      <c r="Q275" s="1">
        <v>131</v>
      </c>
      <c r="R275" s="1">
        <v>131</v>
      </c>
      <c r="S275" s="1">
        <v>13549</v>
      </c>
      <c r="T275" s="22">
        <v>40939</v>
      </c>
      <c r="U275" s="30">
        <v>10560</v>
      </c>
      <c r="V275" s="30">
        <v>4200</v>
      </c>
      <c r="W275" s="30">
        <v>8561</v>
      </c>
      <c r="X275" s="30">
        <f t="shared" si="69"/>
        <v>23321</v>
      </c>
      <c r="Y275" s="30">
        <f t="shared" si="70"/>
        <v>2332</v>
      </c>
      <c r="Z275" s="30">
        <v>2332</v>
      </c>
      <c r="AA275" s="30">
        <f t="shared" si="71"/>
        <v>0</v>
      </c>
      <c r="AB275" s="22">
        <v>40909</v>
      </c>
      <c r="AC275" s="22">
        <v>40939</v>
      </c>
      <c r="AD275" s="1" t="s">
        <v>98</v>
      </c>
    </row>
    <row r="276" spans="1:30" ht="18" customHeight="1">
      <c r="A276" s="42" t="s">
        <v>140</v>
      </c>
      <c r="B276" s="20">
        <f t="shared" si="77"/>
        <v>2332</v>
      </c>
      <c r="C276" s="20">
        <v>0</v>
      </c>
      <c r="D276" s="20">
        <f t="shared" si="72"/>
        <v>2332</v>
      </c>
      <c r="E276" s="20">
        <f t="shared" si="72"/>
        <v>0</v>
      </c>
      <c r="F276" s="20">
        <v>0</v>
      </c>
      <c r="G276" s="20">
        <f t="shared" si="68"/>
        <v>4664</v>
      </c>
      <c r="H276" s="20">
        <v>0</v>
      </c>
      <c r="I276" s="20">
        <f>(I275+B276+C276+F276)-H276</f>
        <v>98518</v>
      </c>
      <c r="J276" s="20">
        <f>(J275+D276+E276)</f>
        <v>25787</v>
      </c>
      <c r="K276" s="20">
        <f>(K275+G276)-H276</f>
        <v>124305</v>
      </c>
      <c r="L276" s="20">
        <f t="shared" si="78"/>
        <v>706</v>
      </c>
      <c r="M276" s="20">
        <f t="shared" si="78"/>
        <v>185</v>
      </c>
      <c r="N276" s="20">
        <f t="shared" si="74"/>
        <v>891</v>
      </c>
      <c r="O276" s="210"/>
      <c r="Q276" s="1">
        <v>140</v>
      </c>
      <c r="R276" s="1">
        <v>140</v>
      </c>
      <c r="S276" s="1">
        <v>14518</v>
      </c>
      <c r="T276" s="22">
        <v>40968</v>
      </c>
      <c r="U276" s="30">
        <v>10560</v>
      </c>
      <c r="V276" s="30">
        <v>4200</v>
      </c>
      <c r="W276" s="30">
        <v>8561</v>
      </c>
      <c r="X276" s="30">
        <f t="shared" si="69"/>
        <v>23321</v>
      </c>
      <c r="Y276" s="30">
        <f t="shared" si="70"/>
        <v>2332</v>
      </c>
      <c r="Z276" s="30">
        <v>2332</v>
      </c>
      <c r="AA276" s="30">
        <f t="shared" si="71"/>
        <v>0</v>
      </c>
      <c r="AB276" s="22">
        <v>40940</v>
      </c>
      <c r="AC276" s="22">
        <v>40968</v>
      </c>
      <c r="AD276" s="1" t="s">
        <v>98</v>
      </c>
    </row>
    <row r="277" spans="1:30" ht="18" customHeight="1">
      <c r="A277" s="42" t="s">
        <v>141</v>
      </c>
      <c r="B277" s="20">
        <f t="shared" si="77"/>
        <v>2332</v>
      </c>
      <c r="C277" s="20">
        <v>0</v>
      </c>
      <c r="D277" s="20">
        <f t="shared" si="72"/>
        <v>2332</v>
      </c>
      <c r="E277" s="20">
        <f t="shared" si="72"/>
        <v>0</v>
      </c>
      <c r="F277" s="20">
        <v>0</v>
      </c>
      <c r="G277" s="20">
        <f t="shared" si="68"/>
        <v>4664</v>
      </c>
      <c r="H277" s="20">
        <v>0</v>
      </c>
      <c r="I277" s="20">
        <f>(I276+B277+C277+F277)-H277</f>
        <v>100850</v>
      </c>
      <c r="J277" s="20">
        <f>(J276+D277+E277)</f>
        <v>28119</v>
      </c>
      <c r="K277" s="20">
        <f>(K276+G277)-H277</f>
        <v>128969</v>
      </c>
      <c r="L277" s="20">
        <f t="shared" si="78"/>
        <v>723</v>
      </c>
      <c r="M277" s="20">
        <f t="shared" si="78"/>
        <v>202</v>
      </c>
      <c r="N277" s="20">
        <f t="shared" si="74"/>
        <v>925</v>
      </c>
      <c r="O277" s="210"/>
      <c r="Q277" s="1">
        <v>3</v>
      </c>
      <c r="R277" s="1">
        <v>3</v>
      </c>
      <c r="S277" s="1">
        <v>102</v>
      </c>
      <c r="T277" s="22">
        <v>41002</v>
      </c>
      <c r="U277" s="30">
        <v>10560</v>
      </c>
      <c r="V277" s="30">
        <v>4200</v>
      </c>
      <c r="W277" s="30">
        <v>8561</v>
      </c>
      <c r="X277" s="30">
        <f t="shared" si="69"/>
        <v>23321</v>
      </c>
      <c r="Y277" s="30">
        <f t="shared" si="70"/>
        <v>2332</v>
      </c>
      <c r="Z277" s="30">
        <v>2332</v>
      </c>
      <c r="AA277" s="30">
        <f t="shared" si="71"/>
        <v>0</v>
      </c>
      <c r="AB277" s="22">
        <v>40969</v>
      </c>
      <c r="AC277" s="22">
        <v>40999</v>
      </c>
      <c r="AD277" s="1" t="s">
        <v>98</v>
      </c>
    </row>
    <row r="278" spans="1:30" ht="18" customHeight="1" thickBot="1">
      <c r="A278" s="43" t="s">
        <v>142</v>
      </c>
      <c r="B278" s="44">
        <f t="shared" ref="B278:N278" si="79">SUM(B262:B277)</f>
        <v>22833</v>
      </c>
      <c r="C278" s="44">
        <f t="shared" si="79"/>
        <v>5286</v>
      </c>
      <c r="D278" s="44">
        <f t="shared" si="79"/>
        <v>22833</v>
      </c>
      <c r="E278" s="44">
        <f t="shared" si="79"/>
        <v>5286</v>
      </c>
      <c r="F278" s="44">
        <f t="shared" si="79"/>
        <v>0</v>
      </c>
      <c r="G278" s="44">
        <f t="shared" si="79"/>
        <v>56238</v>
      </c>
      <c r="H278" s="44">
        <f t="shared" si="79"/>
        <v>0</v>
      </c>
      <c r="I278" s="44">
        <f>SUM(I262:I277)</f>
        <v>1048942</v>
      </c>
      <c r="J278" s="44">
        <f t="shared" si="79"/>
        <v>176170</v>
      </c>
      <c r="K278" s="44">
        <f>SUM(K262:K277)</f>
        <v>1225112</v>
      </c>
      <c r="L278" s="44">
        <f t="shared" si="79"/>
        <v>7189</v>
      </c>
      <c r="M278" s="44">
        <f t="shared" si="79"/>
        <v>1224</v>
      </c>
      <c r="N278" s="44">
        <f t="shared" si="79"/>
        <v>8413</v>
      </c>
      <c r="O278" s="45"/>
      <c r="U278" s="31">
        <f>SUM(U262:U277)</f>
        <v>194468</v>
      </c>
      <c r="V278" s="31">
        <f t="shared" ref="V278:AA278" si="80">SUM(V262:V277)</f>
        <v>45012</v>
      </c>
      <c r="W278" s="31">
        <f t="shared" si="80"/>
        <v>83462</v>
      </c>
      <c r="X278" s="31">
        <f t="shared" si="80"/>
        <v>322942</v>
      </c>
      <c r="Y278" s="31">
        <f t="shared" si="80"/>
        <v>32295</v>
      </c>
      <c r="Z278" s="31">
        <f t="shared" si="80"/>
        <v>23165</v>
      </c>
      <c r="AA278" s="31">
        <f t="shared" si="80"/>
        <v>-9130</v>
      </c>
    </row>
    <row r="279" spans="1:30" ht="15" thickBot="1">
      <c r="A279" s="5"/>
      <c r="B279" s="5"/>
      <c r="C279" s="5"/>
      <c r="D279" s="5"/>
      <c r="E279" s="5"/>
      <c r="F279" s="6"/>
      <c r="G279" s="5"/>
      <c r="H279" s="5"/>
      <c r="I279" s="5"/>
      <c r="J279" s="5"/>
      <c r="K279" s="6"/>
      <c r="L279" s="6"/>
      <c r="M279" s="6"/>
      <c r="N279" s="5"/>
    </row>
    <row r="280" spans="1:30" ht="18" customHeight="1" thickBot="1">
      <c r="A280" s="5"/>
      <c r="B280" s="6"/>
      <c r="C280" s="6"/>
      <c r="D280" s="6"/>
      <c r="E280" s="5"/>
      <c r="F280" s="53">
        <v>1</v>
      </c>
      <c r="G280" s="211" t="s">
        <v>47</v>
      </c>
      <c r="H280" s="212"/>
      <c r="I280" s="212"/>
      <c r="J280" s="212"/>
      <c r="K280" s="213"/>
      <c r="L280" s="54">
        <f>K258</f>
        <v>72731</v>
      </c>
      <c r="M280" s="2"/>
      <c r="O280" s="1"/>
      <c r="S280" s="30"/>
      <c r="T280" s="30"/>
      <c r="Z280" s="1"/>
      <c r="AA280" s="1"/>
    </row>
    <row r="281" spans="1:30" ht="18" customHeight="1" thickBot="1">
      <c r="A281" s="5"/>
      <c r="B281" s="5"/>
      <c r="C281" s="5"/>
      <c r="D281" s="5"/>
      <c r="E281" s="5"/>
      <c r="F281" s="53">
        <v>2</v>
      </c>
      <c r="G281" s="211" t="s">
        <v>344</v>
      </c>
      <c r="H281" s="212"/>
      <c r="I281" s="212"/>
      <c r="J281" s="212"/>
      <c r="K281" s="213"/>
      <c r="L281" s="54">
        <f>B278+C278</f>
        <v>28119</v>
      </c>
      <c r="M281" s="2"/>
      <c r="O281" s="1"/>
      <c r="S281" s="30"/>
      <c r="T281" s="30"/>
      <c r="Z281" s="1"/>
      <c r="AA281" s="1"/>
    </row>
    <row r="282" spans="1:30" ht="18" customHeight="1" thickBot="1">
      <c r="A282" s="5"/>
      <c r="B282" s="5"/>
      <c r="C282" s="5"/>
      <c r="D282" s="5"/>
      <c r="E282" s="5"/>
      <c r="F282" s="53">
        <v>3</v>
      </c>
      <c r="G282" s="211" t="s">
        <v>345</v>
      </c>
      <c r="H282" s="212"/>
      <c r="I282" s="212"/>
      <c r="J282" s="212"/>
      <c r="K282" s="213"/>
      <c r="L282" s="54">
        <f>F278</f>
        <v>0</v>
      </c>
      <c r="M282" s="2"/>
      <c r="O282" s="1"/>
      <c r="S282" s="30"/>
      <c r="T282" s="30"/>
      <c r="Z282" s="1"/>
      <c r="AA282" s="1"/>
    </row>
    <row r="283" spans="1:30" ht="18" customHeight="1" thickBot="1">
      <c r="A283" s="5"/>
      <c r="B283" s="5"/>
      <c r="C283" s="5"/>
      <c r="D283" s="5"/>
      <c r="E283" s="5"/>
      <c r="F283" s="53">
        <v>4</v>
      </c>
      <c r="G283" s="211" t="s">
        <v>346</v>
      </c>
      <c r="H283" s="212"/>
      <c r="I283" s="212"/>
      <c r="J283" s="212"/>
      <c r="K283" s="213"/>
      <c r="L283" s="54">
        <f>L281+L282</f>
        <v>28119</v>
      </c>
      <c r="M283" s="2"/>
      <c r="O283" s="1"/>
      <c r="S283" s="30"/>
      <c r="T283" s="30"/>
      <c r="Z283" s="1"/>
      <c r="AA283" s="1"/>
    </row>
    <row r="284" spans="1:30" ht="18" customHeight="1" thickBot="1">
      <c r="A284" s="5"/>
      <c r="B284" s="5"/>
      <c r="C284" s="5"/>
      <c r="D284" s="5"/>
      <c r="E284" s="5"/>
      <c r="F284" s="53">
        <v>5</v>
      </c>
      <c r="G284" s="211" t="s">
        <v>349</v>
      </c>
      <c r="H284" s="212"/>
      <c r="I284" s="212"/>
      <c r="J284" s="212"/>
      <c r="K284" s="213"/>
      <c r="L284" s="54">
        <f>D278+E278</f>
        <v>28119</v>
      </c>
      <c r="M284" s="2"/>
      <c r="O284" s="1"/>
      <c r="S284" s="30"/>
      <c r="T284" s="30"/>
      <c r="Z284" s="1"/>
      <c r="AA284" s="1"/>
    </row>
    <row r="285" spans="1:30" ht="18" customHeight="1" thickBot="1">
      <c r="A285" s="5"/>
      <c r="B285" s="5"/>
      <c r="C285" s="5"/>
      <c r="D285" s="5"/>
      <c r="E285" s="5"/>
      <c r="F285" s="53">
        <v>6</v>
      </c>
      <c r="G285" s="211" t="s">
        <v>347</v>
      </c>
      <c r="H285" s="212"/>
      <c r="I285" s="212"/>
      <c r="J285" s="212"/>
      <c r="K285" s="213"/>
      <c r="L285" s="54">
        <f>L280+L283+L284</f>
        <v>128969</v>
      </c>
      <c r="M285" s="2"/>
      <c r="O285" s="1"/>
      <c r="S285" s="30"/>
      <c r="T285" s="30"/>
      <c r="Z285" s="1"/>
      <c r="AA285" s="1"/>
    </row>
    <row r="286" spans="1:30" ht="18" customHeight="1" thickBot="1">
      <c r="A286" s="5"/>
      <c r="B286" s="5"/>
      <c r="C286" s="5"/>
      <c r="D286" s="5"/>
      <c r="E286" s="5"/>
      <c r="F286" s="53">
        <v>7</v>
      </c>
      <c r="G286" s="211" t="s">
        <v>50</v>
      </c>
      <c r="H286" s="212"/>
      <c r="I286" s="212"/>
      <c r="J286" s="212"/>
      <c r="K286" s="213"/>
      <c r="L286" s="54">
        <f>H278</f>
        <v>0</v>
      </c>
      <c r="M286" s="2"/>
      <c r="O286" s="1"/>
      <c r="S286" s="30"/>
      <c r="T286" s="30"/>
      <c r="Z286" s="1"/>
      <c r="AA286" s="1"/>
    </row>
    <row r="287" spans="1:30" ht="18" customHeight="1" thickBot="1">
      <c r="A287" s="5"/>
      <c r="B287" s="5"/>
      <c r="C287" s="5"/>
      <c r="D287" s="5"/>
      <c r="E287" s="5"/>
      <c r="F287" s="53">
        <v>8</v>
      </c>
      <c r="G287" s="211" t="s">
        <v>340</v>
      </c>
      <c r="H287" s="212"/>
      <c r="I287" s="212"/>
      <c r="J287" s="212"/>
      <c r="K287" s="213"/>
      <c r="L287" s="54">
        <f>L278</f>
        <v>7189</v>
      </c>
      <c r="M287" s="2"/>
      <c r="O287" s="1"/>
      <c r="S287" s="30"/>
      <c r="T287" s="30"/>
      <c r="Z287" s="1"/>
      <c r="AA287" s="1"/>
    </row>
    <row r="288" spans="1:30" ht="18" customHeight="1" thickBot="1">
      <c r="A288" s="5"/>
      <c r="B288" s="5"/>
      <c r="C288" s="5"/>
      <c r="D288" s="5"/>
      <c r="E288" s="5"/>
      <c r="F288" s="53">
        <v>9</v>
      </c>
      <c r="G288" s="211" t="s">
        <v>355</v>
      </c>
      <c r="H288" s="212"/>
      <c r="I288" s="212"/>
      <c r="J288" s="212"/>
      <c r="K288" s="213"/>
      <c r="L288" s="54">
        <f>M278</f>
        <v>1224</v>
      </c>
      <c r="M288" s="2"/>
      <c r="O288" s="1"/>
      <c r="S288" s="30"/>
      <c r="T288" s="30"/>
      <c r="Z288" s="1"/>
      <c r="AA288" s="1"/>
    </row>
    <row r="289" spans="1:27" ht="18" customHeight="1" thickBot="1">
      <c r="A289" s="5"/>
      <c r="B289" s="5"/>
      <c r="C289" s="5"/>
      <c r="D289" s="5"/>
      <c r="E289" s="5"/>
      <c r="F289" s="53">
        <v>10</v>
      </c>
      <c r="G289" s="211" t="s">
        <v>348</v>
      </c>
      <c r="H289" s="212"/>
      <c r="I289" s="212"/>
      <c r="J289" s="212"/>
      <c r="K289" s="213"/>
      <c r="L289" s="54">
        <f>N278</f>
        <v>8413</v>
      </c>
      <c r="M289" s="2"/>
      <c r="O289" s="1"/>
      <c r="S289" s="30"/>
      <c r="T289" s="30"/>
      <c r="Z289" s="1"/>
      <c r="AA289" s="1"/>
    </row>
    <row r="290" spans="1:27" ht="18" customHeight="1" thickBot="1">
      <c r="A290" s="5"/>
      <c r="B290" s="5"/>
      <c r="C290" s="5"/>
      <c r="D290" s="5"/>
      <c r="E290" s="5"/>
      <c r="F290" s="53">
        <v>11</v>
      </c>
      <c r="G290" s="212" t="s">
        <v>359</v>
      </c>
      <c r="H290" s="212"/>
      <c r="I290" s="212"/>
      <c r="J290" s="212"/>
      <c r="K290" s="213"/>
      <c r="L290" s="54">
        <f>L285-L286+L289</f>
        <v>137382</v>
      </c>
      <c r="M290" s="2"/>
      <c r="O290" s="1"/>
      <c r="S290" s="30"/>
      <c r="T290" s="30"/>
      <c r="Z290" s="1"/>
      <c r="AA290" s="1"/>
    </row>
    <row r="291" spans="1:27">
      <c r="A291" s="5"/>
      <c r="B291" s="5"/>
      <c r="C291" s="5"/>
      <c r="D291" s="5"/>
      <c r="E291" s="5"/>
      <c r="F291" s="5"/>
      <c r="G291" s="17"/>
      <c r="H291" s="17"/>
      <c r="I291" s="17"/>
      <c r="J291" s="17"/>
      <c r="K291" s="17"/>
      <c r="L291" s="17"/>
      <c r="M291" s="17"/>
      <c r="N291" s="6"/>
    </row>
    <row r="292" spans="1:27">
      <c r="A292" s="5"/>
      <c r="B292" s="5"/>
      <c r="C292" s="5"/>
      <c r="D292" s="5"/>
      <c r="E292" s="5"/>
      <c r="F292" s="5"/>
      <c r="G292" s="17"/>
      <c r="H292" s="17"/>
      <c r="I292" s="17"/>
      <c r="J292" s="17"/>
      <c r="K292" s="17"/>
      <c r="L292" s="17"/>
      <c r="M292" s="17"/>
      <c r="N292" s="6"/>
    </row>
    <row r="293" spans="1:27"/>
    <row r="294" spans="1:27"/>
    <row r="295" spans="1:27" ht="16.8">
      <c r="A295" s="249" t="s">
        <v>53</v>
      </c>
      <c r="B295" s="249"/>
      <c r="C295" s="18"/>
      <c r="D295" s="18"/>
      <c r="E295" s="249" t="s">
        <v>54</v>
      </c>
      <c r="F295" s="249"/>
      <c r="G295" s="249"/>
      <c r="H295" s="250" t="s">
        <v>55</v>
      </c>
      <c r="I295" s="250"/>
      <c r="J295" s="250"/>
      <c r="K295" s="250"/>
      <c r="L295" s="250"/>
      <c r="M295" s="250"/>
      <c r="N295" s="250"/>
    </row>
    <row r="296" spans="1:27" ht="16.8">
      <c r="A296" s="18"/>
      <c r="B296" s="18"/>
      <c r="C296" s="18"/>
      <c r="D296" s="18"/>
      <c r="E296" s="18"/>
      <c r="F296" s="18"/>
      <c r="G296" s="19"/>
      <c r="H296" s="19"/>
      <c r="I296" s="19"/>
      <c r="J296" s="19"/>
    </row>
    <row r="297" spans="1:27" ht="16.8">
      <c r="A297" s="18"/>
      <c r="B297" s="18"/>
      <c r="C297" s="18"/>
      <c r="D297" s="18"/>
      <c r="E297" s="18"/>
      <c r="F297" s="18"/>
      <c r="G297" s="19"/>
      <c r="H297" s="19"/>
      <c r="I297" s="19"/>
      <c r="J297" s="19"/>
    </row>
    <row r="298" spans="1:27" ht="18.600000000000001">
      <c r="A298" s="224" t="s">
        <v>0</v>
      </c>
      <c r="B298" s="224"/>
      <c r="C298" s="224"/>
      <c r="D298" s="224"/>
      <c r="E298" s="224"/>
      <c r="F298" s="224"/>
      <c r="G298" s="224"/>
      <c r="H298" s="224"/>
      <c r="I298" s="224"/>
      <c r="J298" s="224"/>
      <c r="K298" s="224"/>
      <c r="L298" s="224"/>
      <c r="M298" s="224"/>
      <c r="N298" s="224"/>
      <c r="O298" s="224"/>
    </row>
    <row r="299" spans="1:27" ht="18.600000000000001">
      <c r="A299" s="224" t="s">
        <v>1</v>
      </c>
      <c r="B299" s="224"/>
      <c r="C299" s="224"/>
      <c r="D299" s="224"/>
      <c r="E299" s="224"/>
      <c r="F299" s="224"/>
      <c r="G299" s="224"/>
      <c r="H299" s="224"/>
      <c r="I299" s="224"/>
      <c r="J299" s="224"/>
      <c r="K299" s="224"/>
      <c r="L299" s="224"/>
      <c r="M299" s="224"/>
      <c r="N299" s="224"/>
      <c r="O299" s="224"/>
    </row>
    <row r="300" spans="1:27"/>
    <row r="301" spans="1:27">
      <c r="A301" s="225" t="s">
        <v>143</v>
      </c>
      <c r="B301" s="225"/>
      <c r="C301" s="225"/>
      <c r="D301" s="225"/>
      <c r="E301" s="225"/>
      <c r="F301" s="225"/>
      <c r="G301" s="225"/>
      <c r="H301" s="225"/>
      <c r="I301" s="225"/>
      <c r="J301" s="225"/>
      <c r="K301" s="225"/>
      <c r="L301" s="225"/>
      <c r="M301" s="225"/>
      <c r="N301" s="225"/>
    </row>
    <row r="302" spans="1:27" s="12" customFormat="1" ht="36" customHeight="1">
      <c r="A302" s="3" t="s">
        <v>3</v>
      </c>
      <c r="B302" s="3">
        <f>B266</f>
        <v>837</v>
      </c>
      <c r="C302" s="3"/>
      <c r="D302" s="3"/>
      <c r="E302" s="3" t="s">
        <v>4</v>
      </c>
      <c r="F302" s="215" t="str">
        <f>F254</f>
        <v>Mahajan Ganesh Trambak</v>
      </c>
      <c r="G302" s="215"/>
      <c r="H302" s="215"/>
      <c r="I302" s="215"/>
      <c r="J302" s="215"/>
      <c r="K302" s="215"/>
      <c r="L302" s="215"/>
      <c r="M302" s="215"/>
      <c r="N302" s="215"/>
      <c r="O302" s="62"/>
      <c r="U302" s="31"/>
      <c r="V302" s="31"/>
      <c r="W302" s="31"/>
      <c r="X302" s="31"/>
      <c r="Y302" s="31"/>
      <c r="Z302" s="31"/>
      <c r="AA302" s="31"/>
    </row>
    <row r="303" spans="1:27" s="12" customForma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63"/>
      <c r="L303" s="63"/>
      <c r="M303" s="63"/>
      <c r="N303" s="17"/>
      <c r="O303" s="62"/>
      <c r="U303" s="31"/>
      <c r="V303" s="31"/>
      <c r="W303" s="31"/>
      <c r="X303" s="31"/>
      <c r="Y303" s="31"/>
      <c r="Z303" s="31"/>
      <c r="AA303" s="31"/>
    </row>
    <row r="304" spans="1:27" s="12" customFormat="1" ht="36" customHeight="1">
      <c r="A304" s="3" t="s">
        <v>6</v>
      </c>
      <c r="B304" s="3">
        <f>B268</f>
        <v>2331</v>
      </c>
      <c r="C304" s="3"/>
      <c r="D304" s="3"/>
      <c r="E304" s="3" t="s">
        <v>7</v>
      </c>
      <c r="F304" s="216"/>
      <c r="G304" s="217"/>
      <c r="H304" s="3" t="s">
        <v>8</v>
      </c>
      <c r="I304" s="3"/>
      <c r="J304" s="3"/>
      <c r="K304" s="218" t="str">
        <f>I256</f>
        <v>Asst. Jr. Engineer</v>
      </c>
      <c r="L304" s="218"/>
      <c r="M304" s="218"/>
      <c r="N304" s="218"/>
      <c r="O304" s="62"/>
      <c r="U304" s="31"/>
      <c r="V304" s="31"/>
      <c r="W304" s="31"/>
      <c r="X304" s="31"/>
      <c r="Y304" s="31"/>
      <c r="Z304" s="31"/>
      <c r="AA304" s="31"/>
    </row>
    <row r="305" spans="1:31" s="12" customForma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63"/>
      <c r="L305" s="63"/>
      <c r="M305" s="63"/>
      <c r="N305" s="17"/>
      <c r="O305" s="62"/>
      <c r="U305" s="31"/>
      <c r="V305" s="31"/>
      <c r="W305" s="31"/>
      <c r="X305" s="31"/>
      <c r="Y305" s="31"/>
      <c r="Z305" s="31"/>
      <c r="AA305" s="31"/>
    </row>
    <row r="306" spans="1:31" s="12" customFormat="1" ht="24" customHeight="1">
      <c r="A306" s="3" t="s">
        <v>10</v>
      </c>
      <c r="B306" s="7">
        <v>0.08</v>
      </c>
      <c r="C306" s="7"/>
      <c r="D306" s="7"/>
      <c r="E306" s="3"/>
      <c r="F306" s="7"/>
      <c r="G306" s="216" t="s">
        <v>12</v>
      </c>
      <c r="H306" s="217"/>
      <c r="I306" s="29"/>
      <c r="J306" s="29"/>
      <c r="K306" s="266">
        <f>L290</f>
        <v>137382</v>
      </c>
      <c r="L306" s="267"/>
      <c r="M306" s="267"/>
      <c r="N306" s="217"/>
      <c r="O306" s="62"/>
      <c r="U306" s="31"/>
      <c r="V306" s="31"/>
      <c r="W306" s="31"/>
      <c r="X306" s="31"/>
      <c r="Y306" s="31"/>
      <c r="Z306" s="31"/>
      <c r="AA306" s="31"/>
    </row>
    <row r="307" spans="1:31" ht="15" thickBo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6"/>
      <c r="L307" s="6"/>
      <c r="M307" s="6"/>
      <c r="N307" s="5"/>
    </row>
    <row r="308" spans="1:31" ht="39.9" customHeight="1" thickBot="1">
      <c r="A308" s="235" t="s">
        <v>13</v>
      </c>
      <c r="B308" s="256" t="s">
        <v>14</v>
      </c>
      <c r="C308" s="257"/>
      <c r="D308" s="256" t="s">
        <v>349</v>
      </c>
      <c r="E308" s="257"/>
      <c r="F308" s="235" t="s">
        <v>342</v>
      </c>
      <c r="G308" s="235" t="s">
        <v>16</v>
      </c>
      <c r="H308" s="235" t="s">
        <v>17</v>
      </c>
      <c r="I308" s="235" t="s">
        <v>341</v>
      </c>
      <c r="J308" s="235" t="s">
        <v>354</v>
      </c>
      <c r="K308" s="254" t="s">
        <v>353</v>
      </c>
      <c r="L308" s="254" t="s">
        <v>340</v>
      </c>
      <c r="M308" s="254" t="s">
        <v>355</v>
      </c>
      <c r="N308" s="254" t="s">
        <v>343</v>
      </c>
      <c r="O308" s="247" t="s">
        <v>20</v>
      </c>
      <c r="Q308" s="12" t="s">
        <v>27</v>
      </c>
      <c r="R308" s="12" t="s">
        <v>28</v>
      </c>
      <c r="S308" s="12" t="s">
        <v>29</v>
      </c>
      <c r="T308" s="12" t="s">
        <v>30</v>
      </c>
      <c r="U308" s="12" t="s">
        <v>21</v>
      </c>
      <c r="V308" s="12" t="s">
        <v>22</v>
      </c>
      <c r="W308" s="12" t="s">
        <v>23</v>
      </c>
      <c r="X308" s="12" t="s">
        <v>24</v>
      </c>
      <c r="Y308" s="12" t="s">
        <v>356</v>
      </c>
      <c r="Z308" s="12" t="s">
        <v>336</v>
      </c>
      <c r="AA308" s="12" t="s">
        <v>26</v>
      </c>
      <c r="AB308" s="12" t="s">
        <v>31</v>
      </c>
      <c r="AC308" s="12" t="s">
        <v>32</v>
      </c>
      <c r="AD308" s="12" t="s">
        <v>333</v>
      </c>
    </row>
    <row r="309" spans="1:31" ht="39.9" customHeight="1" thickBot="1">
      <c r="A309" s="236"/>
      <c r="B309" s="55" t="s">
        <v>350</v>
      </c>
      <c r="C309" s="55" t="s">
        <v>351</v>
      </c>
      <c r="D309" s="55" t="s">
        <v>350</v>
      </c>
      <c r="E309" s="55" t="s">
        <v>351</v>
      </c>
      <c r="F309" s="236"/>
      <c r="G309" s="236"/>
      <c r="H309" s="236"/>
      <c r="I309" s="236"/>
      <c r="J309" s="236"/>
      <c r="K309" s="255"/>
      <c r="L309" s="255"/>
      <c r="M309" s="255"/>
      <c r="N309" s="255"/>
      <c r="O309" s="248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</row>
    <row r="310" spans="1:31" ht="18" customHeight="1">
      <c r="A310" s="46" t="s">
        <v>144</v>
      </c>
      <c r="B310" s="20">
        <v>2332</v>
      </c>
      <c r="C310" s="20">
        <v>0</v>
      </c>
      <c r="D310" s="20">
        <f>B310</f>
        <v>2332</v>
      </c>
      <c r="E310" s="20">
        <f>C310</f>
        <v>0</v>
      </c>
      <c r="F310" s="20">
        <v>0</v>
      </c>
      <c r="G310" s="20">
        <f t="shared" ref="G310:G321" si="81">(B310+C310+F310)+(D310+E310)</f>
        <v>4664</v>
      </c>
      <c r="H310" s="20">
        <v>0</v>
      </c>
      <c r="I310" s="20">
        <f>(K306+B310+C310+F310)-H310</f>
        <v>139714</v>
      </c>
      <c r="J310" s="20">
        <f>(D310+E310)</f>
        <v>2332</v>
      </c>
      <c r="K310" s="20">
        <f>(K306+G310)-H310</f>
        <v>142046</v>
      </c>
      <c r="L310" s="20">
        <f>ROUND((I310*8.8/100)/12,0)</f>
        <v>1025</v>
      </c>
      <c r="M310" s="20">
        <f>ROUND((J310*8.8/100)/12,0)</f>
        <v>17</v>
      </c>
      <c r="N310" s="20">
        <f>L310+M310</f>
        <v>1042</v>
      </c>
      <c r="O310" s="210" t="s">
        <v>145</v>
      </c>
      <c r="Q310" s="1">
        <v>10</v>
      </c>
      <c r="R310" s="1">
        <v>10</v>
      </c>
      <c r="S310" s="1">
        <v>722</v>
      </c>
      <c r="T310" s="22">
        <v>41029</v>
      </c>
      <c r="U310" s="30">
        <v>10560</v>
      </c>
      <c r="V310" s="30">
        <v>4200</v>
      </c>
      <c r="W310" s="30">
        <v>9594</v>
      </c>
      <c r="X310" s="30">
        <f t="shared" ref="X310:X319" si="82">U310+V310+W310</f>
        <v>24354</v>
      </c>
      <c r="Y310" s="30">
        <f t="shared" ref="Y310:Y319" si="83">ROUND(X310*10%,0)</f>
        <v>2435</v>
      </c>
      <c r="Z310" s="30">
        <v>2435</v>
      </c>
      <c r="AA310" s="30">
        <f t="shared" ref="AA310:AA319" si="84">Z310-Y310</f>
        <v>0</v>
      </c>
      <c r="AB310" s="22">
        <v>41000</v>
      </c>
      <c r="AC310" s="22">
        <v>41029</v>
      </c>
      <c r="AD310" s="1" t="s">
        <v>98</v>
      </c>
    </row>
    <row r="311" spans="1:31" ht="18" customHeight="1">
      <c r="A311" s="46" t="s">
        <v>146</v>
      </c>
      <c r="B311" s="20">
        <v>2435</v>
      </c>
      <c r="C311" s="20">
        <v>0</v>
      </c>
      <c r="D311" s="20">
        <f t="shared" ref="D311:E321" si="85">B311</f>
        <v>2435</v>
      </c>
      <c r="E311" s="20">
        <f t="shared" si="85"/>
        <v>0</v>
      </c>
      <c r="F311" s="20">
        <v>0</v>
      </c>
      <c r="G311" s="20">
        <f t="shared" si="81"/>
        <v>4870</v>
      </c>
      <c r="H311" s="20">
        <v>0</v>
      </c>
      <c r="I311" s="20">
        <f>(I310+B311+C311+F311)-H311</f>
        <v>142149</v>
      </c>
      <c r="J311" s="20">
        <f>(J310+D311+E311)</f>
        <v>4767</v>
      </c>
      <c r="K311" s="20">
        <f>(K310+G311)-H311</f>
        <v>146916</v>
      </c>
      <c r="L311" s="20">
        <f>ROUND((I311*8.8/100)/12,0)</f>
        <v>1042</v>
      </c>
      <c r="M311" s="20">
        <f>ROUND((J311*8.8/100)/12,0)</f>
        <v>35</v>
      </c>
      <c r="N311" s="20">
        <f t="shared" ref="N311:N321" si="86">L311+M311</f>
        <v>1077</v>
      </c>
      <c r="O311" s="210"/>
      <c r="Q311" s="1">
        <v>22</v>
      </c>
      <c r="R311" s="1">
        <v>22</v>
      </c>
      <c r="S311" s="1">
        <v>1899</v>
      </c>
      <c r="T311" s="22">
        <v>41060</v>
      </c>
      <c r="U311" s="30">
        <v>10560</v>
      </c>
      <c r="V311" s="30">
        <v>4200</v>
      </c>
      <c r="W311" s="30">
        <v>9594</v>
      </c>
      <c r="X311" s="30">
        <f t="shared" si="82"/>
        <v>24354</v>
      </c>
      <c r="Y311" s="30">
        <f t="shared" si="83"/>
        <v>2435</v>
      </c>
      <c r="Z311" s="30">
        <v>2435</v>
      </c>
      <c r="AA311" s="30">
        <f t="shared" si="84"/>
        <v>0</v>
      </c>
      <c r="AB311" s="22">
        <v>41030</v>
      </c>
      <c r="AC311" s="22">
        <v>41060</v>
      </c>
      <c r="AD311" s="1" t="s">
        <v>98</v>
      </c>
    </row>
    <row r="312" spans="1:31" ht="18" customHeight="1">
      <c r="A312" s="46" t="s">
        <v>147</v>
      </c>
      <c r="B312" s="20">
        <v>2435</v>
      </c>
      <c r="C312" s="20">
        <v>0</v>
      </c>
      <c r="D312" s="20">
        <f t="shared" si="85"/>
        <v>2435</v>
      </c>
      <c r="E312" s="20">
        <f t="shared" si="85"/>
        <v>0</v>
      </c>
      <c r="F312" s="20">
        <v>0</v>
      </c>
      <c r="G312" s="20">
        <f t="shared" si="81"/>
        <v>4870</v>
      </c>
      <c r="H312" s="20">
        <v>0</v>
      </c>
      <c r="I312" s="20">
        <f t="shared" ref="I312:I321" si="87">(I311+B312+C312+F312)-H312</f>
        <v>144584</v>
      </c>
      <c r="J312" s="20">
        <f t="shared" ref="J312:J321" si="88">(J311+D312+E312)</f>
        <v>7202</v>
      </c>
      <c r="K312" s="20">
        <f t="shared" ref="K312:K321" si="89">(K311+G312)-H312</f>
        <v>151786</v>
      </c>
      <c r="L312" s="20">
        <f t="shared" ref="L312:M321" si="90">ROUND((I312*8.8/100)/12,0)</f>
        <v>1060</v>
      </c>
      <c r="M312" s="20">
        <f t="shared" si="90"/>
        <v>53</v>
      </c>
      <c r="N312" s="20">
        <f t="shared" si="86"/>
        <v>1113</v>
      </c>
      <c r="O312" s="210"/>
      <c r="Q312" s="1">
        <v>33</v>
      </c>
      <c r="R312" s="1">
        <v>33</v>
      </c>
      <c r="S312" s="1">
        <v>2982</v>
      </c>
      <c r="T312" s="22">
        <v>41089</v>
      </c>
      <c r="U312" s="30">
        <v>10560</v>
      </c>
      <c r="V312" s="30">
        <v>4200</v>
      </c>
      <c r="W312" s="30">
        <v>9594</v>
      </c>
      <c r="X312" s="30">
        <f t="shared" si="82"/>
        <v>24354</v>
      </c>
      <c r="Y312" s="30">
        <f t="shared" si="83"/>
        <v>2435</v>
      </c>
      <c r="Z312" s="30">
        <v>2435</v>
      </c>
      <c r="AA312" s="30">
        <f t="shared" si="84"/>
        <v>0</v>
      </c>
      <c r="AB312" s="22">
        <v>41061</v>
      </c>
      <c r="AC312" s="22">
        <v>41090</v>
      </c>
      <c r="AD312" s="1" t="s">
        <v>98</v>
      </c>
    </row>
    <row r="313" spans="1:31" ht="18" customHeight="1">
      <c r="A313" s="46" t="s">
        <v>148</v>
      </c>
      <c r="B313" s="20">
        <v>2435</v>
      </c>
      <c r="C313" s="20">
        <v>0</v>
      </c>
      <c r="D313" s="20">
        <f t="shared" si="85"/>
        <v>2435</v>
      </c>
      <c r="E313" s="20">
        <f t="shared" si="85"/>
        <v>0</v>
      </c>
      <c r="F313" s="20">
        <v>0</v>
      </c>
      <c r="G313" s="20">
        <f t="shared" si="81"/>
        <v>4870</v>
      </c>
      <c r="H313" s="20">
        <v>0</v>
      </c>
      <c r="I313" s="20">
        <f t="shared" si="87"/>
        <v>147019</v>
      </c>
      <c r="J313" s="20">
        <f t="shared" si="88"/>
        <v>9637</v>
      </c>
      <c r="K313" s="20">
        <f t="shared" si="89"/>
        <v>156656</v>
      </c>
      <c r="L313" s="20">
        <f t="shared" si="90"/>
        <v>1078</v>
      </c>
      <c r="M313" s="20">
        <f t="shared" si="90"/>
        <v>71</v>
      </c>
      <c r="N313" s="20">
        <f t="shared" si="86"/>
        <v>1149</v>
      </c>
      <c r="O313" s="210"/>
      <c r="Q313" s="1">
        <v>45</v>
      </c>
      <c r="R313" s="1">
        <v>45</v>
      </c>
      <c r="S313" s="1">
        <v>4223</v>
      </c>
      <c r="T313" s="22">
        <v>41121</v>
      </c>
      <c r="U313" s="30">
        <v>11010</v>
      </c>
      <c r="V313" s="30">
        <v>4200</v>
      </c>
      <c r="W313" s="30">
        <v>9887</v>
      </c>
      <c r="X313" s="30">
        <f t="shared" si="82"/>
        <v>25097</v>
      </c>
      <c r="Y313" s="30">
        <f t="shared" si="83"/>
        <v>2510</v>
      </c>
      <c r="Z313" s="30">
        <v>2509</v>
      </c>
      <c r="AA313" s="30">
        <f t="shared" si="84"/>
        <v>-1</v>
      </c>
      <c r="AB313" s="22">
        <v>41091</v>
      </c>
      <c r="AC313" s="22">
        <v>41121</v>
      </c>
      <c r="AD313" s="1" t="s">
        <v>98</v>
      </c>
    </row>
    <row r="314" spans="1:31" ht="18" customHeight="1">
      <c r="A314" s="46" t="s">
        <v>149</v>
      </c>
      <c r="B314" s="20">
        <v>2509</v>
      </c>
      <c r="C314" s="20">
        <v>0</v>
      </c>
      <c r="D314" s="20">
        <f t="shared" si="85"/>
        <v>2509</v>
      </c>
      <c r="E314" s="20">
        <f t="shared" si="85"/>
        <v>0</v>
      </c>
      <c r="F314" s="20">
        <v>0</v>
      </c>
      <c r="G314" s="20">
        <f t="shared" si="81"/>
        <v>5018</v>
      </c>
      <c r="H314" s="20">
        <v>0</v>
      </c>
      <c r="I314" s="20">
        <f t="shared" si="87"/>
        <v>149528</v>
      </c>
      <c r="J314" s="20">
        <f t="shared" si="88"/>
        <v>12146</v>
      </c>
      <c r="K314" s="20">
        <f t="shared" si="89"/>
        <v>161674</v>
      </c>
      <c r="L314" s="20">
        <f t="shared" si="90"/>
        <v>1097</v>
      </c>
      <c r="M314" s="20">
        <f t="shared" si="90"/>
        <v>89</v>
      </c>
      <c r="N314" s="20">
        <f t="shared" si="86"/>
        <v>1186</v>
      </c>
      <c r="O314" s="210"/>
      <c r="Q314" s="1">
        <v>56</v>
      </c>
      <c r="R314" s="1">
        <v>56</v>
      </c>
      <c r="S314" s="1">
        <v>5376</v>
      </c>
      <c r="T314" s="22">
        <v>41152</v>
      </c>
      <c r="U314" s="30">
        <v>11010</v>
      </c>
      <c r="V314" s="30">
        <v>4200</v>
      </c>
      <c r="W314" s="30">
        <v>9887</v>
      </c>
      <c r="X314" s="30">
        <f t="shared" si="82"/>
        <v>25097</v>
      </c>
      <c r="Y314" s="30">
        <f t="shared" si="83"/>
        <v>2510</v>
      </c>
      <c r="Z314" s="30">
        <v>2509</v>
      </c>
      <c r="AA314" s="30">
        <f t="shared" si="84"/>
        <v>-1</v>
      </c>
      <c r="AB314" s="22">
        <v>41122</v>
      </c>
      <c r="AC314" s="22">
        <v>41152</v>
      </c>
      <c r="AD314" s="1" t="s">
        <v>98</v>
      </c>
    </row>
    <row r="315" spans="1:31" ht="18" customHeight="1">
      <c r="A315" s="46" t="s">
        <v>150</v>
      </c>
      <c r="B315" s="20">
        <v>2509</v>
      </c>
      <c r="C315" s="20">
        <v>0</v>
      </c>
      <c r="D315" s="20">
        <f t="shared" si="85"/>
        <v>2509</v>
      </c>
      <c r="E315" s="20">
        <f t="shared" si="85"/>
        <v>0</v>
      </c>
      <c r="F315" s="20">
        <v>0</v>
      </c>
      <c r="G315" s="20">
        <f t="shared" si="81"/>
        <v>5018</v>
      </c>
      <c r="H315" s="20">
        <v>0</v>
      </c>
      <c r="I315" s="20">
        <f t="shared" si="87"/>
        <v>152037</v>
      </c>
      <c r="J315" s="20">
        <f t="shared" si="88"/>
        <v>14655</v>
      </c>
      <c r="K315" s="20">
        <f t="shared" si="89"/>
        <v>166692</v>
      </c>
      <c r="L315" s="20">
        <f t="shared" si="90"/>
        <v>1115</v>
      </c>
      <c r="M315" s="20">
        <f t="shared" si="90"/>
        <v>107</v>
      </c>
      <c r="N315" s="20">
        <f t="shared" si="86"/>
        <v>1222</v>
      </c>
      <c r="O315" s="210"/>
      <c r="Q315" s="1">
        <v>71</v>
      </c>
      <c r="R315" s="1">
        <v>71</v>
      </c>
      <c r="S315" s="1">
        <v>6900</v>
      </c>
      <c r="T315" s="22">
        <v>41180</v>
      </c>
      <c r="U315" s="30">
        <v>11010</v>
      </c>
      <c r="V315" s="30">
        <v>4200</v>
      </c>
      <c r="W315" s="30">
        <v>9887</v>
      </c>
      <c r="X315" s="30">
        <f t="shared" si="82"/>
        <v>25097</v>
      </c>
      <c r="Y315" s="30">
        <f t="shared" si="83"/>
        <v>2510</v>
      </c>
      <c r="Z315" s="30">
        <v>2509</v>
      </c>
      <c r="AA315" s="30">
        <f t="shared" si="84"/>
        <v>-1</v>
      </c>
      <c r="AB315" s="22">
        <v>41153</v>
      </c>
      <c r="AC315" s="22">
        <v>41182</v>
      </c>
      <c r="AD315" s="1" t="s">
        <v>98</v>
      </c>
    </row>
    <row r="316" spans="1:31" ht="18" customHeight="1">
      <c r="A316" s="46" t="s">
        <v>151</v>
      </c>
      <c r="B316" s="20">
        <v>2509</v>
      </c>
      <c r="C316" s="20">
        <v>0</v>
      </c>
      <c r="D316" s="20">
        <f t="shared" si="85"/>
        <v>2509</v>
      </c>
      <c r="E316" s="20">
        <f t="shared" si="85"/>
        <v>0</v>
      </c>
      <c r="F316" s="20">
        <v>0</v>
      </c>
      <c r="G316" s="20">
        <f t="shared" si="81"/>
        <v>5018</v>
      </c>
      <c r="H316" s="20">
        <v>0</v>
      </c>
      <c r="I316" s="20">
        <f t="shared" si="87"/>
        <v>154546</v>
      </c>
      <c r="J316" s="20">
        <f t="shared" si="88"/>
        <v>17164</v>
      </c>
      <c r="K316" s="20">
        <f t="shared" si="89"/>
        <v>171710</v>
      </c>
      <c r="L316" s="20">
        <f t="shared" si="90"/>
        <v>1133</v>
      </c>
      <c r="M316" s="20">
        <f t="shared" si="90"/>
        <v>126</v>
      </c>
      <c r="N316" s="20">
        <f t="shared" si="86"/>
        <v>1259</v>
      </c>
      <c r="O316" s="210"/>
      <c r="Q316" s="1">
        <v>84</v>
      </c>
      <c r="R316" s="1">
        <v>84</v>
      </c>
      <c r="S316" s="1">
        <v>8159</v>
      </c>
      <c r="T316" s="22">
        <v>41213</v>
      </c>
      <c r="U316" s="30">
        <v>11010</v>
      </c>
      <c r="V316" s="30">
        <v>4200</v>
      </c>
      <c r="W316" s="30">
        <v>9887</v>
      </c>
      <c r="X316" s="30">
        <f t="shared" si="82"/>
        <v>25097</v>
      </c>
      <c r="Y316" s="30">
        <f t="shared" si="83"/>
        <v>2510</v>
      </c>
      <c r="Z316" s="30">
        <v>2509</v>
      </c>
      <c r="AA316" s="30">
        <f t="shared" si="84"/>
        <v>-1</v>
      </c>
      <c r="AB316" s="22">
        <v>41183</v>
      </c>
      <c r="AC316" s="22">
        <v>41213</v>
      </c>
      <c r="AD316" s="1" t="s">
        <v>98</v>
      </c>
    </row>
    <row r="317" spans="1:31" ht="18" customHeight="1">
      <c r="A317" s="46" t="s">
        <v>152</v>
      </c>
      <c r="B317" s="20">
        <v>2509</v>
      </c>
      <c r="C317" s="20">
        <v>0</v>
      </c>
      <c r="D317" s="20">
        <f t="shared" si="85"/>
        <v>2509</v>
      </c>
      <c r="E317" s="20">
        <f t="shared" si="85"/>
        <v>0</v>
      </c>
      <c r="F317" s="20">
        <v>0</v>
      </c>
      <c r="G317" s="20">
        <f t="shared" si="81"/>
        <v>5018</v>
      </c>
      <c r="H317" s="20">
        <v>0</v>
      </c>
      <c r="I317" s="20">
        <f t="shared" si="87"/>
        <v>157055</v>
      </c>
      <c r="J317" s="20">
        <f t="shared" si="88"/>
        <v>19673</v>
      </c>
      <c r="K317" s="20">
        <f t="shared" si="89"/>
        <v>176728</v>
      </c>
      <c r="L317" s="20">
        <f t="shared" si="90"/>
        <v>1152</v>
      </c>
      <c r="M317" s="20">
        <f t="shared" si="90"/>
        <v>144</v>
      </c>
      <c r="N317" s="20">
        <f t="shared" si="86"/>
        <v>1296</v>
      </c>
      <c r="O317" s="210"/>
      <c r="Q317" s="1">
        <v>102</v>
      </c>
      <c r="R317" s="1">
        <v>102</v>
      </c>
      <c r="S317" s="1">
        <v>10227</v>
      </c>
      <c r="T317" s="22" t="s">
        <v>339</v>
      </c>
      <c r="U317" s="30">
        <v>11010</v>
      </c>
      <c r="V317" s="30">
        <v>4200</v>
      </c>
      <c r="W317" s="30">
        <v>10951</v>
      </c>
      <c r="X317" s="30">
        <f t="shared" si="82"/>
        <v>26161</v>
      </c>
      <c r="Y317" s="30">
        <f t="shared" si="83"/>
        <v>2616</v>
      </c>
      <c r="Z317" s="30">
        <v>2616</v>
      </c>
      <c r="AA317" s="30">
        <f t="shared" si="84"/>
        <v>0</v>
      </c>
      <c r="AB317" s="22">
        <v>41214</v>
      </c>
      <c r="AC317" s="22">
        <v>41243</v>
      </c>
      <c r="AD317" s="1" t="s">
        <v>98</v>
      </c>
    </row>
    <row r="318" spans="1:31" ht="18" customHeight="1">
      <c r="A318" s="46" t="s">
        <v>153</v>
      </c>
      <c r="B318" s="20">
        <v>2616</v>
      </c>
      <c r="C318" s="20">
        <v>0</v>
      </c>
      <c r="D318" s="20">
        <f t="shared" si="85"/>
        <v>2616</v>
      </c>
      <c r="E318" s="20">
        <f t="shared" si="85"/>
        <v>0</v>
      </c>
      <c r="F318" s="20">
        <v>0</v>
      </c>
      <c r="G318" s="20">
        <f t="shared" si="81"/>
        <v>5232</v>
      </c>
      <c r="H318" s="20">
        <v>0</v>
      </c>
      <c r="I318" s="20">
        <f t="shared" si="87"/>
        <v>159671</v>
      </c>
      <c r="J318" s="20">
        <f t="shared" si="88"/>
        <v>22289</v>
      </c>
      <c r="K318" s="20">
        <f t="shared" si="89"/>
        <v>181960</v>
      </c>
      <c r="L318" s="20">
        <f t="shared" si="90"/>
        <v>1171</v>
      </c>
      <c r="M318" s="20">
        <f t="shared" si="90"/>
        <v>163</v>
      </c>
      <c r="N318" s="20">
        <f t="shared" si="86"/>
        <v>1334</v>
      </c>
      <c r="O318" s="210"/>
      <c r="Q318" s="1">
        <v>112</v>
      </c>
      <c r="R318" s="1">
        <v>112</v>
      </c>
      <c r="S318" s="1">
        <v>11282</v>
      </c>
      <c r="T318" s="22">
        <v>41274</v>
      </c>
      <c r="U318" s="30">
        <v>11010</v>
      </c>
      <c r="V318" s="30">
        <v>4200</v>
      </c>
      <c r="W318" s="30">
        <v>10951</v>
      </c>
      <c r="X318" s="30">
        <f t="shared" si="82"/>
        <v>26161</v>
      </c>
      <c r="Y318" s="30">
        <f t="shared" si="83"/>
        <v>2616</v>
      </c>
      <c r="Z318" s="30">
        <v>2616</v>
      </c>
      <c r="AA318" s="30">
        <f t="shared" si="84"/>
        <v>0</v>
      </c>
      <c r="AB318" s="22">
        <v>41244</v>
      </c>
      <c r="AC318" s="22">
        <v>41274</v>
      </c>
      <c r="AD318" s="1" t="s">
        <v>98</v>
      </c>
    </row>
    <row r="319" spans="1:31" ht="18" customHeight="1">
      <c r="A319" s="46" t="s">
        <v>154</v>
      </c>
      <c r="B319" s="20">
        <v>2616</v>
      </c>
      <c r="C319" s="20">
        <v>0</v>
      </c>
      <c r="D319" s="20">
        <f t="shared" si="85"/>
        <v>2616</v>
      </c>
      <c r="E319" s="20">
        <f t="shared" si="85"/>
        <v>0</v>
      </c>
      <c r="F319" s="20">
        <v>0</v>
      </c>
      <c r="G319" s="20">
        <f t="shared" si="81"/>
        <v>5232</v>
      </c>
      <c r="H319" s="20">
        <v>0</v>
      </c>
      <c r="I319" s="20">
        <f t="shared" si="87"/>
        <v>162287</v>
      </c>
      <c r="J319" s="20">
        <f t="shared" si="88"/>
        <v>24905</v>
      </c>
      <c r="K319" s="20">
        <f t="shared" si="89"/>
        <v>187192</v>
      </c>
      <c r="L319" s="20">
        <f t="shared" si="90"/>
        <v>1190</v>
      </c>
      <c r="M319" s="20">
        <f t="shared" si="90"/>
        <v>183</v>
      </c>
      <c r="N319" s="20">
        <f t="shared" si="86"/>
        <v>1373</v>
      </c>
      <c r="O319" s="210"/>
      <c r="Q319" s="1">
        <v>124</v>
      </c>
      <c r="R319" s="1">
        <v>124</v>
      </c>
      <c r="S319" s="1">
        <v>12589</v>
      </c>
      <c r="T319" s="22">
        <v>41305</v>
      </c>
      <c r="U319" s="30">
        <v>355</v>
      </c>
      <c r="V319" s="30">
        <v>135</v>
      </c>
      <c r="W319" s="30">
        <v>353</v>
      </c>
      <c r="X319" s="30">
        <f t="shared" si="82"/>
        <v>843</v>
      </c>
      <c r="Y319" s="30">
        <f t="shared" si="83"/>
        <v>84</v>
      </c>
      <c r="Z319" s="30">
        <v>2616</v>
      </c>
      <c r="AA319" s="30">
        <f t="shared" si="84"/>
        <v>2532</v>
      </c>
      <c r="AB319" s="22">
        <v>41275</v>
      </c>
      <c r="AC319" s="22">
        <v>41305</v>
      </c>
      <c r="AD319" s="1" t="s">
        <v>98</v>
      </c>
      <c r="AE319" s="1" t="s">
        <v>338</v>
      </c>
    </row>
    <row r="320" spans="1:31" ht="18" customHeight="1">
      <c r="A320" s="46" t="s">
        <v>155</v>
      </c>
      <c r="B320" s="20">
        <v>2616</v>
      </c>
      <c r="C320" s="20">
        <v>0</v>
      </c>
      <c r="D320" s="20">
        <f t="shared" si="85"/>
        <v>2616</v>
      </c>
      <c r="E320" s="20">
        <f t="shared" si="85"/>
        <v>0</v>
      </c>
      <c r="F320" s="20">
        <v>0</v>
      </c>
      <c r="G320" s="20">
        <f t="shared" si="81"/>
        <v>5232</v>
      </c>
      <c r="H320" s="20">
        <v>0</v>
      </c>
      <c r="I320" s="20">
        <f t="shared" si="87"/>
        <v>164903</v>
      </c>
      <c r="J320" s="20">
        <f t="shared" si="88"/>
        <v>27521</v>
      </c>
      <c r="K320" s="20">
        <f t="shared" si="89"/>
        <v>192424</v>
      </c>
      <c r="L320" s="20">
        <f t="shared" si="90"/>
        <v>1209</v>
      </c>
      <c r="M320" s="20">
        <f t="shared" si="90"/>
        <v>202</v>
      </c>
      <c r="N320" s="20">
        <f t="shared" si="86"/>
        <v>1411</v>
      </c>
      <c r="O320" s="210"/>
      <c r="Q320" s="1" t="s">
        <v>334</v>
      </c>
      <c r="R320" s="1" t="s">
        <v>334</v>
      </c>
      <c r="S320" s="1" t="s">
        <v>334</v>
      </c>
      <c r="T320" s="1" t="s">
        <v>334</v>
      </c>
      <c r="U320" s="30" t="s">
        <v>334</v>
      </c>
      <c r="V320" s="30" t="s">
        <v>334</v>
      </c>
      <c r="W320" s="30" t="s">
        <v>334</v>
      </c>
      <c r="X320" s="30" t="s">
        <v>334</v>
      </c>
      <c r="Y320" s="30" t="s">
        <v>334</v>
      </c>
      <c r="Z320" s="30" t="s">
        <v>334</v>
      </c>
      <c r="AA320" s="30" t="s">
        <v>334</v>
      </c>
      <c r="AB320" s="1" t="s">
        <v>334</v>
      </c>
      <c r="AC320" s="1" t="s">
        <v>334</v>
      </c>
      <c r="AD320" s="1" t="s">
        <v>334</v>
      </c>
    </row>
    <row r="321" spans="1:30" ht="18" customHeight="1">
      <c r="A321" s="46" t="s">
        <v>156</v>
      </c>
      <c r="B321" s="20">
        <v>0</v>
      </c>
      <c r="C321" s="20">
        <v>0</v>
      </c>
      <c r="D321" s="20">
        <f t="shared" si="85"/>
        <v>0</v>
      </c>
      <c r="E321" s="20">
        <f t="shared" si="85"/>
        <v>0</v>
      </c>
      <c r="F321" s="20">
        <v>0</v>
      </c>
      <c r="G321" s="20">
        <f t="shared" si="81"/>
        <v>0</v>
      </c>
      <c r="H321" s="20">
        <v>0</v>
      </c>
      <c r="I321" s="20">
        <f t="shared" si="87"/>
        <v>164903</v>
      </c>
      <c r="J321" s="20">
        <f t="shared" si="88"/>
        <v>27521</v>
      </c>
      <c r="K321" s="20">
        <f t="shared" si="89"/>
        <v>192424</v>
      </c>
      <c r="L321" s="20">
        <f t="shared" si="90"/>
        <v>1209</v>
      </c>
      <c r="M321" s="20">
        <f t="shared" si="90"/>
        <v>202</v>
      </c>
      <c r="N321" s="20">
        <f t="shared" si="86"/>
        <v>1411</v>
      </c>
      <c r="O321" s="210"/>
      <c r="Q321" s="1" t="s">
        <v>334</v>
      </c>
      <c r="R321" s="1" t="s">
        <v>334</v>
      </c>
      <c r="S321" s="1" t="s">
        <v>334</v>
      </c>
      <c r="T321" s="1" t="s">
        <v>334</v>
      </c>
      <c r="U321" s="30" t="s">
        <v>334</v>
      </c>
      <c r="V321" s="30" t="s">
        <v>334</v>
      </c>
      <c r="W321" s="30" t="s">
        <v>334</v>
      </c>
      <c r="X321" s="30" t="s">
        <v>334</v>
      </c>
      <c r="Y321" s="30" t="s">
        <v>334</v>
      </c>
      <c r="Z321" s="30" t="s">
        <v>334</v>
      </c>
      <c r="AA321" s="30" t="s">
        <v>334</v>
      </c>
      <c r="AB321" s="1" t="s">
        <v>334</v>
      </c>
      <c r="AC321" s="1" t="s">
        <v>334</v>
      </c>
      <c r="AD321" s="1" t="s">
        <v>334</v>
      </c>
    </row>
    <row r="322" spans="1:30" ht="18" customHeight="1" thickBot="1">
      <c r="A322" s="43" t="s">
        <v>157</v>
      </c>
      <c r="B322" s="44">
        <f t="shared" ref="B322:N322" si="91">SUM(B310:B321)</f>
        <v>27521</v>
      </c>
      <c r="C322" s="44">
        <f t="shared" si="91"/>
        <v>0</v>
      </c>
      <c r="D322" s="44">
        <f t="shared" si="91"/>
        <v>27521</v>
      </c>
      <c r="E322" s="44">
        <f t="shared" si="91"/>
        <v>0</v>
      </c>
      <c r="F322" s="44">
        <f t="shared" si="91"/>
        <v>0</v>
      </c>
      <c r="G322" s="44">
        <f t="shared" si="91"/>
        <v>55042</v>
      </c>
      <c r="H322" s="44">
        <f t="shared" si="91"/>
        <v>0</v>
      </c>
      <c r="I322" s="44">
        <f t="shared" si="91"/>
        <v>1838396</v>
      </c>
      <c r="J322" s="44">
        <f t="shared" si="91"/>
        <v>189812</v>
      </c>
      <c r="K322" s="44">
        <f t="shared" si="91"/>
        <v>2028208</v>
      </c>
      <c r="L322" s="44">
        <f t="shared" si="91"/>
        <v>13481</v>
      </c>
      <c r="M322" s="44">
        <f t="shared" si="91"/>
        <v>1392</v>
      </c>
      <c r="N322" s="44">
        <f t="shared" si="91"/>
        <v>14873</v>
      </c>
      <c r="O322" s="45"/>
      <c r="U322" s="31">
        <f t="shared" ref="U322:AA322" si="92">SUM(U310:U321)</f>
        <v>98095</v>
      </c>
      <c r="V322" s="31">
        <f t="shared" si="92"/>
        <v>37935</v>
      </c>
      <c r="W322" s="31">
        <f t="shared" si="92"/>
        <v>90585</v>
      </c>
      <c r="X322" s="31">
        <f t="shared" si="92"/>
        <v>226615</v>
      </c>
      <c r="Y322" s="31">
        <f t="shared" si="92"/>
        <v>22661</v>
      </c>
      <c r="Z322" s="31">
        <f t="shared" si="92"/>
        <v>25189</v>
      </c>
      <c r="AA322" s="31">
        <f t="shared" si="92"/>
        <v>2528</v>
      </c>
    </row>
    <row r="323" spans="1:30" ht="15" thickBo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6"/>
      <c r="L323" s="6"/>
      <c r="M323" s="6"/>
      <c r="N323" s="5"/>
    </row>
    <row r="324" spans="1:30" ht="15.75" customHeight="1" thickBot="1">
      <c r="A324" s="5"/>
      <c r="B324" s="6"/>
      <c r="C324" s="6"/>
      <c r="D324" s="6"/>
      <c r="E324" s="5"/>
      <c r="F324" s="53">
        <v>1</v>
      </c>
      <c r="G324" s="211" t="s">
        <v>47</v>
      </c>
      <c r="H324" s="212"/>
      <c r="I324" s="212"/>
      <c r="J324" s="212"/>
      <c r="K324" s="213"/>
      <c r="L324" s="54">
        <f>K306</f>
        <v>137382</v>
      </c>
      <c r="M324" s="2"/>
      <c r="O324" s="1"/>
      <c r="S324" s="30"/>
      <c r="T324" s="30"/>
      <c r="Z324" s="1"/>
      <c r="AA324" s="1"/>
    </row>
    <row r="325" spans="1:30" ht="15.75" customHeight="1" thickBot="1">
      <c r="A325" s="5"/>
      <c r="B325" s="5"/>
      <c r="C325" s="5"/>
      <c r="D325" s="5"/>
      <c r="E325" s="5"/>
      <c r="F325" s="53">
        <v>2</v>
      </c>
      <c r="G325" s="211" t="s">
        <v>344</v>
      </c>
      <c r="H325" s="212"/>
      <c r="I325" s="212"/>
      <c r="J325" s="212"/>
      <c r="K325" s="213"/>
      <c r="L325" s="54">
        <f>B322+C322</f>
        <v>27521</v>
      </c>
      <c r="M325" s="2"/>
      <c r="O325" s="1"/>
      <c r="S325" s="30"/>
      <c r="T325" s="30"/>
      <c r="Z325" s="1"/>
      <c r="AA325" s="1"/>
    </row>
    <row r="326" spans="1:30" ht="15" thickBot="1">
      <c r="A326" s="5"/>
      <c r="B326" s="5"/>
      <c r="C326" s="5"/>
      <c r="D326" s="5"/>
      <c r="E326" s="5"/>
      <c r="F326" s="53">
        <v>3</v>
      </c>
      <c r="G326" s="211" t="s">
        <v>345</v>
      </c>
      <c r="H326" s="212"/>
      <c r="I326" s="212"/>
      <c r="J326" s="212"/>
      <c r="K326" s="213"/>
      <c r="L326" s="54">
        <f>F322</f>
        <v>0</v>
      </c>
      <c r="M326" s="2"/>
      <c r="O326" s="1"/>
      <c r="S326" s="30"/>
      <c r="T326" s="30"/>
      <c r="Z326" s="1"/>
      <c r="AA326" s="1"/>
    </row>
    <row r="327" spans="1:30" ht="15.75" customHeight="1" thickBot="1">
      <c r="A327" s="5"/>
      <c r="B327" s="5"/>
      <c r="C327" s="5"/>
      <c r="D327" s="5"/>
      <c r="E327" s="5"/>
      <c r="F327" s="53">
        <v>4</v>
      </c>
      <c r="G327" s="211" t="s">
        <v>346</v>
      </c>
      <c r="H327" s="212"/>
      <c r="I327" s="212"/>
      <c r="J327" s="212"/>
      <c r="K327" s="213"/>
      <c r="L327" s="54">
        <f>L325+L326</f>
        <v>27521</v>
      </c>
      <c r="M327" s="2"/>
      <c r="O327" s="1"/>
      <c r="S327" s="30"/>
      <c r="T327" s="30"/>
      <c r="Z327" s="1"/>
      <c r="AA327" s="1"/>
    </row>
    <row r="328" spans="1:30" ht="15.75" customHeight="1" thickBot="1">
      <c r="A328" s="5"/>
      <c r="B328" s="5"/>
      <c r="C328" s="5"/>
      <c r="D328" s="5"/>
      <c r="E328" s="5"/>
      <c r="F328" s="53">
        <v>5</v>
      </c>
      <c r="G328" s="211" t="s">
        <v>349</v>
      </c>
      <c r="H328" s="212"/>
      <c r="I328" s="212"/>
      <c r="J328" s="212"/>
      <c r="K328" s="213"/>
      <c r="L328" s="54">
        <f>D322+E322</f>
        <v>27521</v>
      </c>
      <c r="M328" s="2"/>
      <c r="O328" s="1"/>
      <c r="S328" s="30"/>
      <c r="T328" s="30"/>
      <c r="Z328" s="1"/>
      <c r="AA328" s="1"/>
    </row>
    <row r="329" spans="1:30" ht="15.75" customHeight="1" thickBot="1">
      <c r="A329" s="5"/>
      <c r="B329" s="5"/>
      <c r="C329" s="5"/>
      <c r="D329" s="5"/>
      <c r="E329" s="5"/>
      <c r="F329" s="53">
        <v>6</v>
      </c>
      <c r="G329" s="211" t="s">
        <v>347</v>
      </c>
      <c r="H329" s="212"/>
      <c r="I329" s="212"/>
      <c r="J329" s="212"/>
      <c r="K329" s="213"/>
      <c r="L329" s="54">
        <f>L324+L327+L328</f>
        <v>192424</v>
      </c>
      <c r="M329" s="2"/>
      <c r="O329" s="1"/>
      <c r="S329" s="30"/>
      <c r="T329" s="30"/>
      <c r="Z329" s="1"/>
      <c r="AA329" s="1"/>
    </row>
    <row r="330" spans="1:30" ht="15.75" customHeight="1" thickBot="1">
      <c r="A330" s="5"/>
      <c r="B330" s="5"/>
      <c r="C330" s="5"/>
      <c r="D330" s="5"/>
      <c r="E330" s="5"/>
      <c r="F330" s="53">
        <v>7</v>
      </c>
      <c r="G330" s="211" t="s">
        <v>50</v>
      </c>
      <c r="H330" s="212"/>
      <c r="I330" s="212"/>
      <c r="J330" s="212"/>
      <c r="K330" s="213"/>
      <c r="L330" s="54">
        <f>H322</f>
        <v>0</v>
      </c>
      <c r="M330" s="2"/>
      <c r="O330" s="1"/>
      <c r="S330" s="30"/>
      <c r="T330" s="30"/>
      <c r="Z330" s="1"/>
      <c r="AA330" s="1"/>
    </row>
    <row r="331" spans="1:30" ht="15" thickBot="1">
      <c r="A331" s="5"/>
      <c r="B331" s="5"/>
      <c r="C331" s="5"/>
      <c r="D331" s="5"/>
      <c r="E331" s="5"/>
      <c r="F331" s="53">
        <v>8</v>
      </c>
      <c r="G331" s="211" t="s">
        <v>340</v>
      </c>
      <c r="H331" s="212"/>
      <c r="I331" s="212"/>
      <c r="J331" s="212"/>
      <c r="K331" s="213"/>
      <c r="L331" s="54">
        <f>L322</f>
        <v>13481</v>
      </c>
      <c r="M331" s="17"/>
      <c r="N331" s="6"/>
    </row>
    <row r="332" spans="1:30" ht="15" thickBot="1">
      <c r="A332" s="5"/>
      <c r="B332" s="5"/>
      <c r="C332" s="5"/>
      <c r="D332" s="5"/>
      <c r="E332" s="5"/>
      <c r="F332" s="53">
        <v>9</v>
      </c>
      <c r="G332" s="211" t="s">
        <v>355</v>
      </c>
      <c r="H332" s="212"/>
      <c r="I332" s="212"/>
      <c r="J332" s="212"/>
      <c r="K332" s="213"/>
      <c r="L332" s="54">
        <f>M322</f>
        <v>1392</v>
      </c>
      <c r="M332" s="17"/>
      <c r="N332" s="6"/>
    </row>
    <row r="333" spans="1:30" ht="15" thickBot="1">
      <c r="A333" s="5"/>
      <c r="B333" s="5"/>
      <c r="C333" s="5"/>
      <c r="D333" s="5"/>
      <c r="E333" s="5"/>
      <c r="F333" s="53">
        <v>10</v>
      </c>
      <c r="G333" s="211" t="s">
        <v>348</v>
      </c>
      <c r="H333" s="212"/>
      <c r="I333" s="212"/>
      <c r="J333" s="212"/>
      <c r="K333" s="213"/>
      <c r="L333" s="54">
        <f>N322</f>
        <v>14873</v>
      </c>
      <c r="M333" s="17"/>
      <c r="N333" s="6"/>
    </row>
    <row r="334" spans="1:30" ht="15" thickBot="1">
      <c r="A334" s="5"/>
      <c r="B334" s="5"/>
      <c r="C334" s="5"/>
      <c r="D334" s="5"/>
      <c r="E334" s="5"/>
      <c r="F334" s="53">
        <v>11</v>
      </c>
      <c r="G334" s="212" t="s">
        <v>359</v>
      </c>
      <c r="H334" s="212"/>
      <c r="I334" s="212"/>
      <c r="J334" s="212"/>
      <c r="K334" s="213"/>
      <c r="L334" s="54">
        <f>L329-L330+L333</f>
        <v>207297</v>
      </c>
      <c r="M334" s="17"/>
      <c r="N334" s="6">
        <v>195668</v>
      </c>
      <c r="P334" s="21">
        <f>N334-L334</f>
        <v>-11629</v>
      </c>
    </row>
    <row r="335" spans="1:30">
      <c r="A335" s="5"/>
      <c r="B335" s="5"/>
      <c r="C335" s="5"/>
      <c r="D335" s="5"/>
      <c r="E335" s="5"/>
      <c r="F335" s="5"/>
      <c r="G335" s="17"/>
      <c r="H335" s="17"/>
      <c r="I335" s="17"/>
      <c r="J335" s="17"/>
      <c r="K335" s="17"/>
      <c r="L335" s="17"/>
      <c r="M335" s="17"/>
      <c r="N335" s="6"/>
    </row>
    <row r="336" spans="1:30">
      <c r="A336" s="5"/>
      <c r="B336" s="5"/>
      <c r="C336" s="5"/>
      <c r="D336" s="5"/>
      <c r="E336" s="5"/>
      <c r="F336" s="5"/>
      <c r="G336" s="17"/>
      <c r="H336" s="17"/>
      <c r="I336" s="17"/>
      <c r="J336" s="17"/>
      <c r="K336" s="17"/>
      <c r="L336" s="17"/>
      <c r="M336" s="17"/>
      <c r="N336" s="6"/>
    </row>
    <row r="337" spans="1:15">
      <c r="A337" s="5"/>
      <c r="B337" s="5"/>
      <c r="C337" s="5"/>
      <c r="D337" s="5"/>
      <c r="E337" s="5"/>
      <c r="F337" s="5"/>
      <c r="G337" s="17"/>
      <c r="H337" s="17"/>
      <c r="I337" s="17"/>
      <c r="J337" s="17"/>
      <c r="K337" s="17"/>
      <c r="L337" s="17"/>
      <c r="M337" s="17"/>
      <c r="N337" s="6"/>
    </row>
    <row r="338" spans="1:15">
      <c r="A338" s="5"/>
      <c r="B338" s="5"/>
      <c r="C338" s="5"/>
      <c r="D338" s="5"/>
      <c r="E338" s="5"/>
      <c r="F338" s="5"/>
      <c r="G338" s="17"/>
      <c r="H338" s="17"/>
      <c r="I338" s="17"/>
      <c r="J338" s="17"/>
      <c r="K338" s="17"/>
      <c r="L338" s="17"/>
      <c r="M338" s="17"/>
      <c r="N338" s="6"/>
    </row>
    <row r="339" spans="1:15">
      <c r="A339" s="5"/>
      <c r="B339" s="5"/>
      <c r="C339" s="5"/>
      <c r="D339" s="5"/>
      <c r="E339" s="5"/>
      <c r="F339" s="5"/>
      <c r="G339" s="17"/>
      <c r="H339" s="17"/>
      <c r="I339" s="17"/>
      <c r="J339" s="17"/>
      <c r="K339" s="17"/>
      <c r="L339" s="17"/>
      <c r="M339" s="17"/>
      <c r="N339" s="6"/>
    </row>
    <row r="340" spans="1:15">
      <c r="A340" s="5"/>
      <c r="B340" s="5"/>
      <c r="C340" s="5"/>
      <c r="D340" s="5"/>
      <c r="E340" s="5"/>
      <c r="F340" s="5"/>
      <c r="G340" s="17"/>
      <c r="H340" s="17"/>
      <c r="I340" s="17"/>
      <c r="J340" s="17"/>
      <c r="K340" s="17"/>
      <c r="L340" s="17"/>
      <c r="M340" s="17"/>
      <c r="N340" s="6"/>
    </row>
    <row r="341" spans="1:15">
      <c r="A341" s="5"/>
      <c r="B341" s="5"/>
      <c r="C341" s="5"/>
      <c r="D341" s="5"/>
      <c r="E341" s="5"/>
      <c r="F341" s="5"/>
      <c r="G341" s="17"/>
      <c r="H341" s="17"/>
      <c r="I341" s="17"/>
      <c r="J341" s="17"/>
      <c r="K341" s="17"/>
      <c r="L341" s="17"/>
      <c r="M341" s="17"/>
      <c r="N341" s="6"/>
    </row>
    <row r="342" spans="1:15">
      <c r="A342" s="5"/>
      <c r="B342" s="5"/>
      <c r="C342" s="5"/>
      <c r="D342" s="5"/>
      <c r="E342" s="5"/>
      <c r="F342" s="5"/>
      <c r="G342" s="17"/>
      <c r="H342" s="17"/>
      <c r="I342" s="17"/>
      <c r="J342" s="17"/>
      <c r="K342" s="17"/>
      <c r="L342" s="17"/>
      <c r="M342" s="17"/>
      <c r="N342" s="6"/>
    </row>
    <row r="343" spans="1:15"/>
    <row r="344" spans="1:15"/>
    <row r="345" spans="1:15" ht="16.8">
      <c r="A345" s="249" t="s">
        <v>53</v>
      </c>
      <c r="B345" s="249"/>
      <c r="C345" s="18"/>
      <c r="D345" s="18"/>
      <c r="E345" s="249" t="s">
        <v>54</v>
      </c>
      <c r="F345" s="249"/>
      <c r="G345" s="249"/>
      <c r="H345" s="250" t="s">
        <v>55</v>
      </c>
      <c r="I345" s="250"/>
      <c r="J345" s="250"/>
      <c r="K345" s="250"/>
      <c r="L345" s="250"/>
      <c r="M345" s="250"/>
      <c r="N345" s="250"/>
    </row>
    <row r="346" spans="1:15" ht="16.8">
      <c r="A346" s="18"/>
      <c r="B346" s="18"/>
      <c r="C346" s="18"/>
      <c r="D346" s="18"/>
      <c r="E346" s="18"/>
      <c r="F346" s="18"/>
      <c r="G346" s="19"/>
      <c r="H346" s="19"/>
      <c r="I346" s="19"/>
      <c r="J346" s="19"/>
    </row>
    <row r="347" spans="1:15" ht="16.8" hidden="1">
      <c r="A347" s="18"/>
      <c r="B347" s="18"/>
      <c r="C347" s="18"/>
      <c r="D347" s="18"/>
      <c r="E347" s="18"/>
      <c r="F347" s="18"/>
      <c r="G347" s="19"/>
      <c r="H347" s="19"/>
      <c r="I347" s="19"/>
      <c r="J347" s="19"/>
    </row>
    <row r="348" spans="1:15" ht="18.600000000000001" hidden="1">
      <c r="A348" s="224" t="s">
        <v>0</v>
      </c>
      <c r="B348" s="224"/>
      <c r="C348" s="224"/>
      <c r="D348" s="224"/>
      <c r="E348" s="224"/>
      <c r="F348" s="224"/>
      <c r="G348" s="224"/>
      <c r="H348" s="224"/>
      <c r="I348" s="224"/>
      <c r="J348" s="224"/>
      <c r="K348" s="224"/>
      <c r="L348" s="224"/>
      <c r="M348" s="224"/>
      <c r="N348" s="224"/>
      <c r="O348" s="224"/>
    </row>
    <row r="349" spans="1:15" ht="18.600000000000001" hidden="1">
      <c r="A349" s="224" t="s">
        <v>1</v>
      </c>
      <c r="B349" s="224"/>
      <c r="C349" s="224"/>
      <c r="D349" s="224"/>
      <c r="E349" s="224"/>
      <c r="F349" s="224"/>
      <c r="G349" s="224"/>
      <c r="H349" s="224"/>
      <c r="I349" s="224"/>
      <c r="J349" s="224"/>
      <c r="K349" s="224"/>
      <c r="L349" s="224"/>
      <c r="M349" s="224"/>
      <c r="N349" s="224"/>
      <c r="O349" s="224"/>
    </row>
    <row r="350" spans="1:15"/>
    <row r="351" spans="1:15" hidden="1">
      <c r="A351" s="225" t="s">
        <v>158</v>
      </c>
      <c r="B351" s="225"/>
      <c r="C351" s="225"/>
      <c r="D351" s="225"/>
      <c r="E351" s="225"/>
      <c r="F351" s="225"/>
      <c r="G351" s="225"/>
      <c r="H351" s="225"/>
      <c r="I351" s="225"/>
      <c r="J351" s="225"/>
      <c r="K351" s="225"/>
      <c r="L351" s="225"/>
      <c r="M351" s="225"/>
      <c r="N351" s="225"/>
    </row>
    <row r="352" spans="1:15" hidden="1">
      <c r="A352" s="3" t="s">
        <v>3</v>
      </c>
      <c r="B352" s="4">
        <f>B302</f>
        <v>837</v>
      </c>
      <c r="C352" s="4"/>
      <c r="D352" s="4"/>
      <c r="E352" s="3" t="s">
        <v>4</v>
      </c>
      <c r="F352" s="215" t="str">
        <f>F302</f>
        <v>Mahajan Ganesh Trambak</v>
      </c>
      <c r="G352" s="215"/>
      <c r="H352" s="215"/>
      <c r="I352" s="215"/>
      <c r="J352" s="215"/>
      <c r="K352" s="215"/>
      <c r="L352" s="215"/>
      <c r="M352" s="215"/>
      <c r="N352" s="215"/>
    </row>
    <row r="353" spans="1:15" hidden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6"/>
      <c r="L353" s="6"/>
      <c r="M353" s="6"/>
      <c r="N353" s="5"/>
    </row>
    <row r="354" spans="1:15" ht="20.399999999999999" hidden="1">
      <c r="A354" s="3" t="s">
        <v>6</v>
      </c>
      <c r="B354" s="4">
        <f>B304</f>
        <v>2331</v>
      </c>
      <c r="C354" s="4"/>
      <c r="D354" s="4"/>
      <c r="E354" s="3" t="s">
        <v>7</v>
      </c>
      <c r="F354" s="268"/>
      <c r="G354" s="269"/>
      <c r="H354" s="3" t="s">
        <v>8</v>
      </c>
      <c r="I354" s="3"/>
      <c r="J354" s="3"/>
      <c r="K354" s="270" t="str">
        <f>K304</f>
        <v>Asst. Jr. Engineer</v>
      </c>
      <c r="L354" s="270"/>
      <c r="M354" s="270"/>
      <c r="N354" s="270"/>
    </row>
    <row r="355" spans="1:15" hidden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6"/>
      <c r="L355" s="6"/>
      <c r="M355" s="6"/>
      <c r="N355" s="5"/>
    </row>
    <row r="356" spans="1:15" hidden="1">
      <c r="A356" s="3" t="s">
        <v>10</v>
      </c>
      <c r="B356" s="7">
        <v>8.6999999999999994E-2</v>
      </c>
      <c r="C356" s="7"/>
      <c r="D356" s="7"/>
      <c r="E356" s="3" t="s">
        <v>11</v>
      </c>
      <c r="F356" s="7">
        <v>0</v>
      </c>
      <c r="G356" s="216" t="s">
        <v>12</v>
      </c>
      <c r="H356" s="217"/>
      <c r="I356" s="29"/>
      <c r="J356" s="29"/>
      <c r="K356" s="266">
        <f>L330</f>
        <v>0</v>
      </c>
      <c r="L356" s="267"/>
      <c r="M356" s="267"/>
      <c r="N356" s="271"/>
    </row>
    <row r="357" spans="1:15" hidden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6"/>
      <c r="L357" s="6"/>
      <c r="M357" s="6"/>
      <c r="N357" s="5"/>
    </row>
    <row r="358" spans="1:15" ht="30.6" hidden="1">
      <c r="A358" s="39" t="s">
        <v>13</v>
      </c>
      <c r="B358" s="40" t="s">
        <v>14</v>
      </c>
      <c r="C358" s="40"/>
      <c r="D358" s="40"/>
      <c r="E358" s="40" t="s">
        <v>349</v>
      </c>
      <c r="F358" s="40" t="s">
        <v>15</v>
      </c>
      <c r="G358" s="40" t="s">
        <v>16</v>
      </c>
      <c r="H358" s="40" t="s">
        <v>17</v>
      </c>
      <c r="I358" s="40"/>
      <c r="J358" s="40"/>
      <c r="K358" s="38" t="s">
        <v>18</v>
      </c>
      <c r="L358" s="38"/>
      <c r="M358" s="38"/>
      <c r="N358" s="38" t="s">
        <v>19</v>
      </c>
      <c r="O358" s="41" t="s">
        <v>20</v>
      </c>
    </row>
    <row r="359" spans="1:15" hidden="1">
      <c r="A359" s="42" t="s">
        <v>159</v>
      </c>
      <c r="B359" s="20">
        <v>0</v>
      </c>
      <c r="C359" s="20"/>
      <c r="D359" s="20"/>
      <c r="E359" s="20">
        <f>B359</f>
        <v>0</v>
      </c>
      <c r="F359" s="20">
        <v>0</v>
      </c>
      <c r="G359" s="20">
        <f t="shared" ref="G359:G370" si="93">(E359+B359)+F359</f>
        <v>0</v>
      </c>
      <c r="H359" s="20">
        <v>0</v>
      </c>
      <c r="I359" s="20"/>
      <c r="J359" s="20"/>
      <c r="K359" s="20">
        <f>(K356+G359)-H359</f>
        <v>0</v>
      </c>
      <c r="L359" s="20"/>
      <c r="M359" s="20"/>
      <c r="N359" s="20">
        <f t="shared" ref="N359:N370" si="94">ROUND((K359*8.7/100)/12,0)</f>
        <v>0</v>
      </c>
      <c r="O359" s="210" t="s">
        <v>160</v>
      </c>
    </row>
    <row r="360" spans="1:15" hidden="1">
      <c r="A360" s="42" t="s">
        <v>161</v>
      </c>
      <c r="B360" s="20">
        <v>0</v>
      </c>
      <c r="C360" s="20"/>
      <c r="D360" s="20"/>
      <c r="E360" s="20">
        <f t="shared" ref="E360:E370" si="95">B360</f>
        <v>0</v>
      </c>
      <c r="F360" s="20">
        <v>0</v>
      </c>
      <c r="G360" s="20">
        <f t="shared" si="93"/>
        <v>0</v>
      </c>
      <c r="H360" s="20">
        <v>0</v>
      </c>
      <c r="I360" s="20"/>
      <c r="J360" s="20"/>
      <c r="K360" s="20">
        <f t="shared" ref="K360:K370" si="96">(K359+G360)-H360</f>
        <v>0</v>
      </c>
      <c r="L360" s="20"/>
      <c r="M360" s="20"/>
      <c r="N360" s="20">
        <f t="shared" si="94"/>
        <v>0</v>
      </c>
      <c r="O360" s="210"/>
    </row>
    <row r="361" spans="1:15" hidden="1">
      <c r="A361" s="42" t="s">
        <v>162</v>
      </c>
      <c r="B361" s="20">
        <v>0</v>
      </c>
      <c r="C361" s="20"/>
      <c r="D361" s="20"/>
      <c r="E361" s="20">
        <f t="shared" si="95"/>
        <v>0</v>
      </c>
      <c r="F361" s="20">
        <v>0</v>
      </c>
      <c r="G361" s="20">
        <f t="shared" si="93"/>
        <v>0</v>
      </c>
      <c r="H361" s="20">
        <v>0</v>
      </c>
      <c r="I361" s="20"/>
      <c r="J361" s="20"/>
      <c r="K361" s="20">
        <f t="shared" si="96"/>
        <v>0</v>
      </c>
      <c r="L361" s="20"/>
      <c r="M361" s="20"/>
      <c r="N361" s="20">
        <f t="shared" si="94"/>
        <v>0</v>
      </c>
      <c r="O361" s="210"/>
    </row>
    <row r="362" spans="1:15" hidden="1">
      <c r="A362" s="42" t="s">
        <v>163</v>
      </c>
      <c r="B362" s="20">
        <v>0</v>
      </c>
      <c r="C362" s="20"/>
      <c r="D362" s="20"/>
      <c r="E362" s="20">
        <f t="shared" si="95"/>
        <v>0</v>
      </c>
      <c r="F362" s="20">
        <v>0</v>
      </c>
      <c r="G362" s="20">
        <f t="shared" si="93"/>
        <v>0</v>
      </c>
      <c r="H362" s="20">
        <v>0</v>
      </c>
      <c r="I362" s="20"/>
      <c r="J362" s="20"/>
      <c r="K362" s="20">
        <f t="shared" si="96"/>
        <v>0</v>
      </c>
      <c r="L362" s="20"/>
      <c r="M362" s="20"/>
      <c r="N362" s="20">
        <f t="shared" si="94"/>
        <v>0</v>
      </c>
      <c r="O362" s="210"/>
    </row>
    <row r="363" spans="1:15" hidden="1">
      <c r="A363" s="42" t="s">
        <v>164</v>
      </c>
      <c r="B363" s="20">
        <v>0</v>
      </c>
      <c r="C363" s="20"/>
      <c r="D363" s="20"/>
      <c r="E363" s="20">
        <f t="shared" si="95"/>
        <v>0</v>
      </c>
      <c r="F363" s="20">
        <v>0</v>
      </c>
      <c r="G363" s="20">
        <f t="shared" si="93"/>
        <v>0</v>
      </c>
      <c r="H363" s="20">
        <v>0</v>
      </c>
      <c r="I363" s="20"/>
      <c r="J363" s="20"/>
      <c r="K363" s="20">
        <f t="shared" si="96"/>
        <v>0</v>
      </c>
      <c r="L363" s="20"/>
      <c r="M363" s="20"/>
      <c r="N363" s="20">
        <f t="shared" si="94"/>
        <v>0</v>
      </c>
      <c r="O363" s="210"/>
    </row>
    <row r="364" spans="1:15" hidden="1">
      <c r="A364" s="42" t="s">
        <v>165</v>
      </c>
      <c r="B364" s="20">
        <v>0</v>
      </c>
      <c r="C364" s="20"/>
      <c r="D364" s="20"/>
      <c r="E364" s="20">
        <f t="shared" si="95"/>
        <v>0</v>
      </c>
      <c r="F364" s="20">
        <v>0</v>
      </c>
      <c r="G364" s="20">
        <f t="shared" si="93"/>
        <v>0</v>
      </c>
      <c r="H364" s="20">
        <v>0</v>
      </c>
      <c r="I364" s="20"/>
      <c r="J364" s="20"/>
      <c r="K364" s="20">
        <f t="shared" si="96"/>
        <v>0</v>
      </c>
      <c r="L364" s="20"/>
      <c r="M364" s="20"/>
      <c r="N364" s="20">
        <f t="shared" si="94"/>
        <v>0</v>
      </c>
      <c r="O364" s="210"/>
    </row>
    <row r="365" spans="1:15" hidden="1">
      <c r="A365" s="42" t="s">
        <v>166</v>
      </c>
      <c r="B365" s="20">
        <v>0</v>
      </c>
      <c r="C365" s="20"/>
      <c r="D365" s="20"/>
      <c r="E365" s="20">
        <f t="shared" si="95"/>
        <v>0</v>
      </c>
      <c r="F365" s="20">
        <v>0</v>
      </c>
      <c r="G365" s="20">
        <f t="shared" si="93"/>
        <v>0</v>
      </c>
      <c r="H365" s="20">
        <v>0</v>
      </c>
      <c r="I365" s="20"/>
      <c r="J365" s="20"/>
      <c r="K365" s="20">
        <f t="shared" si="96"/>
        <v>0</v>
      </c>
      <c r="L365" s="20"/>
      <c r="M365" s="20"/>
      <c r="N365" s="20">
        <f t="shared" si="94"/>
        <v>0</v>
      </c>
      <c r="O365" s="210"/>
    </row>
    <row r="366" spans="1:15" hidden="1">
      <c r="A366" s="42" t="s">
        <v>167</v>
      </c>
      <c r="B366" s="20">
        <v>0</v>
      </c>
      <c r="C366" s="20"/>
      <c r="D366" s="20"/>
      <c r="E366" s="20">
        <f t="shared" si="95"/>
        <v>0</v>
      </c>
      <c r="F366" s="20">
        <v>0</v>
      </c>
      <c r="G366" s="20">
        <f t="shared" si="93"/>
        <v>0</v>
      </c>
      <c r="H366" s="20">
        <v>0</v>
      </c>
      <c r="I366" s="20"/>
      <c r="J366" s="20"/>
      <c r="K366" s="20">
        <f t="shared" si="96"/>
        <v>0</v>
      </c>
      <c r="L366" s="20"/>
      <c r="M366" s="20"/>
      <c r="N366" s="20">
        <f t="shared" si="94"/>
        <v>0</v>
      </c>
      <c r="O366" s="210"/>
    </row>
    <row r="367" spans="1:15" hidden="1">
      <c r="A367" s="42" t="s">
        <v>168</v>
      </c>
      <c r="B367" s="20">
        <v>0</v>
      </c>
      <c r="C367" s="20"/>
      <c r="D367" s="20"/>
      <c r="E367" s="20">
        <f t="shared" si="95"/>
        <v>0</v>
      </c>
      <c r="F367" s="20">
        <v>0</v>
      </c>
      <c r="G367" s="20">
        <f t="shared" si="93"/>
        <v>0</v>
      </c>
      <c r="H367" s="20">
        <v>0</v>
      </c>
      <c r="I367" s="20"/>
      <c r="J367" s="20"/>
      <c r="K367" s="20">
        <f t="shared" si="96"/>
        <v>0</v>
      </c>
      <c r="L367" s="20"/>
      <c r="M367" s="20"/>
      <c r="N367" s="20">
        <f t="shared" si="94"/>
        <v>0</v>
      </c>
      <c r="O367" s="210"/>
    </row>
    <row r="368" spans="1:15" hidden="1">
      <c r="A368" s="42" t="s">
        <v>169</v>
      </c>
      <c r="B368" s="20">
        <v>0</v>
      </c>
      <c r="C368" s="20"/>
      <c r="D368" s="20"/>
      <c r="E368" s="20">
        <f t="shared" si="95"/>
        <v>0</v>
      </c>
      <c r="F368" s="20">
        <v>0</v>
      </c>
      <c r="G368" s="20">
        <f t="shared" si="93"/>
        <v>0</v>
      </c>
      <c r="H368" s="20">
        <v>0</v>
      </c>
      <c r="I368" s="20"/>
      <c r="J368" s="20"/>
      <c r="K368" s="20">
        <f t="shared" si="96"/>
        <v>0</v>
      </c>
      <c r="L368" s="20"/>
      <c r="M368" s="20"/>
      <c r="N368" s="20">
        <f t="shared" si="94"/>
        <v>0</v>
      </c>
      <c r="O368" s="210"/>
    </row>
    <row r="369" spans="1:15" hidden="1">
      <c r="A369" s="42" t="s">
        <v>170</v>
      </c>
      <c r="B369" s="20">
        <v>0</v>
      </c>
      <c r="C369" s="20"/>
      <c r="D369" s="20"/>
      <c r="E369" s="20">
        <f t="shared" si="95"/>
        <v>0</v>
      </c>
      <c r="F369" s="20">
        <v>0</v>
      </c>
      <c r="G369" s="20">
        <f t="shared" si="93"/>
        <v>0</v>
      </c>
      <c r="H369" s="20">
        <v>0</v>
      </c>
      <c r="I369" s="20"/>
      <c r="J369" s="20"/>
      <c r="K369" s="20">
        <f t="shared" si="96"/>
        <v>0</v>
      </c>
      <c r="L369" s="20"/>
      <c r="M369" s="20"/>
      <c r="N369" s="20">
        <f t="shared" si="94"/>
        <v>0</v>
      </c>
      <c r="O369" s="210"/>
    </row>
    <row r="370" spans="1:15" hidden="1">
      <c r="A370" s="42" t="s">
        <v>171</v>
      </c>
      <c r="B370" s="20">
        <v>0</v>
      </c>
      <c r="C370" s="20"/>
      <c r="D370" s="20"/>
      <c r="E370" s="20">
        <f t="shared" si="95"/>
        <v>0</v>
      </c>
      <c r="F370" s="20">
        <v>0</v>
      </c>
      <c r="G370" s="20">
        <f t="shared" si="93"/>
        <v>0</v>
      </c>
      <c r="H370" s="20">
        <v>0</v>
      </c>
      <c r="I370" s="20"/>
      <c r="J370" s="20"/>
      <c r="K370" s="20">
        <f t="shared" si="96"/>
        <v>0</v>
      </c>
      <c r="L370" s="20"/>
      <c r="M370" s="20"/>
      <c r="N370" s="20">
        <f t="shared" si="94"/>
        <v>0</v>
      </c>
      <c r="O370" s="210"/>
    </row>
    <row r="371" spans="1:15" ht="15" hidden="1" thickBot="1">
      <c r="A371" s="43" t="s">
        <v>172</v>
      </c>
      <c r="B371" s="44">
        <f t="shared" ref="B371:N371" si="97">SUM(B359:B370)</f>
        <v>0</v>
      </c>
      <c r="C371" s="44"/>
      <c r="D371" s="44"/>
      <c r="E371" s="44">
        <f t="shared" si="97"/>
        <v>0</v>
      </c>
      <c r="F371" s="44">
        <f t="shared" si="97"/>
        <v>0</v>
      </c>
      <c r="G371" s="44">
        <f t="shared" si="97"/>
        <v>0</v>
      </c>
      <c r="H371" s="44">
        <f t="shared" si="97"/>
        <v>0</v>
      </c>
      <c r="I371" s="44"/>
      <c r="J371" s="44"/>
      <c r="K371" s="44">
        <f>SUM(K359:K370)</f>
        <v>0</v>
      </c>
      <c r="L371" s="44"/>
      <c r="M371" s="44"/>
      <c r="N371" s="44">
        <f t="shared" si="97"/>
        <v>0</v>
      </c>
      <c r="O371" s="45"/>
    </row>
    <row r="372" spans="1:15" hidden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6"/>
      <c r="L372" s="6"/>
      <c r="M372" s="6"/>
      <c r="N372" s="5"/>
    </row>
    <row r="373" spans="1:15" ht="15" hidden="1" thickBot="1">
      <c r="A373" s="5"/>
      <c r="B373" s="6"/>
      <c r="C373" s="6"/>
      <c r="D373" s="6"/>
      <c r="E373" s="5"/>
      <c r="F373" s="5"/>
      <c r="G373" s="211" t="s">
        <v>47</v>
      </c>
      <c r="H373" s="212"/>
      <c r="I373" s="212"/>
      <c r="J373" s="212"/>
      <c r="K373" s="213"/>
      <c r="L373" s="26"/>
      <c r="M373" s="26"/>
      <c r="N373" s="16">
        <f>K356</f>
        <v>0</v>
      </c>
    </row>
    <row r="374" spans="1:15" ht="15" hidden="1" thickBot="1">
      <c r="A374" s="5"/>
      <c r="B374" s="5"/>
      <c r="C374" s="5"/>
      <c r="D374" s="5"/>
      <c r="E374" s="5"/>
      <c r="F374" s="5"/>
      <c r="G374" s="211" t="s">
        <v>48</v>
      </c>
      <c r="H374" s="212"/>
      <c r="I374" s="212"/>
      <c r="J374" s="212"/>
      <c r="K374" s="213"/>
      <c r="L374" s="26"/>
      <c r="M374" s="26"/>
      <c r="N374" s="16">
        <f>B371+F371</f>
        <v>0</v>
      </c>
    </row>
    <row r="375" spans="1:15" ht="15" hidden="1" thickBot="1">
      <c r="A375" s="5"/>
      <c r="B375" s="5"/>
      <c r="C375" s="5"/>
      <c r="D375" s="5"/>
      <c r="E375" s="5"/>
      <c r="F375" s="5"/>
      <c r="G375" s="211" t="s">
        <v>349</v>
      </c>
      <c r="H375" s="212"/>
      <c r="I375" s="212"/>
      <c r="J375" s="212"/>
      <c r="K375" s="213"/>
      <c r="L375" s="26"/>
      <c r="M375" s="26"/>
      <c r="N375" s="16">
        <f>E371</f>
        <v>0</v>
      </c>
    </row>
    <row r="376" spans="1:15" ht="15" hidden="1" thickBot="1">
      <c r="A376" s="5"/>
      <c r="B376" s="5"/>
      <c r="C376" s="5"/>
      <c r="D376" s="5"/>
      <c r="E376" s="5"/>
      <c r="F376" s="5"/>
      <c r="G376" s="211" t="s">
        <v>49</v>
      </c>
      <c r="H376" s="212"/>
      <c r="I376" s="212"/>
      <c r="J376" s="212"/>
      <c r="K376" s="213"/>
      <c r="L376" s="26"/>
      <c r="M376" s="26"/>
      <c r="N376" s="16">
        <f>SUM(N373:N375)</f>
        <v>0</v>
      </c>
    </row>
    <row r="377" spans="1:15" ht="15" hidden="1" thickBot="1">
      <c r="A377" s="5"/>
      <c r="B377" s="5"/>
      <c r="C377" s="5"/>
      <c r="D377" s="5"/>
      <c r="E377" s="5"/>
      <c r="F377" s="5"/>
      <c r="G377" s="211" t="s">
        <v>50</v>
      </c>
      <c r="H377" s="212"/>
      <c r="I377" s="212"/>
      <c r="J377" s="212"/>
      <c r="K377" s="213"/>
      <c r="L377" s="26"/>
      <c r="M377" s="26"/>
      <c r="N377" s="16">
        <f>H371</f>
        <v>0</v>
      </c>
    </row>
    <row r="378" spans="1:15" ht="15" hidden="1" thickBot="1">
      <c r="A378" s="5"/>
      <c r="B378" s="5"/>
      <c r="C378" s="5"/>
      <c r="D378" s="5"/>
      <c r="E378" s="5"/>
      <c r="F378" s="5"/>
      <c r="G378" s="211" t="s">
        <v>51</v>
      </c>
      <c r="H378" s="212"/>
      <c r="I378" s="212"/>
      <c r="J378" s="212"/>
      <c r="K378" s="213"/>
      <c r="L378" s="26"/>
      <c r="M378" s="26"/>
      <c r="N378" s="16">
        <f>N371</f>
        <v>0</v>
      </c>
    </row>
    <row r="379" spans="1:15" ht="15" hidden="1" thickBot="1">
      <c r="A379" s="5"/>
      <c r="B379" s="5"/>
      <c r="C379" s="5"/>
      <c r="D379" s="5"/>
      <c r="E379" s="5"/>
      <c r="F379" s="5"/>
      <c r="G379" s="211" t="s">
        <v>52</v>
      </c>
      <c r="H379" s="212"/>
      <c r="I379" s="212"/>
      <c r="J379" s="212"/>
      <c r="K379" s="213"/>
      <c r="L379" s="26"/>
      <c r="M379" s="26"/>
      <c r="N379" s="16">
        <f>(N376-N377)+N378</f>
        <v>0</v>
      </c>
    </row>
    <row r="380" spans="1:15" hidden="1">
      <c r="A380" s="5"/>
      <c r="B380" s="5"/>
      <c r="C380" s="5"/>
      <c r="D380" s="5"/>
      <c r="E380" s="5"/>
      <c r="F380" s="5"/>
      <c r="G380" s="17"/>
      <c r="H380" s="17"/>
      <c r="I380" s="17"/>
      <c r="J380" s="17"/>
      <c r="K380" s="17"/>
      <c r="L380" s="17"/>
      <c r="M380" s="17"/>
      <c r="N380" s="6"/>
    </row>
    <row r="381" spans="1:15"/>
    <row r="382" spans="1:15"/>
    <row r="383" spans="1:15" ht="16.8" hidden="1">
      <c r="A383" s="249" t="s">
        <v>53</v>
      </c>
      <c r="B383" s="249"/>
      <c r="C383" s="18"/>
      <c r="D383" s="18"/>
      <c r="E383" s="249" t="s">
        <v>54</v>
      </c>
      <c r="F383" s="249"/>
      <c r="G383" s="249"/>
      <c r="H383" s="250" t="s">
        <v>55</v>
      </c>
      <c r="I383" s="250"/>
      <c r="J383" s="250"/>
      <c r="K383" s="250"/>
      <c r="L383" s="250"/>
      <c r="M383" s="250"/>
      <c r="N383" s="250"/>
    </row>
    <row r="384" spans="1:15" ht="16.8" hidden="1">
      <c r="A384" s="18"/>
      <c r="B384" s="18"/>
      <c r="C384" s="18"/>
      <c r="D384" s="18"/>
      <c r="E384" s="18"/>
      <c r="F384" s="18"/>
      <c r="G384" s="19"/>
      <c r="H384" s="19"/>
      <c r="I384" s="19"/>
      <c r="J384" s="19"/>
    </row>
    <row r="385" spans="1:15" ht="16.8" hidden="1">
      <c r="A385" s="18"/>
      <c r="B385" s="18"/>
      <c r="C385" s="18"/>
      <c r="D385" s="18"/>
      <c r="E385" s="18"/>
      <c r="F385" s="18"/>
      <c r="G385" s="19"/>
      <c r="H385" s="19"/>
      <c r="I385" s="19"/>
      <c r="J385" s="19"/>
    </row>
    <row r="386" spans="1:15" ht="18.600000000000001" hidden="1">
      <c r="A386" s="224" t="s">
        <v>0</v>
      </c>
      <c r="B386" s="224"/>
      <c r="C386" s="224"/>
      <c r="D386" s="224"/>
      <c r="E386" s="224"/>
      <c r="F386" s="224"/>
      <c r="G386" s="224"/>
      <c r="H386" s="224"/>
      <c r="I386" s="224"/>
      <c r="J386" s="224"/>
      <c r="K386" s="224"/>
      <c r="L386" s="224"/>
      <c r="M386" s="224"/>
      <c r="N386" s="224"/>
      <c r="O386" s="224"/>
    </row>
    <row r="387" spans="1:15" ht="18.600000000000001" hidden="1">
      <c r="A387" s="224" t="s">
        <v>1</v>
      </c>
      <c r="B387" s="224"/>
      <c r="C387" s="224"/>
      <c r="D387" s="224"/>
      <c r="E387" s="224"/>
      <c r="F387" s="224"/>
      <c r="G387" s="224"/>
      <c r="H387" s="224"/>
      <c r="I387" s="224"/>
      <c r="J387" s="224"/>
      <c r="K387" s="224"/>
      <c r="L387" s="224"/>
      <c r="M387" s="224"/>
      <c r="N387" s="224"/>
      <c r="O387" s="224"/>
    </row>
    <row r="388" spans="1:15"/>
    <row r="389" spans="1:15" hidden="1">
      <c r="A389" s="258" t="s">
        <v>173</v>
      </c>
      <c r="B389" s="258"/>
      <c r="C389" s="258"/>
      <c r="D389" s="258"/>
      <c r="E389" s="258"/>
      <c r="F389" s="258"/>
      <c r="G389" s="258"/>
      <c r="H389" s="258"/>
      <c r="I389" s="258"/>
      <c r="J389" s="258"/>
      <c r="K389" s="258"/>
      <c r="L389" s="258"/>
      <c r="M389" s="258"/>
      <c r="N389" s="258"/>
    </row>
    <row r="390" spans="1:15" hidden="1">
      <c r="A390" s="3" t="s">
        <v>3</v>
      </c>
      <c r="B390" s="4">
        <f>B352</f>
        <v>837</v>
      </c>
      <c r="C390" s="4"/>
      <c r="D390" s="4"/>
      <c r="E390" s="3" t="s">
        <v>4</v>
      </c>
      <c r="F390" s="216" t="str">
        <f>F352</f>
        <v>Mahajan Ganesh Trambak</v>
      </c>
      <c r="G390" s="278"/>
      <c r="H390" s="278"/>
      <c r="I390" s="278"/>
      <c r="J390" s="278"/>
      <c r="K390" s="278"/>
      <c r="L390" s="278"/>
      <c r="M390" s="278"/>
      <c r="N390" s="217"/>
    </row>
    <row r="391" spans="1:15" hidden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6"/>
      <c r="L391" s="6"/>
      <c r="M391" s="6"/>
      <c r="N391" s="5"/>
    </row>
    <row r="392" spans="1:15" ht="20.399999999999999" hidden="1">
      <c r="A392" s="3" t="s">
        <v>6</v>
      </c>
      <c r="B392" s="4">
        <f>B354</f>
        <v>2331</v>
      </c>
      <c r="C392" s="4"/>
      <c r="D392" s="4"/>
      <c r="E392" s="3" t="s">
        <v>7</v>
      </c>
      <c r="F392" s="268"/>
      <c r="G392" s="269"/>
      <c r="H392" s="3" t="s">
        <v>8</v>
      </c>
      <c r="I392" s="27"/>
      <c r="J392" s="27"/>
      <c r="K392" s="279" t="str">
        <f>K354</f>
        <v>Asst. Jr. Engineer</v>
      </c>
      <c r="L392" s="280"/>
      <c r="M392" s="280"/>
      <c r="N392" s="281"/>
    </row>
    <row r="393" spans="1:15" hidden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6"/>
      <c r="L393" s="6"/>
      <c r="M393" s="6"/>
      <c r="N393" s="5"/>
    </row>
    <row r="394" spans="1:15" hidden="1">
      <c r="A394" s="3" t="s">
        <v>10</v>
      </c>
      <c r="B394" s="7">
        <v>8.6999999999999994E-2</v>
      </c>
      <c r="C394" s="7"/>
      <c r="D394" s="7"/>
      <c r="E394" s="3" t="s">
        <v>11</v>
      </c>
      <c r="F394" s="7">
        <v>0</v>
      </c>
      <c r="G394" s="216" t="s">
        <v>12</v>
      </c>
      <c r="H394" s="217"/>
      <c r="I394" s="29"/>
      <c r="J394" s="29"/>
      <c r="K394" s="266">
        <f>N379</f>
        <v>0</v>
      </c>
      <c r="L394" s="267"/>
      <c r="M394" s="267"/>
      <c r="N394" s="271"/>
    </row>
    <row r="395" spans="1:15" hidden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6"/>
      <c r="L395" s="6"/>
      <c r="M395" s="6"/>
      <c r="N395" s="5"/>
    </row>
    <row r="396" spans="1:15" ht="30.6" hidden="1">
      <c r="A396" s="9" t="s">
        <v>13</v>
      </c>
      <c r="B396" s="9" t="s">
        <v>14</v>
      </c>
      <c r="C396" s="9"/>
      <c r="D396" s="9"/>
      <c r="E396" s="9" t="s">
        <v>349</v>
      </c>
      <c r="F396" s="9" t="s">
        <v>15</v>
      </c>
      <c r="G396" s="9" t="s">
        <v>16</v>
      </c>
      <c r="H396" s="9" t="s">
        <v>17</v>
      </c>
      <c r="I396" s="9"/>
      <c r="J396" s="9"/>
      <c r="K396" s="10" t="s">
        <v>18</v>
      </c>
      <c r="L396" s="10"/>
      <c r="M396" s="10"/>
      <c r="N396" s="10" t="s">
        <v>19</v>
      </c>
      <c r="O396" s="11" t="s">
        <v>20</v>
      </c>
    </row>
    <row r="397" spans="1:15" hidden="1">
      <c r="A397" s="3" t="s">
        <v>174</v>
      </c>
      <c r="B397" s="13">
        <v>0</v>
      </c>
      <c r="C397" s="13"/>
      <c r="D397" s="13"/>
      <c r="E397" s="13">
        <f>B397</f>
        <v>0</v>
      </c>
      <c r="F397" s="13">
        <v>0</v>
      </c>
      <c r="G397" s="13">
        <f t="shared" ref="G397:G408" si="98">(E397+B397)+F397</f>
        <v>0</v>
      </c>
      <c r="H397" s="13">
        <v>0</v>
      </c>
      <c r="I397" s="13"/>
      <c r="J397" s="13"/>
      <c r="K397" s="13">
        <f>(K394+G397)-H397</f>
        <v>0</v>
      </c>
      <c r="L397" s="14"/>
      <c r="M397" s="14"/>
      <c r="N397" s="14">
        <f>ROUND((K397*8.7/100)/12,0)</f>
        <v>0</v>
      </c>
      <c r="O397" s="272" t="s">
        <v>160</v>
      </c>
    </row>
    <row r="398" spans="1:15" hidden="1">
      <c r="A398" s="3" t="s">
        <v>175</v>
      </c>
      <c r="B398" s="13">
        <v>0</v>
      </c>
      <c r="C398" s="13"/>
      <c r="D398" s="13"/>
      <c r="E398" s="13">
        <f t="shared" ref="E398:E408" si="99">B398</f>
        <v>0</v>
      </c>
      <c r="F398" s="13">
        <v>0</v>
      </c>
      <c r="G398" s="13">
        <f t="shared" si="98"/>
        <v>0</v>
      </c>
      <c r="H398" s="13">
        <v>0</v>
      </c>
      <c r="I398" s="48"/>
      <c r="J398" s="48"/>
      <c r="K398" s="20">
        <f t="shared" ref="K398:K408" si="100">(K397+G398)-H398</f>
        <v>0</v>
      </c>
      <c r="L398" s="52"/>
      <c r="M398" s="52"/>
      <c r="N398" s="14">
        <f t="shared" ref="N398:N407" si="101">ROUND((K398*8.7/100)/12,0)</f>
        <v>0</v>
      </c>
      <c r="O398" s="273"/>
    </row>
    <row r="399" spans="1:15" hidden="1">
      <c r="A399" s="3" t="s">
        <v>176</v>
      </c>
      <c r="B399" s="13">
        <v>0</v>
      </c>
      <c r="C399" s="13"/>
      <c r="D399" s="13"/>
      <c r="E399" s="13">
        <f t="shared" si="99"/>
        <v>0</v>
      </c>
      <c r="F399" s="13">
        <v>0</v>
      </c>
      <c r="G399" s="13">
        <f t="shared" si="98"/>
        <v>0</v>
      </c>
      <c r="H399" s="13">
        <v>0</v>
      </c>
      <c r="I399" s="48"/>
      <c r="J399" s="48"/>
      <c r="K399" s="20">
        <f t="shared" si="100"/>
        <v>0</v>
      </c>
      <c r="L399" s="52"/>
      <c r="M399" s="52"/>
      <c r="N399" s="14">
        <f t="shared" si="101"/>
        <v>0</v>
      </c>
      <c r="O399" s="273"/>
    </row>
    <row r="400" spans="1:15" hidden="1">
      <c r="A400" s="3" t="s">
        <v>177</v>
      </c>
      <c r="B400" s="13">
        <v>0</v>
      </c>
      <c r="C400" s="13"/>
      <c r="D400" s="13"/>
      <c r="E400" s="13">
        <f t="shared" si="99"/>
        <v>0</v>
      </c>
      <c r="F400" s="13">
        <v>0</v>
      </c>
      <c r="G400" s="13">
        <f t="shared" si="98"/>
        <v>0</v>
      </c>
      <c r="H400" s="13">
        <v>0</v>
      </c>
      <c r="I400" s="48"/>
      <c r="J400" s="48"/>
      <c r="K400" s="20">
        <f t="shared" si="100"/>
        <v>0</v>
      </c>
      <c r="L400" s="52"/>
      <c r="M400" s="52"/>
      <c r="N400" s="14">
        <f t="shared" si="101"/>
        <v>0</v>
      </c>
      <c r="O400" s="273"/>
    </row>
    <row r="401" spans="1:15" hidden="1">
      <c r="A401" s="3" t="s">
        <v>178</v>
      </c>
      <c r="B401" s="13">
        <v>0</v>
      </c>
      <c r="C401" s="13"/>
      <c r="D401" s="13"/>
      <c r="E401" s="13">
        <f t="shared" si="99"/>
        <v>0</v>
      </c>
      <c r="F401" s="13">
        <v>0</v>
      </c>
      <c r="G401" s="13">
        <f t="shared" si="98"/>
        <v>0</v>
      </c>
      <c r="H401" s="13">
        <v>0</v>
      </c>
      <c r="I401" s="48"/>
      <c r="J401" s="48"/>
      <c r="K401" s="20">
        <f t="shared" si="100"/>
        <v>0</v>
      </c>
      <c r="L401" s="52"/>
      <c r="M401" s="52"/>
      <c r="N401" s="14">
        <f t="shared" si="101"/>
        <v>0</v>
      </c>
      <c r="O401" s="273"/>
    </row>
    <row r="402" spans="1:15" hidden="1">
      <c r="A402" s="3" t="s">
        <v>179</v>
      </c>
      <c r="B402" s="13">
        <v>0</v>
      </c>
      <c r="C402" s="13"/>
      <c r="D402" s="13"/>
      <c r="E402" s="13">
        <f t="shared" si="99"/>
        <v>0</v>
      </c>
      <c r="F402" s="13">
        <v>0</v>
      </c>
      <c r="G402" s="13">
        <f t="shared" si="98"/>
        <v>0</v>
      </c>
      <c r="H402" s="13">
        <v>0</v>
      </c>
      <c r="I402" s="48"/>
      <c r="J402" s="48"/>
      <c r="K402" s="20">
        <f t="shared" si="100"/>
        <v>0</v>
      </c>
      <c r="L402" s="52"/>
      <c r="M402" s="52"/>
      <c r="N402" s="14">
        <f t="shared" si="101"/>
        <v>0</v>
      </c>
      <c r="O402" s="273"/>
    </row>
    <row r="403" spans="1:15" hidden="1">
      <c r="A403" s="3" t="s">
        <v>180</v>
      </c>
      <c r="B403" s="13">
        <v>0</v>
      </c>
      <c r="C403" s="13"/>
      <c r="D403" s="13"/>
      <c r="E403" s="13">
        <f t="shared" si="99"/>
        <v>0</v>
      </c>
      <c r="F403" s="13">
        <v>0</v>
      </c>
      <c r="G403" s="13">
        <f t="shared" si="98"/>
        <v>0</v>
      </c>
      <c r="H403" s="13">
        <v>0</v>
      </c>
      <c r="I403" s="48"/>
      <c r="J403" s="48"/>
      <c r="K403" s="20">
        <f t="shared" si="100"/>
        <v>0</v>
      </c>
      <c r="L403" s="52"/>
      <c r="M403" s="52"/>
      <c r="N403" s="14">
        <f t="shared" si="101"/>
        <v>0</v>
      </c>
      <c r="O403" s="273"/>
    </row>
    <row r="404" spans="1:15" hidden="1">
      <c r="A404" s="3" t="s">
        <v>181</v>
      </c>
      <c r="B404" s="13">
        <v>0</v>
      </c>
      <c r="C404" s="13"/>
      <c r="D404" s="13"/>
      <c r="E404" s="13">
        <f t="shared" si="99"/>
        <v>0</v>
      </c>
      <c r="F404" s="13">
        <v>0</v>
      </c>
      <c r="G404" s="13">
        <f t="shared" si="98"/>
        <v>0</v>
      </c>
      <c r="H404" s="13">
        <v>0</v>
      </c>
      <c r="I404" s="48"/>
      <c r="J404" s="48"/>
      <c r="K404" s="20">
        <f t="shared" si="100"/>
        <v>0</v>
      </c>
      <c r="L404" s="52"/>
      <c r="M404" s="52"/>
      <c r="N404" s="14">
        <f t="shared" si="101"/>
        <v>0</v>
      </c>
      <c r="O404" s="273"/>
    </row>
    <row r="405" spans="1:15" hidden="1">
      <c r="A405" s="3" t="s">
        <v>182</v>
      </c>
      <c r="B405" s="13">
        <v>0</v>
      </c>
      <c r="C405" s="13"/>
      <c r="D405" s="13"/>
      <c r="E405" s="13">
        <f t="shared" si="99"/>
        <v>0</v>
      </c>
      <c r="F405" s="13">
        <v>0</v>
      </c>
      <c r="G405" s="13">
        <f t="shared" si="98"/>
        <v>0</v>
      </c>
      <c r="H405" s="13">
        <v>0</v>
      </c>
      <c r="I405" s="48"/>
      <c r="J405" s="48"/>
      <c r="K405" s="20">
        <f t="shared" si="100"/>
        <v>0</v>
      </c>
      <c r="L405" s="52"/>
      <c r="M405" s="52"/>
      <c r="N405" s="14">
        <f t="shared" si="101"/>
        <v>0</v>
      </c>
      <c r="O405" s="273"/>
    </row>
    <row r="406" spans="1:15" hidden="1">
      <c r="A406" s="3" t="s">
        <v>183</v>
      </c>
      <c r="B406" s="13">
        <v>0</v>
      </c>
      <c r="C406" s="13"/>
      <c r="D406" s="13"/>
      <c r="E406" s="13">
        <f t="shared" si="99"/>
        <v>0</v>
      </c>
      <c r="F406" s="13">
        <v>0</v>
      </c>
      <c r="G406" s="13">
        <f t="shared" si="98"/>
        <v>0</v>
      </c>
      <c r="H406" s="13">
        <v>0</v>
      </c>
      <c r="I406" s="48"/>
      <c r="J406" s="48"/>
      <c r="K406" s="20">
        <f t="shared" si="100"/>
        <v>0</v>
      </c>
      <c r="L406" s="52"/>
      <c r="M406" s="52"/>
      <c r="N406" s="14">
        <f t="shared" si="101"/>
        <v>0</v>
      </c>
      <c r="O406" s="273"/>
    </row>
    <row r="407" spans="1:15" hidden="1">
      <c r="A407" s="3" t="s">
        <v>184</v>
      </c>
      <c r="B407" s="13">
        <v>0</v>
      </c>
      <c r="C407" s="13"/>
      <c r="D407" s="13"/>
      <c r="E407" s="13">
        <f t="shared" si="99"/>
        <v>0</v>
      </c>
      <c r="F407" s="13">
        <v>0</v>
      </c>
      <c r="G407" s="13">
        <f t="shared" si="98"/>
        <v>0</v>
      </c>
      <c r="H407" s="13">
        <v>0</v>
      </c>
      <c r="I407" s="48"/>
      <c r="J407" s="48"/>
      <c r="K407" s="20">
        <f t="shared" si="100"/>
        <v>0</v>
      </c>
      <c r="L407" s="52"/>
      <c r="M407" s="52"/>
      <c r="N407" s="14">
        <f t="shared" si="101"/>
        <v>0</v>
      </c>
      <c r="O407" s="273"/>
    </row>
    <row r="408" spans="1:15" hidden="1">
      <c r="A408" s="3" t="s">
        <v>185</v>
      </c>
      <c r="B408" s="13">
        <v>0</v>
      </c>
      <c r="C408" s="13"/>
      <c r="D408" s="13"/>
      <c r="E408" s="13">
        <f t="shared" si="99"/>
        <v>0</v>
      </c>
      <c r="F408" s="13">
        <v>0</v>
      </c>
      <c r="G408" s="13">
        <f t="shared" si="98"/>
        <v>0</v>
      </c>
      <c r="H408" s="13">
        <v>0</v>
      </c>
      <c r="I408" s="48"/>
      <c r="J408" s="48"/>
      <c r="K408" s="20">
        <f t="shared" si="100"/>
        <v>0</v>
      </c>
      <c r="L408" s="52"/>
      <c r="M408" s="52"/>
      <c r="N408" s="14">
        <f>ROUND((K408*8.7/100)/12,0)</f>
        <v>0</v>
      </c>
      <c r="O408" s="274"/>
    </row>
    <row r="409" spans="1:15" hidden="1">
      <c r="A409" s="3" t="s">
        <v>186</v>
      </c>
      <c r="B409" s="15">
        <f t="shared" ref="B409:N409" si="102">SUM(B397:B408)</f>
        <v>0</v>
      </c>
      <c r="C409" s="15"/>
      <c r="D409" s="15"/>
      <c r="E409" s="15">
        <f t="shared" si="102"/>
        <v>0</v>
      </c>
      <c r="F409" s="15">
        <f t="shared" si="102"/>
        <v>0</v>
      </c>
      <c r="G409" s="15">
        <f t="shared" si="102"/>
        <v>0</v>
      </c>
      <c r="H409" s="15">
        <f t="shared" si="102"/>
        <v>0</v>
      </c>
      <c r="I409" s="15"/>
      <c r="J409" s="15"/>
      <c r="K409" s="15">
        <f>SUM(K397:K408)</f>
        <v>0</v>
      </c>
      <c r="L409" s="15"/>
      <c r="M409" s="15"/>
      <c r="N409" s="15">
        <f t="shared" si="102"/>
        <v>0</v>
      </c>
    </row>
    <row r="410" spans="1:15" hidden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6"/>
      <c r="L410" s="6"/>
      <c r="M410" s="6"/>
      <c r="N410" s="5"/>
    </row>
    <row r="411" spans="1:15" ht="15" hidden="1" thickBot="1">
      <c r="A411" s="5"/>
      <c r="B411" s="6"/>
      <c r="C411" s="6"/>
      <c r="D411" s="6"/>
      <c r="E411" s="5"/>
      <c r="F411" s="5"/>
      <c r="G411" s="275" t="s">
        <v>47</v>
      </c>
      <c r="H411" s="276"/>
      <c r="I411" s="276"/>
      <c r="J411" s="276"/>
      <c r="K411" s="277"/>
      <c r="L411" s="28"/>
      <c r="M411" s="28"/>
      <c r="N411" s="16">
        <f>K394</f>
        <v>0</v>
      </c>
    </row>
    <row r="412" spans="1:15" ht="15" hidden="1" thickBot="1">
      <c r="A412" s="5"/>
      <c r="B412" s="5"/>
      <c r="C412" s="5"/>
      <c r="D412" s="5"/>
      <c r="E412" s="5"/>
      <c r="F412" s="5"/>
      <c r="G412" s="275" t="s">
        <v>48</v>
      </c>
      <c r="H412" s="276"/>
      <c r="I412" s="276"/>
      <c r="J412" s="276"/>
      <c r="K412" s="277"/>
      <c r="L412" s="28"/>
      <c r="M412" s="28"/>
      <c r="N412" s="16">
        <f>B409+F409</f>
        <v>0</v>
      </c>
    </row>
    <row r="413" spans="1:15" ht="15" hidden="1" thickBot="1">
      <c r="A413" s="5"/>
      <c r="B413" s="5"/>
      <c r="C413" s="5"/>
      <c r="D413" s="5"/>
      <c r="E413" s="5"/>
      <c r="F413" s="5"/>
      <c r="G413" s="275" t="s">
        <v>349</v>
      </c>
      <c r="H413" s="276"/>
      <c r="I413" s="276"/>
      <c r="J413" s="276"/>
      <c r="K413" s="277"/>
      <c r="L413" s="28"/>
      <c r="M413" s="28"/>
      <c r="N413" s="16">
        <f>E409</f>
        <v>0</v>
      </c>
    </row>
    <row r="414" spans="1:15" ht="15" hidden="1" thickBot="1">
      <c r="A414" s="5"/>
      <c r="B414" s="5"/>
      <c r="C414" s="5"/>
      <c r="D414" s="5"/>
      <c r="E414" s="5"/>
      <c r="F414" s="5"/>
      <c r="G414" s="275" t="s">
        <v>49</v>
      </c>
      <c r="H414" s="276"/>
      <c r="I414" s="276"/>
      <c r="J414" s="276"/>
      <c r="K414" s="277"/>
      <c r="L414" s="28"/>
      <c r="M414" s="28"/>
      <c r="N414" s="16">
        <f>SUM(N411:N413)</f>
        <v>0</v>
      </c>
    </row>
    <row r="415" spans="1:15" ht="15" hidden="1" thickBot="1">
      <c r="A415" s="5"/>
      <c r="B415" s="5"/>
      <c r="C415" s="5"/>
      <c r="D415" s="5"/>
      <c r="E415" s="5"/>
      <c r="F415" s="5"/>
      <c r="G415" s="275" t="s">
        <v>50</v>
      </c>
      <c r="H415" s="276"/>
      <c r="I415" s="276"/>
      <c r="J415" s="276"/>
      <c r="K415" s="277"/>
      <c r="L415" s="28"/>
      <c r="M415" s="28"/>
      <c r="N415" s="16">
        <f>H409</f>
        <v>0</v>
      </c>
    </row>
    <row r="416" spans="1:15" ht="15" hidden="1" thickBot="1">
      <c r="A416" s="5"/>
      <c r="B416" s="5"/>
      <c r="C416" s="5"/>
      <c r="D416" s="5"/>
      <c r="E416" s="5"/>
      <c r="F416" s="5"/>
      <c r="G416" s="275" t="s">
        <v>51</v>
      </c>
      <c r="H416" s="276"/>
      <c r="I416" s="276"/>
      <c r="J416" s="276"/>
      <c r="K416" s="277"/>
      <c r="L416" s="28"/>
      <c r="M416" s="28"/>
      <c r="N416" s="16">
        <f>N409</f>
        <v>0</v>
      </c>
    </row>
    <row r="417" spans="1:15" ht="15" hidden="1" thickBot="1">
      <c r="A417" s="5"/>
      <c r="B417" s="5"/>
      <c r="C417" s="5"/>
      <c r="D417" s="5"/>
      <c r="E417" s="5"/>
      <c r="F417" s="5"/>
      <c r="G417" s="275" t="s">
        <v>52</v>
      </c>
      <c r="H417" s="276"/>
      <c r="I417" s="276"/>
      <c r="J417" s="276"/>
      <c r="K417" s="277"/>
      <c r="L417" s="28"/>
      <c r="M417" s="28"/>
      <c r="N417" s="16">
        <f>(N414-N415)+N416</f>
        <v>0</v>
      </c>
    </row>
    <row r="418" spans="1:15" hidden="1">
      <c r="A418" s="5"/>
      <c r="B418" s="5"/>
      <c r="C418" s="5"/>
      <c r="D418" s="5"/>
      <c r="E418" s="5"/>
      <c r="F418" s="5"/>
      <c r="G418" s="17"/>
      <c r="H418" s="17"/>
      <c r="I418" s="17"/>
      <c r="J418" s="17"/>
      <c r="K418" s="17"/>
      <c r="L418" s="17"/>
      <c r="M418" s="17"/>
      <c r="N418" s="6"/>
    </row>
    <row r="419" spans="1:15"/>
    <row r="420" spans="1:15"/>
    <row r="421" spans="1:15" ht="16.8" hidden="1">
      <c r="A421" s="249" t="s">
        <v>53</v>
      </c>
      <c r="B421" s="249"/>
      <c r="C421" s="18"/>
      <c r="D421" s="18"/>
      <c r="E421" s="249" t="s">
        <v>54</v>
      </c>
      <c r="F421" s="249"/>
      <c r="G421" s="249"/>
      <c r="H421" s="250" t="s">
        <v>55</v>
      </c>
      <c r="I421" s="250"/>
      <c r="J421" s="250"/>
      <c r="K421" s="250"/>
      <c r="L421" s="250"/>
      <c r="M421" s="250"/>
      <c r="N421" s="250"/>
    </row>
    <row r="422" spans="1:15" ht="16.8" hidden="1">
      <c r="A422" s="18"/>
      <c r="B422" s="18"/>
      <c r="C422" s="18"/>
      <c r="D422" s="18"/>
      <c r="E422" s="18"/>
      <c r="F422" s="18"/>
      <c r="G422" s="19"/>
      <c r="H422" s="19"/>
      <c r="I422" s="19"/>
      <c r="J422" s="19"/>
    </row>
    <row r="423" spans="1:15" ht="16.8" hidden="1">
      <c r="A423" s="18"/>
      <c r="B423" s="18"/>
      <c r="C423" s="18"/>
      <c r="D423" s="18"/>
      <c r="E423" s="18"/>
      <c r="F423" s="18"/>
      <c r="G423" s="19"/>
      <c r="H423" s="19"/>
      <c r="I423" s="19"/>
      <c r="J423" s="19"/>
    </row>
    <row r="424" spans="1:15" ht="18.600000000000001" hidden="1">
      <c r="A424" s="224" t="s">
        <v>0</v>
      </c>
      <c r="B424" s="224"/>
      <c r="C424" s="224"/>
      <c r="D424" s="224"/>
      <c r="E424" s="224"/>
      <c r="F424" s="224"/>
      <c r="G424" s="224"/>
      <c r="H424" s="224"/>
      <c r="I424" s="224"/>
      <c r="J424" s="224"/>
      <c r="K424" s="224"/>
      <c r="L424" s="224"/>
      <c r="M424" s="224"/>
      <c r="N424" s="224"/>
      <c r="O424" s="224"/>
    </row>
    <row r="425" spans="1:15" ht="18.600000000000001" hidden="1">
      <c r="A425" s="224" t="s">
        <v>1</v>
      </c>
      <c r="B425" s="224"/>
      <c r="C425" s="224"/>
      <c r="D425" s="224"/>
      <c r="E425" s="224"/>
      <c r="F425" s="224"/>
      <c r="G425" s="224"/>
      <c r="H425" s="224"/>
      <c r="I425" s="224"/>
      <c r="J425" s="224"/>
      <c r="K425" s="224"/>
      <c r="L425" s="224"/>
      <c r="M425" s="224"/>
      <c r="N425" s="224"/>
      <c r="O425" s="224"/>
    </row>
    <row r="426" spans="1:15"/>
    <row r="427" spans="1:15" hidden="1">
      <c r="A427" s="225" t="s">
        <v>187</v>
      </c>
      <c r="B427" s="225"/>
      <c r="C427" s="225"/>
      <c r="D427" s="225"/>
      <c r="E427" s="225"/>
      <c r="F427" s="225"/>
      <c r="G427" s="225"/>
      <c r="H427" s="225"/>
      <c r="I427" s="225"/>
      <c r="J427" s="225"/>
      <c r="K427" s="225"/>
      <c r="L427" s="225"/>
      <c r="M427" s="225"/>
      <c r="N427" s="225"/>
    </row>
    <row r="428" spans="1:15" hidden="1">
      <c r="A428" s="3" t="s">
        <v>3</v>
      </c>
      <c r="B428" s="4">
        <f>B390</f>
        <v>837</v>
      </c>
      <c r="C428" s="4"/>
      <c r="D428" s="4"/>
      <c r="E428" s="3" t="s">
        <v>4</v>
      </c>
      <c r="F428" s="215" t="str">
        <f>F390</f>
        <v>Mahajan Ganesh Trambak</v>
      </c>
      <c r="G428" s="215"/>
      <c r="H428" s="215"/>
      <c r="I428" s="215"/>
      <c r="J428" s="215"/>
      <c r="K428" s="215"/>
      <c r="L428" s="215"/>
      <c r="M428" s="215"/>
      <c r="N428" s="215"/>
    </row>
    <row r="429" spans="1:15" hidden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6"/>
      <c r="L429" s="6"/>
      <c r="M429" s="6"/>
      <c r="N429" s="5"/>
    </row>
    <row r="430" spans="1:15" ht="20.399999999999999" hidden="1">
      <c r="A430" s="3" t="s">
        <v>6</v>
      </c>
      <c r="B430" s="4">
        <f>B392</f>
        <v>2331</v>
      </c>
      <c r="C430" s="4"/>
      <c r="D430" s="4"/>
      <c r="E430" s="3" t="s">
        <v>7</v>
      </c>
      <c r="F430" s="268"/>
      <c r="G430" s="269"/>
      <c r="H430" s="3" t="s">
        <v>8</v>
      </c>
      <c r="I430" s="3"/>
      <c r="J430" s="3"/>
      <c r="K430" s="270" t="str">
        <f>K392</f>
        <v>Asst. Jr. Engineer</v>
      </c>
      <c r="L430" s="270"/>
      <c r="M430" s="270"/>
      <c r="N430" s="270"/>
    </row>
    <row r="431" spans="1:15" hidden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6"/>
      <c r="L431" s="6"/>
      <c r="M431" s="6"/>
      <c r="N431" s="5"/>
    </row>
    <row r="432" spans="1:15" hidden="1">
      <c r="A432" s="3" t="s">
        <v>10</v>
      </c>
      <c r="B432" s="7">
        <v>8.6999999999999994E-2</v>
      </c>
      <c r="C432" s="7"/>
      <c r="D432" s="7"/>
      <c r="E432" s="3" t="s">
        <v>11</v>
      </c>
      <c r="F432" s="7">
        <v>0</v>
      </c>
      <c r="G432" s="216" t="s">
        <v>12</v>
      </c>
      <c r="H432" s="217"/>
      <c r="I432" s="29"/>
      <c r="J432" s="29"/>
      <c r="K432" s="266">
        <f>N417</f>
        <v>0</v>
      </c>
      <c r="L432" s="267"/>
      <c r="M432" s="267"/>
      <c r="N432" s="271"/>
    </row>
    <row r="433" spans="1:15" hidden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6"/>
      <c r="L433" s="6"/>
      <c r="M433" s="6"/>
      <c r="N433" s="5"/>
    </row>
    <row r="434" spans="1:15" ht="30.6" hidden="1">
      <c r="A434" s="9" t="s">
        <v>13</v>
      </c>
      <c r="B434" s="9" t="s">
        <v>14</v>
      </c>
      <c r="C434" s="9"/>
      <c r="D434" s="9"/>
      <c r="E434" s="9" t="s">
        <v>349</v>
      </c>
      <c r="F434" s="9" t="s">
        <v>15</v>
      </c>
      <c r="G434" s="9" t="s">
        <v>16</v>
      </c>
      <c r="H434" s="9" t="s">
        <v>17</v>
      </c>
      <c r="I434" s="9"/>
      <c r="J434" s="9"/>
      <c r="K434" s="10" t="s">
        <v>18</v>
      </c>
      <c r="L434" s="10"/>
      <c r="M434" s="10"/>
      <c r="N434" s="10" t="s">
        <v>19</v>
      </c>
      <c r="O434" s="11" t="s">
        <v>20</v>
      </c>
    </row>
    <row r="435" spans="1:15" hidden="1">
      <c r="A435" s="3" t="s">
        <v>188</v>
      </c>
      <c r="B435" s="13">
        <v>300</v>
      </c>
      <c r="C435" s="13"/>
      <c r="D435" s="13"/>
      <c r="E435" s="13">
        <f>B435</f>
        <v>300</v>
      </c>
      <c r="F435" s="13">
        <v>0</v>
      </c>
      <c r="G435" s="13">
        <f t="shared" ref="G435:G446" si="103">(E435+B435)+F435</f>
        <v>600</v>
      </c>
      <c r="H435" s="13">
        <v>0</v>
      </c>
      <c r="I435" s="13"/>
      <c r="J435" s="13"/>
      <c r="K435" s="13">
        <f>(K432+G435)-H435</f>
        <v>600</v>
      </c>
      <c r="L435" s="14"/>
      <c r="M435" s="14"/>
      <c r="N435" s="14">
        <f>ROUND((K435*8.7/100)/12,0)</f>
        <v>4</v>
      </c>
      <c r="O435" s="272" t="s">
        <v>160</v>
      </c>
    </row>
    <row r="436" spans="1:15" hidden="1">
      <c r="A436" s="3" t="s">
        <v>189</v>
      </c>
      <c r="B436" s="13">
        <v>300</v>
      </c>
      <c r="C436" s="13"/>
      <c r="D436" s="13"/>
      <c r="E436" s="13">
        <f t="shared" ref="E436:E446" si="104">B436</f>
        <v>300</v>
      </c>
      <c r="F436" s="13">
        <v>0</v>
      </c>
      <c r="G436" s="13">
        <f t="shared" si="103"/>
        <v>600</v>
      </c>
      <c r="H436" s="13">
        <v>0</v>
      </c>
      <c r="I436" s="48"/>
      <c r="J436" s="48"/>
      <c r="K436" s="20">
        <f t="shared" ref="K436:K446" si="105">(K435+G436)-H436</f>
        <v>1200</v>
      </c>
      <c r="L436" s="52"/>
      <c r="M436" s="52"/>
      <c r="N436" s="14">
        <f t="shared" ref="N436:N446" si="106">ROUND((K436*8.7/100)/12,0)</f>
        <v>9</v>
      </c>
      <c r="O436" s="273"/>
    </row>
    <row r="437" spans="1:15" hidden="1">
      <c r="A437" s="3" t="s">
        <v>190</v>
      </c>
      <c r="B437" s="13">
        <v>300</v>
      </c>
      <c r="C437" s="13"/>
      <c r="D437" s="13"/>
      <c r="E437" s="13">
        <f t="shared" si="104"/>
        <v>300</v>
      </c>
      <c r="F437" s="13">
        <v>0</v>
      </c>
      <c r="G437" s="13">
        <f t="shared" si="103"/>
        <v>600</v>
      </c>
      <c r="H437" s="13">
        <v>0</v>
      </c>
      <c r="I437" s="48"/>
      <c r="J437" s="48"/>
      <c r="K437" s="20">
        <f t="shared" si="105"/>
        <v>1800</v>
      </c>
      <c r="L437" s="52"/>
      <c r="M437" s="52"/>
      <c r="N437" s="14">
        <f t="shared" si="106"/>
        <v>13</v>
      </c>
      <c r="O437" s="273"/>
    </row>
    <row r="438" spans="1:15" hidden="1">
      <c r="A438" s="3" t="s">
        <v>191</v>
      </c>
      <c r="B438" s="13">
        <v>300</v>
      </c>
      <c r="C438" s="13"/>
      <c r="D438" s="13"/>
      <c r="E438" s="13">
        <f t="shared" si="104"/>
        <v>300</v>
      </c>
      <c r="F438" s="13">
        <v>0</v>
      </c>
      <c r="G438" s="13">
        <f t="shared" si="103"/>
        <v>600</v>
      </c>
      <c r="H438" s="13">
        <v>0</v>
      </c>
      <c r="I438" s="48"/>
      <c r="J438" s="48"/>
      <c r="K438" s="20">
        <f t="shared" si="105"/>
        <v>2400</v>
      </c>
      <c r="L438" s="52"/>
      <c r="M438" s="52"/>
      <c r="N438" s="14">
        <f t="shared" si="106"/>
        <v>17</v>
      </c>
      <c r="O438" s="273"/>
    </row>
    <row r="439" spans="1:15" hidden="1">
      <c r="A439" s="3" t="s">
        <v>192</v>
      </c>
      <c r="B439" s="13">
        <v>300</v>
      </c>
      <c r="C439" s="13"/>
      <c r="D439" s="13"/>
      <c r="E439" s="13">
        <f t="shared" si="104"/>
        <v>300</v>
      </c>
      <c r="F439" s="13">
        <v>0</v>
      </c>
      <c r="G439" s="13">
        <f t="shared" si="103"/>
        <v>600</v>
      </c>
      <c r="H439" s="13">
        <v>0</v>
      </c>
      <c r="I439" s="48"/>
      <c r="J439" s="48"/>
      <c r="K439" s="20">
        <f t="shared" si="105"/>
        <v>3000</v>
      </c>
      <c r="L439" s="52"/>
      <c r="M439" s="52"/>
      <c r="N439" s="14">
        <f t="shared" si="106"/>
        <v>22</v>
      </c>
      <c r="O439" s="273"/>
    </row>
    <row r="440" spans="1:15" hidden="1">
      <c r="A440" s="3" t="s">
        <v>193</v>
      </c>
      <c r="B440" s="13">
        <v>300</v>
      </c>
      <c r="C440" s="13"/>
      <c r="D440" s="13"/>
      <c r="E440" s="13">
        <f t="shared" si="104"/>
        <v>300</v>
      </c>
      <c r="F440" s="13">
        <v>0</v>
      </c>
      <c r="G440" s="13">
        <f t="shared" si="103"/>
        <v>600</v>
      </c>
      <c r="H440" s="13">
        <v>0</v>
      </c>
      <c r="I440" s="48"/>
      <c r="J440" s="48"/>
      <c r="K440" s="20">
        <f t="shared" si="105"/>
        <v>3600</v>
      </c>
      <c r="L440" s="52"/>
      <c r="M440" s="52"/>
      <c r="N440" s="14">
        <f t="shared" si="106"/>
        <v>26</v>
      </c>
      <c r="O440" s="273"/>
    </row>
    <row r="441" spans="1:15" hidden="1">
      <c r="A441" s="3" t="s">
        <v>194</v>
      </c>
      <c r="B441" s="13">
        <v>300</v>
      </c>
      <c r="C441" s="13"/>
      <c r="D441" s="13"/>
      <c r="E441" s="13">
        <f t="shared" si="104"/>
        <v>300</v>
      </c>
      <c r="F441" s="13">
        <v>0</v>
      </c>
      <c r="G441" s="13">
        <f t="shared" si="103"/>
        <v>600</v>
      </c>
      <c r="H441" s="13">
        <v>0</v>
      </c>
      <c r="I441" s="48"/>
      <c r="J441" s="48"/>
      <c r="K441" s="20">
        <f t="shared" si="105"/>
        <v>4200</v>
      </c>
      <c r="L441" s="52"/>
      <c r="M441" s="52"/>
      <c r="N441" s="14">
        <f t="shared" si="106"/>
        <v>30</v>
      </c>
      <c r="O441" s="273"/>
    </row>
    <row r="442" spans="1:15" hidden="1">
      <c r="A442" s="3" t="s">
        <v>195</v>
      </c>
      <c r="B442" s="13">
        <v>300</v>
      </c>
      <c r="C442" s="13"/>
      <c r="D442" s="13"/>
      <c r="E442" s="13">
        <f t="shared" si="104"/>
        <v>300</v>
      </c>
      <c r="F442" s="13">
        <v>0</v>
      </c>
      <c r="G442" s="13">
        <f t="shared" si="103"/>
        <v>600</v>
      </c>
      <c r="H442" s="13">
        <v>0</v>
      </c>
      <c r="I442" s="48"/>
      <c r="J442" s="48"/>
      <c r="K442" s="20">
        <f t="shared" si="105"/>
        <v>4800</v>
      </c>
      <c r="L442" s="52"/>
      <c r="M442" s="52"/>
      <c r="N442" s="14">
        <f t="shared" si="106"/>
        <v>35</v>
      </c>
      <c r="O442" s="273"/>
    </row>
    <row r="443" spans="1:15" hidden="1">
      <c r="A443" s="3" t="s">
        <v>196</v>
      </c>
      <c r="B443" s="13">
        <v>300</v>
      </c>
      <c r="C443" s="13"/>
      <c r="D443" s="13"/>
      <c r="E443" s="13">
        <f t="shared" si="104"/>
        <v>300</v>
      </c>
      <c r="F443" s="13">
        <v>0</v>
      </c>
      <c r="G443" s="13">
        <f t="shared" si="103"/>
        <v>600</v>
      </c>
      <c r="H443" s="13">
        <v>0</v>
      </c>
      <c r="I443" s="48"/>
      <c r="J443" s="48"/>
      <c r="K443" s="20">
        <f t="shared" si="105"/>
        <v>5400</v>
      </c>
      <c r="L443" s="52"/>
      <c r="M443" s="52"/>
      <c r="N443" s="14">
        <f t="shared" si="106"/>
        <v>39</v>
      </c>
      <c r="O443" s="273"/>
    </row>
    <row r="444" spans="1:15" hidden="1">
      <c r="A444" s="3" t="s">
        <v>197</v>
      </c>
      <c r="B444" s="13">
        <v>300</v>
      </c>
      <c r="C444" s="13"/>
      <c r="D444" s="13"/>
      <c r="E444" s="13">
        <f t="shared" si="104"/>
        <v>300</v>
      </c>
      <c r="F444" s="13">
        <v>0</v>
      </c>
      <c r="G444" s="13">
        <f t="shared" si="103"/>
        <v>600</v>
      </c>
      <c r="H444" s="13">
        <v>0</v>
      </c>
      <c r="I444" s="48"/>
      <c r="J444" s="48"/>
      <c r="K444" s="20">
        <f t="shared" si="105"/>
        <v>6000</v>
      </c>
      <c r="L444" s="52"/>
      <c r="M444" s="52"/>
      <c r="N444" s="14">
        <f t="shared" si="106"/>
        <v>44</v>
      </c>
      <c r="O444" s="273"/>
    </row>
    <row r="445" spans="1:15" hidden="1">
      <c r="A445" s="3" t="s">
        <v>198</v>
      </c>
      <c r="B445" s="13">
        <v>300</v>
      </c>
      <c r="C445" s="13"/>
      <c r="D445" s="13"/>
      <c r="E445" s="13">
        <f t="shared" si="104"/>
        <v>300</v>
      </c>
      <c r="F445" s="13">
        <v>0</v>
      </c>
      <c r="G445" s="13">
        <f t="shared" si="103"/>
        <v>600</v>
      </c>
      <c r="H445" s="13">
        <v>0</v>
      </c>
      <c r="I445" s="48"/>
      <c r="J445" s="48"/>
      <c r="K445" s="20">
        <f t="shared" si="105"/>
        <v>6600</v>
      </c>
      <c r="L445" s="52"/>
      <c r="M445" s="52"/>
      <c r="N445" s="14">
        <f t="shared" si="106"/>
        <v>48</v>
      </c>
      <c r="O445" s="273"/>
    </row>
    <row r="446" spans="1:15" hidden="1">
      <c r="A446" s="3" t="s">
        <v>199</v>
      </c>
      <c r="B446" s="13">
        <v>300</v>
      </c>
      <c r="C446" s="13"/>
      <c r="D446" s="13"/>
      <c r="E446" s="13">
        <f t="shared" si="104"/>
        <v>300</v>
      </c>
      <c r="F446" s="13">
        <v>0</v>
      </c>
      <c r="G446" s="13">
        <f t="shared" si="103"/>
        <v>600</v>
      </c>
      <c r="H446" s="13">
        <v>0</v>
      </c>
      <c r="I446" s="48"/>
      <c r="J446" s="48"/>
      <c r="K446" s="20">
        <f t="shared" si="105"/>
        <v>7200</v>
      </c>
      <c r="L446" s="52"/>
      <c r="M446" s="52"/>
      <c r="N446" s="14">
        <f t="shared" si="106"/>
        <v>52</v>
      </c>
      <c r="O446" s="274"/>
    </row>
    <row r="447" spans="1:15" hidden="1">
      <c r="A447" s="3" t="s">
        <v>200</v>
      </c>
      <c r="B447" s="15">
        <f t="shared" ref="B447:N447" si="107">SUM(B435:B446)</f>
        <v>3600</v>
      </c>
      <c r="C447" s="15"/>
      <c r="D447" s="15"/>
      <c r="E447" s="15">
        <f t="shared" si="107"/>
        <v>3600</v>
      </c>
      <c r="F447" s="15">
        <f t="shared" si="107"/>
        <v>0</v>
      </c>
      <c r="G447" s="15">
        <f t="shared" si="107"/>
        <v>7200</v>
      </c>
      <c r="H447" s="15">
        <f t="shared" si="107"/>
        <v>0</v>
      </c>
      <c r="I447" s="15"/>
      <c r="J447" s="15"/>
      <c r="K447" s="15">
        <f>SUM(K435:K446)</f>
        <v>46800</v>
      </c>
      <c r="L447" s="15"/>
      <c r="M447" s="15"/>
      <c r="N447" s="15">
        <f t="shared" si="107"/>
        <v>339</v>
      </c>
    </row>
    <row r="448" spans="1:15" hidden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6"/>
      <c r="L448" s="6"/>
      <c r="M448" s="6"/>
      <c r="N448" s="5"/>
    </row>
    <row r="449" spans="1:15" ht="15" hidden="1" thickBot="1">
      <c r="A449" s="5"/>
      <c r="B449" s="6"/>
      <c r="C449" s="6"/>
      <c r="D449" s="6"/>
      <c r="E449" s="5"/>
      <c r="F449" s="5"/>
      <c r="G449" s="211" t="s">
        <v>47</v>
      </c>
      <c r="H449" s="212"/>
      <c r="I449" s="212"/>
      <c r="J449" s="212"/>
      <c r="K449" s="213"/>
      <c r="L449" s="26"/>
      <c r="M449" s="26"/>
      <c r="N449" s="16">
        <f>K432</f>
        <v>0</v>
      </c>
    </row>
    <row r="450" spans="1:15" ht="15" hidden="1" thickBot="1">
      <c r="A450" s="5"/>
      <c r="B450" s="5"/>
      <c r="C450" s="5"/>
      <c r="D450" s="5"/>
      <c r="E450" s="5"/>
      <c r="F450" s="5"/>
      <c r="G450" s="211" t="s">
        <v>48</v>
      </c>
      <c r="H450" s="212"/>
      <c r="I450" s="212"/>
      <c r="J450" s="212"/>
      <c r="K450" s="213"/>
      <c r="L450" s="26"/>
      <c r="M450" s="26"/>
      <c r="N450" s="16">
        <f>B447+F447</f>
        <v>3600</v>
      </c>
    </row>
    <row r="451" spans="1:15" ht="15" hidden="1" thickBot="1">
      <c r="A451" s="5"/>
      <c r="B451" s="5"/>
      <c r="C451" s="5"/>
      <c r="D451" s="5"/>
      <c r="E451" s="5"/>
      <c r="F451" s="5"/>
      <c r="G451" s="211" t="s">
        <v>349</v>
      </c>
      <c r="H451" s="212"/>
      <c r="I451" s="212"/>
      <c r="J451" s="212"/>
      <c r="K451" s="213"/>
      <c r="L451" s="26"/>
      <c r="M451" s="26"/>
      <c r="N451" s="16">
        <f>E447</f>
        <v>3600</v>
      </c>
    </row>
    <row r="452" spans="1:15" ht="15" hidden="1" thickBot="1">
      <c r="A452" s="5"/>
      <c r="B452" s="5"/>
      <c r="C452" s="5"/>
      <c r="D452" s="5"/>
      <c r="E452" s="5"/>
      <c r="F452" s="5"/>
      <c r="G452" s="211" t="s">
        <v>49</v>
      </c>
      <c r="H452" s="212"/>
      <c r="I452" s="212"/>
      <c r="J452" s="212"/>
      <c r="K452" s="213"/>
      <c r="L452" s="26"/>
      <c r="M452" s="26"/>
      <c r="N452" s="16">
        <f>SUM(N449:N451)</f>
        <v>7200</v>
      </c>
    </row>
    <row r="453" spans="1:15" ht="15" hidden="1" thickBot="1">
      <c r="A453" s="5"/>
      <c r="B453" s="5"/>
      <c r="C453" s="5"/>
      <c r="D453" s="5"/>
      <c r="E453" s="5"/>
      <c r="F453" s="5"/>
      <c r="G453" s="211" t="s">
        <v>50</v>
      </c>
      <c r="H453" s="212"/>
      <c r="I453" s="212"/>
      <c r="J453" s="212"/>
      <c r="K453" s="213"/>
      <c r="L453" s="26"/>
      <c r="M453" s="26"/>
      <c r="N453" s="16">
        <f>H447</f>
        <v>0</v>
      </c>
    </row>
    <row r="454" spans="1:15" ht="15" hidden="1" thickBot="1">
      <c r="A454" s="5"/>
      <c r="B454" s="5"/>
      <c r="C454" s="5"/>
      <c r="D454" s="5"/>
      <c r="E454" s="5"/>
      <c r="F454" s="5"/>
      <c r="G454" s="211" t="s">
        <v>51</v>
      </c>
      <c r="H454" s="212"/>
      <c r="I454" s="212"/>
      <c r="J454" s="212"/>
      <c r="K454" s="213"/>
      <c r="L454" s="26"/>
      <c r="M454" s="26"/>
      <c r="N454" s="16">
        <f>N447</f>
        <v>339</v>
      </c>
    </row>
    <row r="455" spans="1:15" ht="15" hidden="1" thickBot="1">
      <c r="A455" s="5"/>
      <c r="B455" s="5"/>
      <c r="C455" s="5"/>
      <c r="D455" s="5"/>
      <c r="E455" s="5"/>
      <c r="F455" s="5"/>
      <c r="G455" s="211" t="s">
        <v>52</v>
      </c>
      <c r="H455" s="212"/>
      <c r="I455" s="212"/>
      <c r="J455" s="212"/>
      <c r="K455" s="213"/>
      <c r="L455" s="26"/>
      <c r="M455" s="26"/>
      <c r="N455" s="16">
        <f>(N452-N453)+N454</f>
        <v>7539</v>
      </c>
    </row>
    <row r="456" spans="1:15" hidden="1">
      <c r="A456" s="5"/>
      <c r="B456" s="5"/>
      <c r="C456" s="5"/>
      <c r="D456" s="5"/>
      <c r="E456" s="5"/>
      <c r="F456" s="5"/>
      <c r="G456" s="17"/>
      <c r="H456" s="17"/>
      <c r="I456" s="17"/>
      <c r="J456" s="17"/>
      <c r="K456" s="17"/>
      <c r="L456" s="17"/>
      <c r="M456" s="17"/>
      <c r="N456" s="6"/>
    </row>
    <row r="457" spans="1:15"/>
    <row r="458" spans="1:15"/>
    <row r="459" spans="1:15" ht="16.8" hidden="1">
      <c r="A459" s="249" t="s">
        <v>53</v>
      </c>
      <c r="B459" s="249"/>
      <c r="C459" s="18"/>
      <c r="D459" s="18"/>
      <c r="E459" s="249" t="s">
        <v>54</v>
      </c>
      <c r="F459" s="249"/>
      <c r="G459" s="249"/>
      <c r="H459" s="250" t="s">
        <v>55</v>
      </c>
      <c r="I459" s="250"/>
      <c r="J459" s="250"/>
      <c r="K459" s="250"/>
      <c r="L459" s="250"/>
      <c r="M459" s="250"/>
      <c r="N459" s="250"/>
    </row>
    <row r="460" spans="1:15" ht="16.8" hidden="1">
      <c r="A460" s="18"/>
      <c r="B460" s="18"/>
      <c r="C460" s="18"/>
      <c r="D460" s="18"/>
      <c r="E460" s="18"/>
      <c r="F460" s="18"/>
      <c r="G460" s="19"/>
      <c r="H460" s="19"/>
      <c r="I460" s="19"/>
      <c r="J460" s="19"/>
    </row>
    <row r="461" spans="1:15" ht="16.8" hidden="1">
      <c r="A461" s="18"/>
      <c r="B461" s="18"/>
      <c r="C461" s="18"/>
      <c r="D461" s="18"/>
      <c r="E461" s="18"/>
      <c r="F461" s="18"/>
      <c r="G461" s="19"/>
      <c r="H461" s="19"/>
      <c r="I461" s="19"/>
      <c r="J461" s="19"/>
    </row>
    <row r="462" spans="1:15" ht="18.600000000000001" hidden="1">
      <c r="A462" s="224" t="s">
        <v>0</v>
      </c>
      <c r="B462" s="224"/>
      <c r="C462" s="224"/>
      <c r="D462" s="224"/>
      <c r="E462" s="224"/>
      <c r="F462" s="224"/>
      <c r="G462" s="224"/>
      <c r="H462" s="224"/>
      <c r="I462" s="224"/>
      <c r="J462" s="224"/>
      <c r="K462" s="224"/>
      <c r="L462" s="224"/>
      <c r="M462" s="224"/>
      <c r="N462" s="224"/>
      <c r="O462" s="224"/>
    </row>
    <row r="463" spans="1:15" ht="18.600000000000001" hidden="1">
      <c r="A463" s="224" t="s">
        <v>1</v>
      </c>
      <c r="B463" s="224"/>
      <c r="C463" s="224"/>
      <c r="D463" s="224"/>
      <c r="E463" s="224"/>
      <c r="F463" s="224"/>
      <c r="G463" s="224"/>
      <c r="H463" s="224"/>
      <c r="I463" s="224"/>
      <c r="J463" s="224"/>
      <c r="K463" s="224"/>
      <c r="L463" s="224"/>
      <c r="M463" s="224"/>
      <c r="N463" s="224"/>
      <c r="O463" s="224"/>
    </row>
    <row r="464" spans="1:15"/>
    <row r="465" spans="1:15" hidden="1">
      <c r="A465" s="258" t="s">
        <v>201</v>
      </c>
      <c r="B465" s="258"/>
      <c r="C465" s="258"/>
      <c r="D465" s="258"/>
      <c r="E465" s="258"/>
      <c r="F465" s="258"/>
      <c r="G465" s="258"/>
      <c r="H465" s="258"/>
      <c r="I465" s="258"/>
      <c r="J465" s="258"/>
      <c r="K465" s="258"/>
      <c r="L465" s="258"/>
      <c r="M465" s="258"/>
      <c r="N465" s="258"/>
    </row>
    <row r="466" spans="1:15" hidden="1">
      <c r="A466" s="3" t="s">
        <v>3</v>
      </c>
      <c r="B466" s="4">
        <f>B428</f>
        <v>837</v>
      </c>
      <c r="C466" s="4"/>
      <c r="D466" s="4"/>
      <c r="E466" s="3" t="s">
        <v>4</v>
      </c>
      <c r="F466" s="215" t="str">
        <f>F428</f>
        <v>Mahajan Ganesh Trambak</v>
      </c>
      <c r="G466" s="215"/>
      <c r="H466" s="215"/>
      <c r="I466" s="215"/>
      <c r="J466" s="215"/>
      <c r="K466" s="215"/>
      <c r="L466" s="215"/>
      <c r="M466" s="215"/>
      <c r="N466" s="215"/>
    </row>
    <row r="467" spans="1:15" hidden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6"/>
      <c r="L467" s="6"/>
      <c r="M467" s="6"/>
      <c r="N467" s="5"/>
    </row>
    <row r="468" spans="1:15" ht="20.399999999999999" hidden="1">
      <c r="A468" s="3" t="s">
        <v>6</v>
      </c>
      <c r="B468" s="4">
        <f>B430</f>
        <v>2331</v>
      </c>
      <c r="C468" s="4"/>
      <c r="D468" s="4"/>
      <c r="E468" s="3" t="s">
        <v>7</v>
      </c>
      <c r="F468" s="268"/>
      <c r="G468" s="269"/>
      <c r="H468" s="3" t="s">
        <v>8</v>
      </c>
      <c r="I468" s="3"/>
      <c r="J468" s="3"/>
      <c r="K468" s="270" t="str">
        <f>K430</f>
        <v>Asst. Jr. Engineer</v>
      </c>
      <c r="L468" s="270"/>
      <c r="M468" s="270"/>
      <c r="N468" s="270"/>
    </row>
    <row r="469" spans="1:15" hidden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6"/>
      <c r="L469" s="6"/>
      <c r="M469" s="6"/>
      <c r="N469" s="5"/>
    </row>
    <row r="470" spans="1:15" hidden="1">
      <c r="A470" s="3" t="s">
        <v>10</v>
      </c>
      <c r="B470" s="7">
        <v>8.1000000000000003E-2</v>
      </c>
      <c r="C470" s="7"/>
      <c r="D470" s="7"/>
      <c r="E470" s="3" t="s">
        <v>11</v>
      </c>
      <c r="F470" s="7">
        <v>0.08</v>
      </c>
      <c r="G470" s="216" t="s">
        <v>12</v>
      </c>
      <c r="H470" s="217"/>
      <c r="I470" s="29"/>
      <c r="J470" s="29"/>
      <c r="K470" s="266">
        <f>N455</f>
        <v>7539</v>
      </c>
      <c r="L470" s="267"/>
      <c r="M470" s="267"/>
      <c r="N470" s="271"/>
    </row>
    <row r="471" spans="1:15" hidden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6"/>
      <c r="L471" s="6"/>
      <c r="M471" s="6"/>
      <c r="N471" s="5"/>
    </row>
    <row r="472" spans="1:15" ht="30.6" hidden="1">
      <c r="A472" s="9" t="s">
        <v>13</v>
      </c>
      <c r="B472" s="9" t="s">
        <v>14</v>
      </c>
      <c r="C472" s="9"/>
      <c r="D472" s="9"/>
      <c r="E472" s="9" t="s">
        <v>349</v>
      </c>
      <c r="F472" s="9" t="s">
        <v>15</v>
      </c>
      <c r="G472" s="9" t="s">
        <v>16</v>
      </c>
      <c r="H472" s="9" t="s">
        <v>17</v>
      </c>
      <c r="I472" s="9"/>
      <c r="J472" s="9"/>
      <c r="K472" s="10" t="s">
        <v>18</v>
      </c>
      <c r="L472" s="10"/>
      <c r="M472" s="10"/>
      <c r="N472" s="10" t="s">
        <v>19</v>
      </c>
      <c r="O472" s="11" t="s">
        <v>20</v>
      </c>
    </row>
    <row r="473" spans="1:15" hidden="1">
      <c r="A473" s="3" t="s">
        <v>202</v>
      </c>
      <c r="B473" s="13">
        <v>0</v>
      </c>
      <c r="C473" s="13"/>
      <c r="D473" s="13"/>
      <c r="E473" s="13">
        <f t="shared" ref="E473:E484" si="108">B473</f>
        <v>0</v>
      </c>
      <c r="F473" s="13">
        <v>0</v>
      </c>
      <c r="G473" s="13">
        <f t="shared" ref="G473:G484" si="109">(E473+B473)+F473</f>
        <v>0</v>
      </c>
      <c r="H473" s="13">
        <v>0</v>
      </c>
      <c r="I473" s="13"/>
      <c r="J473" s="13"/>
      <c r="K473" s="13">
        <f>(K470+G473)-H473</f>
        <v>7539</v>
      </c>
      <c r="L473" s="14"/>
      <c r="M473" s="14"/>
      <c r="N473" s="14">
        <f t="shared" ref="N473:N478" si="110">ROUND((K473*8.1/100)/12,0)</f>
        <v>51</v>
      </c>
      <c r="O473" s="272" t="s">
        <v>203</v>
      </c>
    </row>
    <row r="474" spans="1:15" hidden="1">
      <c r="A474" s="3" t="s">
        <v>204</v>
      </c>
      <c r="B474" s="13">
        <v>300</v>
      </c>
      <c r="C474" s="13"/>
      <c r="D474" s="13"/>
      <c r="E474" s="13">
        <f t="shared" si="108"/>
        <v>300</v>
      </c>
      <c r="F474" s="13">
        <v>0</v>
      </c>
      <c r="G474" s="13">
        <f t="shared" si="109"/>
        <v>600</v>
      </c>
      <c r="H474" s="13">
        <v>0</v>
      </c>
      <c r="I474" s="48"/>
      <c r="J474" s="48"/>
      <c r="K474" s="20">
        <f t="shared" ref="K474:K484" si="111">(K473+G474)-H474</f>
        <v>8139</v>
      </c>
      <c r="L474" s="52"/>
      <c r="M474" s="52"/>
      <c r="N474" s="14">
        <f t="shared" si="110"/>
        <v>55</v>
      </c>
      <c r="O474" s="273"/>
    </row>
    <row r="475" spans="1:15" hidden="1">
      <c r="A475" s="3" t="s">
        <v>205</v>
      </c>
      <c r="B475" s="13">
        <v>600</v>
      </c>
      <c r="C475" s="13"/>
      <c r="D475" s="13"/>
      <c r="E475" s="13">
        <f t="shared" si="108"/>
        <v>600</v>
      </c>
      <c r="F475" s="13">
        <v>0</v>
      </c>
      <c r="G475" s="13">
        <f t="shared" si="109"/>
        <v>1200</v>
      </c>
      <c r="H475" s="13">
        <v>0</v>
      </c>
      <c r="I475" s="48"/>
      <c r="J475" s="48"/>
      <c r="K475" s="20">
        <f t="shared" si="111"/>
        <v>9339</v>
      </c>
      <c r="L475" s="52"/>
      <c r="M475" s="52"/>
      <c r="N475" s="14">
        <f t="shared" si="110"/>
        <v>63</v>
      </c>
      <c r="O475" s="273"/>
    </row>
    <row r="476" spans="1:15" hidden="1">
      <c r="A476" s="3" t="s">
        <v>206</v>
      </c>
      <c r="B476" s="13">
        <v>300</v>
      </c>
      <c r="C476" s="13"/>
      <c r="D476" s="13"/>
      <c r="E476" s="13">
        <f t="shared" si="108"/>
        <v>300</v>
      </c>
      <c r="F476" s="13">
        <v>0</v>
      </c>
      <c r="G476" s="13">
        <f t="shared" si="109"/>
        <v>600</v>
      </c>
      <c r="H476" s="13">
        <v>0</v>
      </c>
      <c r="I476" s="48"/>
      <c r="J476" s="48"/>
      <c r="K476" s="20">
        <f t="shared" si="111"/>
        <v>9939</v>
      </c>
      <c r="L476" s="52"/>
      <c r="M476" s="52"/>
      <c r="N476" s="14">
        <f t="shared" si="110"/>
        <v>67</v>
      </c>
      <c r="O476" s="273"/>
    </row>
    <row r="477" spans="1:15" hidden="1">
      <c r="A477" s="3" t="s">
        <v>207</v>
      </c>
      <c r="B477" s="13">
        <v>0</v>
      </c>
      <c r="C477" s="13"/>
      <c r="D477" s="13"/>
      <c r="E477" s="13">
        <f t="shared" si="108"/>
        <v>0</v>
      </c>
      <c r="F477" s="13">
        <v>0</v>
      </c>
      <c r="G477" s="13">
        <f t="shared" si="109"/>
        <v>0</v>
      </c>
      <c r="H477" s="13">
        <v>0</v>
      </c>
      <c r="I477" s="48"/>
      <c r="J477" s="48"/>
      <c r="K477" s="20">
        <f t="shared" si="111"/>
        <v>9939</v>
      </c>
      <c r="L477" s="52"/>
      <c r="M477" s="52"/>
      <c r="N477" s="14">
        <f t="shared" si="110"/>
        <v>67</v>
      </c>
      <c r="O477" s="273"/>
    </row>
    <row r="478" spans="1:15" hidden="1">
      <c r="A478" s="3" t="s">
        <v>208</v>
      </c>
      <c r="B478" s="13">
        <v>300</v>
      </c>
      <c r="C478" s="13"/>
      <c r="D478" s="13"/>
      <c r="E478" s="13">
        <f t="shared" si="108"/>
        <v>300</v>
      </c>
      <c r="F478" s="13">
        <v>0</v>
      </c>
      <c r="G478" s="13">
        <f t="shared" si="109"/>
        <v>600</v>
      </c>
      <c r="H478" s="13">
        <v>0</v>
      </c>
      <c r="I478" s="48"/>
      <c r="J478" s="48"/>
      <c r="K478" s="20">
        <f t="shared" si="111"/>
        <v>10539</v>
      </c>
      <c r="L478" s="52"/>
      <c r="M478" s="52"/>
      <c r="N478" s="14">
        <f t="shared" si="110"/>
        <v>71</v>
      </c>
      <c r="O478" s="274"/>
    </row>
    <row r="479" spans="1:15" hidden="1">
      <c r="A479" s="3" t="s">
        <v>209</v>
      </c>
      <c r="B479" s="13">
        <v>600</v>
      </c>
      <c r="C479" s="13"/>
      <c r="D479" s="13"/>
      <c r="E479" s="13">
        <f t="shared" si="108"/>
        <v>600</v>
      </c>
      <c r="F479" s="13">
        <v>0</v>
      </c>
      <c r="G479" s="13">
        <f t="shared" si="109"/>
        <v>1200</v>
      </c>
      <c r="H479" s="13">
        <v>0</v>
      </c>
      <c r="I479" s="48"/>
      <c r="J479" s="48"/>
      <c r="K479" s="20">
        <f t="shared" si="111"/>
        <v>11739</v>
      </c>
      <c r="L479" s="52"/>
      <c r="M479" s="52"/>
      <c r="N479" s="14">
        <f t="shared" ref="N479:N484" si="112">ROUND((K479*8/100)/12,0)</f>
        <v>78</v>
      </c>
      <c r="O479" s="272" t="s">
        <v>34</v>
      </c>
    </row>
    <row r="480" spans="1:15" hidden="1">
      <c r="A480" s="3" t="s">
        <v>210</v>
      </c>
      <c r="B480" s="13">
        <v>300</v>
      </c>
      <c r="C480" s="13"/>
      <c r="D480" s="13"/>
      <c r="E480" s="13">
        <f t="shared" si="108"/>
        <v>300</v>
      </c>
      <c r="F480" s="13">
        <v>0</v>
      </c>
      <c r="G480" s="13">
        <f t="shared" si="109"/>
        <v>600</v>
      </c>
      <c r="H480" s="13">
        <v>0</v>
      </c>
      <c r="I480" s="48"/>
      <c r="J480" s="48"/>
      <c r="K480" s="20">
        <f t="shared" si="111"/>
        <v>12339</v>
      </c>
      <c r="L480" s="52"/>
      <c r="M480" s="52"/>
      <c r="N480" s="14">
        <f t="shared" si="112"/>
        <v>82</v>
      </c>
      <c r="O480" s="273"/>
    </row>
    <row r="481" spans="1:15" hidden="1">
      <c r="A481" s="3" t="s">
        <v>211</v>
      </c>
      <c r="B481" s="13">
        <v>300</v>
      </c>
      <c r="C481" s="13"/>
      <c r="D481" s="13"/>
      <c r="E481" s="13">
        <f t="shared" si="108"/>
        <v>300</v>
      </c>
      <c r="F481" s="13">
        <v>0</v>
      </c>
      <c r="G481" s="13">
        <f t="shared" si="109"/>
        <v>600</v>
      </c>
      <c r="H481" s="13">
        <v>0</v>
      </c>
      <c r="I481" s="48"/>
      <c r="J481" s="48"/>
      <c r="K481" s="20">
        <f t="shared" si="111"/>
        <v>12939</v>
      </c>
      <c r="L481" s="52"/>
      <c r="M481" s="52"/>
      <c r="N481" s="14">
        <f t="shared" si="112"/>
        <v>86</v>
      </c>
      <c r="O481" s="273"/>
    </row>
    <row r="482" spans="1:15" hidden="1">
      <c r="A482" s="3" t="s">
        <v>212</v>
      </c>
      <c r="B482" s="13">
        <v>600</v>
      </c>
      <c r="C482" s="13"/>
      <c r="D482" s="13"/>
      <c r="E482" s="13">
        <f t="shared" si="108"/>
        <v>600</v>
      </c>
      <c r="F482" s="13">
        <v>0</v>
      </c>
      <c r="G482" s="13">
        <f t="shared" si="109"/>
        <v>1200</v>
      </c>
      <c r="H482" s="13">
        <v>0</v>
      </c>
      <c r="I482" s="48"/>
      <c r="J482" s="48"/>
      <c r="K482" s="20">
        <f t="shared" si="111"/>
        <v>14139</v>
      </c>
      <c r="L482" s="52"/>
      <c r="M482" s="52"/>
      <c r="N482" s="14">
        <f t="shared" si="112"/>
        <v>94</v>
      </c>
      <c r="O482" s="273"/>
    </row>
    <row r="483" spans="1:15" hidden="1">
      <c r="A483" s="3" t="s">
        <v>213</v>
      </c>
      <c r="B483" s="13">
        <v>0</v>
      </c>
      <c r="C483" s="13"/>
      <c r="D483" s="13"/>
      <c r="E483" s="13">
        <f t="shared" si="108"/>
        <v>0</v>
      </c>
      <c r="F483" s="13">
        <v>0</v>
      </c>
      <c r="G483" s="13">
        <f t="shared" si="109"/>
        <v>0</v>
      </c>
      <c r="H483" s="13">
        <v>0</v>
      </c>
      <c r="I483" s="48"/>
      <c r="J483" s="48"/>
      <c r="K483" s="20">
        <f t="shared" si="111"/>
        <v>14139</v>
      </c>
      <c r="L483" s="52"/>
      <c r="M483" s="52"/>
      <c r="N483" s="14">
        <f t="shared" si="112"/>
        <v>94</v>
      </c>
      <c r="O483" s="273"/>
    </row>
    <row r="484" spans="1:15" hidden="1">
      <c r="A484" s="3" t="s">
        <v>214</v>
      </c>
      <c r="B484" s="13">
        <v>300</v>
      </c>
      <c r="C484" s="13"/>
      <c r="D484" s="13"/>
      <c r="E484" s="13">
        <f t="shared" si="108"/>
        <v>300</v>
      </c>
      <c r="F484" s="13">
        <v>0</v>
      </c>
      <c r="G484" s="13">
        <f t="shared" si="109"/>
        <v>600</v>
      </c>
      <c r="H484" s="13">
        <v>0</v>
      </c>
      <c r="I484" s="48"/>
      <c r="J484" s="48"/>
      <c r="K484" s="20">
        <f t="shared" si="111"/>
        <v>14739</v>
      </c>
      <c r="L484" s="52"/>
      <c r="M484" s="52"/>
      <c r="N484" s="14">
        <f t="shared" si="112"/>
        <v>98</v>
      </c>
      <c r="O484" s="274"/>
    </row>
    <row r="485" spans="1:15" hidden="1">
      <c r="A485" s="3" t="s">
        <v>215</v>
      </c>
      <c r="B485" s="15">
        <f t="shared" ref="B485:N485" si="113">SUM(B473:B484)</f>
        <v>3600</v>
      </c>
      <c r="C485" s="15"/>
      <c r="D485" s="15"/>
      <c r="E485" s="15">
        <f t="shared" si="113"/>
        <v>3600</v>
      </c>
      <c r="F485" s="15">
        <f t="shared" si="113"/>
        <v>0</v>
      </c>
      <c r="G485" s="15">
        <f t="shared" si="113"/>
        <v>7200</v>
      </c>
      <c r="H485" s="15">
        <f t="shared" si="113"/>
        <v>0</v>
      </c>
      <c r="I485" s="15"/>
      <c r="J485" s="15"/>
      <c r="K485" s="15">
        <f>SUM(K473:K484)</f>
        <v>135468</v>
      </c>
      <c r="L485" s="15"/>
      <c r="M485" s="15"/>
      <c r="N485" s="15">
        <f t="shared" si="113"/>
        <v>906</v>
      </c>
    </row>
    <row r="486" spans="1:15" hidden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6"/>
      <c r="L486" s="6"/>
      <c r="M486" s="6"/>
      <c r="N486" s="5"/>
    </row>
    <row r="487" spans="1:15" ht="15" hidden="1" thickBot="1">
      <c r="A487" s="5"/>
      <c r="B487" s="6"/>
      <c r="C487" s="6"/>
      <c r="D487" s="6"/>
      <c r="E487" s="5"/>
      <c r="F487" s="5"/>
      <c r="G487" s="211" t="s">
        <v>47</v>
      </c>
      <c r="H487" s="212"/>
      <c r="I487" s="212"/>
      <c r="J487" s="212"/>
      <c r="K487" s="213"/>
      <c r="L487" s="26"/>
      <c r="M487" s="26"/>
      <c r="N487" s="16">
        <f>K470</f>
        <v>7539</v>
      </c>
    </row>
    <row r="488" spans="1:15" ht="15" hidden="1" thickBot="1">
      <c r="A488" s="5"/>
      <c r="B488" s="5"/>
      <c r="C488" s="5"/>
      <c r="D488" s="5"/>
      <c r="E488" s="5"/>
      <c r="F488" s="5"/>
      <c r="G488" s="211" t="s">
        <v>48</v>
      </c>
      <c r="H488" s="212"/>
      <c r="I488" s="212"/>
      <c r="J488" s="212"/>
      <c r="K488" s="213"/>
      <c r="L488" s="26"/>
      <c r="M488" s="26"/>
      <c r="N488" s="16">
        <f>B485+F485</f>
        <v>3600</v>
      </c>
    </row>
    <row r="489" spans="1:15" ht="15" hidden="1" thickBot="1">
      <c r="A489" s="5"/>
      <c r="B489" s="5"/>
      <c r="C489" s="5"/>
      <c r="D489" s="5"/>
      <c r="E489" s="5"/>
      <c r="F489" s="5"/>
      <c r="G489" s="211" t="s">
        <v>349</v>
      </c>
      <c r="H489" s="212"/>
      <c r="I489" s="212"/>
      <c r="J489" s="212"/>
      <c r="K489" s="213"/>
      <c r="L489" s="26"/>
      <c r="M489" s="26"/>
      <c r="N489" s="16">
        <f>E485</f>
        <v>3600</v>
      </c>
    </row>
    <row r="490" spans="1:15" ht="15" hidden="1" thickBot="1">
      <c r="A490" s="5"/>
      <c r="B490" s="5"/>
      <c r="C490" s="5"/>
      <c r="D490" s="5"/>
      <c r="E490" s="5"/>
      <c r="F490" s="5"/>
      <c r="G490" s="211" t="s">
        <v>49</v>
      </c>
      <c r="H490" s="212"/>
      <c r="I490" s="212"/>
      <c r="J490" s="212"/>
      <c r="K490" s="213"/>
      <c r="L490" s="26"/>
      <c r="M490" s="26"/>
      <c r="N490" s="16">
        <f>SUM(N487:N489)</f>
        <v>14739</v>
      </c>
    </row>
    <row r="491" spans="1:15" ht="15" hidden="1" thickBot="1">
      <c r="A491" s="5"/>
      <c r="B491" s="5"/>
      <c r="C491" s="5"/>
      <c r="D491" s="5"/>
      <c r="E491" s="5"/>
      <c r="F491" s="5"/>
      <c r="G491" s="211" t="s">
        <v>50</v>
      </c>
      <c r="H491" s="212"/>
      <c r="I491" s="212"/>
      <c r="J491" s="212"/>
      <c r="K491" s="213"/>
      <c r="L491" s="26"/>
      <c r="M491" s="26"/>
      <c r="N491" s="16">
        <f>H485</f>
        <v>0</v>
      </c>
    </row>
    <row r="492" spans="1:15" ht="15" hidden="1" thickBot="1">
      <c r="A492" s="5"/>
      <c r="B492" s="5"/>
      <c r="C492" s="5"/>
      <c r="D492" s="5"/>
      <c r="E492" s="5"/>
      <c r="F492" s="5"/>
      <c r="G492" s="211" t="s">
        <v>51</v>
      </c>
      <c r="H492" s="212"/>
      <c r="I492" s="212"/>
      <c r="J492" s="212"/>
      <c r="K492" s="213"/>
      <c r="L492" s="26"/>
      <c r="M492" s="26"/>
      <c r="N492" s="16">
        <f>N485</f>
        <v>906</v>
      </c>
    </row>
    <row r="493" spans="1:15" ht="15" hidden="1" thickBot="1">
      <c r="A493" s="5"/>
      <c r="B493" s="5"/>
      <c r="C493" s="5"/>
      <c r="D493" s="5"/>
      <c r="E493" s="5"/>
      <c r="F493" s="5"/>
      <c r="G493" s="211" t="s">
        <v>52</v>
      </c>
      <c r="H493" s="212"/>
      <c r="I493" s="212"/>
      <c r="J493" s="212"/>
      <c r="K493" s="213"/>
      <c r="L493" s="26"/>
      <c r="M493" s="26"/>
      <c r="N493" s="16">
        <f>(N490-N491)+N492</f>
        <v>15645</v>
      </c>
    </row>
    <row r="494" spans="1:15" hidden="1">
      <c r="A494" s="5"/>
      <c r="B494" s="5"/>
      <c r="C494" s="5"/>
      <c r="D494" s="5"/>
      <c r="E494" s="5"/>
      <c r="F494" s="5"/>
      <c r="G494" s="17"/>
      <c r="H494" s="17"/>
      <c r="I494" s="17"/>
      <c r="J494" s="17"/>
      <c r="K494" s="17"/>
      <c r="L494" s="17"/>
      <c r="M494" s="17"/>
      <c r="N494" s="6"/>
    </row>
    <row r="495" spans="1:15"/>
    <row r="496" spans="1:15"/>
    <row r="497" spans="1:15" ht="16.8" hidden="1">
      <c r="A497" s="249" t="s">
        <v>53</v>
      </c>
      <c r="B497" s="249"/>
      <c r="C497" s="18"/>
      <c r="D497" s="18"/>
      <c r="E497" s="249" t="s">
        <v>54</v>
      </c>
      <c r="F497" s="249"/>
      <c r="G497" s="249"/>
      <c r="H497" s="250" t="s">
        <v>55</v>
      </c>
      <c r="I497" s="250"/>
      <c r="J497" s="250"/>
      <c r="K497" s="250"/>
      <c r="L497" s="250"/>
      <c r="M497" s="250"/>
      <c r="N497" s="250"/>
    </row>
    <row r="498" spans="1:15" ht="16.8" hidden="1">
      <c r="A498" s="18"/>
      <c r="B498" s="18"/>
      <c r="C498" s="18"/>
      <c r="D498" s="18"/>
      <c r="E498" s="18"/>
      <c r="F498" s="18"/>
      <c r="G498" s="19"/>
      <c r="H498" s="19"/>
      <c r="I498" s="19"/>
      <c r="J498" s="19"/>
    </row>
    <row r="499" spans="1:15" ht="16.8" hidden="1">
      <c r="A499" s="18"/>
      <c r="B499" s="18"/>
      <c r="C499" s="18"/>
      <c r="D499" s="18"/>
      <c r="E499" s="18"/>
      <c r="F499" s="18"/>
      <c r="G499" s="19"/>
      <c r="H499" s="19"/>
      <c r="I499" s="19"/>
      <c r="J499" s="19"/>
    </row>
    <row r="500" spans="1:15" ht="18.600000000000001" hidden="1">
      <c r="A500" s="224" t="s">
        <v>0</v>
      </c>
      <c r="B500" s="224"/>
      <c r="C500" s="224"/>
      <c r="D500" s="224"/>
      <c r="E500" s="224"/>
      <c r="F500" s="224"/>
      <c r="G500" s="224"/>
      <c r="H500" s="224"/>
      <c r="I500" s="224"/>
      <c r="J500" s="224"/>
      <c r="K500" s="224"/>
      <c r="L500" s="224"/>
      <c r="M500" s="224"/>
      <c r="N500" s="224"/>
      <c r="O500" s="224"/>
    </row>
    <row r="501" spans="1:15" ht="18.600000000000001" hidden="1">
      <c r="A501" s="224" t="s">
        <v>1</v>
      </c>
      <c r="B501" s="224"/>
      <c r="C501" s="224"/>
      <c r="D501" s="224"/>
      <c r="E501" s="224"/>
      <c r="F501" s="224"/>
      <c r="G501" s="224"/>
      <c r="H501" s="224"/>
      <c r="I501" s="224"/>
      <c r="J501" s="224"/>
      <c r="K501" s="224"/>
      <c r="L501" s="224"/>
      <c r="M501" s="224"/>
      <c r="N501" s="224"/>
      <c r="O501" s="224"/>
    </row>
    <row r="502" spans="1:15"/>
    <row r="503" spans="1:15" hidden="1">
      <c r="A503" s="258" t="s">
        <v>216</v>
      </c>
      <c r="B503" s="258"/>
      <c r="C503" s="258"/>
      <c r="D503" s="258"/>
      <c r="E503" s="258"/>
      <c r="F503" s="258"/>
      <c r="G503" s="258"/>
      <c r="H503" s="258"/>
      <c r="I503" s="258"/>
      <c r="J503" s="258"/>
      <c r="K503" s="258"/>
      <c r="L503" s="258"/>
      <c r="M503" s="258"/>
      <c r="N503" s="258"/>
    </row>
    <row r="504" spans="1:15" hidden="1">
      <c r="A504" s="3" t="s">
        <v>3</v>
      </c>
      <c r="B504" s="4">
        <f>B466</f>
        <v>837</v>
      </c>
      <c r="C504" s="4"/>
      <c r="D504" s="4"/>
      <c r="E504" s="3" t="s">
        <v>4</v>
      </c>
      <c r="F504" s="215" t="str">
        <f>F466</f>
        <v>Mahajan Ganesh Trambak</v>
      </c>
      <c r="G504" s="215"/>
      <c r="H504" s="215"/>
      <c r="I504" s="215"/>
      <c r="J504" s="215"/>
      <c r="K504" s="215"/>
      <c r="L504" s="215"/>
      <c r="M504" s="215"/>
      <c r="N504" s="215"/>
    </row>
    <row r="505" spans="1:15" hidden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6"/>
      <c r="L505" s="6"/>
      <c r="M505" s="6"/>
      <c r="N505" s="5"/>
    </row>
    <row r="506" spans="1:15" ht="20.399999999999999" hidden="1">
      <c r="A506" s="3" t="s">
        <v>6</v>
      </c>
      <c r="B506" s="4">
        <f>B468</f>
        <v>2331</v>
      </c>
      <c r="C506" s="4"/>
      <c r="D506" s="4"/>
      <c r="E506" s="3" t="s">
        <v>7</v>
      </c>
      <c r="F506" s="268"/>
      <c r="G506" s="269"/>
      <c r="H506" s="3" t="s">
        <v>8</v>
      </c>
      <c r="I506" s="3"/>
      <c r="J506" s="3"/>
      <c r="K506" s="270" t="str">
        <f>K468</f>
        <v>Asst. Jr. Engineer</v>
      </c>
      <c r="L506" s="270"/>
      <c r="M506" s="270"/>
      <c r="N506" s="270"/>
    </row>
    <row r="507" spans="1:15" hidden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6"/>
      <c r="L507" s="6"/>
      <c r="M507" s="6"/>
      <c r="N507" s="5"/>
    </row>
    <row r="508" spans="1:15" hidden="1">
      <c r="A508" s="3" t="s">
        <v>10</v>
      </c>
      <c r="B508" s="7">
        <v>7.9000000000000001E-2</v>
      </c>
      <c r="C508" s="7"/>
      <c r="D508" s="7"/>
      <c r="E508" s="3" t="s">
        <v>11</v>
      </c>
      <c r="F508" s="7" t="s">
        <v>217</v>
      </c>
      <c r="G508" s="216" t="s">
        <v>12</v>
      </c>
      <c r="H508" s="217"/>
      <c r="I508" s="29"/>
      <c r="J508" s="29"/>
      <c r="K508" s="266">
        <f>N493</f>
        <v>15645</v>
      </c>
      <c r="L508" s="267"/>
      <c r="M508" s="267"/>
      <c r="N508" s="271"/>
    </row>
    <row r="509" spans="1:15" hidden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6"/>
      <c r="L509" s="6"/>
      <c r="M509" s="6"/>
      <c r="N509" s="5"/>
    </row>
    <row r="510" spans="1:15" ht="30.6" hidden="1">
      <c r="A510" s="9" t="s">
        <v>13</v>
      </c>
      <c r="B510" s="9" t="s">
        <v>14</v>
      </c>
      <c r="C510" s="9"/>
      <c r="D510" s="9"/>
      <c r="E510" s="9" t="s">
        <v>349</v>
      </c>
      <c r="F510" s="9" t="s">
        <v>15</v>
      </c>
      <c r="G510" s="9" t="s">
        <v>16</v>
      </c>
      <c r="H510" s="9" t="s">
        <v>17</v>
      </c>
      <c r="I510" s="9"/>
      <c r="J510" s="9"/>
      <c r="K510" s="10" t="s">
        <v>18</v>
      </c>
      <c r="L510" s="10"/>
      <c r="M510" s="10"/>
      <c r="N510" s="10" t="s">
        <v>19</v>
      </c>
      <c r="O510" s="11" t="s">
        <v>20</v>
      </c>
    </row>
    <row r="511" spans="1:15" hidden="1">
      <c r="A511" s="3" t="s">
        <v>218</v>
      </c>
      <c r="B511" s="13">
        <v>300</v>
      </c>
      <c r="C511" s="13"/>
      <c r="D511" s="13"/>
      <c r="E511" s="13">
        <f>B511</f>
        <v>300</v>
      </c>
      <c r="F511" s="13">
        <v>0</v>
      </c>
      <c r="G511" s="13">
        <f t="shared" ref="G511:G522" si="114">(E511+B511)+F511</f>
        <v>600</v>
      </c>
      <c r="H511" s="13">
        <v>0</v>
      </c>
      <c r="I511" s="13"/>
      <c r="J511" s="13"/>
      <c r="K511" s="13">
        <f>(K508+G511)-H511</f>
        <v>16245</v>
      </c>
      <c r="L511" s="14"/>
      <c r="M511" s="14"/>
      <c r="N511" s="14">
        <f>ROUND((K511*7.9/100)/12,0)</f>
        <v>107</v>
      </c>
      <c r="O511" s="282" t="s">
        <v>219</v>
      </c>
    </row>
    <row r="512" spans="1:15" hidden="1">
      <c r="A512" s="3" t="s">
        <v>220</v>
      </c>
      <c r="B512" s="13">
        <v>300</v>
      </c>
      <c r="C512" s="13"/>
      <c r="D512" s="13"/>
      <c r="E512" s="13">
        <f t="shared" ref="E512:E522" si="115">B512</f>
        <v>300</v>
      </c>
      <c r="F512" s="13">
        <v>0</v>
      </c>
      <c r="G512" s="13">
        <f t="shared" si="114"/>
        <v>600</v>
      </c>
      <c r="H512" s="13">
        <v>0</v>
      </c>
      <c r="I512" s="48"/>
      <c r="J512" s="48"/>
      <c r="K512" s="20">
        <f t="shared" ref="K512:K522" si="116">(K511+G512)-H512</f>
        <v>16845</v>
      </c>
      <c r="L512" s="52"/>
      <c r="M512" s="52"/>
      <c r="N512" s="14">
        <f>ROUND((K512*7.9/100)/12,0)</f>
        <v>111</v>
      </c>
      <c r="O512" s="282"/>
    </row>
    <row r="513" spans="1:15" hidden="1">
      <c r="A513" s="3" t="s">
        <v>221</v>
      </c>
      <c r="B513" s="13">
        <v>0</v>
      </c>
      <c r="C513" s="13"/>
      <c r="D513" s="13"/>
      <c r="E513" s="13">
        <f t="shared" si="115"/>
        <v>0</v>
      </c>
      <c r="F513" s="13">
        <v>0</v>
      </c>
      <c r="G513" s="13">
        <f t="shared" si="114"/>
        <v>0</v>
      </c>
      <c r="H513" s="13">
        <v>0</v>
      </c>
      <c r="I513" s="48"/>
      <c r="J513" s="48"/>
      <c r="K513" s="20">
        <f t="shared" si="116"/>
        <v>16845</v>
      </c>
      <c r="L513" s="52"/>
      <c r="M513" s="52"/>
      <c r="N513" s="14">
        <f>ROUND((K513*7.9/100)/12,0)</f>
        <v>111</v>
      </c>
      <c r="O513" s="282"/>
    </row>
    <row r="514" spans="1:15" hidden="1">
      <c r="A514" s="3" t="s">
        <v>222</v>
      </c>
      <c r="B514" s="13">
        <v>300</v>
      </c>
      <c r="C514" s="13"/>
      <c r="D514" s="13"/>
      <c r="E514" s="13">
        <f t="shared" si="115"/>
        <v>300</v>
      </c>
      <c r="F514" s="13">
        <v>0</v>
      </c>
      <c r="G514" s="13">
        <f t="shared" si="114"/>
        <v>600</v>
      </c>
      <c r="H514" s="13">
        <v>0</v>
      </c>
      <c r="I514" s="48"/>
      <c r="J514" s="48"/>
      <c r="K514" s="20">
        <f t="shared" si="116"/>
        <v>17445</v>
      </c>
      <c r="L514" s="52"/>
      <c r="M514" s="52"/>
      <c r="N514" s="14">
        <f t="shared" ref="N514:N519" si="117">ROUND((K514*7.8/100)/12,0)</f>
        <v>113</v>
      </c>
      <c r="O514" s="272" t="s">
        <v>223</v>
      </c>
    </row>
    <row r="515" spans="1:15" hidden="1">
      <c r="A515" s="3" t="s">
        <v>224</v>
      </c>
      <c r="B515" s="13">
        <v>300</v>
      </c>
      <c r="C515" s="13"/>
      <c r="D515" s="13"/>
      <c r="E515" s="13">
        <f t="shared" si="115"/>
        <v>300</v>
      </c>
      <c r="F515" s="13">
        <v>0</v>
      </c>
      <c r="G515" s="13">
        <f t="shared" si="114"/>
        <v>600</v>
      </c>
      <c r="H515" s="13">
        <v>0</v>
      </c>
      <c r="I515" s="48"/>
      <c r="J515" s="48"/>
      <c r="K515" s="20">
        <f t="shared" si="116"/>
        <v>18045</v>
      </c>
      <c r="L515" s="52"/>
      <c r="M515" s="52"/>
      <c r="N515" s="14">
        <f t="shared" si="117"/>
        <v>117</v>
      </c>
      <c r="O515" s="273"/>
    </row>
    <row r="516" spans="1:15" hidden="1">
      <c r="A516" s="3" t="s">
        <v>225</v>
      </c>
      <c r="B516" s="13">
        <v>600</v>
      </c>
      <c r="C516" s="13"/>
      <c r="D516" s="13"/>
      <c r="E516" s="13">
        <f t="shared" si="115"/>
        <v>600</v>
      </c>
      <c r="F516" s="13">
        <v>0</v>
      </c>
      <c r="G516" s="13">
        <f t="shared" si="114"/>
        <v>1200</v>
      </c>
      <c r="H516" s="13">
        <v>0</v>
      </c>
      <c r="I516" s="48"/>
      <c r="J516" s="48"/>
      <c r="K516" s="20">
        <f t="shared" si="116"/>
        <v>19245</v>
      </c>
      <c r="L516" s="52"/>
      <c r="M516" s="52"/>
      <c r="N516" s="14">
        <f t="shared" si="117"/>
        <v>125</v>
      </c>
      <c r="O516" s="273"/>
    </row>
    <row r="517" spans="1:15" hidden="1">
      <c r="A517" s="3" t="s">
        <v>226</v>
      </c>
      <c r="B517" s="13">
        <v>0</v>
      </c>
      <c r="C517" s="13"/>
      <c r="D517" s="13"/>
      <c r="E517" s="13">
        <f t="shared" si="115"/>
        <v>0</v>
      </c>
      <c r="F517" s="13">
        <v>0</v>
      </c>
      <c r="G517" s="13">
        <f t="shared" si="114"/>
        <v>0</v>
      </c>
      <c r="H517" s="13">
        <v>0</v>
      </c>
      <c r="I517" s="48"/>
      <c r="J517" s="48"/>
      <c r="K517" s="20">
        <f t="shared" si="116"/>
        <v>19245</v>
      </c>
      <c r="L517" s="52"/>
      <c r="M517" s="52"/>
      <c r="N517" s="14">
        <f t="shared" si="117"/>
        <v>125</v>
      </c>
      <c r="O517" s="273"/>
    </row>
    <row r="518" spans="1:15" hidden="1">
      <c r="A518" s="3" t="s">
        <v>227</v>
      </c>
      <c r="B518" s="13">
        <v>300</v>
      </c>
      <c r="C518" s="13"/>
      <c r="D518" s="13"/>
      <c r="E518" s="13">
        <f t="shared" si="115"/>
        <v>300</v>
      </c>
      <c r="F518" s="13">
        <v>0</v>
      </c>
      <c r="G518" s="13">
        <f t="shared" si="114"/>
        <v>600</v>
      </c>
      <c r="H518" s="13">
        <v>0</v>
      </c>
      <c r="I518" s="48"/>
      <c r="J518" s="48"/>
      <c r="K518" s="20">
        <f t="shared" si="116"/>
        <v>19845</v>
      </c>
      <c r="L518" s="52"/>
      <c r="M518" s="52"/>
      <c r="N518" s="14">
        <f t="shared" si="117"/>
        <v>129</v>
      </c>
      <c r="O518" s="273"/>
    </row>
    <row r="519" spans="1:15" hidden="1">
      <c r="A519" s="3" t="s">
        <v>228</v>
      </c>
      <c r="B519" s="13">
        <v>300</v>
      </c>
      <c r="C519" s="13"/>
      <c r="D519" s="13"/>
      <c r="E519" s="13">
        <f t="shared" si="115"/>
        <v>300</v>
      </c>
      <c r="F519" s="13">
        <v>0</v>
      </c>
      <c r="G519" s="13">
        <f t="shared" si="114"/>
        <v>600</v>
      </c>
      <c r="H519" s="13">
        <v>0</v>
      </c>
      <c r="I519" s="48"/>
      <c r="J519" s="48"/>
      <c r="K519" s="20">
        <f t="shared" si="116"/>
        <v>20445</v>
      </c>
      <c r="L519" s="52"/>
      <c r="M519" s="52"/>
      <c r="N519" s="14">
        <f t="shared" si="117"/>
        <v>133</v>
      </c>
      <c r="O519" s="274"/>
    </row>
    <row r="520" spans="1:15" hidden="1">
      <c r="A520" s="3" t="s">
        <v>229</v>
      </c>
      <c r="B520" s="13">
        <v>300</v>
      </c>
      <c r="C520" s="13"/>
      <c r="D520" s="13"/>
      <c r="E520" s="13">
        <f t="shared" si="115"/>
        <v>300</v>
      </c>
      <c r="F520" s="13">
        <v>0</v>
      </c>
      <c r="G520" s="13">
        <f t="shared" si="114"/>
        <v>600</v>
      </c>
      <c r="H520" s="13">
        <v>0</v>
      </c>
      <c r="I520" s="48"/>
      <c r="J520" s="48"/>
      <c r="K520" s="20">
        <f t="shared" si="116"/>
        <v>21045</v>
      </c>
      <c r="L520" s="52"/>
      <c r="M520" s="52"/>
      <c r="N520" s="14">
        <f>ROUND((K520*7.6/100)/12,0)</f>
        <v>133</v>
      </c>
      <c r="O520" s="282" t="s">
        <v>230</v>
      </c>
    </row>
    <row r="521" spans="1:15" hidden="1">
      <c r="A521" s="3" t="s">
        <v>231</v>
      </c>
      <c r="B521" s="13">
        <v>0</v>
      </c>
      <c r="C521" s="13"/>
      <c r="D521" s="13"/>
      <c r="E521" s="13">
        <f t="shared" si="115"/>
        <v>0</v>
      </c>
      <c r="F521" s="13">
        <v>0</v>
      </c>
      <c r="G521" s="13">
        <f t="shared" si="114"/>
        <v>0</v>
      </c>
      <c r="H521" s="13">
        <v>0</v>
      </c>
      <c r="I521" s="48"/>
      <c r="J521" s="48"/>
      <c r="K521" s="20">
        <f t="shared" si="116"/>
        <v>21045</v>
      </c>
      <c r="L521" s="52"/>
      <c r="M521" s="52"/>
      <c r="N521" s="14">
        <f>ROUND((K521*7.6/100)/12,0)</f>
        <v>133</v>
      </c>
      <c r="O521" s="282"/>
    </row>
    <row r="522" spans="1:15" hidden="1">
      <c r="A522" s="3" t="s">
        <v>232</v>
      </c>
      <c r="B522" s="13">
        <v>0</v>
      </c>
      <c r="C522" s="13"/>
      <c r="D522" s="13"/>
      <c r="E522" s="13">
        <f t="shared" si="115"/>
        <v>0</v>
      </c>
      <c r="F522" s="13">
        <v>0</v>
      </c>
      <c r="G522" s="13">
        <f t="shared" si="114"/>
        <v>0</v>
      </c>
      <c r="H522" s="13">
        <v>0</v>
      </c>
      <c r="I522" s="48"/>
      <c r="J522" s="48"/>
      <c r="K522" s="20">
        <f t="shared" si="116"/>
        <v>21045</v>
      </c>
      <c r="L522" s="52"/>
      <c r="M522" s="52"/>
      <c r="N522" s="14">
        <f>ROUND((K522*7.6/100)/12,0)</f>
        <v>133</v>
      </c>
      <c r="O522" s="282"/>
    </row>
    <row r="523" spans="1:15" hidden="1">
      <c r="A523" s="3" t="s">
        <v>233</v>
      </c>
      <c r="B523" s="15">
        <f t="shared" ref="B523:N523" si="118">SUM(B511:B522)</f>
        <v>2700</v>
      </c>
      <c r="C523" s="15"/>
      <c r="D523" s="15"/>
      <c r="E523" s="15">
        <f t="shared" si="118"/>
        <v>2700</v>
      </c>
      <c r="F523" s="15">
        <f t="shared" si="118"/>
        <v>0</v>
      </c>
      <c r="G523" s="15">
        <f t="shared" si="118"/>
        <v>5400</v>
      </c>
      <c r="H523" s="15">
        <f t="shared" si="118"/>
        <v>0</v>
      </c>
      <c r="I523" s="15"/>
      <c r="J523" s="15"/>
      <c r="K523" s="15">
        <f>SUM(K511:K522)</f>
        <v>227340</v>
      </c>
      <c r="L523" s="15"/>
      <c r="M523" s="15"/>
      <c r="N523" s="15">
        <f t="shared" si="118"/>
        <v>1470</v>
      </c>
    </row>
    <row r="524" spans="1:15" hidden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6"/>
      <c r="L524" s="6"/>
      <c r="M524" s="6"/>
      <c r="N524" s="5"/>
    </row>
    <row r="525" spans="1:15" ht="15" hidden="1" thickBot="1">
      <c r="A525" s="5"/>
      <c r="B525" s="6"/>
      <c r="C525" s="6"/>
      <c r="D525" s="6"/>
      <c r="E525" s="5"/>
      <c r="F525" s="5"/>
      <c r="G525" s="211" t="s">
        <v>47</v>
      </c>
      <c r="H525" s="212"/>
      <c r="I525" s="212"/>
      <c r="J525" s="212"/>
      <c r="K525" s="213"/>
      <c r="L525" s="26"/>
      <c r="M525" s="26"/>
      <c r="N525" s="16">
        <f>K508</f>
        <v>15645</v>
      </c>
    </row>
    <row r="526" spans="1:15" ht="15" hidden="1" thickBot="1">
      <c r="A526" s="5"/>
      <c r="B526" s="5"/>
      <c r="C526" s="5"/>
      <c r="D526" s="5"/>
      <c r="E526" s="5"/>
      <c r="F526" s="5"/>
      <c r="G526" s="211" t="s">
        <v>48</v>
      </c>
      <c r="H526" s="212"/>
      <c r="I526" s="212"/>
      <c r="J526" s="212"/>
      <c r="K526" s="213"/>
      <c r="L526" s="26"/>
      <c r="M526" s="26"/>
      <c r="N526" s="16">
        <f>B523+F523</f>
        <v>2700</v>
      </c>
    </row>
    <row r="527" spans="1:15" ht="15" hidden="1" thickBot="1">
      <c r="A527" s="5"/>
      <c r="B527" s="5"/>
      <c r="C527" s="5"/>
      <c r="D527" s="5"/>
      <c r="E527" s="5"/>
      <c r="F527" s="5"/>
      <c r="G527" s="211" t="s">
        <v>349</v>
      </c>
      <c r="H527" s="212"/>
      <c r="I527" s="212"/>
      <c r="J527" s="212"/>
      <c r="K527" s="213"/>
      <c r="L527" s="26"/>
      <c r="M527" s="26"/>
      <c r="N527" s="16">
        <f>E523</f>
        <v>2700</v>
      </c>
    </row>
    <row r="528" spans="1:15" ht="15" hidden="1" thickBot="1">
      <c r="A528" s="5"/>
      <c r="B528" s="5"/>
      <c r="C528" s="5"/>
      <c r="D528" s="5"/>
      <c r="E528" s="5"/>
      <c r="F528" s="5"/>
      <c r="G528" s="211" t="s">
        <v>49</v>
      </c>
      <c r="H528" s="212"/>
      <c r="I528" s="212"/>
      <c r="J528" s="212"/>
      <c r="K528" s="213"/>
      <c r="L528" s="26"/>
      <c r="M528" s="26"/>
      <c r="N528" s="16">
        <f>SUM(N525:N527)</f>
        <v>21045</v>
      </c>
    </row>
    <row r="529" spans="1:15" ht="15" hidden="1" thickBot="1">
      <c r="A529" s="5"/>
      <c r="B529" s="5"/>
      <c r="C529" s="5"/>
      <c r="D529" s="5"/>
      <c r="E529" s="5"/>
      <c r="F529" s="5"/>
      <c r="G529" s="211" t="s">
        <v>50</v>
      </c>
      <c r="H529" s="212"/>
      <c r="I529" s="212"/>
      <c r="J529" s="212"/>
      <c r="K529" s="213"/>
      <c r="L529" s="26"/>
      <c r="M529" s="26"/>
      <c r="N529" s="16">
        <f>H523</f>
        <v>0</v>
      </c>
    </row>
    <row r="530" spans="1:15" ht="15" hidden="1" thickBot="1">
      <c r="A530" s="5"/>
      <c r="B530" s="5"/>
      <c r="C530" s="5"/>
      <c r="D530" s="5"/>
      <c r="E530" s="5"/>
      <c r="F530" s="5"/>
      <c r="G530" s="211" t="s">
        <v>51</v>
      </c>
      <c r="H530" s="212"/>
      <c r="I530" s="212"/>
      <c r="J530" s="212"/>
      <c r="K530" s="213"/>
      <c r="L530" s="26"/>
      <c r="M530" s="26"/>
      <c r="N530" s="16">
        <f>N523</f>
        <v>1470</v>
      </c>
    </row>
    <row r="531" spans="1:15" ht="15" hidden="1" thickBot="1">
      <c r="A531" s="5"/>
      <c r="B531" s="5"/>
      <c r="C531" s="5"/>
      <c r="D531" s="5"/>
      <c r="E531" s="5"/>
      <c r="F531" s="5"/>
      <c r="G531" s="211" t="s">
        <v>52</v>
      </c>
      <c r="H531" s="212"/>
      <c r="I531" s="212"/>
      <c r="J531" s="212"/>
      <c r="K531" s="213"/>
      <c r="L531" s="26"/>
      <c r="M531" s="26"/>
      <c r="N531" s="16">
        <f>(N528-N529)+N530</f>
        <v>22515</v>
      </c>
    </row>
    <row r="532" spans="1:15" hidden="1">
      <c r="A532" s="5"/>
      <c r="B532" s="5"/>
      <c r="C532" s="5"/>
      <c r="D532" s="5"/>
      <c r="E532" s="5"/>
      <c r="F532" s="5"/>
      <c r="G532" s="17"/>
      <c r="H532" s="17"/>
      <c r="I532" s="17"/>
      <c r="J532" s="17"/>
      <c r="K532" s="17"/>
      <c r="L532" s="17"/>
      <c r="M532" s="17"/>
      <c r="N532" s="6"/>
    </row>
    <row r="533" spans="1:15"/>
    <row r="534" spans="1:15"/>
    <row r="535" spans="1:15" ht="16.8" hidden="1">
      <c r="A535" s="249" t="s">
        <v>53</v>
      </c>
      <c r="B535" s="249"/>
      <c r="C535" s="18"/>
      <c r="D535" s="18"/>
      <c r="E535" s="249" t="s">
        <v>54</v>
      </c>
      <c r="F535" s="249"/>
      <c r="G535" s="249"/>
      <c r="H535" s="250" t="s">
        <v>55</v>
      </c>
      <c r="I535" s="250"/>
      <c r="J535" s="250"/>
      <c r="K535" s="250"/>
      <c r="L535" s="250"/>
      <c r="M535" s="250"/>
      <c r="N535" s="250"/>
    </row>
    <row r="536" spans="1:15" ht="16.8" hidden="1">
      <c r="A536" s="18"/>
      <c r="B536" s="18"/>
      <c r="C536" s="18"/>
      <c r="D536" s="18"/>
      <c r="E536" s="18"/>
      <c r="F536" s="18"/>
      <c r="G536" s="19"/>
      <c r="H536" s="19"/>
      <c r="I536" s="19"/>
      <c r="J536" s="19"/>
    </row>
    <row r="537" spans="1:15" ht="16.8" hidden="1">
      <c r="A537" s="18"/>
      <c r="B537" s="18"/>
      <c r="C537" s="18"/>
      <c r="D537" s="18"/>
      <c r="E537" s="18"/>
      <c r="F537" s="18"/>
      <c r="G537" s="19"/>
      <c r="H537" s="19"/>
      <c r="I537" s="19"/>
      <c r="J537" s="19"/>
    </row>
    <row r="538" spans="1:15" ht="18.600000000000001" hidden="1">
      <c r="A538" s="224" t="s">
        <v>0</v>
      </c>
      <c r="B538" s="224"/>
      <c r="C538" s="224"/>
      <c r="D538" s="224"/>
      <c r="E538" s="224"/>
      <c r="F538" s="224"/>
      <c r="G538" s="224"/>
      <c r="H538" s="224"/>
      <c r="I538" s="224"/>
      <c r="J538" s="224"/>
      <c r="K538" s="224"/>
      <c r="L538" s="224"/>
      <c r="M538" s="224"/>
      <c r="N538" s="224"/>
      <c r="O538" s="224"/>
    </row>
    <row r="539" spans="1:15" ht="18.600000000000001" hidden="1">
      <c r="A539" s="224" t="s">
        <v>1</v>
      </c>
      <c r="B539" s="224"/>
      <c r="C539" s="224"/>
      <c r="D539" s="224"/>
      <c r="E539" s="224"/>
      <c r="F539" s="224"/>
      <c r="G539" s="224"/>
      <c r="H539" s="224"/>
      <c r="I539" s="224"/>
      <c r="J539" s="224"/>
      <c r="K539" s="224"/>
      <c r="L539" s="224"/>
      <c r="M539" s="224"/>
      <c r="N539" s="224"/>
      <c r="O539" s="224"/>
    </row>
    <row r="540" spans="1:15"/>
    <row r="541" spans="1:15" hidden="1">
      <c r="A541" s="258" t="s">
        <v>234</v>
      </c>
      <c r="B541" s="258"/>
      <c r="C541" s="258"/>
      <c r="D541" s="258"/>
      <c r="E541" s="258"/>
      <c r="F541" s="258"/>
      <c r="G541" s="258"/>
      <c r="H541" s="258"/>
      <c r="I541" s="258"/>
      <c r="J541" s="258"/>
      <c r="K541" s="258"/>
      <c r="L541" s="258"/>
      <c r="M541" s="258"/>
      <c r="N541" s="258"/>
    </row>
    <row r="542" spans="1:15" hidden="1">
      <c r="A542" s="3" t="s">
        <v>3</v>
      </c>
      <c r="B542" s="4">
        <f>B504</f>
        <v>837</v>
      </c>
      <c r="C542" s="4"/>
      <c r="D542" s="4"/>
      <c r="E542" s="3" t="s">
        <v>4</v>
      </c>
      <c r="F542" s="215" t="str">
        <f>F504</f>
        <v>Mahajan Ganesh Trambak</v>
      </c>
      <c r="G542" s="215"/>
      <c r="H542" s="215"/>
      <c r="I542" s="215"/>
      <c r="J542" s="215"/>
      <c r="K542" s="215"/>
      <c r="L542" s="215"/>
      <c r="M542" s="215"/>
      <c r="N542" s="215"/>
    </row>
    <row r="543" spans="1:15" hidden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6"/>
      <c r="L543" s="6"/>
      <c r="M543" s="6"/>
      <c r="N543" s="5"/>
    </row>
    <row r="544" spans="1:15" ht="20.399999999999999" hidden="1">
      <c r="A544" s="3" t="s">
        <v>6</v>
      </c>
      <c r="B544" s="4">
        <f>B506</f>
        <v>2331</v>
      </c>
      <c r="C544" s="4"/>
      <c r="D544" s="4"/>
      <c r="E544" s="3" t="s">
        <v>7</v>
      </c>
      <c r="F544" s="268"/>
      <c r="G544" s="269"/>
      <c r="H544" s="3" t="s">
        <v>8</v>
      </c>
      <c r="I544" s="3"/>
      <c r="J544" s="3"/>
      <c r="K544" s="270" t="str">
        <f>K506</f>
        <v>Asst. Jr. Engineer</v>
      </c>
      <c r="L544" s="270"/>
      <c r="M544" s="270"/>
      <c r="N544" s="270"/>
    </row>
    <row r="545" spans="1:15" hidden="1">
      <c r="A545" s="5"/>
      <c r="B545" s="5"/>
      <c r="C545" s="5"/>
      <c r="D545" s="5"/>
      <c r="E545" s="17"/>
      <c r="F545" s="5"/>
      <c r="G545" s="5"/>
      <c r="H545" s="5"/>
      <c r="I545" s="5"/>
      <c r="J545" s="5"/>
      <c r="K545" s="6"/>
      <c r="L545" s="6"/>
      <c r="M545" s="6"/>
      <c r="N545" s="5"/>
    </row>
    <row r="546" spans="1:15" hidden="1">
      <c r="A546" s="3" t="s">
        <v>10</v>
      </c>
      <c r="B546" s="7">
        <v>7.5999999999999998E-2</v>
      </c>
      <c r="C546" s="7"/>
      <c r="D546" s="7"/>
      <c r="E546" s="3" t="s">
        <v>11</v>
      </c>
      <c r="F546" s="7">
        <v>0.08</v>
      </c>
      <c r="G546" s="216" t="s">
        <v>12</v>
      </c>
      <c r="H546" s="217"/>
      <c r="I546" s="29"/>
      <c r="J546" s="29"/>
      <c r="K546" s="266">
        <f>N531</f>
        <v>22515</v>
      </c>
      <c r="L546" s="267"/>
      <c r="M546" s="267"/>
      <c r="N546" s="271"/>
    </row>
    <row r="547" spans="1:15" hidden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6"/>
      <c r="L547" s="6"/>
      <c r="M547" s="6"/>
      <c r="N547" s="5"/>
    </row>
    <row r="548" spans="1:15" ht="30.6" hidden="1">
      <c r="A548" s="9" t="s">
        <v>13</v>
      </c>
      <c r="B548" s="9" t="s">
        <v>14</v>
      </c>
      <c r="C548" s="9"/>
      <c r="D548" s="9"/>
      <c r="E548" s="9" t="s">
        <v>349</v>
      </c>
      <c r="F548" s="9" t="s">
        <v>15</v>
      </c>
      <c r="G548" s="9" t="s">
        <v>16</v>
      </c>
      <c r="H548" s="9" t="s">
        <v>17</v>
      </c>
      <c r="I548" s="9"/>
      <c r="J548" s="9"/>
      <c r="K548" s="10" t="s">
        <v>18</v>
      </c>
      <c r="L548" s="10"/>
      <c r="M548" s="10"/>
      <c r="N548" s="10" t="s">
        <v>19</v>
      </c>
      <c r="O548" s="11" t="s">
        <v>20</v>
      </c>
    </row>
    <row r="549" spans="1:15" hidden="1">
      <c r="A549" s="3" t="s">
        <v>235</v>
      </c>
      <c r="B549" s="13">
        <v>0</v>
      </c>
      <c r="C549" s="13"/>
      <c r="D549" s="13"/>
      <c r="E549" s="13">
        <f>B549</f>
        <v>0</v>
      </c>
      <c r="F549" s="13">
        <v>0</v>
      </c>
      <c r="G549" s="13">
        <f t="shared" ref="G549:G560" si="119">(E549+B549)+F549</f>
        <v>0</v>
      </c>
      <c r="H549" s="13">
        <v>0</v>
      </c>
      <c r="I549" s="13"/>
      <c r="J549" s="13"/>
      <c r="K549" s="13">
        <f>(K546+G549)-H549</f>
        <v>22515</v>
      </c>
      <c r="L549" s="14"/>
      <c r="M549" s="14"/>
      <c r="N549" s="14">
        <f t="shared" ref="N549:N554" si="120">ROUND((K549*7.6/100)/12,0)</f>
        <v>143</v>
      </c>
      <c r="O549" s="282" t="s">
        <v>230</v>
      </c>
    </row>
    <row r="550" spans="1:15" hidden="1">
      <c r="A550" s="3" t="s">
        <v>236</v>
      </c>
      <c r="B550" s="13">
        <v>0</v>
      </c>
      <c r="C550" s="13"/>
      <c r="D550" s="13"/>
      <c r="E550" s="13">
        <f t="shared" ref="E550:E560" si="121">B550</f>
        <v>0</v>
      </c>
      <c r="F550" s="13">
        <v>0</v>
      </c>
      <c r="G550" s="13">
        <f t="shared" si="119"/>
        <v>0</v>
      </c>
      <c r="H550" s="13">
        <v>0</v>
      </c>
      <c r="I550" s="48"/>
      <c r="J550" s="48"/>
      <c r="K550" s="20">
        <f t="shared" ref="K550:K560" si="122">(K549+G550)-H550</f>
        <v>22515</v>
      </c>
      <c r="L550" s="52"/>
      <c r="M550" s="52"/>
      <c r="N550" s="14">
        <f t="shared" si="120"/>
        <v>143</v>
      </c>
      <c r="O550" s="282"/>
    </row>
    <row r="551" spans="1:15" hidden="1">
      <c r="A551" s="3" t="s">
        <v>237</v>
      </c>
      <c r="B551" s="13">
        <v>0</v>
      </c>
      <c r="C551" s="13"/>
      <c r="D551" s="13"/>
      <c r="E551" s="13">
        <f t="shared" si="121"/>
        <v>0</v>
      </c>
      <c r="F551" s="13">
        <v>0</v>
      </c>
      <c r="G551" s="13">
        <f t="shared" si="119"/>
        <v>0</v>
      </c>
      <c r="H551" s="13">
        <v>0</v>
      </c>
      <c r="I551" s="48"/>
      <c r="J551" s="48"/>
      <c r="K551" s="20">
        <f t="shared" si="122"/>
        <v>22515</v>
      </c>
      <c r="L551" s="52"/>
      <c r="M551" s="52"/>
      <c r="N551" s="14">
        <f t="shared" si="120"/>
        <v>143</v>
      </c>
      <c r="O551" s="282"/>
    </row>
    <row r="552" spans="1:15" hidden="1">
      <c r="A552" s="3" t="s">
        <v>238</v>
      </c>
      <c r="B552" s="13">
        <v>0</v>
      </c>
      <c r="C552" s="13"/>
      <c r="D552" s="13"/>
      <c r="E552" s="13">
        <f t="shared" si="121"/>
        <v>0</v>
      </c>
      <c r="F552" s="13">
        <v>0</v>
      </c>
      <c r="G552" s="13">
        <f t="shared" si="119"/>
        <v>0</v>
      </c>
      <c r="H552" s="13">
        <v>0</v>
      </c>
      <c r="I552" s="48"/>
      <c r="J552" s="48"/>
      <c r="K552" s="20">
        <f t="shared" si="122"/>
        <v>22515</v>
      </c>
      <c r="L552" s="52"/>
      <c r="M552" s="52"/>
      <c r="N552" s="14">
        <f t="shared" si="120"/>
        <v>143</v>
      </c>
      <c r="O552" s="282"/>
    </row>
    <row r="553" spans="1:15" hidden="1">
      <c r="A553" s="3" t="s">
        <v>239</v>
      </c>
      <c r="B553" s="13">
        <v>300</v>
      </c>
      <c r="C553" s="13"/>
      <c r="D553" s="13"/>
      <c r="E553" s="13">
        <f t="shared" si="121"/>
        <v>300</v>
      </c>
      <c r="F553" s="13">
        <v>0</v>
      </c>
      <c r="G553" s="13">
        <f t="shared" si="119"/>
        <v>600</v>
      </c>
      <c r="H553" s="13">
        <v>0</v>
      </c>
      <c r="I553" s="48"/>
      <c r="J553" s="48"/>
      <c r="K553" s="20">
        <f t="shared" si="122"/>
        <v>23115</v>
      </c>
      <c r="L553" s="52"/>
      <c r="M553" s="52"/>
      <c r="N553" s="14">
        <f t="shared" si="120"/>
        <v>146</v>
      </c>
      <c r="O553" s="282"/>
    </row>
    <row r="554" spans="1:15" hidden="1">
      <c r="A554" s="3" t="s">
        <v>240</v>
      </c>
      <c r="B554" s="13">
        <v>300</v>
      </c>
      <c r="C554" s="13"/>
      <c r="D554" s="13"/>
      <c r="E554" s="13">
        <f t="shared" si="121"/>
        <v>300</v>
      </c>
      <c r="F554" s="13">
        <v>0</v>
      </c>
      <c r="G554" s="13">
        <f t="shared" si="119"/>
        <v>600</v>
      </c>
      <c r="H554" s="13">
        <v>0</v>
      </c>
      <c r="I554" s="48"/>
      <c r="J554" s="48"/>
      <c r="K554" s="20">
        <f t="shared" si="122"/>
        <v>23715</v>
      </c>
      <c r="L554" s="52"/>
      <c r="M554" s="52"/>
      <c r="N554" s="14">
        <f t="shared" si="120"/>
        <v>150</v>
      </c>
      <c r="O554" s="282"/>
    </row>
    <row r="555" spans="1:15" hidden="1">
      <c r="A555" s="3" t="s">
        <v>241</v>
      </c>
      <c r="B555" s="13">
        <v>300</v>
      </c>
      <c r="C555" s="13"/>
      <c r="D555" s="13"/>
      <c r="E555" s="13">
        <f t="shared" si="121"/>
        <v>300</v>
      </c>
      <c r="F555" s="13">
        <v>0</v>
      </c>
      <c r="G555" s="13">
        <f t="shared" si="119"/>
        <v>600</v>
      </c>
      <c r="H555" s="13">
        <v>0</v>
      </c>
      <c r="I555" s="48"/>
      <c r="J555" s="48"/>
      <c r="K555" s="20">
        <f t="shared" si="122"/>
        <v>24315</v>
      </c>
      <c r="L555" s="52"/>
      <c r="M555" s="52"/>
      <c r="N555" s="14">
        <f t="shared" ref="N555:N560" si="123">ROUND((K555*8/100)/12,0)</f>
        <v>162</v>
      </c>
      <c r="O555" s="282" t="s">
        <v>34</v>
      </c>
    </row>
    <row r="556" spans="1:15" hidden="1">
      <c r="A556" s="3" t="s">
        <v>242</v>
      </c>
      <c r="B556" s="13">
        <v>0</v>
      </c>
      <c r="C556" s="13"/>
      <c r="D556" s="13"/>
      <c r="E556" s="13">
        <f t="shared" si="121"/>
        <v>0</v>
      </c>
      <c r="F556" s="13">
        <v>0</v>
      </c>
      <c r="G556" s="13">
        <f t="shared" si="119"/>
        <v>0</v>
      </c>
      <c r="H556" s="13">
        <v>0</v>
      </c>
      <c r="I556" s="48"/>
      <c r="J556" s="48"/>
      <c r="K556" s="20">
        <f t="shared" si="122"/>
        <v>24315</v>
      </c>
      <c r="L556" s="52"/>
      <c r="M556" s="52"/>
      <c r="N556" s="14">
        <f t="shared" si="123"/>
        <v>162</v>
      </c>
      <c r="O556" s="282"/>
    </row>
    <row r="557" spans="1:15" hidden="1">
      <c r="A557" s="3" t="s">
        <v>243</v>
      </c>
      <c r="B557" s="13">
        <v>300</v>
      </c>
      <c r="C557" s="13"/>
      <c r="D557" s="13"/>
      <c r="E557" s="13">
        <f t="shared" si="121"/>
        <v>300</v>
      </c>
      <c r="F557" s="13">
        <v>0</v>
      </c>
      <c r="G557" s="13">
        <f t="shared" si="119"/>
        <v>600</v>
      </c>
      <c r="H557" s="13">
        <v>0</v>
      </c>
      <c r="I557" s="48"/>
      <c r="J557" s="48"/>
      <c r="K557" s="20">
        <f t="shared" si="122"/>
        <v>24915</v>
      </c>
      <c r="L557" s="52"/>
      <c r="M557" s="52"/>
      <c r="N557" s="14">
        <f t="shared" si="123"/>
        <v>166</v>
      </c>
      <c r="O557" s="282"/>
    </row>
    <row r="558" spans="1:15" hidden="1">
      <c r="A558" s="3" t="s">
        <v>244</v>
      </c>
      <c r="B558" s="13">
        <v>300</v>
      </c>
      <c r="C558" s="13"/>
      <c r="D558" s="13"/>
      <c r="E558" s="13">
        <f t="shared" si="121"/>
        <v>300</v>
      </c>
      <c r="F558" s="13">
        <v>0</v>
      </c>
      <c r="G558" s="13">
        <f t="shared" si="119"/>
        <v>600</v>
      </c>
      <c r="H558" s="13">
        <v>0</v>
      </c>
      <c r="I558" s="48"/>
      <c r="J558" s="48"/>
      <c r="K558" s="20">
        <f t="shared" si="122"/>
        <v>25515</v>
      </c>
      <c r="L558" s="52"/>
      <c r="M558" s="52"/>
      <c r="N558" s="14">
        <f t="shared" si="123"/>
        <v>170</v>
      </c>
      <c r="O558" s="282"/>
    </row>
    <row r="559" spans="1:15" hidden="1">
      <c r="A559" s="3" t="s">
        <v>245</v>
      </c>
      <c r="B559" s="13">
        <v>300</v>
      </c>
      <c r="C559" s="13"/>
      <c r="D559" s="13"/>
      <c r="E559" s="13">
        <f t="shared" si="121"/>
        <v>300</v>
      </c>
      <c r="F559" s="13">
        <v>0</v>
      </c>
      <c r="G559" s="13">
        <f t="shared" si="119"/>
        <v>600</v>
      </c>
      <c r="H559" s="13">
        <v>0</v>
      </c>
      <c r="I559" s="48"/>
      <c r="J559" s="48"/>
      <c r="K559" s="20">
        <f t="shared" si="122"/>
        <v>26115</v>
      </c>
      <c r="L559" s="52"/>
      <c r="M559" s="52"/>
      <c r="N559" s="14">
        <f t="shared" si="123"/>
        <v>174</v>
      </c>
      <c r="O559" s="282"/>
    </row>
    <row r="560" spans="1:15" hidden="1">
      <c r="A560" s="3" t="s">
        <v>246</v>
      </c>
      <c r="B560" s="13">
        <v>300</v>
      </c>
      <c r="C560" s="13"/>
      <c r="D560" s="13"/>
      <c r="E560" s="13">
        <f t="shared" si="121"/>
        <v>300</v>
      </c>
      <c r="F560" s="13">
        <v>0</v>
      </c>
      <c r="G560" s="13">
        <f t="shared" si="119"/>
        <v>600</v>
      </c>
      <c r="H560" s="13">
        <v>0</v>
      </c>
      <c r="I560" s="48"/>
      <c r="J560" s="48"/>
      <c r="K560" s="20">
        <f t="shared" si="122"/>
        <v>26715</v>
      </c>
      <c r="L560" s="52"/>
      <c r="M560" s="52"/>
      <c r="N560" s="14">
        <f t="shared" si="123"/>
        <v>178</v>
      </c>
      <c r="O560" s="282"/>
    </row>
    <row r="561" spans="1:15" hidden="1">
      <c r="A561" s="3" t="s">
        <v>247</v>
      </c>
      <c r="B561" s="15">
        <f t="shared" ref="B561:H561" si="124">SUM(B549:B560)</f>
        <v>2100</v>
      </c>
      <c r="C561" s="15"/>
      <c r="D561" s="15"/>
      <c r="E561" s="15">
        <f t="shared" si="124"/>
        <v>2100</v>
      </c>
      <c r="F561" s="15">
        <f t="shared" si="124"/>
        <v>0</v>
      </c>
      <c r="G561" s="15">
        <f t="shared" si="124"/>
        <v>4200</v>
      </c>
      <c r="H561" s="15">
        <f t="shared" si="124"/>
        <v>0</v>
      </c>
      <c r="I561" s="15"/>
      <c r="J561" s="15"/>
      <c r="K561" s="15">
        <f>SUM(K549:K560)</f>
        <v>288780</v>
      </c>
      <c r="L561" s="15"/>
      <c r="M561" s="15"/>
      <c r="N561" s="15">
        <f>SUM(N549:N560)</f>
        <v>1880</v>
      </c>
    </row>
    <row r="562" spans="1:15" hidden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6"/>
      <c r="L562" s="6"/>
      <c r="M562" s="6"/>
      <c r="N562" s="5"/>
    </row>
    <row r="563" spans="1:15" ht="15" hidden="1" thickBot="1">
      <c r="A563" s="5"/>
      <c r="B563" s="6"/>
      <c r="C563" s="6"/>
      <c r="D563" s="6"/>
      <c r="E563" s="5"/>
      <c r="F563" s="5"/>
      <c r="G563" s="211" t="s">
        <v>47</v>
      </c>
      <c r="H563" s="212"/>
      <c r="I563" s="212"/>
      <c r="J563" s="212"/>
      <c r="K563" s="213"/>
      <c r="L563" s="26"/>
      <c r="M563" s="26"/>
      <c r="N563" s="16">
        <f>K546</f>
        <v>22515</v>
      </c>
    </row>
    <row r="564" spans="1:15" ht="15" hidden="1" thickBot="1">
      <c r="A564" s="5"/>
      <c r="B564" s="5"/>
      <c r="C564" s="5"/>
      <c r="D564" s="5"/>
      <c r="E564" s="5"/>
      <c r="F564" s="5"/>
      <c r="G564" s="211" t="s">
        <v>48</v>
      </c>
      <c r="H564" s="212"/>
      <c r="I564" s="212"/>
      <c r="J564" s="212"/>
      <c r="K564" s="213"/>
      <c r="L564" s="26"/>
      <c r="M564" s="26"/>
      <c r="N564" s="16">
        <f>B561+F561</f>
        <v>2100</v>
      </c>
    </row>
    <row r="565" spans="1:15" ht="15" hidden="1" thickBot="1">
      <c r="A565" s="5"/>
      <c r="B565" s="5"/>
      <c r="C565" s="5"/>
      <c r="D565" s="5"/>
      <c r="E565" s="5"/>
      <c r="F565" s="5"/>
      <c r="G565" s="211" t="s">
        <v>349</v>
      </c>
      <c r="H565" s="212"/>
      <c r="I565" s="212"/>
      <c r="J565" s="212"/>
      <c r="K565" s="213"/>
      <c r="L565" s="26"/>
      <c r="M565" s="26"/>
      <c r="N565" s="16">
        <f>E561</f>
        <v>2100</v>
      </c>
    </row>
    <row r="566" spans="1:15" ht="15" hidden="1" thickBot="1">
      <c r="A566" s="5"/>
      <c r="B566" s="5"/>
      <c r="C566" s="5"/>
      <c r="D566" s="5"/>
      <c r="E566" s="5"/>
      <c r="F566" s="5"/>
      <c r="G566" s="211" t="s">
        <v>49</v>
      </c>
      <c r="H566" s="212"/>
      <c r="I566" s="212"/>
      <c r="J566" s="212"/>
      <c r="K566" s="213"/>
      <c r="L566" s="26"/>
      <c r="M566" s="26"/>
      <c r="N566" s="16">
        <f>SUM(N563:N565)</f>
        <v>26715</v>
      </c>
    </row>
    <row r="567" spans="1:15" ht="15" hidden="1" thickBot="1">
      <c r="A567" s="5"/>
      <c r="B567" s="5"/>
      <c r="C567" s="5"/>
      <c r="D567" s="5"/>
      <c r="E567" s="5"/>
      <c r="F567" s="5"/>
      <c r="G567" s="211" t="s">
        <v>50</v>
      </c>
      <c r="H567" s="212"/>
      <c r="I567" s="212"/>
      <c r="J567" s="212"/>
      <c r="K567" s="213"/>
      <c r="L567" s="26"/>
      <c r="M567" s="26"/>
      <c r="N567" s="16">
        <f>H561</f>
        <v>0</v>
      </c>
    </row>
    <row r="568" spans="1:15" ht="15" hidden="1" thickBot="1">
      <c r="A568" s="5"/>
      <c r="B568" s="5"/>
      <c r="C568" s="5"/>
      <c r="D568" s="5"/>
      <c r="E568" s="5"/>
      <c r="F568" s="5"/>
      <c r="G568" s="211" t="s">
        <v>51</v>
      </c>
      <c r="H568" s="212"/>
      <c r="I568" s="212"/>
      <c r="J568" s="212"/>
      <c r="K568" s="213"/>
      <c r="L568" s="26"/>
      <c r="M568" s="26"/>
      <c r="N568" s="16">
        <f>N561</f>
        <v>1880</v>
      </c>
    </row>
    <row r="569" spans="1:15" ht="15" hidden="1" thickBot="1">
      <c r="A569" s="5"/>
      <c r="B569" s="5"/>
      <c r="C569" s="5"/>
      <c r="D569" s="5"/>
      <c r="E569" s="5"/>
      <c r="F569" s="5"/>
      <c r="G569" s="211" t="s">
        <v>52</v>
      </c>
      <c r="H569" s="212"/>
      <c r="I569" s="212"/>
      <c r="J569" s="212"/>
      <c r="K569" s="213"/>
      <c r="L569" s="26"/>
      <c r="M569" s="26"/>
      <c r="N569" s="16">
        <f>(N566-N567)+N568</f>
        <v>28595</v>
      </c>
    </row>
    <row r="570" spans="1:15" hidden="1">
      <c r="A570" s="5"/>
      <c r="B570" s="5"/>
      <c r="C570" s="5"/>
      <c r="D570" s="5"/>
      <c r="E570" s="5"/>
      <c r="F570" s="5"/>
      <c r="G570" s="17"/>
      <c r="H570" s="17"/>
      <c r="I570" s="17"/>
      <c r="J570" s="17"/>
      <c r="K570" s="17"/>
      <c r="L570" s="17"/>
      <c r="M570" s="17"/>
      <c r="N570" s="6"/>
    </row>
    <row r="571" spans="1:15"/>
    <row r="572" spans="1:15"/>
    <row r="573" spans="1:15" ht="16.8" hidden="1">
      <c r="A573" s="249" t="s">
        <v>53</v>
      </c>
      <c r="B573" s="249"/>
      <c r="C573" s="18"/>
      <c r="D573" s="18"/>
      <c r="E573" s="249" t="s">
        <v>54</v>
      </c>
      <c r="F573" s="249"/>
      <c r="G573" s="249"/>
      <c r="H573" s="250" t="s">
        <v>55</v>
      </c>
      <c r="I573" s="250"/>
      <c r="J573" s="250"/>
      <c r="K573" s="250"/>
      <c r="L573" s="250"/>
      <c r="M573" s="250"/>
      <c r="N573" s="250"/>
    </row>
    <row r="574" spans="1:15" ht="16.8" hidden="1">
      <c r="A574" s="18"/>
      <c r="B574" s="18"/>
      <c r="C574" s="18"/>
      <c r="D574" s="18"/>
      <c r="E574" s="18"/>
      <c r="F574" s="18"/>
      <c r="G574" s="19"/>
      <c r="H574" s="19"/>
      <c r="I574" s="19"/>
      <c r="J574" s="19"/>
    </row>
    <row r="575" spans="1:15" ht="16.8" hidden="1">
      <c r="A575" s="18"/>
      <c r="B575" s="18"/>
      <c r="C575" s="18"/>
      <c r="D575" s="18"/>
      <c r="E575" s="18"/>
      <c r="F575" s="18"/>
      <c r="G575" s="19"/>
      <c r="H575" s="19"/>
      <c r="I575" s="19"/>
      <c r="J575" s="19"/>
    </row>
    <row r="576" spans="1:15" ht="18.600000000000001" hidden="1">
      <c r="A576" s="224" t="s">
        <v>0</v>
      </c>
      <c r="B576" s="224"/>
      <c r="C576" s="224"/>
      <c r="D576" s="224"/>
      <c r="E576" s="224"/>
      <c r="F576" s="224"/>
      <c r="G576" s="224"/>
      <c r="H576" s="224"/>
      <c r="I576" s="224"/>
      <c r="J576" s="224"/>
      <c r="K576" s="224"/>
      <c r="L576" s="224"/>
      <c r="M576" s="224"/>
      <c r="N576" s="224"/>
      <c r="O576" s="224"/>
    </row>
    <row r="577" spans="1:15" ht="18.600000000000001" hidden="1">
      <c r="A577" s="224" t="s">
        <v>1</v>
      </c>
      <c r="B577" s="224"/>
      <c r="C577" s="224"/>
      <c r="D577" s="224"/>
      <c r="E577" s="224"/>
      <c r="F577" s="224"/>
      <c r="G577" s="224"/>
      <c r="H577" s="224"/>
      <c r="I577" s="224"/>
      <c r="J577" s="224"/>
      <c r="K577" s="224"/>
      <c r="L577" s="224"/>
      <c r="M577" s="224"/>
      <c r="N577" s="224"/>
      <c r="O577" s="224"/>
    </row>
    <row r="578" spans="1:15"/>
    <row r="579" spans="1:15" hidden="1">
      <c r="A579" s="258" t="s">
        <v>248</v>
      </c>
      <c r="B579" s="258"/>
      <c r="C579" s="258"/>
      <c r="D579" s="258"/>
      <c r="E579" s="258"/>
      <c r="F579" s="258"/>
      <c r="G579" s="258"/>
      <c r="H579" s="258"/>
      <c r="I579" s="258"/>
      <c r="J579" s="258"/>
      <c r="K579" s="258"/>
      <c r="L579" s="258"/>
      <c r="M579" s="258"/>
      <c r="N579" s="258"/>
    </row>
    <row r="580" spans="1:15" hidden="1">
      <c r="A580" s="3" t="s">
        <v>3</v>
      </c>
      <c r="B580" s="4">
        <f>B542</f>
        <v>837</v>
      </c>
      <c r="C580" s="4"/>
      <c r="D580" s="4"/>
      <c r="E580" s="3" t="s">
        <v>4</v>
      </c>
      <c r="F580" s="215" t="str">
        <f>F542</f>
        <v>Mahajan Ganesh Trambak</v>
      </c>
      <c r="G580" s="215"/>
      <c r="H580" s="215"/>
      <c r="I580" s="215"/>
      <c r="J580" s="215"/>
      <c r="K580" s="215"/>
      <c r="L580" s="215"/>
      <c r="M580" s="215"/>
      <c r="N580" s="215"/>
    </row>
    <row r="581" spans="1:15" hidden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6"/>
      <c r="L581" s="6"/>
      <c r="M581" s="6"/>
      <c r="N581" s="5"/>
    </row>
    <row r="582" spans="1:15" ht="20.399999999999999" hidden="1">
      <c r="A582" s="3" t="s">
        <v>6</v>
      </c>
      <c r="B582" s="4">
        <f>B544</f>
        <v>2331</v>
      </c>
      <c r="C582" s="4"/>
      <c r="D582" s="4"/>
      <c r="E582" s="3" t="s">
        <v>7</v>
      </c>
      <c r="F582" s="268"/>
      <c r="G582" s="269"/>
      <c r="H582" s="3" t="s">
        <v>8</v>
      </c>
      <c r="I582" s="3"/>
      <c r="J582" s="3"/>
      <c r="K582" s="270" t="str">
        <f>K544</f>
        <v>Asst. Jr. Engineer</v>
      </c>
      <c r="L582" s="270"/>
      <c r="M582" s="270"/>
      <c r="N582" s="270"/>
    </row>
    <row r="583" spans="1:15" hidden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6"/>
      <c r="L583" s="6"/>
      <c r="M583" s="6"/>
      <c r="N583" s="5"/>
    </row>
    <row r="584" spans="1:15" hidden="1">
      <c r="A584" s="3" t="s">
        <v>10</v>
      </c>
      <c r="B584" s="7">
        <v>0.08</v>
      </c>
      <c r="C584" s="7"/>
      <c r="D584" s="7"/>
      <c r="E584" s="3" t="s">
        <v>11</v>
      </c>
      <c r="F584" s="7">
        <v>7.9000000000000001E-2</v>
      </c>
      <c r="G584" s="216" t="s">
        <v>12</v>
      </c>
      <c r="H584" s="217"/>
      <c r="I584" s="29"/>
      <c r="J584" s="29"/>
      <c r="K584" s="266">
        <f>N569</f>
        <v>28595</v>
      </c>
      <c r="L584" s="267"/>
      <c r="M584" s="267"/>
      <c r="N584" s="271"/>
    </row>
    <row r="585" spans="1:15" hidden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6"/>
      <c r="L585" s="6"/>
      <c r="M585" s="6"/>
      <c r="N585" s="5"/>
    </row>
    <row r="586" spans="1:15" ht="30.6" hidden="1">
      <c r="A586" s="9" t="s">
        <v>13</v>
      </c>
      <c r="B586" s="9" t="s">
        <v>14</v>
      </c>
      <c r="C586" s="9"/>
      <c r="D586" s="9"/>
      <c r="E586" s="9" t="s">
        <v>349</v>
      </c>
      <c r="F586" s="9" t="s">
        <v>15</v>
      </c>
      <c r="G586" s="9" t="s">
        <v>16</v>
      </c>
      <c r="H586" s="9" t="s">
        <v>17</v>
      </c>
      <c r="I586" s="9"/>
      <c r="J586" s="9"/>
      <c r="K586" s="10" t="s">
        <v>18</v>
      </c>
      <c r="L586" s="10"/>
      <c r="M586" s="10"/>
      <c r="N586" s="10" t="s">
        <v>19</v>
      </c>
      <c r="O586" s="11" t="s">
        <v>20</v>
      </c>
    </row>
    <row r="587" spans="1:15" hidden="1">
      <c r="A587" s="3" t="s">
        <v>249</v>
      </c>
      <c r="B587" s="13">
        <v>300</v>
      </c>
      <c r="C587" s="13"/>
      <c r="D587" s="13"/>
      <c r="E587" s="13">
        <f>ROUND(B587*10*14%,0)</f>
        <v>420</v>
      </c>
      <c r="F587" s="13">
        <v>0</v>
      </c>
      <c r="G587" s="13">
        <f t="shared" ref="G587:G598" si="125">(E587+B587)+F587</f>
        <v>720</v>
      </c>
      <c r="H587" s="13">
        <v>0</v>
      </c>
      <c r="I587" s="13"/>
      <c r="J587" s="13"/>
      <c r="K587" s="13">
        <f>(K584+G587)-H587</f>
        <v>29315</v>
      </c>
      <c r="L587" s="14"/>
      <c r="M587" s="14"/>
      <c r="N587" s="14">
        <f>ROUND((K587*8/100)/12,0)</f>
        <v>195</v>
      </c>
      <c r="O587" s="272" t="s">
        <v>34</v>
      </c>
    </row>
    <row r="588" spans="1:15" hidden="1">
      <c r="A588" s="3" t="s">
        <v>250</v>
      </c>
      <c r="B588" s="13">
        <v>300</v>
      </c>
      <c r="C588" s="13"/>
      <c r="D588" s="13"/>
      <c r="E588" s="13">
        <f t="shared" ref="E588:E598" si="126">ROUND(B588*10*14%,0)</f>
        <v>420</v>
      </c>
      <c r="F588" s="13">
        <v>0</v>
      </c>
      <c r="G588" s="13">
        <f t="shared" si="125"/>
        <v>720</v>
      </c>
      <c r="H588" s="13">
        <v>0</v>
      </c>
      <c r="I588" s="48"/>
      <c r="J588" s="48"/>
      <c r="K588" s="20">
        <f t="shared" ref="K588:K598" si="127">(K587+G588)-H588</f>
        <v>30035</v>
      </c>
      <c r="L588" s="52"/>
      <c r="M588" s="52"/>
      <c r="N588" s="14">
        <f>ROUND((K588*8/100)/12,0)</f>
        <v>200</v>
      </c>
      <c r="O588" s="273"/>
    </row>
    <row r="589" spans="1:15" hidden="1">
      <c r="A589" s="3" t="s">
        <v>251</v>
      </c>
      <c r="B589" s="13">
        <v>300</v>
      </c>
      <c r="C589" s="13"/>
      <c r="D589" s="13"/>
      <c r="E589" s="13">
        <f t="shared" si="126"/>
        <v>420</v>
      </c>
      <c r="F589" s="13">
        <v>0</v>
      </c>
      <c r="G589" s="13">
        <f t="shared" si="125"/>
        <v>720</v>
      </c>
      <c r="H589" s="13">
        <v>0</v>
      </c>
      <c r="I589" s="48"/>
      <c r="J589" s="48"/>
      <c r="K589" s="20">
        <f t="shared" si="127"/>
        <v>30755</v>
      </c>
      <c r="L589" s="52"/>
      <c r="M589" s="52"/>
      <c r="N589" s="14">
        <f>ROUND((K589*8/100)/12,0)</f>
        <v>205</v>
      </c>
      <c r="O589" s="274"/>
    </row>
    <row r="590" spans="1:15" hidden="1">
      <c r="A590" s="3" t="s">
        <v>252</v>
      </c>
      <c r="B590" s="13">
        <v>300</v>
      </c>
      <c r="C590" s="13"/>
      <c r="D590" s="13"/>
      <c r="E590" s="13">
        <f t="shared" si="126"/>
        <v>420</v>
      </c>
      <c r="F590" s="13">
        <v>0</v>
      </c>
      <c r="G590" s="13">
        <f t="shared" si="125"/>
        <v>720</v>
      </c>
      <c r="H590" s="13">
        <v>0</v>
      </c>
      <c r="I590" s="48"/>
      <c r="J590" s="48"/>
      <c r="K590" s="20">
        <f t="shared" si="127"/>
        <v>31475</v>
      </c>
      <c r="L590" s="52"/>
      <c r="M590" s="52"/>
      <c r="N590" s="14">
        <f>ROUND((K590*7.9/100)/12,0)</f>
        <v>207</v>
      </c>
      <c r="O590" s="272" t="s">
        <v>219</v>
      </c>
    </row>
    <row r="591" spans="1:15" hidden="1">
      <c r="A591" s="3" t="s">
        <v>253</v>
      </c>
      <c r="B591" s="13">
        <v>300</v>
      </c>
      <c r="C591" s="13"/>
      <c r="D591" s="13"/>
      <c r="E591" s="13">
        <f t="shared" si="126"/>
        <v>420</v>
      </c>
      <c r="F591" s="13">
        <v>0</v>
      </c>
      <c r="G591" s="13">
        <f t="shared" si="125"/>
        <v>720</v>
      </c>
      <c r="H591" s="13">
        <v>0</v>
      </c>
      <c r="I591" s="48"/>
      <c r="J591" s="48"/>
      <c r="K591" s="20">
        <f t="shared" si="127"/>
        <v>32195</v>
      </c>
      <c r="L591" s="52"/>
      <c r="M591" s="52"/>
      <c r="N591" s="14">
        <f t="shared" ref="N591:N598" si="128">ROUND((K591*7.9/100)/12,0)</f>
        <v>212</v>
      </c>
      <c r="O591" s="273"/>
    </row>
    <row r="592" spans="1:15" hidden="1">
      <c r="A592" s="3" t="s">
        <v>254</v>
      </c>
      <c r="B592" s="13">
        <v>300</v>
      </c>
      <c r="C592" s="13"/>
      <c r="D592" s="13"/>
      <c r="E592" s="13">
        <f t="shared" si="126"/>
        <v>420</v>
      </c>
      <c r="F592" s="13">
        <v>0</v>
      </c>
      <c r="G592" s="13">
        <f t="shared" si="125"/>
        <v>720</v>
      </c>
      <c r="H592" s="13">
        <v>0</v>
      </c>
      <c r="I592" s="48"/>
      <c r="J592" s="48"/>
      <c r="K592" s="20">
        <f t="shared" si="127"/>
        <v>32915</v>
      </c>
      <c r="L592" s="52"/>
      <c r="M592" s="52"/>
      <c r="N592" s="14">
        <f t="shared" si="128"/>
        <v>217</v>
      </c>
      <c r="O592" s="273"/>
    </row>
    <row r="593" spans="1:15" hidden="1">
      <c r="A593" s="3" t="s">
        <v>255</v>
      </c>
      <c r="B593" s="13">
        <v>300</v>
      </c>
      <c r="C593" s="13"/>
      <c r="D593" s="13"/>
      <c r="E593" s="13">
        <f t="shared" si="126"/>
        <v>420</v>
      </c>
      <c r="F593" s="13">
        <v>0</v>
      </c>
      <c r="G593" s="13">
        <f t="shared" si="125"/>
        <v>720</v>
      </c>
      <c r="H593" s="13">
        <v>0</v>
      </c>
      <c r="I593" s="48"/>
      <c r="J593" s="48"/>
      <c r="K593" s="20">
        <f t="shared" si="127"/>
        <v>33635</v>
      </c>
      <c r="L593" s="52"/>
      <c r="M593" s="52"/>
      <c r="N593" s="14">
        <f t="shared" si="128"/>
        <v>221</v>
      </c>
      <c r="O593" s="273"/>
    </row>
    <row r="594" spans="1:15" hidden="1">
      <c r="A594" s="3" t="s">
        <v>256</v>
      </c>
      <c r="B594" s="13">
        <v>300</v>
      </c>
      <c r="C594" s="13"/>
      <c r="D594" s="13"/>
      <c r="E594" s="13">
        <f t="shared" si="126"/>
        <v>420</v>
      </c>
      <c r="F594" s="13">
        <v>0</v>
      </c>
      <c r="G594" s="13">
        <f t="shared" si="125"/>
        <v>720</v>
      </c>
      <c r="H594" s="13">
        <v>0</v>
      </c>
      <c r="I594" s="48"/>
      <c r="J594" s="48"/>
      <c r="K594" s="20">
        <f t="shared" si="127"/>
        <v>34355</v>
      </c>
      <c r="L594" s="52"/>
      <c r="M594" s="52"/>
      <c r="N594" s="14">
        <f t="shared" si="128"/>
        <v>226</v>
      </c>
      <c r="O594" s="273"/>
    </row>
    <row r="595" spans="1:15" hidden="1">
      <c r="A595" s="3" t="s">
        <v>257</v>
      </c>
      <c r="B595" s="13">
        <v>300</v>
      </c>
      <c r="C595" s="13"/>
      <c r="D595" s="13"/>
      <c r="E595" s="13">
        <f t="shared" si="126"/>
        <v>420</v>
      </c>
      <c r="F595" s="13">
        <v>0</v>
      </c>
      <c r="G595" s="13">
        <f t="shared" si="125"/>
        <v>720</v>
      </c>
      <c r="H595" s="13">
        <v>0</v>
      </c>
      <c r="I595" s="48"/>
      <c r="J595" s="48"/>
      <c r="K595" s="20">
        <f t="shared" si="127"/>
        <v>35075</v>
      </c>
      <c r="L595" s="52"/>
      <c r="M595" s="52"/>
      <c r="N595" s="14">
        <f t="shared" si="128"/>
        <v>231</v>
      </c>
      <c r="O595" s="273"/>
    </row>
    <row r="596" spans="1:15" hidden="1">
      <c r="A596" s="3" t="s">
        <v>258</v>
      </c>
      <c r="B596" s="13">
        <v>1896</v>
      </c>
      <c r="C596" s="13"/>
      <c r="D596" s="13"/>
      <c r="E596" s="13">
        <f t="shared" si="126"/>
        <v>2654</v>
      </c>
      <c r="F596" s="13">
        <v>0</v>
      </c>
      <c r="G596" s="13">
        <f t="shared" si="125"/>
        <v>4550</v>
      </c>
      <c r="H596" s="13">
        <v>0</v>
      </c>
      <c r="I596" s="48"/>
      <c r="J596" s="48"/>
      <c r="K596" s="20">
        <f t="shared" si="127"/>
        <v>39625</v>
      </c>
      <c r="L596" s="52"/>
      <c r="M596" s="52"/>
      <c r="N596" s="14">
        <f t="shared" si="128"/>
        <v>261</v>
      </c>
      <c r="O596" s="273"/>
    </row>
    <row r="597" spans="1:15" hidden="1">
      <c r="A597" s="3" t="s">
        <v>259</v>
      </c>
      <c r="B597" s="13">
        <v>1848</v>
      </c>
      <c r="C597" s="13"/>
      <c r="D597" s="13"/>
      <c r="E597" s="13">
        <f t="shared" si="126"/>
        <v>2587</v>
      </c>
      <c r="F597" s="13">
        <v>0</v>
      </c>
      <c r="G597" s="13">
        <f t="shared" si="125"/>
        <v>4435</v>
      </c>
      <c r="H597" s="13">
        <v>0</v>
      </c>
      <c r="I597" s="48"/>
      <c r="J597" s="48"/>
      <c r="K597" s="20">
        <f t="shared" si="127"/>
        <v>44060</v>
      </c>
      <c r="L597" s="52"/>
      <c r="M597" s="52"/>
      <c r="N597" s="14">
        <f t="shared" si="128"/>
        <v>290</v>
      </c>
      <c r="O597" s="273"/>
    </row>
    <row r="598" spans="1:15" hidden="1">
      <c r="A598" s="3" t="s">
        <v>260</v>
      </c>
      <c r="B598" s="13">
        <v>1848</v>
      </c>
      <c r="C598" s="13"/>
      <c r="D598" s="13"/>
      <c r="E598" s="13">
        <f t="shared" si="126"/>
        <v>2587</v>
      </c>
      <c r="F598" s="13">
        <v>0</v>
      </c>
      <c r="G598" s="13">
        <f t="shared" si="125"/>
        <v>4435</v>
      </c>
      <c r="H598" s="13">
        <v>0</v>
      </c>
      <c r="I598" s="48"/>
      <c r="J598" s="48"/>
      <c r="K598" s="20">
        <f t="shared" si="127"/>
        <v>48495</v>
      </c>
      <c r="L598" s="52"/>
      <c r="M598" s="52"/>
      <c r="N598" s="14">
        <f t="shared" si="128"/>
        <v>319</v>
      </c>
      <c r="O598" s="274"/>
    </row>
    <row r="599" spans="1:15" hidden="1">
      <c r="A599" s="3" t="s">
        <v>261</v>
      </c>
      <c r="B599" s="15">
        <f t="shared" ref="B599:N599" si="129">SUM(B587:B598)</f>
        <v>8292</v>
      </c>
      <c r="C599" s="15"/>
      <c r="D599" s="15"/>
      <c r="E599" s="15">
        <f t="shared" si="129"/>
        <v>11608</v>
      </c>
      <c r="F599" s="15">
        <f t="shared" si="129"/>
        <v>0</v>
      </c>
      <c r="G599" s="15">
        <f t="shared" si="129"/>
        <v>19900</v>
      </c>
      <c r="H599" s="15">
        <f t="shared" si="129"/>
        <v>0</v>
      </c>
      <c r="I599" s="15"/>
      <c r="J599" s="15"/>
      <c r="K599" s="15">
        <f>SUM(K587:K598)</f>
        <v>421935</v>
      </c>
      <c r="L599" s="15"/>
      <c r="M599" s="15"/>
      <c r="N599" s="15">
        <f t="shared" si="129"/>
        <v>2784</v>
      </c>
    </row>
    <row r="600" spans="1:15" hidden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6"/>
      <c r="L600" s="6"/>
      <c r="M600" s="6"/>
      <c r="N600" s="5"/>
    </row>
    <row r="601" spans="1:15" ht="15" hidden="1" thickBot="1">
      <c r="A601" s="5"/>
      <c r="B601" s="6"/>
      <c r="C601" s="6"/>
      <c r="D601" s="6"/>
      <c r="E601" s="5"/>
      <c r="F601" s="5"/>
      <c r="G601" s="211" t="s">
        <v>47</v>
      </c>
      <c r="H601" s="212"/>
      <c r="I601" s="212"/>
      <c r="J601" s="212"/>
      <c r="K601" s="213"/>
      <c r="L601" s="26"/>
      <c r="M601" s="26"/>
      <c r="N601" s="16">
        <f>K584</f>
        <v>28595</v>
      </c>
    </row>
    <row r="602" spans="1:15" ht="15" hidden="1" thickBot="1">
      <c r="A602" s="5"/>
      <c r="B602" s="5"/>
      <c r="C602" s="5"/>
      <c r="D602" s="5"/>
      <c r="E602" s="5"/>
      <c r="F602" s="5"/>
      <c r="G602" s="211" t="s">
        <v>48</v>
      </c>
      <c r="H602" s="212"/>
      <c r="I602" s="212"/>
      <c r="J602" s="212"/>
      <c r="K602" s="213"/>
      <c r="L602" s="26"/>
      <c r="M602" s="26"/>
      <c r="N602" s="16">
        <f>B599+F599</f>
        <v>8292</v>
      </c>
    </row>
    <row r="603" spans="1:15" ht="15" hidden="1" thickBot="1">
      <c r="A603" s="5"/>
      <c r="B603" s="5"/>
      <c r="C603" s="5"/>
      <c r="D603" s="5"/>
      <c r="E603" s="5"/>
      <c r="F603" s="5"/>
      <c r="G603" s="211" t="s">
        <v>349</v>
      </c>
      <c r="H603" s="212"/>
      <c r="I603" s="212"/>
      <c r="J603" s="212"/>
      <c r="K603" s="213"/>
      <c r="L603" s="26"/>
      <c r="M603" s="26"/>
      <c r="N603" s="16">
        <f>E599</f>
        <v>11608</v>
      </c>
    </row>
    <row r="604" spans="1:15" ht="15" hidden="1" thickBot="1">
      <c r="A604" s="5"/>
      <c r="B604" s="5"/>
      <c r="C604" s="5"/>
      <c r="D604" s="5"/>
      <c r="E604" s="5"/>
      <c r="F604" s="5"/>
      <c r="G604" s="211" t="s">
        <v>49</v>
      </c>
      <c r="H604" s="212"/>
      <c r="I604" s="212"/>
      <c r="J604" s="212"/>
      <c r="K604" s="213"/>
      <c r="L604" s="26"/>
      <c r="M604" s="26"/>
      <c r="N604" s="16">
        <f>SUM(N601:N603)</f>
        <v>48495</v>
      </c>
    </row>
    <row r="605" spans="1:15" ht="15" hidden="1" thickBot="1">
      <c r="A605" s="5"/>
      <c r="B605" s="5"/>
      <c r="C605" s="5"/>
      <c r="D605" s="5"/>
      <c r="E605" s="5"/>
      <c r="F605" s="5"/>
      <c r="G605" s="211" t="s">
        <v>50</v>
      </c>
      <c r="H605" s="212"/>
      <c r="I605" s="212"/>
      <c r="J605" s="212"/>
      <c r="K605" s="213"/>
      <c r="L605" s="26"/>
      <c r="M605" s="26"/>
      <c r="N605" s="16">
        <f>H599</f>
        <v>0</v>
      </c>
    </row>
    <row r="606" spans="1:15" ht="15" hidden="1" thickBot="1">
      <c r="A606" s="5"/>
      <c r="B606" s="5"/>
      <c r="C606" s="5"/>
      <c r="D606" s="5"/>
      <c r="E606" s="5"/>
      <c r="F606" s="5"/>
      <c r="G606" s="211" t="s">
        <v>51</v>
      </c>
      <c r="H606" s="212"/>
      <c r="I606" s="212"/>
      <c r="J606" s="212"/>
      <c r="K606" s="213"/>
      <c r="L606" s="26"/>
      <c r="M606" s="26"/>
      <c r="N606" s="16">
        <f>N599</f>
        <v>2784</v>
      </c>
    </row>
    <row r="607" spans="1:15" ht="15" hidden="1" thickBot="1">
      <c r="A607" s="5"/>
      <c r="B607" s="5"/>
      <c r="C607" s="5"/>
      <c r="D607" s="5"/>
      <c r="E607" s="5"/>
      <c r="F607" s="5"/>
      <c r="G607" s="211" t="s">
        <v>52</v>
      </c>
      <c r="H607" s="212"/>
      <c r="I607" s="212"/>
      <c r="J607" s="212"/>
      <c r="K607" s="213"/>
      <c r="L607" s="26"/>
      <c r="M607" s="26"/>
      <c r="N607" s="16">
        <f>(N604-N605)+N606</f>
        <v>51279</v>
      </c>
    </row>
    <row r="608" spans="1:15" hidden="1">
      <c r="A608" s="5"/>
      <c r="B608" s="5"/>
      <c r="C608" s="5"/>
      <c r="D608" s="5"/>
      <c r="E608" s="5"/>
      <c r="F608" s="5"/>
      <c r="G608" s="17"/>
      <c r="H608" s="17"/>
      <c r="I608" s="17"/>
      <c r="J608" s="17"/>
      <c r="K608" s="17"/>
      <c r="L608" s="17"/>
      <c r="M608" s="17"/>
      <c r="N608" s="6"/>
    </row>
    <row r="609" spans="1:15"/>
    <row r="610" spans="1:15"/>
    <row r="611" spans="1:15" ht="16.8" hidden="1">
      <c r="A611" s="249" t="s">
        <v>53</v>
      </c>
      <c r="B611" s="249"/>
      <c r="C611" s="18"/>
      <c r="D611" s="18"/>
      <c r="E611" s="249" t="s">
        <v>54</v>
      </c>
      <c r="F611" s="249"/>
      <c r="G611" s="249"/>
      <c r="H611" s="250" t="s">
        <v>55</v>
      </c>
      <c r="I611" s="250"/>
      <c r="J611" s="250"/>
      <c r="K611" s="250"/>
      <c r="L611" s="250"/>
      <c r="M611" s="250"/>
      <c r="N611" s="250"/>
    </row>
    <row r="612" spans="1:15" ht="16.8" hidden="1">
      <c r="A612" s="18"/>
      <c r="B612" s="18"/>
      <c r="C612" s="18"/>
      <c r="D612" s="18"/>
      <c r="E612" s="18"/>
      <c r="F612" s="18"/>
      <c r="G612" s="19"/>
      <c r="H612" s="19"/>
      <c r="I612" s="19"/>
      <c r="J612" s="19"/>
    </row>
    <row r="613" spans="1:15" ht="16.8" hidden="1">
      <c r="A613" s="18"/>
      <c r="B613" s="18"/>
      <c r="C613" s="18"/>
      <c r="D613" s="18"/>
      <c r="E613" s="18"/>
      <c r="F613" s="18"/>
      <c r="G613" s="19"/>
      <c r="H613" s="19"/>
      <c r="I613" s="19"/>
      <c r="J613" s="19"/>
    </row>
    <row r="614" spans="1:15" ht="18.600000000000001" hidden="1">
      <c r="A614" s="224" t="s">
        <v>0</v>
      </c>
      <c r="B614" s="224"/>
      <c r="C614" s="224"/>
      <c r="D614" s="224"/>
      <c r="E614" s="224"/>
      <c r="F614" s="224"/>
      <c r="G614" s="224"/>
      <c r="H614" s="224"/>
      <c r="I614" s="224"/>
      <c r="J614" s="224"/>
      <c r="K614" s="224"/>
      <c r="L614" s="224"/>
      <c r="M614" s="224"/>
      <c r="N614" s="224"/>
      <c r="O614" s="224"/>
    </row>
    <row r="615" spans="1:15" ht="18.600000000000001" hidden="1">
      <c r="A615" s="224" t="s">
        <v>1</v>
      </c>
      <c r="B615" s="224"/>
      <c r="C615" s="224"/>
      <c r="D615" s="224"/>
      <c r="E615" s="224"/>
      <c r="F615" s="224"/>
      <c r="G615" s="224"/>
      <c r="H615" s="224"/>
      <c r="I615" s="224"/>
      <c r="J615" s="224"/>
      <c r="K615" s="224"/>
      <c r="L615" s="224"/>
      <c r="M615" s="224"/>
      <c r="N615" s="224"/>
      <c r="O615" s="224"/>
    </row>
    <row r="616" spans="1:15"/>
    <row r="617" spans="1:15" hidden="1">
      <c r="A617" s="258" t="s">
        <v>262</v>
      </c>
      <c r="B617" s="258"/>
      <c r="C617" s="258"/>
      <c r="D617" s="258"/>
      <c r="E617" s="258"/>
      <c r="F617" s="258"/>
      <c r="G617" s="258"/>
      <c r="H617" s="258"/>
      <c r="I617" s="258"/>
      <c r="J617" s="258"/>
      <c r="K617" s="258"/>
      <c r="L617" s="258"/>
      <c r="M617" s="258"/>
      <c r="N617" s="258"/>
    </row>
    <row r="618" spans="1:15" hidden="1">
      <c r="A618" s="3" t="s">
        <v>3</v>
      </c>
      <c r="B618" s="4">
        <f>B580</f>
        <v>837</v>
      </c>
      <c r="C618" s="4"/>
      <c r="D618" s="4"/>
      <c r="E618" s="3" t="s">
        <v>4</v>
      </c>
      <c r="F618" s="215" t="str">
        <f>F580</f>
        <v>Mahajan Ganesh Trambak</v>
      </c>
      <c r="G618" s="215"/>
      <c r="H618" s="215"/>
      <c r="I618" s="215"/>
      <c r="J618" s="215"/>
      <c r="K618" s="215"/>
      <c r="L618" s="215"/>
      <c r="M618" s="215"/>
      <c r="N618" s="215"/>
    </row>
    <row r="619" spans="1:15" hidden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6"/>
      <c r="L619" s="6"/>
      <c r="M619" s="6"/>
      <c r="N619" s="5"/>
    </row>
    <row r="620" spans="1:15" ht="20.399999999999999" hidden="1">
      <c r="A620" s="3" t="s">
        <v>6</v>
      </c>
      <c r="B620" s="4">
        <f>B582</f>
        <v>2331</v>
      </c>
      <c r="C620" s="4"/>
      <c r="D620" s="4"/>
      <c r="E620" s="3" t="s">
        <v>7</v>
      </c>
      <c r="F620" s="268"/>
      <c r="G620" s="269"/>
      <c r="H620" s="3" t="s">
        <v>8</v>
      </c>
      <c r="I620" s="3"/>
      <c r="J620" s="3"/>
      <c r="K620" s="270" t="str">
        <f>K582</f>
        <v>Asst. Jr. Engineer</v>
      </c>
      <c r="L620" s="270"/>
      <c r="M620" s="270"/>
      <c r="N620" s="270"/>
    </row>
    <row r="621" spans="1:15" hidden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6"/>
      <c r="L621" s="6"/>
      <c r="M621" s="6"/>
      <c r="N621" s="5"/>
    </row>
    <row r="622" spans="1:15" hidden="1">
      <c r="A622" s="3" t="s">
        <v>10</v>
      </c>
      <c r="B622" s="7">
        <v>7.0999999999999994E-2</v>
      </c>
      <c r="C622" s="7"/>
      <c r="D622" s="7"/>
      <c r="E622" s="3" t="s">
        <v>11</v>
      </c>
      <c r="F622" s="7">
        <v>0</v>
      </c>
      <c r="G622" s="216" t="s">
        <v>12</v>
      </c>
      <c r="H622" s="217"/>
      <c r="I622" s="29"/>
      <c r="J622" s="29"/>
      <c r="K622" s="266">
        <f>N607</f>
        <v>51279</v>
      </c>
      <c r="L622" s="267"/>
      <c r="M622" s="267"/>
      <c r="N622" s="271"/>
    </row>
    <row r="623" spans="1:15" hidden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6"/>
      <c r="L623" s="6"/>
      <c r="M623" s="6"/>
      <c r="N623" s="5"/>
    </row>
    <row r="624" spans="1:15" ht="30.6" hidden="1">
      <c r="A624" s="9" t="s">
        <v>13</v>
      </c>
      <c r="B624" s="9" t="s">
        <v>14</v>
      </c>
      <c r="C624" s="9"/>
      <c r="D624" s="9"/>
      <c r="E624" s="9" t="s">
        <v>349</v>
      </c>
      <c r="F624" s="9" t="s">
        <v>15</v>
      </c>
      <c r="G624" s="9" t="s">
        <v>16</v>
      </c>
      <c r="H624" s="9" t="s">
        <v>17</v>
      </c>
      <c r="I624" s="9"/>
      <c r="J624" s="9"/>
      <c r="K624" s="10" t="s">
        <v>18</v>
      </c>
      <c r="L624" s="10"/>
      <c r="M624" s="10"/>
      <c r="N624" s="10" t="s">
        <v>19</v>
      </c>
      <c r="O624" s="11" t="s">
        <v>20</v>
      </c>
    </row>
    <row r="625" spans="1:15" hidden="1">
      <c r="A625" s="3" t="s">
        <v>263</v>
      </c>
      <c r="B625" s="13">
        <v>1848</v>
      </c>
      <c r="C625" s="13"/>
      <c r="D625" s="13"/>
      <c r="E625" s="13">
        <f t="shared" ref="E625:E636" si="130">ROUND(B625*10*14%,0)</f>
        <v>2587</v>
      </c>
      <c r="F625" s="13">
        <v>0</v>
      </c>
      <c r="G625" s="13">
        <f t="shared" ref="G625:G636" si="131">(E625+B625)+F625</f>
        <v>4435</v>
      </c>
      <c r="H625" s="13">
        <v>0</v>
      </c>
      <c r="I625" s="13"/>
      <c r="J625" s="13"/>
      <c r="K625" s="13">
        <f>(K622+G625)-H625</f>
        <v>55714</v>
      </c>
      <c r="L625" s="14"/>
      <c r="M625" s="14"/>
      <c r="N625" s="14">
        <f>ROUND((K625*7.1/100)/12,0)</f>
        <v>330</v>
      </c>
      <c r="O625" s="282" t="s">
        <v>264</v>
      </c>
    </row>
    <row r="626" spans="1:15" hidden="1">
      <c r="A626" s="3" t="s">
        <v>265</v>
      </c>
      <c r="B626" s="13">
        <v>1848</v>
      </c>
      <c r="C626" s="13"/>
      <c r="D626" s="13"/>
      <c r="E626" s="13">
        <f t="shared" si="130"/>
        <v>2587</v>
      </c>
      <c r="F626" s="13">
        <v>0</v>
      </c>
      <c r="G626" s="13">
        <f t="shared" si="131"/>
        <v>4435</v>
      </c>
      <c r="H626" s="13">
        <v>0</v>
      </c>
      <c r="I626" s="48"/>
      <c r="J626" s="48"/>
      <c r="K626" s="20">
        <f t="shared" ref="K626:K636" si="132">(K625+G626)-H626</f>
        <v>60149</v>
      </c>
      <c r="L626" s="52"/>
      <c r="M626" s="52"/>
      <c r="N626" s="14">
        <f>ROUND((K626*7.1/100)/12,0)</f>
        <v>356</v>
      </c>
      <c r="O626" s="282"/>
    </row>
    <row r="627" spans="1:15" hidden="1">
      <c r="A627" s="3" t="s">
        <v>266</v>
      </c>
      <c r="B627" s="13">
        <v>1848</v>
      </c>
      <c r="C627" s="13"/>
      <c r="D627" s="13"/>
      <c r="E627" s="13">
        <f t="shared" si="130"/>
        <v>2587</v>
      </c>
      <c r="F627" s="13">
        <v>0</v>
      </c>
      <c r="G627" s="13">
        <f t="shared" si="131"/>
        <v>4435</v>
      </c>
      <c r="H627" s="13">
        <v>0</v>
      </c>
      <c r="I627" s="48"/>
      <c r="J627" s="48"/>
      <c r="K627" s="20">
        <f t="shared" si="132"/>
        <v>64584</v>
      </c>
      <c r="L627" s="52"/>
      <c r="M627" s="52"/>
      <c r="N627" s="14">
        <f>ROUND((K627*7.1/100)/12,0)</f>
        <v>382</v>
      </c>
      <c r="O627" s="282"/>
    </row>
    <row r="628" spans="1:15" hidden="1">
      <c r="A628" s="3" t="s">
        <v>267</v>
      </c>
      <c r="B628" s="13">
        <v>1903</v>
      </c>
      <c r="C628" s="13"/>
      <c r="D628" s="13"/>
      <c r="E628" s="13">
        <f t="shared" si="130"/>
        <v>2664</v>
      </c>
      <c r="F628" s="13">
        <v>0</v>
      </c>
      <c r="G628" s="13">
        <f t="shared" si="131"/>
        <v>4567</v>
      </c>
      <c r="H628" s="13">
        <v>0</v>
      </c>
      <c r="I628" s="48"/>
      <c r="J628" s="48"/>
      <c r="K628" s="20">
        <f t="shared" si="132"/>
        <v>69151</v>
      </c>
      <c r="L628" s="52"/>
      <c r="M628" s="52"/>
      <c r="N628" s="14">
        <f t="shared" ref="N628:N636" si="133">ROUND((K628*7.1/100)/12,0)</f>
        <v>409</v>
      </c>
      <c r="O628" s="282" t="s">
        <v>264</v>
      </c>
    </row>
    <row r="629" spans="1:15" hidden="1">
      <c r="A629" s="3" t="s">
        <v>268</v>
      </c>
      <c r="B629" s="13">
        <v>1903</v>
      </c>
      <c r="C629" s="13"/>
      <c r="D629" s="13"/>
      <c r="E629" s="13">
        <f t="shared" si="130"/>
        <v>2664</v>
      </c>
      <c r="F629" s="13">
        <v>0</v>
      </c>
      <c r="G629" s="13">
        <f t="shared" si="131"/>
        <v>4567</v>
      </c>
      <c r="H629" s="13">
        <v>0</v>
      </c>
      <c r="I629" s="48"/>
      <c r="J629" s="48"/>
      <c r="K629" s="20">
        <f t="shared" si="132"/>
        <v>73718</v>
      </c>
      <c r="L629" s="52"/>
      <c r="M629" s="52"/>
      <c r="N629" s="14">
        <f t="shared" si="133"/>
        <v>436</v>
      </c>
      <c r="O629" s="282"/>
    </row>
    <row r="630" spans="1:15" hidden="1">
      <c r="A630" s="3" t="s">
        <v>269</v>
      </c>
      <c r="B630" s="13">
        <v>1903</v>
      </c>
      <c r="C630" s="13"/>
      <c r="D630" s="13"/>
      <c r="E630" s="13">
        <f t="shared" si="130"/>
        <v>2664</v>
      </c>
      <c r="F630" s="13">
        <v>0</v>
      </c>
      <c r="G630" s="13">
        <f t="shared" si="131"/>
        <v>4567</v>
      </c>
      <c r="H630" s="13">
        <v>0</v>
      </c>
      <c r="I630" s="48"/>
      <c r="J630" s="48"/>
      <c r="K630" s="20">
        <f t="shared" si="132"/>
        <v>78285</v>
      </c>
      <c r="L630" s="52"/>
      <c r="M630" s="52"/>
      <c r="N630" s="14">
        <f t="shared" si="133"/>
        <v>463</v>
      </c>
      <c r="O630" s="282"/>
    </row>
    <row r="631" spans="1:15" hidden="1">
      <c r="A631" s="3" t="s">
        <v>270</v>
      </c>
      <c r="B631" s="13">
        <v>1903</v>
      </c>
      <c r="C631" s="13"/>
      <c r="D631" s="13"/>
      <c r="E631" s="13">
        <f t="shared" si="130"/>
        <v>2664</v>
      </c>
      <c r="F631" s="13">
        <v>0</v>
      </c>
      <c r="G631" s="13">
        <f t="shared" si="131"/>
        <v>4567</v>
      </c>
      <c r="H631" s="13">
        <v>0</v>
      </c>
      <c r="I631" s="48"/>
      <c r="J631" s="48"/>
      <c r="K631" s="20">
        <f t="shared" si="132"/>
        <v>82852</v>
      </c>
      <c r="L631" s="52"/>
      <c r="M631" s="52"/>
      <c r="N631" s="14">
        <f t="shared" si="133"/>
        <v>490</v>
      </c>
      <c r="O631" s="282" t="s">
        <v>264</v>
      </c>
    </row>
    <row r="632" spans="1:15" hidden="1">
      <c r="A632" s="3" t="s">
        <v>271</v>
      </c>
      <c r="B632" s="13">
        <v>1903</v>
      </c>
      <c r="C632" s="13"/>
      <c r="D632" s="13"/>
      <c r="E632" s="13">
        <f t="shared" si="130"/>
        <v>2664</v>
      </c>
      <c r="F632" s="13">
        <v>0</v>
      </c>
      <c r="G632" s="13">
        <f t="shared" si="131"/>
        <v>4567</v>
      </c>
      <c r="H632" s="13">
        <v>0</v>
      </c>
      <c r="I632" s="48"/>
      <c r="J632" s="48"/>
      <c r="K632" s="20">
        <f t="shared" si="132"/>
        <v>87419</v>
      </c>
      <c r="L632" s="52"/>
      <c r="M632" s="52"/>
      <c r="N632" s="14">
        <f t="shared" si="133"/>
        <v>517</v>
      </c>
      <c r="O632" s="282"/>
    </row>
    <row r="633" spans="1:15" hidden="1">
      <c r="A633" s="3" t="s">
        <v>272</v>
      </c>
      <c r="B633" s="13">
        <v>1903</v>
      </c>
      <c r="C633" s="13"/>
      <c r="D633" s="13"/>
      <c r="E633" s="13">
        <f t="shared" si="130"/>
        <v>2664</v>
      </c>
      <c r="F633" s="13">
        <v>0</v>
      </c>
      <c r="G633" s="13">
        <f t="shared" si="131"/>
        <v>4567</v>
      </c>
      <c r="H633" s="13">
        <v>0</v>
      </c>
      <c r="I633" s="48"/>
      <c r="J633" s="48"/>
      <c r="K633" s="20">
        <f t="shared" si="132"/>
        <v>91986</v>
      </c>
      <c r="L633" s="52"/>
      <c r="M633" s="52"/>
      <c r="N633" s="14">
        <f t="shared" si="133"/>
        <v>544</v>
      </c>
      <c r="O633" s="282"/>
    </row>
    <row r="634" spans="1:15" hidden="1">
      <c r="A634" s="3" t="s">
        <v>273</v>
      </c>
      <c r="B634" s="13">
        <v>1903</v>
      </c>
      <c r="C634" s="13"/>
      <c r="D634" s="13"/>
      <c r="E634" s="13">
        <f t="shared" si="130"/>
        <v>2664</v>
      </c>
      <c r="F634" s="13">
        <v>0</v>
      </c>
      <c r="G634" s="13">
        <f t="shared" si="131"/>
        <v>4567</v>
      </c>
      <c r="H634" s="13">
        <v>0</v>
      </c>
      <c r="I634" s="48"/>
      <c r="J634" s="48"/>
      <c r="K634" s="20">
        <f t="shared" si="132"/>
        <v>96553</v>
      </c>
      <c r="L634" s="52"/>
      <c r="M634" s="52"/>
      <c r="N634" s="14">
        <f t="shared" si="133"/>
        <v>571</v>
      </c>
      <c r="O634" s="282"/>
    </row>
    <row r="635" spans="1:15" hidden="1">
      <c r="A635" s="3" t="s">
        <v>274</v>
      </c>
      <c r="B635" s="13">
        <v>1903</v>
      </c>
      <c r="C635" s="13"/>
      <c r="D635" s="13"/>
      <c r="E635" s="13">
        <f t="shared" si="130"/>
        <v>2664</v>
      </c>
      <c r="F635" s="13">
        <v>0</v>
      </c>
      <c r="G635" s="13">
        <f t="shared" si="131"/>
        <v>4567</v>
      </c>
      <c r="H635" s="13">
        <v>0</v>
      </c>
      <c r="I635" s="48"/>
      <c r="J635" s="48"/>
      <c r="K635" s="20">
        <f t="shared" si="132"/>
        <v>101120</v>
      </c>
      <c r="L635" s="52"/>
      <c r="M635" s="52"/>
      <c r="N635" s="14">
        <f t="shared" si="133"/>
        <v>598</v>
      </c>
      <c r="O635" s="282"/>
    </row>
    <row r="636" spans="1:15" hidden="1">
      <c r="A636" s="3" t="s">
        <v>275</v>
      </c>
      <c r="B636" s="13">
        <v>1903</v>
      </c>
      <c r="C636" s="13"/>
      <c r="D636" s="13"/>
      <c r="E636" s="13">
        <f t="shared" si="130"/>
        <v>2664</v>
      </c>
      <c r="F636" s="13">
        <v>0</v>
      </c>
      <c r="G636" s="13">
        <f t="shared" si="131"/>
        <v>4567</v>
      </c>
      <c r="H636" s="13">
        <v>0</v>
      </c>
      <c r="I636" s="48"/>
      <c r="J636" s="48"/>
      <c r="K636" s="20">
        <f t="shared" si="132"/>
        <v>105687</v>
      </c>
      <c r="L636" s="52"/>
      <c r="M636" s="52"/>
      <c r="N636" s="14">
        <f t="shared" si="133"/>
        <v>625</v>
      </c>
      <c r="O636" s="282"/>
    </row>
    <row r="637" spans="1:15" hidden="1">
      <c r="A637" s="3" t="s">
        <v>276</v>
      </c>
      <c r="B637" s="15">
        <f t="shared" ref="B637:N637" si="134">SUM(B625:B636)</f>
        <v>22671</v>
      </c>
      <c r="C637" s="15"/>
      <c r="D637" s="15"/>
      <c r="E637" s="15">
        <f t="shared" si="134"/>
        <v>31737</v>
      </c>
      <c r="F637" s="15">
        <f t="shared" si="134"/>
        <v>0</v>
      </c>
      <c r="G637" s="15">
        <f t="shared" si="134"/>
        <v>54408</v>
      </c>
      <c r="H637" s="15">
        <f t="shared" si="134"/>
        <v>0</v>
      </c>
      <c r="I637" s="15"/>
      <c r="J637" s="15"/>
      <c r="K637" s="15">
        <f>SUM(K625:K636)</f>
        <v>967218</v>
      </c>
      <c r="L637" s="15"/>
      <c r="M637" s="15"/>
      <c r="N637" s="15">
        <f t="shared" si="134"/>
        <v>5721</v>
      </c>
    </row>
    <row r="638" spans="1:15" hidden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6"/>
      <c r="L638" s="6"/>
      <c r="M638" s="6"/>
      <c r="N638" s="5"/>
    </row>
    <row r="639" spans="1:15" ht="15" hidden="1" thickBot="1">
      <c r="A639" s="5"/>
      <c r="B639" s="6"/>
      <c r="C639" s="6"/>
      <c r="D639" s="6"/>
      <c r="E639" s="5"/>
      <c r="F639" s="5"/>
      <c r="G639" s="211" t="s">
        <v>47</v>
      </c>
      <c r="H639" s="212"/>
      <c r="I639" s="212"/>
      <c r="J639" s="212"/>
      <c r="K639" s="213"/>
      <c r="L639" s="26"/>
      <c r="M639" s="26"/>
      <c r="N639" s="16">
        <f>N607</f>
        <v>51279</v>
      </c>
    </row>
    <row r="640" spans="1:15" ht="15" hidden="1" thickBot="1">
      <c r="A640" s="5"/>
      <c r="B640" s="5"/>
      <c r="C640" s="5"/>
      <c r="D640" s="5"/>
      <c r="E640" s="5"/>
      <c r="F640" s="5"/>
      <c r="G640" s="211" t="s">
        <v>48</v>
      </c>
      <c r="H640" s="212"/>
      <c r="I640" s="212"/>
      <c r="J640" s="212"/>
      <c r="K640" s="213"/>
      <c r="L640" s="26"/>
      <c r="M640" s="26"/>
      <c r="N640" s="16">
        <f>B637+F637</f>
        <v>22671</v>
      </c>
    </row>
    <row r="641" spans="1:15" ht="15" hidden="1" thickBot="1">
      <c r="A641" s="5"/>
      <c r="B641" s="5"/>
      <c r="C641" s="5"/>
      <c r="D641" s="5"/>
      <c r="E641" s="5"/>
      <c r="F641" s="5"/>
      <c r="G641" s="211" t="s">
        <v>349</v>
      </c>
      <c r="H641" s="212"/>
      <c r="I641" s="212"/>
      <c r="J641" s="212"/>
      <c r="K641" s="213"/>
      <c r="L641" s="26"/>
      <c r="M641" s="26"/>
      <c r="N641" s="16">
        <f>E637</f>
        <v>31737</v>
      </c>
    </row>
    <row r="642" spans="1:15" ht="15" hidden="1" thickBot="1">
      <c r="A642" s="5"/>
      <c r="B642" s="5"/>
      <c r="C642" s="5"/>
      <c r="D642" s="5"/>
      <c r="E642" s="5"/>
      <c r="F642" s="5"/>
      <c r="G642" s="211" t="s">
        <v>49</v>
      </c>
      <c r="H642" s="212"/>
      <c r="I642" s="212"/>
      <c r="J642" s="212"/>
      <c r="K642" s="213"/>
      <c r="L642" s="26"/>
      <c r="M642" s="26"/>
      <c r="N642" s="16">
        <f>SUM(N639:N641)</f>
        <v>105687</v>
      </c>
    </row>
    <row r="643" spans="1:15" ht="15" hidden="1" thickBot="1">
      <c r="A643" s="5"/>
      <c r="B643" s="5"/>
      <c r="C643" s="5"/>
      <c r="D643" s="5"/>
      <c r="E643" s="5"/>
      <c r="F643" s="5"/>
      <c r="G643" s="211" t="s">
        <v>50</v>
      </c>
      <c r="H643" s="212"/>
      <c r="I643" s="212"/>
      <c r="J643" s="212"/>
      <c r="K643" s="213"/>
      <c r="L643" s="26"/>
      <c r="M643" s="26"/>
      <c r="N643" s="16">
        <f>H637</f>
        <v>0</v>
      </c>
    </row>
    <row r="644" spans="1:15" ht="15" hidden="1" thickBot="1">
      <c r="A644" s="5"/>
      <c r="B644" s="5"/>
      <c r="C644" s="5"/>
      <c r="D644" s="5"/>
      <c r="E644" s="5"/>
      <c r="F644" s="5"/>
      <c r="G644" s="211" t="s">
        <v>51</v>
      </c>
      <c r="H644" s="212"/>
      <c r="I644" s="212"/>
      <c r="J644" s="212"/>
      <c r="K644" s="213"/>
      <c r="L644" s="26"/>
      <c r="M644" s="26"/>
      <c r="N644" s="16">
        <f>N637</f>
        <v>5721</v>
      </c>
    </row>
    <row r="645" spans="1:15" ht="15" hidden="1" thickBot="1">
      <c r="A645" s="5"/>
      <c r="B645" s="5"/>
      <c r="C645" s="5"/>
      <c r="D645" s="5"/>
      <c r="E645" s="5"/>
      <c r="F645" s="5"/>
      <c r="G645" s="211" t="s">
        <v>52</v>
      </c>
      <c r="H645" s="212"/>
      <c r="I645" s="212"/>
      <c r="J645" s="212"/>
      <c r="K645" s="213"/>
      <c r="L645" s="26"/>
      <c r="M645" s="26"/>
      <c r="N645" s="16">
        <f>(N642-N643)+N644</f>
        <v>111408</v>
      </c>
    </row>
    <row r="646" spans="1:15" hidden="1">
      <c r="A646" s="5"/>
      <c r="B646" s="5"/>
      <c r="C646" s="5"/>
      <c r="D646" s="5"/>
      <c r="E646" s="5"/>
      <c r="F646" s="5"/>
      <c r="G646" s="17"/>
      <c r="H646" s="17"/>
      <c r="I646" s="17"/>
      <c r="J646" s="17"/>
      <c r="K646" s="17"/>
      <c r="L646" s="17"/>
      <c r="M646" s="17"/>
      <c r="N646" s="6"/>
    </row>
    <row r="647" spans="1:15"/>
    <row r="648" spans="1:15"/>
    <row r="649" spans="1:15" ht="16.8" hidden="1">
      <c r="A649" s="249" t="s">
        <v>53</v>
      </c>
      <c r="B649" s="249"/>
      <c r="C649" s="18"/>
      <c r="D649" s="18"/>
      <c r="E649" s="249" t="s">
        <v>54</v>
      </c>
      <c r="F649" s="249"/>
      <c r="G649" s="249"/>
      <c r="H649" s="250" t="s">
        <v>55</v>
      </c>
      <c r="I649" s="250"/>
      <c r="J649" s="250"/>
      <c r="K649" s="250"/>
      <c r="L649" s="250"/>
      <c r="M649" s="250"/>
      <c r="N649" s="250"/>
    </row>
    <row r="650" spans="1:15" ht="16.8" hidden="1">
      <c r="A650" s="18"/>
      <c r="B650" s="18"/>
      <c r="C650" s="18"/>
      <c r="D650" s="18"/>
      <c r="E650" s="18"/>
      <c r="F650" s="18"/>
      <c r="G650" s="19"/>
      <c r="H650" s="19"/>
      <c r="I650" s="19"/>
      <c r="J650" s="19"/>
    </row>
    <row r="651" spans="1:15" ht="16.8" hidden="1">
      <c r="A651" s="18"/>
      <c r="B651" s="18"/>
      <c r="C651" s="18"/>
      <c r="D651" s="18"/>
      <c r="E651" s="18"/>
      <c r="F651" s="18"/>
      <c r="G651" s="19"/>
      <c r="H651" s="19"/>
      <c r="I651" s="19"/>
      <c r="J651" s="19"/>
    </row>
    <row r="652" spans="1:15" ht="18.600000000000001" hidden="1">
      <c r="A652" s="224" t="s">
        <v>0</v>
      </c>
      <c r="B652" s="224"/>
      <c r="C652" s="224"/>
      <c r="D652" s="224"/>
      <c r="E652" s="224"/>
      <c r="F652" s="224"/>
      <c r="G652" s="224"/>
      <c r="H652" s="224"/>
      <c r="I652" s="224"/>
      <c r="J652" s="224"/>
      <c r="K652" s="224"/>
      <c r="L652" s="224"/>
      <c r="M652" s="224"/>
      <c r="N652" s="224"/>
      <c r="O652" s="224"/>
    </row>
    <row r="653" spans="1:15" ht="18.600000000000001" hidden="1">
      <c r="A653" s="224" t="s">
        <v>1</v>
      </c>
      <c r="B653" s="224"/>
      <c r="C653" s="224"/>
      <c r="D653" s="224"/>
      <c r="E653" s="224"/>
      <c r="F653" s="224"/>
      <c r="G653" s="224"/>
      <c r="H653" s="224"/>
      <c r="I653" s="224"/>
      <c r="J653" s="224"/>
      <c r="K653" s="224"/>
      <c r="L653" s="224"/>
      <c r="M653" s="224"/>
      <c r="N653" s="224"/>
      <c r="O653" s="224"/>
    </row>
    <row r="654" spans="1:15"/>
    <row r="655" spans="1:15" hidden="1">
      <c r="A655" s="258" t="s">
        <v>277</v>
      </c>
      <c r="B655" s="258"/>
      <c r="C655" s="258"/>
      <c r="D655" s="258"/>
      <c r="E655" s="258"/>
      <c r="F655" s="258"/>
      <c r="G655" s="258"/>
      <c r="H655" s="258"/>
      <c r="I655" s="258"/>
      <c r="J655" s="258"/>
      <c r="K655" s="258"/>
      <c r="L655" s="258"/>
      <c r="M655" s="258"/>
      <c r="N655" s="258"/>
    </row>
    <row r="656" spans="1:15" hidden="1">
      <c r="A656" s="3" t="s">
        <v>3</v>
      </c>
      <c r="B656" s="4">
        <f>B618</f>
        <v>837</v>
      </c>
      <c r="C656" s="4"/>
      <c r="D656" s="4"/>
      <c r="E656" s="3" t="s">
        <v>4</v>
      </c>
      <c r="F656" s="215" t="str">
        <f>F618</f>
        <v>Mahajan Ganesh Trambak</v>
      </c>
      <c r="G656" s="215"/>
      <c r="H656" s="215"/>
      <c r="I656" s="215"/>
      <c r="J656" s="215"/>
      <c r="K656" s="215"/>
      <c r="L656" s="215"/>
      <c r="M656" s="215"/>
      <c r="N656" s="215"/>
    </row>
    <row r="657" spans="1:15" hidden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6"/>
      <c r="L657" s="6"/>
      <c r="M657" s="6"/>
      <c r="N657" s="5"/>
    </row>
    <row r="658" spans="1:15" ht="20.399999999999999" hidden="1">
      <c r="A658" s="3" t="s">
        <v>6</v>
      </c>
      <c r="B658" s="4">
        <f>B620</f>
        <v>2331</v>
      </c>
      <c r="C658" s="4"/>
      <c r="D658" s="4"/>
      <c r="E658" s="3" t="s">
        <v>7</v>
      </c>
      <c r="F658" s="268"/>
      <c r="G658" s="269"/>
      <c r="H658" s="3" t="s">
        <v>8</v>
      </c>
      <c r="I658" s="3"/>
      <c r="J658" s="3"/>
      <c r="K658" s="270" t="str">
        <f>K620</f>
        <v>Asst. Jr. Engineer</v>
      </c>
      <c r="L658" s="270"/>
      <c r="M658" s="270"/>
      <c r="N658" s="270"/>
    </row>
    <row r="659" spans="1:15" hidden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6"/>
      <c r="L659" s="6"/>
      <c r="M659" s="6"/>
      <c r="N659" s="5"/>
    </row>
    <row r="660" spans="1:15" hidden="1">
      <c r="A660" s="3" t="s">
        <v>10</v>
      </c>
      <c r="B660" s="7">
        <v>7.0999999999999994E-2</v>
      </c>
      <c r="C660" s="7"/>
      <c r="D660" s="7"/>
      <c r="E660" s="3" t="s">
        <v>11</v>
      </c>
      <c r="F660" s="7">
        <v>0</v>
      </c>
      <c r="G660" s="216" t="s">
        <v>12</v>
      </c>
      <c r="H660" s="217"/>
      <c r="I660" s="29"/>
      <c r="J660" s="29"/>
      <c r="K660" s="266">
        <f>N645</f>
        <v>111408</v>
      </c>
      <c r="L660" s="267"/>
      <c r="M660" s="267"/>
      <c r="N660" s="271"/>
    </row>
    <row r="661" spans="1:15" hidden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6"/>
      <c r="L661" s="6"/>
      <c r="M661" s="6"/>
      <c r="N661" s="5"/>
    </row>
    <row r="662" spans="1:15" ht="30.6" hidden="1">
      <c r="A662" s="9" t="s">
        <v>13</v>
      </c>
      <c r="B662" s="9" t="s">
        <v>14</v>
      </c>
      <c r="C662" s="9"/>
      <c r="D662" s="9"/>
      <c r="E662" s="9" t="s">
        <v>349</v>
      </c>
      <c r="F662" s="9" t="s">
        <v>15</v>
      </c>
      <c r="G662" s="9" t="s">
        <v>16</v>
      </c>
      <c r="H662" s="9" t="s">
        <v>17</v>
      </c>
      <c r="I662" s="9"/>
      <c r="J662" s="9"/>
      <c r="K662" s="10" t="s">
        <v>18</v>
      </c>
      <c r="L662" s="10"/>
      <c r="M662" s="10"/>
      <c r="N662" s="10" t="s">
        <v>19</v>
      </c>
      <c r="O662" s="11" t="s">
        <v>20</v>
      </c>
    </row>
    <row r="663" spans="1:15" hidden="1">
      <c r="A663" s="3" t="s">
        <v>278</v>
      </c>
      <c r="B663" s="13">
        <v>1903</v>
      </c>
      <c r="C663" s="13"/>
      <c r="D663" s="13"/>
      <c r="E663" s="13">
        <f t="shared" ref="E663:E674" si="135">ROUND(B663*10*14%,0)</f>
        <v>2664</v>
      </c>
      <c r="F663" s="13">
        <v>0</v>
      </c>
      <c r="G663" s="13">
        <f>E663+B663+F663</f>
        <v>4567</v>
      </c>
      <c r="H663" s="13">
        <v>0</v>
      </c>
      <c r="I663" s="48"/>
      <c r="J663" s="48"/>
      <c r="K663" s="20">
        <f>(K660+G663)-H663</f>
        <v>115975</v>
      </c>
      <c r="L663" s="52"/>
      <c r="M663" s="52"/>
      <c r="N663" s="14">
        <f t="shared" ref="N663:N674" si="136">ROUND((K663*7.1/100)/12,0)</f>
        <v>686</v>
      </c>
      <c r="O663" s="282" t="s">
        <v>264</v>
      </c>
    </row>
    <row r="664" spans="1:15" hidden="1">
      <c r="A664" s="3" t="s">
        <v>279</v>
      </c>
      <c r="B664" s="13">
        <v>1872</v>
      </c>
      <c r="C664" s="13"/>
      <c r="D664" s="13"/>
      <c r="E664" s="13">
        <f t="shared" si="135"/>
        <v>2621</v>
      </c>
      <c r="F664" s="13">
        <v>0</v>
      </c>
      <c r="G664" s="13">
        <f>E664+B664+F664</f>
        <v>4493</v>
      </c>
      <c r="H664" s="13">
        <v>0</v>
      </c>
      <c r="I664" s="48"/>
      <c r="J664" s="48"/>
      <c r="K664" s="20">
        <f t="shared" ref="K664:K674" si="137">(K663+G664)-H664</f>
        <v>120468</v>
      </c>
      <c r="L664" s="52"/>
      <c r="M664" s="52"/>
      <c r="N664" s="14">
        <f t="shared" si="136"/>
        <v>713</v>
      </c>
      <c r="O664" s="282"/>
    </row>
    <row r="665" spans="1:15" hidden="1">
      <c r="A665" s="3" t="s">
        <v>280</v>
      </c>
      <c r="B665" s="13">
        <v>1872</v>
      </c>
      <c r="C665" s="13"/>
      <c r="D665" s="13"/>
      <c r="E665" s="13">
        <f t="shared" si="135"/>
        <v>2621</v>
      </c>
      <c r="F665" s="13">
        <v>0</v>
      </c>
      <c r="G665" s="13">
        <f>E665+B665+F665</f>
        <v>4493</v>
      </c>
      <c r="H665" s="13">
        <v>0</v>
      </c>
      <c r="I665" s="48"/>
      <c r="J665" s="48"/>
      <c r="K665" s="20">
        <f t="shared" si="137"/>
        <v>124961</v>
      </c>
      <c r="L665" s="52"/>
      <c r="M665" s="52"/>
      <c r="N665" s="14">
        <f t="shared" si="136"/>
        <v>739</v>
      </c>
      <c r="O665" s="282"/>
    </row>
    <row r="666" spans="1:15" hidden="1">
      <c r="A666" s="3" t="s">
        <v>281</v>
      </c>
      <c r="B666" s="13">
        <v>1931</v>
      </c>
      <c r="C666" s="13"/>
      <c r="D666" s="13"/>
      <c r="E666" s="13">
        <f t="shared" si="135"/>
        <v>2703</v>
      </c>
      <c r="F666" s="13">
        <v>0</v>
      </c>
      <c r="G666" s="13">
        <f t="shared" ref="G666:G674" si="138">E666+B666</f>
        <v>4634</v>
      </c>
      <c r="H666" s="13">
        <v>0</v>
      </c>
      <c r="I666" s="48"/>
      <c r="J666" s="48"/>
      <c r="K666" s="20">
        <f t="shared" si="137"/>
        <v>129595</v>
      </c>
      <c r="L666" s="52"/>
      <c r="M666" s="52"/>
      <c r="N666" s="14">
        <f t="shared" si="136"/>
        <v>767</v>
      </c>
      <c r="O666" s="282"/>
    </row>
    <row r="667" spans="1:15" hidden="1">
      <c r="A667" s="3" t="s">
        <v>282</v>
      </c>
      <c r="B667" s="13">
        <v>1931</v>
      </c>
      <c r="C667" s="13"/>
      <c r="D667" s="13"/>
      <c r="E667" s="13">
        <f t="shared" si="135"/>
        <v>2703</v>
      </c>
      <c r="F667" s="13">
        <v>0</v>
      </c>
      <c r="G667" s="13">
        <f t="shared" si="138"/>
        <v>4634</v>
      </c>
      <c r="H667" s="13">
        <v>0</v>
      </c>
      <c r="I667" s="48"/>
      <c r="J667" s="48"/>
      <c r="K667" s="20">
        <f t="shared" si="137"/>
        <v>134229</v>
      </c>
      <c r="L667" s="52"/>
      <c r="M667" s="52"/>
      <c r="N667" s="14">
        <f t="shared" si="136"/>
        <v>794</v>
      </c>
      <c r="O667" s="282"/>
    </row>
    <row r="668" spans="1:15" hidden="1">
      <c r="A668" s="3" t="s">
        <v>283</v>
      </c>
      <c r="B668" s="13">
        <v>1931</v>
      </c>
      <c r="C668" s="13"/>
      <c r="D668" s="13"/>
      <c r="E668" s="13">
        <f t="shared" si="135"/>
        <v>2703</v>
      </c>
      <c r="F668" s="13">
        <v>0</v>
      </c>
      <c r="G668" s="13">
        <f t="shared" si="138"/>
        <v>4634</v>
      </c>
      <c r="H668" s="13">
        <v>0</v>
      </c>
      <c r="I668" s="48"/>
      <c r="J668" s="48"/>
      <c r="K668" s="20">
        <f t="shared" si="137"/>
        <v>138863</v>
      </c>
      <c r="L668" s="52"/>
      <c r="M668" s="52"/>
      <c r="N668" s="14">
        <f t="shared" si="136"/>
        <v>822</v>
      </c>
      <c r="O668" s="282"/>
    </row>
    <row r="669" spans="1:15" hidden="1">
      <c r="A669" s="3" t="s">
        <v>284</v>
      </c>
      <c r="B669" s="13">
        <v>2112</v>
      </c>
      <c r="C669" s="13"/>
      <c r="D669" s="13"/>
      <c r="E669" s="13">
        <f t="shared" si="135"/>
        <v>2957</v>
      </c>
      <c r="F669" s="13">
        <v>0</v>
      </c>
      <c r="G669" s="13">
        <f t="shared" si="138"/>
        <v>5069</v>
      </c>
      <c r="H669" s="13">
        <v>0</v>
      </c>
      <c r="I669" s="48"/>
      <c r="J669" s="48"/>
      <c r="K669" s="20">
        <f t="shared" si="137"/>
        <v>143932</v>
      </c>
      <c r="L669" s="52"/>
      <c r="M669" s="52"/>
      <c r="N669" s="14">
        <f t="shared" si="136"/>
        <v>852</v>
      </c>
      <c r="O669" s="282"/>
    </row>
    <row r="670" spans="1:15" hidden="1">
      <c r="A670" s="3" t="s">
        <v>285</v>
      </c>
      <c r="B670" s="13">
        <v>2112</v>
      </c>
      <c r="C670" s="13"/>
      <c r="D670" s="13"/>
      <c r="E670" s="13">
        <f t="shared" si="135"/>
        <v>2957</v>
      </c>
      <c r="F670" s="13">
        <v>0</v>
      </c>
      <c r="G670" s="13">
        <f t="shared" si="138"/>
        <v>5069</v>
      </c>
      <c r="H670" s="13">
        <v>0</v>
      </c>
      <c r="I670" s="48"/>
      <c r="J670" s="48"/>
      <c r="K670" s="20">
        <f t="shared" si="137"/>
        <v>149001</v>
      </c>
      <c r="L670" s="52"/>
      <c r="M670" s="52"/>
      <c r="N670" s="14">
        <f t="shared" si="136"/>
        <v>882</v>
      </c>
      <c r="O670" s="282"/>
    </row>
    <row r="671" spans="1:15" hidden="1">
      <c r="A671" s="3" t="s">
        <v>286</v>
      </c>
      <c r="B671" s="13">
        <v>2112</v>
      </c>
      <c r="C671" s="13"/>
      <c r="D671" s="13"/>
      <c r="E671" s="13">
        <f t="shared" si="135"/>
        <v>2957</v>
      </c>
      <c r="F671" s="13">
        <v>0</v>
      </c>
      <c r="G671" s="13">
        <f t="shared" si="138"/>
        <v>5069</v>
      </c>
      <c r="H671" s="13">
        <v>0</v>
      </c>
      <c r="I671" s="48"/>
      <c r="J671" s="48"/>
      <c r="K671" s="20">
        <f t="shared" si="137"/>
        <v>154070</v>
      </c>
      <c r="L671" s="52"/>
      <c r="M671" s="52"/>
      <c r="N671" s="14">
        <f t="shared" si="136"/>
        <v>912</v>
      </c>
      <c r="O671" s="282"/>
    </row>
    <row r="672" spans="1:15" hidden="1">
      <c r="A672" s="3" t="s">
        <v>287</v>
      </c>
      <c r="B672" s="13">
        <v>2112</v>
      </c>
      <c r="C672" s="13"/>
      <c r="D672" s="13"/>
      <c r="E672" s="13">
        <f t="shared" si="135"/>
        <v>2957</v>
      </c>
      <c r="F672" s="13">
        <v>0</v>
      </c>
      <c r="G672" s="13">
        <f t="shared" si="138"/>
        <v>5069</v>
      </c>
      <c r="H672" s="13">
        <v>0</v>
      </c>
      <c r="I672" s="48"/>
      <c r="J672" s="48"/>
      <c r="K672" s="20">
        <f t="shared" si="137"/>
        <v>159139</v>
      </c>
      <c r="L672" s="52"/>
      <c r="M672" s="52"/>
      <c r="N672" s="14">
        <f t="shared" si="136"/>
        <v>942</v>
      </c>
      <c r="O672" s="282"/>
    </row>
    <row r="673" spans="1:15" hidden="1">
      <c r="A673" s="3" t="s">
        <v>288</v>
      </c>
      <c r="B673" s="13">
        <v>2112</v>
      </c>
      <c r="C673" s="13"/>
      <c r="D673" s="13"/>
      <c r="E673" s="13">
        <f t="shared" si="135"/>
        <v>2957</v>
      </c>
      <c r="F673" s="13">
        <v>0</v>
      </c>
      <c r="G673" s="13">
        <f t="shared" si="138"/>
        <v>5069</v>
      </c>
      <c r="H673" s="13">
        <v>0</v>
      </c>
      <c r="I673" s="48"/>
      <c r="J673" s="48"/>
      <c r="K673" s="20">
        <f t="shared" si="137"/>
        <v>164208</v>
      </c>
      <c r="L673" s="52"/>
      <c r="M673" s="52"/>
      <c r="N673" s="14">
        <f t="shared" si="136"/>
        <v>972</v>
      </c>
      <c r="O673" s="282"/>
    </row>
    <row r="674" spans="1:15" hidden="1">
      <c r="A674" s="3" t="s">
        <v>289</v>
      </c>
      <c r="B674" s="13">
        <v>3102</v>
      </c>
      <c r="C674" s="13"/>
      <c r="D674" s="13"/>
      <c r="E674" s="13">
        <f t="shared" si="135"/>
        <v>4343</v>
      </c>
      <c r="F674" s="13">
        <v>0</v>
      </c>
      <c r="G674" s="13">
        <f t="shared" si="138"/>
        <v>7445</v>
      </c>
      <c r="H674" s="13">
        <v>0</v>
      </c>
      <c r="I674" s="48"/>
      <c r="J674" s="48"/>
      <c r="K674" s="20">
        <f t="shared" si="137"/>
        <v>171653</v>
      </c>
      <c r="L674" s="52"/>
      <c r="M674" s="52"/>
      <c r="N674" s="14">
        <f t="shared" si="136"/>
        <v>1016</v>
      </c>
      <c r="O674" s="282"/>
    </row>
    <row r="675" spans="1:15" hidden="1">
      <c r="A675" s="3" t="s">
        <v>290</v>
      </c>
      <c r="B675" s="15">
        <f t="shared" ref="B675:N675" si="139">SUM(B663:B674)</f>
        <v>25102</v>
      </c>
      <c r="C675" s="15"/>
      <c r="D675" s="15"/>
      <c r="E675" s="15">
        <f t="shared" si="139"/>
        <v>35143</v>
      </c>
      <c r="F675" s="15">
        <f t="shared" si="139"/>
        <v>0</v>
      </c>
      <c r="G675" s="15">
        <f t="shared" si="139"/>
        <v>60245</v>
      </c>
      <c r="H675" s="15">
        <f t="shared" si="139"/>
        <v>0</v>
      </c>
      <c r="I675" s="15"/>
      <c r="J675" s="15"/>
      <c r="K675" s="15">
        <f>SUM(K663:K674)</f>
        <v>1706094</v>
      </c>
      <c r="L675" s="15"/>
      <c r="M675" s="15"/>
      <c r="N675" s="15">
        <f t="shared" si="139"/>
        <v>10097</v>
      </c>
    </row>
    <row r="676" spans="1:15" hidden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6"/>
      <c r="L676" s="6"/>
      <c r="M676" s="6"/>
      <c r="N676" s="5"/>
    </row>
    <row r="677" spans="1:15" ht="15" hidden="1" thickBot="1">
      <c r="A677" s="5"/>
      <c r="B677" s="6"/>
      <c r="C677" s="6"/>
      <c r="D677" s="6"/>
      <c r="E677" s="5"/>
      <c r="F677" s="5"/>
      <c r="G677" s="211" t="s">
        <v>47</v>
      </c>
      <c r="H677" s="212"/>
      <c r="I677" s="212"/>
      <c r="J677" s="212"/>
      <c r="K677" s="213"/>
      <c r="L677" s="26"/>
      <c r="M677" s="26"/>
      <c r="N677" s="16">
        <f>N645</f>
        <v>111408</v>
      </c>
    </row>
    <row r="678" spans="1:15" ht="15" hidden="1" thickBot="1">
      <c r="A678" s="5"/>
      <c r="B678" s="5"/>
      <c r="C678" s="5"/>
      <c r="D678" s="5"/>
      <c r="E678" s="5"/>
      <c r="F678" s="5"/>
      <c r="G678" s="211" t="s">
        <v>48</v>
      </c>
      <c r="H678" s="212"/>
      <c r="I678" s="212"/>
      <c r="J678" s="212"/>
      <c r="K678" s="213"/>
      <c r="L678" s="26"/>
      <c r="M678" s="26"/>
      <c r="N678" s="16">
        <f>B675+F675</f>
        <v>25102</v>
      </c>
    </row>
    <row r="679" spans="1:15" ht="15" hidden="1" thickBot="1">
      <c r="A679" s="5"/>
      <c r="B679" s="5"/>
      <c r="C679" s="5"/>
      <c r="D679" s="5"/>
      <c r="E679" s="5"/>
      <c r="F679" s="5"/>
      <c r="G679" s="211" t="s">
        <v>349</v>
      </c>
      <c r="H679" s="212"/>
      <c r="I679" s="212"/>
      <c r="J679" s="212"/>
      <c r="K679" s="213"/>
      <c r="L679" s="26"/>
      <c r="M679" s="26"/>
      <c r="N679" s="16">
        <f>E675</f>
        <v>35143</v>
      </c>
    </row>
    <row r="680" spans="1:15" ht="15" hidden="1" thickBot="1">
      <c r="A680" s="5"/>
      <c r="B680" s="5"/>
      <c r="C680" s="5"/>
      <c r="D680" s="5"/>
      <c r="E680" s="5"/>
      <c r="F680" s="5"/>
      <c r="G680" s="211" t="s">
        <v>49</v>
      </c>
      <c r="H680" s="212"/>
      <c r="I680" s="212"/>
      <c r="J680" s="212"/>
      <c r="K680" s="213"/>
      <c r="L680" s="26"/>
      <c r="M680" s="26"/>
      <c r="N680" s="16">
        <f>SUM(N677:N679)</f>
        <v>171653</v>
      </c>
    </row>
    <row r="681" spans="1:15" ht="15" hidden="1" thickBot="1">
      <c r="A681" s="5"/>
      <c r="B681" s="5"/>
      <c r="C681" s="5"/>
      <c r="D681" s="5"/>
      <c r="E681" s="5"/>
      <c r="F681" s="5"/>
      <c r="G681" s="211" t="s">
        <v>50</v>
      </c>
      <c r="H681" s="212"/>
      <c r="I681" s="212"/>
      <c r="J681" s="212"/>
      <c r="K681" s="213"/>
      <c r="L681" s="26"/>
      <c r="M681" s="26"/>
      <c r="N681" s="16">
        <f>H675</f>
        <v>0</v>
      </c>
    </row>
    <row r="682" spans="1:15" ht="15" hidden="1" thickBot="1">
      <c r="A682" s="5"/>
      <c r="B682" s="5"/>
      <c r="C682" s="5"/>
      <c r="D682" s="5"/>
      <c r="E682" s="5"/>
      <c r="F682" s="5"/>
      <c r="G682" s="211" t="s">
        <v>51</v>
      </c>
      <c r="H682" s="212"/>
      <c r="I682" s="212"/>
      <c r="J682" s="212"/>
      <c r="K682" s="213"/>
      <c r="L682" s="26"/>
      <c r="M682" s="26"/>
      <c r="N682" s="16">
        <f>N675</f>
        <v>10097</v>
      </c>
    </row>
    <row r="683" spans="1:15" ht="15" hidden="1" thickBot="1">
      <c r="A683" s="5"/>
      <c r="B683" s="5"/>
      <c r="C683" s="5"/>
      <c r="D683" s="5"/>
      <c r="E683" s="5"/>
      <c r="F683" s="5"/>
      <c r="G683" s="211" t="s">
        <v>52</v>
      </c>
      <c r="H683" s="212"/>
      <c r="I683" s="212"/>
      <c r="J683" s="212"/>
      <c r="K683" s="213"/>
      <c r="L683" s="26"/>
      <c r="M683" s="26"/>
      <c r="N683" s="16">
        <f>(N680-N681)+N682</f>
        <v>181750</v>
      </c>
    </row>
    <row r="684" spans="1:15" hidden="1">
      <c r="A684" s="5"/>
      <c r="B684" s="5"/>
      <c r="C684" s="5"/>
      <c r="D684" s="5"/>
      <c r="E684" s="5"/>
      <c r="F684" s="5"/>
      <c r="G684" s="17"/>
      <c r="H684" s="17"/>
      <c r="I684" s="17"/>
      <c r="J684" s="17"/>
      <c r="K684" s="17"/>
      <c r="L684" s="17"/>
      <c r="M684" s="17"/>
      <c r="N684" s="6"/>
    </row>
    <row r="685" spans="1:15"/>
    <row r="686" spans="1:15"/>
    <row r="687" spans="1:15" ht="16.8" hidden="1">
      <c r="A687" s="249" t="s">
        <v>53</v>
      </c>
      <c r="B687" s="249"/>
      <c r="C687" s="18"/>
      <c r="D687" s="18"/>
      <c r="E687" s="249" t="s">
        <v>54</v>
      </c>
      <c r="F687" s="249"/>
      <c r="G687" s="249"/>
      <c r="H687" s="250" t="s">
        <v>55</v>
      </c>
      <c r="I687" s="250"/>
      <c r="J687" s="250"/>
      <c r="K687" s="250"/>
      <c r="L687" s="250"/>
      <c r="M687" s="250"/>
      <c r="N687" s="250"/>
    </row>
    <row r="688" spans="1:15" ht="16.8" hidden="1">
      <c r="A688" s="18"/>
      <c r="B688" s="18"/>
      <c r="C688" s="18"/>
      <c r="D688" s="18"/>
      <c r="E688" s="18"/>
      <c r="F688" s="18"/>
      <c r="G688" s="19"/>
      <c r="H688" s="19"/>
      <c r="I688" s="19"/>
      <c r="J688" s="19"/>
    </row>
    <row r="689" spans="1:15" ht="16.8" hidden="1">
      <c r="A689" s="18"/>
      <c r="B689" s="18"/>
      <c r="C689" s="18"/>
      <c r="D689" s="18"/>
      <c r="E689" s="18"/>
      <c r="F689" s="18"/>
      <c r="G689" s="19"/>
      <c r="H689" s="19"/>
      <c r="I689" s="19"/>
      <c r="J689" s="19"/>
    </row>
    <row r="690" spans="1:15" ht="18.600000000000001" hidden="1">
      <c r="A690" s="224" t="s">
        <v>0</v>
      </c>
      <c r="B690" s="224"/>
      <c r="C690" s="224"/>
      <c r="D690" s="224"/>
      <c r="E690" s="224"/>
      <c r="F690" s="224"/>
      <c r="G690" s="224"/>
      <c r="H690" s="224"/>
      <c r="I690" s="224"/>
      <c r="J690" s="224"/>
      <c r="K690" s="224"/>
      <c r="L690" s="224"/>
      <c r="M690" s="224"/>
      <c r="N690" s="224"/>
      <c r="O690" s="224"/>
    </row>
    <row r="691" spans="1:15" ht="18.600000000000001" hidden="1">
      <c r="A691" s="224" t="s">
        <v>1</v>
      </c>
      <c r="B691" s="224"/>
      <c r="C691" s="224"/>
      <c r="D691" s="224"/>
      <c r="E691" s="224"/>
      <c r="F691" s="224"/>
      <c r="G691" s="224"/>
      <c r="H691" s="224"/>
      <c r="I691" s="224"/>
      <c r="J691" s="224"/>
      <c r="K691" s="224"/>
      <c r="L691" s="224"/>
      <c r="M691" s="224"/>
      <c r="N691" s="224"/>
      <c r="O691" s="224"/>
    </row>
    <row r="692" spans="1:15"/>
    <row r="693" spans="1:15" hidden="1">
      <c r="A693" s="258" t="s">
        <v>291</v>
      </c>
      <c r="B693" s="258"/>
      <c r="C693" s="258"/>
      <c r="D693" s="258"/>
      <c r="E693" s="258"/>
      <c r="F693" s="258"/>
      <c r="G693" s="258"/>
      <c r="H693" s="258"/>
      <c r="I693" s="258"/>
      <c r="J693" s="258"/>
      <c r="K693" s="258"/>
      <c r="L693" s="258"/>
      <c r="M693" s="258"/>
      <c r="N693" s="258"/>
    </row>
    <row r="694" spans="1:15" hidden="1">
      <c r="A694" s="3" t="s">
        <v>3</v>
      </c>
      <c r="B694" s="4">
        <f>B656</f>
        <v>837</v>
      </c>
      <c r="C694" s="4"/>
      <c r="D694" s="4"/>
      <c r="E694" s="4" t="s">
        <v>4</v>
      </c>
      <c r="F694" s="283" t="str">
        <f>F656</f>
        <v>Mahajan Ganesh Trambak</v>
      </c>
      <c r="G694" s="283"/>
      <c r="H694" s="283"/>
      <c r="I694" s="283"/>
      <c r="J694" s="283"/>
      <c r="K694" s="283"/>
      <c r="L694" s="283"/>
      <c r="M694" s="283"/>
      <c r="N694" s="283"/>
    </row>
    <row r="695" spans="1:15" hidden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6"/>
      <c r="L695" s="6"/>
      <c r="M695" s="6"/>
      <c r="N695" s="5"/>
    </row>
    <row r="696" spans="1:15" ht="20.399999999999999" hidden="1">
      <c r="A696" s="4" t="s">
        <v>6</v>
      </c>
      <c r="B696" s="4">
        <f>B658</f>
        <v>2331</v>
      </c>
      <c r="C696" s="4"/>
      <c r="D696" s="4"/>
      <c r="E696" s="3" t="s">
        <v>7</v>
      </c>
      <c r="F696" s="268"/>
      <c r="G696" s="269"/>
      <c r="H696" s="3" t="s">
        <v>8</v>
      </c>
      <c r="I696" s="3"/>
      <c r="J696" s="3"/>
      <c r="K696" s="270" t="str">
        <f>K658</f>
        <v>Asst. Jr. Engineer</v>
      </c>
      <c r="L696" s="270"/>
      <c r="M696" s="270"/>
      <c r="N696" s="270"/>
    </row>
    <row r="697" spans="1:15" hidden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6"/>
      <c r="L697" s="6"/>
      <c r="M697" s="6"/>
      <c r="N697" s="5"/>
    </row>
    <row r="698" spans="1:15" hidden="1">
      <c r="A698" s="3" t="s">
        <v>10</v>
      </c>
      <c r="B698" s="7">
        <v>7.0999999999999994E-2</v>
      </c>
      <c r="C698" s="7"/>
      <c r="D698" s="7"/>
      <c r="E698" s="3" t="s">
        <v>11</v>
      </c>
      <c r="F698" s="7">
        <v>0</v>
      </c>
      <c r="G698" s="216" t="s">
        <v>12</v>
      </c>
      <c r="H698" s="217"/>
      <c r="I698" s="29"/>
      <c r="J698" s="29"/>
      <c r="K698" s="266">
        <f>N683</f>
        <v>181750</v>
      </c>
      <c r="L698" s="267"/>
      <c r="M698" s="267"/>
      <c r="N698" s="271"/>
    </row>
    <row r="699" spans="1:15" hidden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6"/>
      <c r="L699" s="6"/>
      <c r="M699" s="6"/>
      <c r="N699" s="5"/>
    </row>
    <row r="700" spans="1:15" ht="30.6" hidden="1">
      <c r="A700" s="9" t="s">
        <v>13</v>
      </c>
      <c r="B700" s="9" t="s">
        <v>14</v>
      </c>
      <c r="C700" s="9"/>
      <c r="D700" s="9"/>
      <c r="E700" s="9" t="s">
        <v>349</v>
      </c>
      <c r="F700" s="9" t="s">
        <v>15</v>
      </c>
      <c r="G700" s="9" t="s">
        <v>16</v>
      </c>
      <c r="H700" s="9" t="s">
        <v>17</v>
      </c>
      <c r="I700" s="9"/>
      <c r="J700" s="9"/>
      <c r="K700" s="10" t="s">
        <v>18</v>
      </c>
      <c r="L700" s="10"/>
      <c r="M700" s="10"/>
      <c r="N700" s="10" t="s">
        <v>19</v>
      </c>
      <c r="O700" s="11" t="s">
        <v>20</v>
      </c>
    </row>
    <row r="701" spans="1:15" hidden="1">
      <c r="A701" s="3" t="s">
        <v>292</v>
      </c>
      <c r="B701" s="13">
        <v>2162</v>
      </c>
      <c r="C701" s="13"/>
      <c r="D701" s="13"/>
      <c r="E701" s="13">
        <v>4732</v>
      </c>
      <c r="F701" s="13">
        <v>0</v>
      </c>
      <c r="G701" s="13">
        <f>E701+B701+F701</f>
        <v>6894</v>
      </c>
      <c r="H701" s="13">
        <v>0</v>
      </c>
      <c r="I701" s="13"/>
      <c r="J701" s="13"/>
      <c r="K701" s="13">
        <f>(K698+G701)-H701</f>
        <v>188644</v>
      </c>
      <c r="L701" s="14"/>
      <c r="M701" s="14"/>
      <c r="N701" s="14">
        <f>ROUND((K701*7.1/100)/12,0)</f>
        <v>1116</v>
      </c>
      <c r="O701" s="282" t="s">
        <v>264</v>
      </c>
    </row>
    <row r="702" spans="1:15" hidden="1">
      <c r="A702" s="3" t="s">
        <v>293</v>
      </c>
      <c r="B702" s="13">
        <v>2162</v>
      </c>
      <c r="C702" s="13"/>
      <c r="D702" s="13"/>
      <c r="E702" s="13">
        <v>4732</v>
      </c>
      <c r="F702" s="13">
        <v>0</v>
      </c>
      <c r="G702" s="13">
        <f>E702+B702+F702</f>
        <v>6894</v>
      </c>
      <c r="H702" s="13">
        <v>0</v>
      </c>
      <c r="I702" s="48"/>
      <c r="J702" s="48"/>
      <c r="K702" s="20">
        <f t="shared" ref="K702:K712" si="140">(K701+G702)-H702</f>
        <v>195538</v>
      </c>
      <c r="L702" s="52"/>
      <c r="M702" s="52"/>
      <c r="N702" s="14">
        <f>ROUND((K702*7.1/100)/12,0)</f>
        <v>1157</v>
      </c>
      <c r="O702" s="282"/>
    </row>
    <row r="703" spans="1:15" hidden="1">
      <c r="A703" s="3" t="s">
        <v>294</v>
      </c>
      <c r="B703" s="13">
        <v>2162</v>
      </c>
      <c r="C703" s="13"/>
      <c r="D703" s="13"/>
      <c r="E703" s="13">
        <v>4732</v>
      </c>
      <c r="F703" s="13">
        <v>0</v>
      </c>
      <c r="G703" s="13">
        <f>E703+B703+F703</f>
        <v>6894</v>
      </c>
      <c r="H703" s="13">
        <v>0</v>
      </c>
      <c r="I703" s="48"/>
      <c r="J703" s="48"/>
      <c r="K703" s="20">
        <f t="shared" si="140"/>
        <v>202432</v>
      </c>
      <c r="L703" s="52"/>
      <c r="M703" s="52"/>
      <c r="N703" s="14">
        <f>ROUND((K703*7.1/100)/12,0)</f>
        <v>1198</v>
      </c>
      <c r="O703" s="282"/>
    </row>
    <row r="704" spans="1:15" hidden="1">
      <c r="A704" s="3" t="s">
        <v>295</v>
      </c>
      <c r="B704" s="13">
        <v>2227</v>
      </c>
      <c r="C704" s="13"/>
      <c r="D704" s="13"/>
      <c r="E704" s="13">
        <v>4879</v>
      </c>
      <c r="F704" s="13">
        <v>0</v>
      </c>
      <c r="G704" s="13">
        <f t="shared" ref="G704:G712" si="141">E704+B704</f>
        <v>7106</v>
      </c>
      <c r="H704" s="13">
        <v>0</v>
      </c>
      <c r="I704" s="48"/>
      <c r="J704" s="48"/>
      <c r="K704" s="20">
        <f t="shared" si="140"/>
        <v>209538</v>
      </c>
      <c r="L704" s="52"/>
      <c r="M704" s="52"/>
      <c r="N704" s="14">
        <f>ROUND((K704*7.1/100)/12,0)</f>
        <v>1240</v>
      </c>
      <c r="O704" s="282"/>
    </row>
    <row r="705" spans="1:15" hidden="1">
      <c r="A705" s="3" t="s">
        <v>296</v>
      </c>
      <c r="B705" s="13">
        <v>2626</v>
      </c>
      <c r="C705" s="13"/>
      <c r="D705" s="13"/>
      <c r="E705" s="13">
        <v>5753</v>
      </c>
      <c r="F705" s="13">
        <v>0</v>
      </c>
      <c r="G705" s="13">
        <f t="shared" si="141"/>
        <v>8379</v>
      </c>
      <c r="H705" s="13">
        <v>0</v>
      </c>
      <c r="I705" s="48"/>
      <c r="J705" s="48"/>
      <c r="K705" s="20">
        <f t="shared" si="140"/>
        <v>217917</v>
      </c>
      <c r="L705" s="52"/>
      <c r="M705" s="52"/>
      <c r="N705" s="14">
        <f t="shared" ref="N705:N711" si="142">ROUND((K705*7.1/100)/12,0)</f>
        <v>1289</v>
      </c>
      <c r="O705" s="282"/>
    </row>
    <row r="706" spans="1:15" hidden="1">
      <c r="A706" s="3" t="s">
        <v>297</v>
      </c>
      <c r="B706" s="13">
        <v>2278</v>
      </c>
      <c r="C706" s="13"/>
      <c r="D706" s="13"/>
      <c r="E706" s="13">
        <v>4990</v>
      </c>
      <c r="F706" s="13">
        <v>0</v>
      </c>
      <c r="G706" s="13">
        <f t="shared" si="141"/>
        <v>7268</v>
      </c>
      <c r="H706" s="13">
        <v>0</v>
      </c>
      <c r="I706" s="48"/>
      <c r="J706" s="48"/>
      <c r="K706" s="20">
        <f t="shared" si="140"/>
        <v>225185</v>
      </c>
      <c r="L706" s="52"/>
      <c r="M706" s="52"/>
      <c r="N706" s="14">
        <f t="shared" si="142"/>
        <v>1332</v>
      </c>
      <c r="O706" s="282"/>
    </row>
    <row r="707" spans="1:15" hidden="1">
      <c r="A707" s="3" t="s">
        <v>298</v>
      </c>
      <c r="B707" s="13">
        <v>2278</v>
      </c>
      <c r="C707" s="13"/>
      <c r="D707" s="13"/>
      <c r="E707" s="13">
        <v>4990</v>
      </c>
      <c r="F707" s="13">
        <v>0</v>
      </c>
      <c r="G707" s="13">
        <f t="shared" si="141"/>
        <v>7268</v>
      </c>
      <c r="H707" s="13">
        <v>0</v>
      </c>
      <c r="I707" s="48"/>
      <c r="J707" s="48"/>
      <c r="K707" s="20">
        <f t="shared" si="140"/>
        <v>232453</v>
      </c>
      <c r="L707" s="52"/>
      <c r="M707" s="52"/>
      <c r="N707" s="14">
        <f t="shared" si="142"/>
        <v>1375</v>
      </c>
      <c r="O707" s="282"/>
    </row>
    <row r="708" spans="1:15" hidden="1">
      <c r="A708" s="3" t="s">
        <v>299</v>
      </c>
      <c r="B708" s="13">
        <v>2278</v>
      </c>
      <c r="C708" s="13"/>
      <c r="D708" s="13"/>
      <c r="E708" s="13">
        <v>4990</v>
      </c>
      <c r="F708" s="13">
        <v>0</v>
      </c>
      <c r="G708" s="13">
        <f t="shared" si="141"/>
        <v>7268</v>
      </c>
      <c r="H708" s="13">
        <v>0</v>
      </c>
      <c r="I708" s="48"/>
      <c r="J708" s="48"/>
      <c r="K708" s="20">
        <f t="shared" si="140"/>
        <v>239721</v>
      </c>
      <c r="L708" s="52"/>
      <c r="M708" s="52"/>
      <c r="N708" s="14">
        <f t="shared" si="142"/>
        <v>1418</v>
      </c>
      <c r="O708" s="282"/>
    </row>
    <row r="709" spans="1:15" hidden="1">
      <c r="A709" s="3" t="s">
        <v>300</v>
      </c>
      <c r="B709" s="13">
        <v>2278</v>
      </c>
      <c r="C709" s="13"/>
      <c r="D709" s="13"/>
      <c r="E709" s="13">
        <v>4990</v>
      </c>
      <c r="F709" s="13">
        <v>0</v>
      </c>
      <c r="G709" s="13">
        <f t="shared" si="141"/>
        <v>7268</v>
      </c>
      <c r="H709" s="13">
        <v>0</v>
      </c>
      <c r="I709" s="48"/>
      <c r="J709" s="48"/>
      <c r="K709" s="20">
        <f t="shared" si="140"/>
        <v>246989</v>
      </c>
      <c r="L709" s="52"/>
      <c r="M709" s="52"/>
      <c r="N709" s="14">
        <f t="shared" si="142"/>
        <v>1461</v>
      </c>
      <c r="O709" s="282"/>
    </row>
    <row r="710" spans="1:15" hidden="1">
      <c r="A710" s="3" t="s">
        <v>301</v>
      </c>
      <c r="B710" s="13">
        <v>2754</v>
      </c>
      <c r="C710" s="13"/>
      <c r="D710" s="13"/>
      <c r="E710" s="13">
        <v>6033</v>
      </c>
      <c r="F710" s="13">
        <v>0</v>
      </c>
      <c r="G710" s="13">
        <f t="shared" si="141"/>
        <v>8787</v>
      </c>
      <c r="H710" s="13">
        <v>0</v>
      </c>
      <c r="I710" s="48"/>
      <c r="J710" s="48"/>
      <c r="K710" s="20">
        <f t="shared" si="140"/>
        <v>255776</v>
      </c>
      <c r="L710" s="52"/>
      <c r="M710" s="52"/>
      <c r="N710" s="14">
        <f t="shared" si="142"/>
        <v>1513</v>
      </c>
      <c r="O710" s="282"/>
    </row>
    <row r="711" spans="1:15" hidden="1">
      <c r="A711" s="3" t="s">
        <v>302</v>
      </c>
      <c r="B711" s="13">
        <v>2346</v>
      </c>
      <c r="C711" s="13"/>
      <c r="D711" s="13"/>
      <c r="E711" s="13">
        <v>5139</v>
      </c>
      <c r="F711" s="13">
        <v>0</v>
      </c>
      <c r="G711" s="13">
        <f t="shared" si="141"/>
        <v>7485</v>
      </c>
      <c r="H711" s="13">
        <v>0</v>
      </c>
      <c r="I711" s="48"/>
      <c r="J711" s="48"/>
      <c r="K711" s="20">
        <f t="shared" si="140"/>
        <v>263261</v>
      </c>
      <c r="L711" s="52"/>
      <c r="M711" s="52"/>
      <c r="N711" s="14">
        <f t="shared" si="142"/>
        <v>1558</v>
      </c>
      <c r="O711" s="282"/>
    </row>
    <row r="712" spans="1:15" hidden="1">
      <c r="A712" s="3" t="s">
        <v>303</v>
      </c>
      <c r="B712" s="13">
        <v>2346</v>
      </c>
      <c r="C712" s="13"/>
      <c r="D712" s="13"/>
      <c r="E712" s="13">
        <v>5139</v>
      </c>
      <c r="F712" s="13">
        <v>0</v>
      </c>
      <c r="G712" s="13">
        <f t="shared" si="141"/>
        <v>7485</v>
      </c>
      <c r="H712" s="13">
        <v>0</v>
      </c>
      <c r="I712" s="48"/>
      <c r="J712" s="48"/>
      <c r="K712" s="20">
        <f t="shared" si="140"/>
        <v>270746</v>
      </c>
      <c r="L712" s="52"/>
      <c r="M712" s="52"/>
      <c r="N712" s="14">
        <f>ROUND((K712*7.1/100)/12,0)</f>
        <v>1602</v>
      </c>
      <c r="O712" s="282"/>
    </row>
    <row r="713" spans="1:15" hidden="1">
      <c r="A713" s="3" t="s">
        <v>304</v>
      </c>
      <c r="B713" s="15">
        <f t="shared" ref="B713:N713" si="143">SUM(B701:B712)</f>
        <v>27897</v>
      </c>
      <c r="C713" s="15"/>
      <c r="D713" s="15"/>
      <c r="E713" s="15">
        <f t="shared" si="143"/>
        <v>61099</v>
      </c>
      <c r="F713" s="15">
        <f t="shared" si="143"/>
        <v>0</v>
      </c>
      <c r="G713" s="15">
        <f t="shared" si="143"/>
        <v>88996</v>
      </c>
      <c r="H713" s="15">
        <f t="shared" si="143"/>
        <v>0</v>
      </c>
      <c r="I713" s="15"/>
      <c r="J713" s="15"/>
      <c r="K713" s="15">
        <f t="shared" si="143"/>
        <v>2748200</v>
      </c>
      <c r="L713" s="8"/>
      <c r="M713" s="8"/>
      <c r="N713" s="8">
        <f t="shared" si="143"/>
        <v>16259</v>
      </c>
      <c r="O713" s="282"/>
    </row>
    <row r="714" spans="1:15" hidden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6"/>
      <c r="L714" s="6"/>
      <c r="M714" s="6"/>
      <c r="N714" s="5"/>
    </row>
    <row r="715" spans="1:15" ht="15" hidden="1" thickBot="1">
      <c r="A715" s="5"/>
      <c r="B715" s="6"/>
      <c r="C715" s="6"/>
      <c r="D715" s="6"/>
      <c r="E715" s="5"/>
      <c r="F715" s="5"/>
      <c r="G715" s="211" t="s">
        <v>47</v>
      </c>
      <c r="H715" s="212"/>
      <c r="I715" s="212"/>
      <c r="J715" s="212"/>
      <c r="K715" s="213"/>
      <c r="L715" s="26"/>
      <c r="M715" s="26"/>
      <c r="N715" s="16">
        <f>N683</f>
        <v>181750</v>
      </c>
    </row>
    <row r="716" spans="1:15" ht="15" hidden="1" thickBot="1">
      <c r="A716" s="5"/>
      <c r="B716" s="5"/>
      <c r="C716" s="5"/>
      <c r="D716" s="5"/>
      <c r="E716" s="5"/>
      <c r="F716" s="5"/>
      <c r="G716" s="211" t="s">
        <v>48</v>
      </c>
      <c r="H716" s="212"/>
      <c r="I716" s="212"/>
      <c r="J716" s="212"/>
      <c r="K716" s="213"/>
      <c r="L716" s="26"/>
      <c r="M716" s="26"/>
      <c r="N716" s="16">
        <f>B713+F713</f>
        <v>27897</v>
      </c>
    </row>
    <row r="717" spans="1:15" ht="15" hidden="1" thickBot="1">
      <c r="A717" s="5"/>
      <c r="B717" s="5"/>
      <c r="C717" s="5"/>
      <c r="D717" s="5"/>
      <c r="E717" s="5"/>
      <c r="F717" s="5"/>
      <c r="G717" s="211" t="s">
        <v>349</v>
      </c>
      <c r="H717" s="212"/>
      <c r="I717" s="212"/>
      <c r="J717" s="212"/>
      <c r="K717" s="213"/>
      <c r="L717" s="26"/>
      <c r="M717" s="26"/>
      <c r="N717" s="16">
        <f>E713</f>
        <v>61099</v>
      </c>
    </row>
    <row r="718" spans="1:15" ht="15" hidden="1" thickBot="1">
      <c r="A718" s="5"/>
      <c r="B718" s="5"/>
      <c r="C718" s="5"/>
      <c r="D718" s="5"/>
      <c r="E718" s="5"/>
      <c r="F718" s="5"/>
      <c r="G718" s="211" t="s">
        <v>49</v>
      </c>
      <c r="H718" s="212"/>
      <c r="I718" s="212"/>
      <c r="J718" s="212"/>
      <c r="K718" s="213"/>
      <c r="L718" s="26"/>
      <c r="M718" s="26"/>
      <c r="N718" s="16">
        <f>SUM(N715:N717)</f>
        <v>270746</v>
      </c>
    </row>
    <row r="719" spans="1:15" ht="15" hidden="1" thickBot="1">
      <c r="A719" s="5"/>
      <c r="B719" s="5"/>
      <c r="C719" s="5"/>
      <c r="D719" s="5"/>
      <c r="E719" s="5"/>
      <c r="F719" s="5"/>
      <c r="G719" s="211" t="s">
        <v>50</v>
      </c>
      <c r="H719" s="212"/>
      <c r="I719" s="212"/>
      <c r="J719" s="212"/>
      <c r="K719" s="213"/>
      <c r="L719" s="26"/>
      <c r="M719" s="26"/>
      <c r="N719" s="16">
        <f>H713</f>
        <v>0</v>
      </c>
    </row>
    <row r="720" spans="1:15" ht="15" hidden="1" thickBot="1">
      <c r="A720" s="5"/>
      <c r="B720" s="5"/>
      <c r="C720" s="5"/>
      <c r="D720" s="5"/>
      <c r="E720" s="5"/>
      <c r="F720" s="5"/>
      <c r="G720" s="211" t="s">
        <v>51</v>
      </c>
      <c r="H720" s="212"/>
      <c r="I720" s="212"/>
      <c r="J720" s="212"/>
      <c r="K720" s="213"/>
      <c r="L720" s="26"/>
      <c r="M720" s="26"/>
      <c r="N720" s="16">
        <f>N713</f>
        <v>16259</v>
      </c>
    </row>
    <row r="721" spans="1:15" ht="15" hidden="1" thickBot="1">
      <c r="A721" s="5"/>
      <c r="B721" s="5"/>
      <c r="C721" s="5"/>
      <c r="D721" s="5"/>
      <c r="E721" s="5"/>
      <c r="F721" s="5"/>
      <c r="G721" s="211" t="s">
        <v>52</v>
      </c>
      <c r="H721" s="212"/>
      <c r="I721" s="212"/>
      <c r="J721" s="212"/>
      <c r="K721" s="213"/>
      <c r="L721" s="26"/>
      <c r="M721" s="26"/>
      <c r="N721" s="16">
        <f>(N718-N719)+N720</f>
        <v>287005</v>
      </c>
    </row>
    <row r="722" spans="1:15" hidden="1">
      <c r="A722" s="5"/>
      <c r="B722" s="5"/>
      <c r="C722" s="5"/>
      <c r="D722" s="5"/>
      <c r="E722" s="5"/>
      <c r="F722" s="5"/>
      <c r="G722" s="17"/>
      <c r="H722" s="17"/>
      <c r="I722" s="17"/>
      <c r="J722" s="17"/>
      <c r="K722" s="17"/>
      <c r="L722" s="17"/>
      <c r="M722" s="17"/>
      <c r="N722" s="6"/>
    </row>
    <row r="723" spans="1:15"/>
    <row r="724" spans="1:15"/>
    <row r="725" spans="1:15" ht="16.8" hidden="1">
      <c r="A725" s="249" t="s">
        <v>53</v>
      </c>
      <c r="B725" s="249"/>
      <c r="C725" s="18"/>
      <c r="D725" s="18"/>
      <c r="E725" s="249" t="s">
        <v>54</v>
      </c>
      <c r="F725" s="249"/>
      <c r="G725" s="249"/>
      <c r="H725" s="250" t="s">
        <v>55</v>
      </c>
      <c r="I725" s="250"/>
      <c r="J725" s="250"/>
      <c r="K725" s="250"/>
      <c r="L725" s="250"/>
      <c r="M725" s="250"/>
      <c r="N725" s="250"/>
    </row>
    <row r="726" spans="1:15" ht="16.8" hidden="1">
      <c r="A726" s="18"/>
      <c r="B726" s="18"/>
      <c r="C726" s="18"/>
      <c r="D726" s="18"/>
      <c r="E726" s="18"/>
      <c r="F726" s="18"/>
      <c r="G726" s="19"/>
      <c r="H726" s="19"/>
      <c r="I726" s="19"/>
      <c r="J726" s="19"/>
    </row>
    <row r="727" spans="1:15" ht="16.8" hidden="1">
      <c r="A727" s="18"/>
      <c r="B727" s="18"/>
      <c r="C727" s="18"/>
      <c r="D727" s="18"/>
      <c r="E727" s="18"/>
      <c r="F727" s="18"/>
      <c r="G727" s="19"/>
      <c r="H727" s="19"/>
      <c r="I727" s="19"/>
      <c r="J727" s="19"/>
    </row>
    <row r="728" spans="1:15" ht="18.600000000000001" hidden="1">
      <c r="A728" s="224" t="s">
        <v>0</v>
      </c>
      <c r="B728" s="224"/>
      <c r="C728" s="224"/>
      <c r="D728" s="224"/>
      <c r="E728" s="224"/>
      <c r="F728" s="224"/>
      <c r="G728" s="224"/>
      <c r="H728" s="224"/>
      <c r="I728" s="224"/>
      <c r="J728" s="224"/>
      <c r="K728" s="224"/>
      <c r="L728" s="224"/>
      <c r="M728" s="224"/>
      <c r="N728" s="224"/>
      <c r="O728" s="224"/>
    </row>
    <row r="729" spans="1:15" ht="18.600000000000001" hidden="1">
      <c r="A729" s="224" t="s">
        <v>1</v>
      </c>
      <c r="B729" s="224"/>
      <c r="C729" s="224"/>
      <c r="D729" s="224"/>
      <c r="E729" s="224"/>
      <c r="F729" s="224"/>
      <c r="G729" s="224"/>
      <c r="H729" s="224"/>
      <c r="I729" s="224"/>
      <c r="J729" s="224"/>
      <c r="K729" s="224"/>
      <c r="L729" s="224"/>
      <c r="M729" s="224"/>
      <c r="N729" s="224"/>
      <c r="O729" s="224"/>
    </row>
    <row r="730" spans="1:15"/>
    <row r="731" spans="1:15" hidden="1">
      <c r="A731" s="258" t="s">
        <v>305</v>
      </c>
      <c r="B731" s="258"/>
      <c r="C731" s="258"/>
      <c r="D731" s="258"/>
      <c r="E731" s="258"/>
      <c r="F731" s="258"/>
      <c r="G731" s="258"/>
      <c r="H731" s="258"/>
      <c r="I731" s="258"/>
      <c r="J731" s="258"/>
      <c r="K731" s="258"/>
      <c r="L731" s="258"/>
      <c r="M731" s="258"/>
      <c r="N731" s="258"/>
    </row>
    <row r="732" spans="1:15" hidden="1">
      <c r="A732" s="3" t="s">
        <v>3</v>
      </c>
      <c r="B732" s="4">
        <f>B694</f>
        <v>837</v>
      </c>
      <c r="C732" s="4"/>
      <c r="D732" s="4"/>
      <c r="E732" s="4" t="s">
        <v>4</v>
      </c>
      <c r="F732" s="283" t="str">
        <f>F694</f>
        <v>Mahajan Ganesh Trambak</v>
      </c>
      <c r="G732" s="283"/>
      <c r="H732" s="283"/>
      <c r="I732" s="283"/>
      <c r="J732" s="283"/>
      <c r="K732" s="283"/>
      <c r="L732" s="283"/>
      <c r="M732" s="283"/>
      <c r="N732" s="283"/>
    </row>
    <row r="733" spans="1:15" hidden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6"/>
      <c r="L733" s="6"/>
      <c r="M733" s="6"/>
      <c r="N733" s="5"/>
    </row>
    <row r="734" spans="1:15" ht="20.399999999999999" hidden="1">
      <c r="A734" s="4" t="s">
        <v>6</v>
      </c>
      <c r="B734" s="4">
        <f>B696</f>
        <v>2331</v>
      </c>
      <c r="C734" s="4"/>
      <c r="D734" s="4"/>
      <c r="E734" s="3" t="s">
        <v>7</v>
      </c>
      <c r="F734" s="268"/>
      <c r="G734" s="269"/>
      <c r="H734" s="3" t="s">
        <v>8</v>
      </c>
      <c r="I734" s="3"/>
      <c r="J734" s="3"/>
      <c r="K734" s="270" t="str">
        <f>K696</f>
        <v>Asst. Jr. Engineer</v>
      </c>
      <c r="L734" s="270"/>
      <c r="M734" s="270"/>
      <c r="N734" s="270"/>
    </row>
    <row r="735" spans="1:15" hidden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6"/>
      <c r="L735" s="6"/>
      <c r="M735" s="6"/>
      <c r="N735" s="5"/>
    </row>
    <row r="736" spans="1:15" hidden="1">
      <c r="A736" s="3" t="s">
        <v>10</v>
      </c>
      <c r="B736" s="7">
        <v>7.0999999999999994E-2</v>
      </c>
      <c r="C736" s="7"/>
      <c r="D736" s="7"/>
      <c r="E736" s="3" t="s">
        <v>11</v>
      </c>
      <c r="F736" s="7">
        <v>0</v>
      </c>
      <c r="G736" s="216" t="s">
        <v>12</v>
      </c>
      <c r="H736" s="217"/>
      <c r="I736" s="29"/>
      <c r="J736" s="29"/>
      <c r="K736" s="266">
        <f>N721</f>
        <v>287005</v>
      </c>
      <c r="L736" s="267"/>
      <c r="M736" s="267"/>
      <c r="N736" s="271"/>
    </row>
    <row r="737" spans="1:15" hidden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6"/>
      <c r="L737" s="6"/>
      <c r="M737" s="6"/>
      <c r="N737" s="5"/>
    </row>
    <row r="738" spans="1:15" ht="30.6" hidden="1">
      <c r="A738" s="9" t="s">
        <v>13</v>
      </c>
      <c r="B738" s="9" t="s">
        <v>14</v>
      </c>
      <c r="C738" s="9"/>
      <c r="D738" s="9"/>
      <c r="E738" s="9" t="s">
        <v>349</v>
      </c>
      <c r="F738" s="9" t="s">
        <v>15</v>
      </c>
      <c r="G738" s="9" t="s">
        <v>16</v>
      </c>
      <c r="H738" s="9" t="s">
        <v>17</v>
      </c>
      <c r="I738" s="9"/>
      <c r="J738" s="9"/>
      <c r="K738" s="10" t="s">
        <v>18</v>
      </c>
      <c r="L738" s="10"/>
      <c r="M738" s="10"/>
      <c r="N738" s="10" t="s">
        <v>19</v>
      </c>
      <c r="O738" s="11" t="s">
        <v>20</v>
      </c>
    </row>
    <row r="739" spans="1:15" hidden="1">
      <c r="A739" s="3" t="s">
        <v>306</v>
      </c>
      <c r="B739" s="13">
        <v>2346</v>
      </c>
      <c r="C739" s="13"/>
      <c r="D739" s="13"/>
      <c r="E739" s="13">
        <v>5139</v>
      </c>
      <c r="F739" s="13">
        <v>0</v>
      </c>
      <c r="G739" s="13">
        <f>E739+B739+F739</f>
        <v>7485</v>
      </c>
      <c r="H739" s="13">
        <v>0</v>
      </c>
      <c r="I739" s="13"/>
      <c r="J739" s="13"/>
      <c r="K739" s="13">
        <f>(K736+G739)-H739</f>
        <v>294490</v>
      </c>
      <c r="L739" s="14"/>
      <c r="M739" s="14"/>
      <c r="N739" s="14">
        <f>ROUND((K739*7.1/100)/12,0)</f>
        <v>1742</v>
      </c>
      <c r="O739" s="282" t="s">
        <v>264</v>
      </c>
    </row>
    <row r="740" spans="1:15" hidden="1">
      <c r="A740" s="3" t="s">
        <v>307</v>
      </c>
      <c r="B740" s="13">
        <v>2346</v>
      </c>
      <c r="C740" s="13"/>
      <c r="D740" s="13"/>
      <c r="E740" s="13">
        <v>5139</v>
      </c>
      <c r="F740" s="13">
        <v>0</v>
      </c>
      <c r="G740" s="13">
        <f>E740+B740+F740</f>
        <v>7485</v>
      </c>
      <c r="H740" s="13">
        <v>0</v>
      </c>
      <c r="I740" s="48"/>
      <c r="J740" s="48"/>
      <c r="K740" s="20">
        <f t="shared" ref="K740:K750" si="144">(K739+G740)-H740</f>
        <v>301975</v>
      </c>
      <c r="L740" s="52"/>
      <c r="M740" s="52"/>
      <c r="N740" s="14">
        <f>ROUND((K740*7.1/100)/12,0)</f>
        <v>1787</v>
      </c>
      <c r="O740" s="282"/>
    </row>
    <row r="741" spans="1:15" hidden="1">
      <c r="A741" s="3" t="s">
        <v>308</v>
      </c>
      <c r="B741" s="13">
        <v>2346</v>
      </c>
      <c r="C741" s="13"/>
      <c r="D741" s="13"/>
      <c r="E741" s="13">
        <v>5139</v>
      </c>
      <c r="F741" s="13">
        <v>0</v>
      </c>
      <c r="G741" s="13">
        <f>E741+B741+F741</f>
        <v>7485</v>
      </c>
      <c r="H741" s="13">
        <v>0</v>
      </c>
      <c r="I741" s="48"/>
      <c r="J741" s="48"/>
      <c r="K741" s="20">
        <f t="shared" si="144"/>
        <v>309460</v>
      </c>
      <c r="L741" s="52"/>
      <c r="M741" s="52"/>
      <c r="N741" s="14">
        <f>ROUND((K741*7.1/100)/12,0)</f>
        <v>1831</v>
      </c>
      <c r="O741" s="282"/>
    </row>
    <row r="742" spans="1:15" hidden="1">
      <c r="A742" s="3" t="s">
        <v>309</v>
      </c>
      <c r="B742" s="13">
        <v>2893</v>
      </c>
      <c r="C742" s="13"/>
      <c r="D742" s="13"/>
      <c r="E742" s="13">
        <v>6341</v>
      </c>
      <c r="F742" s="13">
        <v>0</v>
      </c>
      <c r="G742" s="13">
        <f t="shared" ref="G742:G750" si="145">E742+B742</f>
        <v>9234</v>
      </c>
      <c r="H742" s="13">
        <v>0</v>
      </c>
      <c r="I742" s="48"/>
      <c r="J742" s="48"/>
      <c r="K742" s="20">
        <f t="shared" si="144"/>
        <v>318694</v>
      </c>
      <c r="L742" s="52"/>
      <c r="M742" s="52"/>
      <c r="N742" s="14">
        <f>ROUND((K742*7.1/100)/12,0)</f>
        <v>1886</v>
      </c>
      <c r="O742" s="282"/>
    </row>
    <row r="743" spans="1:15" hidden="1">
      <c r="A743" s="3" t="s">
        <v>310</v>
      </c>
      <c r="B743" s="13">
        <v>2485</v>
      </c>
      <c r="C743" s="13"/>
      <c r="D743" s="13"/>
      <c r="E743" s="13">
        <v>5447</v>
      </c>
      <c r="F743" s="13">
        <v>0</v>
      </c>
      <c r="G743" s="13">
        <f t="shared" si="145"/>
        <v>7932</v>
      </c>
      <c r="H743" s="13">
        <v>0</v>
      </c>
      <c r="I743" s="48"/>
      <c r="J743" s="48"/>
      <c r="K743" s="20">
        <f t="shared" si="144"/>
        <v>326626</v>
      </c>
      <c r="L743" s="52"/>
      <c r="M743" s="52"/>
      <c r="N743" s="14">
        <f t="shared" ref="N743:N749" si="146">ROUND((K743*7.1/100)/12,0)</f>
        <v>1933</v>
      </c>
      <c r="O743" s="282"/>
    </row>
    <row r="744" spans="1:15" hidden="1">
      <c r="A744" s="3" t="s">
        <v>311</v>
      </c>
      <c r="B744" s="13">
        <v>2485</v>
      </c>
      <c r="C744" s="13"/>
      <c r="D744" s="13"/>
      <c r="E744" s="13">
        <v>5447</v>
      </c>
      <c r="F744" s="13">
        <v>0</v>
      </c>
      <c r="G744" s="13">
        <f t="shared" si="145"/>
        <v>7932</v>
      </c>
      <c r="H744" s="13">
        <v>0</v>
      </c>
      <c r="I744" s="48"/>
      <c r="J744" s="48"/>
      <c r="K744" s="20">
        <f t="shared" si="144"/>
        <v>334558</v>
      </c>
      <c r="L744" s="52"/>
      <c r="M744" s="52"/>
      <c r="N744" s="14">
        <f t="shared" si="146"/>
        <v>1979</v>
      </c>
      <c r="O744" s="282"/>
    </row>
    <row r="745" spans="1:15" hidden="1">
      <c r="A745" s="3" t="s">
        <v>312</v>
      </c>
      <c r="B745" s="13">
        <v>2485</v>
      </c>
      <c r="C745" s="13"/>
      <c r="D745" s="13"/>
      <c r="E745" s="13">
        <v>5447</v>
      </c>
      <c r="F745" s="13">
        <v>0</v>
      </c>
      <c r="G745" s="13">
        <f t="shared" si="145"/>
        <v>7932</v>
      </c>
      <c r="H745" s="13">
        <v>0</v>
      </c>
      <c r="I745" s="48"/>
      <c r="J745" s="48"/>
      <c r="K745" s="20">
        <f t="shared" si="144"/>
        <v>342490</v>
      </c>
      <c r="L745" s="52"/>
      <c r="M745" s="52"/>
      <c r="N745" s="14">
        <f t="shared" si="146"/>
        <v>2026</v>
      </c>
      <c r="O745" s="282"/>
    </row>
    <row r="746" spans="1:15" hidden="1">
      <c r="A746" s="3" t="s">
        <v>313</v>
      </c>
      <c r="B746" s="13">
        <v>2835</v>
      </c>
      <c r="C746" s="13"/>
      <c r="D746" s="13"/>
      <c r="E746" s="13">
        <v>6215</v>
      </c>
      <c r="F746" s="13">
        <v>0</v>
      </c>
      <c r="G746" s="13">
        <f t="shared" si="145"/>
        <v>9050</v>
      </c>
      <c r="H746" s="13">
        <v>0</v>
      </c>
      <c r="I746" s="48"/>
      <c r="J746" s="48"/>
      <c r="K746" s="20">
        <f t="shared" si="144"/>
        <v>351540</v>
      </c>
      <c r="L746" s="52"/>
      <c r="M746" s="52"/>
      <c r="N746" s="14">
        <f t="shared" si="146"/>
        <v>2080</v>
      </c>
      <c r="O746" s="282"/>
    </row>
    <row r="747" spans="1:15" hidden="1">
      <c r="A747" s="3" t="s">
        <v>314</v>
      </c>
      <c r="B747" s="13">
        <v>2555</v>
      </c>
      <c r="C747" s="13"/>
      <c r="D747" s="13"/>
      <c r="E747" s="13">
        <v>5600</v>
      </c>
      <c r="F747" s="13">
        <v>0</v>
      </c>
      <c r="G747" s="13">
        <f t="shared" si="145"/>
        <v>8155</v>
      </c>
      <c r="H747" s="13">
        <v>0</v>
      </c>
      <c r="I747" s="48"/>
      <c r="J747" s="48"/>
      <c r="K747" s="20">
        <f t="shared" si="144"/>
        <v>359695</v>
      </c>
      <c r="L747" s="52"/>
      <c r="M747" s="52"/>
      <c r="N747" s="14">
        <f t="shared" si="146"/>
        <v>2128</v>
      </c>
      <c r="O747" s="282"/>
    </row>
    <row r="748" spans="1:15" hidden="1">
      <c r="A748" s="3" t="s">
        <v>315</v>
      </c>
      <c r="B748" s="13">
        <v>2555</v>
      </c>
      <c r="C748" s="13"/>
      <c r="D748" s="13"/>
      <c r="E748" s="13">
        <v>5600</v>
      </c>
      <c r="F748" s="13">
        <v>0</v>
      </c>
      <c r="G748" s="13">
        <f t="shared" si="145"/>
        <v>8155</v>
      </c>
      <c r="H748" s="13">
        <v>0</v>
      </c>
      <c r="I748" s="48"/>
      <c r="J748" s="48"/>
      <c r="K748" s="20">
        <f t="shared" si="144"/>
        <v>367850</v>
      </c>
      <c r="L748" s="52"/>
      <c r="M748" s="52"/>
      <c r="N748" s="14">
        <f t="shared" si="146"/>
        <v>2176</v>
      </c>
      <c r="O748" s="282"/>
    </row>
    <row r="749" spans="1:15" hidden="1">
      <c r="A749" s="3" t="s">
        <v>316</v>
      </c>
      <c r="B749" s="13">
        <v>2555</v>
      </c>
      <c r="C749" s="13"/>
      <c r="D749" s="13"/>
      <c r="E749" s="13">
        <v>5600</v>
      </c>
      <c r="F749" s="13">
        <v>0</v>
      </c>
      <c r="G749" s="13">
        <f t="shared" si="145"/>
        <v>8155</v>
      </c>
      <c r="H749" s="13">
        <v>0</v>
      </c>
      <c r="I749" s="48"/>
      <c r="J749" s="48"/>
      <c r="K749" s="20">
        <f t="shared" si="144"/>
        <v>376005</v>
      </c>
      <c r="L749" s="52"/>
      <c r="M749" s="52"/>
      <c r="N749" s="14">
        <f t="shared" si="146"/>
        <v>2225</v>
      </c>
      <c r="O749" s="282"/>
    </row>
    <row r="750" spans="1:15" hidden="1">
      <c r="A750" s="3" t="s">
        <v>317</v>
      </c>
      <c r="B750" s="13">
        <v>2555</v>
      </c>
      <c r="C750" s="13"/>
      <c r="D750" s="13"/>
      <c r="E750" s="13">
        <v>5600</v>
      </c>
      <c r="F750" s="13">
        <v>0</v>
      </c>
      <c r="G750" s="13">
        <f t="shared" si="145"/>
        <v>8155</v>
      </c>
      <c r="H750" s="13">
        <v>0</v>
      </c>
      <c r="I750" s="48"/>
      <c r="J750" s="48"/>
      <c r="K750" s="20">
        <f t="shared" si="144"/>
        <v>384160</v>
      </c>
      <c r="L750" s="52"/>
      <c r="M750" s="52"/>
      <c r="N750" s="14">
        <f>ROUND((K750*7.1/100)/12,0)</f>
        <v>2273</v>
      </c>
      <c r="O750" s="282"/>
    </row>
    <row r="751" spans="1:15" hidden="1">
      <c r="A751" s="3" t="s">
        <v>318</v>
      </c>
      <c r="B751" s="15">
        <f t="shared" ref="B751:N751" si="147">SUM(B739:B750)</f>
        <v>30441</v>
      </c>
      <c r="C751" s="15"/>
      <c r="D751" s="15"/>
      <c r="E751" s="15">
        <f t="shared" si="147"/>
        <v>66714</v>
      </c>
      <c r="F751" s="15">
        <f t="shared" si="147"/>
        <v>0</v>
      </c>
      <c r="G751" s="15">
        <f t="shared" si="147"/>
        <v>97155</v>
      </c>
      <c r="H751" s="15">
        <f t="shared" si="147"/>
        <v>0</v>
      </c>
      <c r="I751" s="15"/>
      <c r="J751" s="15"/>
      <c r="K751" s="15">
        <f t="shared" si="147"/>
        <v>4067543</v>
      </c>
      <c r="L751" s="8"/>
      <c r="M751" s="8"/>
      <c r="N751" s="8">
        <f t="shared" si="147"/>
        <v>24066</v>
      </c>
      <c r="O751" s="282"/>
    </row>
    <row r="752" spans="1:15" hidden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6"/>
      <c r="L752" s="6"/>
      <c r="M752" s="6"/>
      <c r="N752" s="5"/>
    </row>
    <row r="753" spans="1:15" ht="15" hidden="1" thickBot="1">
      <c r="A753" s="5"/>
      <c r="B753" s="6"/>
      <c r="C753" s="6"/>
      <c r="D753" s="6"/>
      <c r="E753" s="5"/>
      <c r="F753" s="5"/>
      <c r="G753" s="211" t="s">
        <v>47</v>
      </c>
      <c r="H753" s="212"/>
      <c r="I753" s="212"/>
      <c r="J753" s="212"/>
      <c r="K753" s="213"/>
      <c r="L753" s="26"/>
      <c r="M753" s="26"/>
      <c r="N753" s="16">
        <f>N721</f>
        <v>287005</v>
      </c>
    </row>
    <row r="754" spans="1:15" ht="15" hidden="1" thickBot="1">
      <c r="A754" s="5"/>
      <c r="B754" s="5"/>
      <c r="C754" s="5"/>
      <c r="D754" s="5"/>
      <c r="E754" s="5"/>
      <c r="F754" s="5"/>
      <c r="G754" s="211" t="s">
        <v>48</v>
      </c>
      <c r="H754" s="212"/>
      <c r="I754" s="212"/>
      <c r="J754" s="212"/>
      <c r="K754" s="213"/>
      <c r="L754" s="26"/>
      <c r="M754" s="26"/>
      <c r="N754" s="16">
        <f>B751+F751</f>
        <v>30441</v>
      </c>
    </row>
    <row r="755" spans="1:15" ht="15" hidden="1" thickBot="1">
      <c r="A755" s="5"/>
      <c r="B755" s="5"/>
      <c r="C755" s="5"/>
      <c r="D755" s="5"/>
      <c r="E755" s="5"/>
      <c r="F755" s="5"/>
      <c r="G755" s="211" t="s">
        <v>349</v>
      </c>
      <c r="H755" s="212"/>
      <c r="I755" s="212"/>
      <c r="J755" s="212"/>
      <c r="K755" s="213"/>
      <c r="L755" s="26"/>
      <c r="M755" s="26"/>
      <c r="N755" s="16">
        <f>E751</f>
        <v>66714</v>
      </c>
    </row>
    <row r="756" spans="1:15" ht="15" hidden="1" thickBot="1">
      <c r="A756" s="5"/>
      <c r="B756" s="5"/>
      <c r="C756" s="5"/>
      <c r="D756" s="5"/>
      <c r="E756" s="5"/>
      <c r="F756" s="5"/>
      <c r="G756" s="211" t="s">
        <v>49</v>
      </c>
      <c r="H756" s="212"/>
      <c r="I756" s="212"/>
      <c r="J756" s="212"/>
      <c r="K756" s="213"/>
      <c r="L756" s="26"/>
      <c r="M756" s="26"/>
      <c r="N756" s="16">
        <f>SUM(N753:N755)</f>
        <v>384160</v>
      </c>
    </row>
    <row r="757" spans="1:15" ht="15" hidden="1" thickBot="1">
      <c r="A757" s="5"/>
      <c r="B757" s="5"/>
      <c r="C757" s="5"/>
      <c r="D757" s="5"/>
      <c r="E757" s="5"/>
      <c r="F757" s="5"/>
      <c r="G757" s="211" t="s">
        <v>50</v>
      </c>
      <c r="H757" s="212"/>
      <c r="I757" s="212"/>
      <c r="J757" s="212"/>
      <c r="K757" s="213"/>
      <c r="L757" s="26"/>
      <c r="M757" s="26"/>
      <c r="N757" s="16">
        <f>H751</f>
        <v>0</v>
      </c>
    </row>
    <row r="758" spans="1:15" ht="15" hidden="1" thickBot="1">
      <c r="A758" s="5"/>
      <c r="B758" s="5"/>
      <c r="C758" s="5"/>
      <c r="D758" s="5"/>
      <c r="E758" s="5"/>
      <c r="F758" s="5"/>
      <c r="G758" s="211" t="s">
        <v>51</v>
      </c>
      <c r="H758" s="212"/>
      <c r="I758" s="212"/>
      <c r="J758" s="212"/>
      <c r="K758" s="213"/>
      <c r="L758" s="26"/>
      <c r="M758" s="26"/>
      <c r="N758" s="16">
        <f>N751</f>
        <v>24066</v>
      </c>
    </row>
    <row r="759" spans="1:15" ht="15" hidden="1" thickBot="1">
      <c r="A759" s="5"/>
      <c r="B759" s="5"/>
      <c r="C759" s="5"/>
      <c r="D759" s="5"/>
      <c r="E759" s="5"/>
      <c r="F759" s="5"/>
      <c r="G759" s="211" t="s">
        <v>52</v>
      </c>
      <c r="H759" s="212"/>
      <c r="I759" s="212"/>
      <c r="J759" s="212"/>
      <c r="K759" s="213"/>
      <c r="L759" s="26"/>
      <c r="M759" s="26"/>
      <c r="N759" s="16">
        <f>(N756-N757)+N758</f>
        <v>408226</v>
      </c>
    </row>
    <row r="760" spans="1:15" hidden="1">
      <c r="A760" s="5"/>
      <c r="B760" s="5"/>
      <c r="C760" s="5"/>
      <c r="D760" s="5"/>
      <c r="E760" s="5"/>
      <c r="F760" s="5"/>
      <c r="G760" s="17"/>
      <c r="H760" s="17"/>
      <c r="I760" s="17"/>
      <c r="J760" s="17"/>
      <c r="K760" s="17"/>
      <c r="L760" s="17"/>
      <c r="M760" s="17"/>
      <c r="N760" s="6"/>
    </row>
    <row r="761" spans="1:15"/>
    <row r="762" spans="1:15"/>
    <row r="763" spans="1:15" ht="16.8" hidden="1">
      <c r="A763" s="249" t="s">
        <v>53</v>
      </c>
      <c r="B763" s="249"/>
      <c r="C763" s="18"/>
      <c r="D763" s="18"/>
      <c r="E763" s="249" t="s">
        <v>54</v>
      </c>
      <c r="F763" s="249"/>
      <c r="G763" s="249"/>
      <c r="H763" s="250" t="s">
        <v>55</v>
      </c>
      <c r="I763" s="250"/>
      <c r="J763" s="250"/>
      <c r="K763" s="250"/>
      <c r="L763" s="250"/>
      <c r="M763" s="250"/>
      <c r="N763" s="250"/>
    </row>
    <row r="764" spans="1:15"/>
    <row r="765" spans="1:15"/>
    <row r="766" spans="1:15" ht="18.600000000000001" hidden="1">
      <c r="A766" s="224" t="s">
        <v>0</v>
      </c>
      <c r="B766" s="224"/>
      <c r="C766" s="224"/>
      <c r="D766" s="224"/>
      <c r="E766" s="224"/>
      <c r="F766" s="224"/>
      <c r="G766" s="224"/>
      <c r="H766" s="224"/>
      <c r="I766" s="224"/>
      <c r="J766" s="224"/>
      <c r="K766" s="224"/>
      <c r="L766" s="224"/>
      <c r="M766" s="224"/>
      <c r="N766" s="224"/>
      <c r="O766" s="224"/>
    </row>
    <row r="767" spans="1:15" ht="18.600000000000001" hidden="1">
      <c r="A767" s="224" t="s">
        <v>1</v>
      </c>
      <c r="B767" s="224"/>
      <c r="C767" s="224"/>
      <c r="D767" s="224"/>
      <c r="E767" s="224"/>
      <c r="F767" s="224"/>
      <c r="G767" s="224"/>
      <c r="H767" s="224"/>
      <c r="I767" s="224"/>
      <c r="J767" s="224"/>
      <c r="K767" s="224"/>
      <c r="L767" s="224"/>
      <c r="M767" s="224"/>
      <c r="N767" s="224"/>
      <c r="O767" s="224"/>
    </row>
    <row r="768" spans="1:15"/>
    <row r="769" spans="1:15" hidden="1">
      <c r="A769" s="258" t="s">
        <v>319</v>
      </c>
      <c r="B769" s="258"/>
      <c r="C769" s="258"/>
      <c r="D769" s="258"/>
      <c r="E769" s="258"/>
      <c r="F769" s="258"/>
      <c r="G769" s="258"/>
      <c r="H769" s="258"/>
      <c r="I769" s="258"/>
      <c r="J769" s="258"/>
      <c r="K769" s="258"/>
      <c r="L769" s="258"/>
      <c r="M769" s="258"/>
      <c r="N769" s="258"/>
    </row>
    <row r="770" spans="1:15" hidden="1">
      <c r="A770" s="3" t="s">
        <v>3</v>
      </c>
      <c r="B770" s="4">
        <f>B732</f>
        <v>837</v>
      </c>
      <c r="C770" s="4"/>
      <c r="D770" s="4"/>
      <c r="E770" s="4" t="s">
        <v>4</v>
      </c>
      <c r="F770" s="283" t="str">
        <f>F732</f>
        <v>Mahajan Ganesh Trambak</v>
      </c>
      <c r="G770" s="283"/>
      <c r="H770" s="283"/>
      <c r="I770" s="283"/>
      <c r="J770" s="283"/>
      <c r="K770" s="283"/>
      <c r="L770" s="283"/>
      <c r="M770" s="283"/>
      <c r="N770" s="283"/>
    </row>
    <row r="771" spans="1:15" hidden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6"/>
      <c r="L771" s="6"/>
      <c r="M771" s="6"/>
      <c r="N771" s="5"/>
    </row>
    <row r="772" spans="1:15" ht="20.399999999999999" hidden="1">
      <c r="A772" s="4" t="s">
        <v>6</v>
      </c>
      <c r="B772" s="4">
        <f>B734</f>
        <v>2331</v>
      </c>
      <c r="C772" s="4"/>
      <c r="D772" s="4"/>
      <c r="E772" s="3" t="s">
        <v>7</v>
      </c>
      <c r="F772" s="268"/>
      <c r="G772" s="269"/>
      <c r="H772" s="3" t="s">
        <v>8</v>
      </c>
      <c r="I772" s="3"/>
      <c r="J772" s="3"/>
      <c r="K772" s="270" t="str">
        <f>K734</f>
        <v>Asst. Jr. Engineer</v>
      </c>
      <c r="L772" s="270"/>
      <c r="M772" s="270"/>
      <c r="N772" s="270"/>
    </row>
    <row r="773" spans="1:15" hidden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6"/>
      <c r="L773" s="6"/>
      <c r="M773" s="6"/>
      <c r="N773" s="5"/>
    </row>
    <row r="774" spans="1:15" hidden="1">
      <c r="A774" s="3" t="s">
        <v>10</v>
      </c>
      <c r="B774" s="7">
        <v>7.0999999999999994E-2</v>
      </c>
      <c r="C774" s="7"/>
      <c r="D774" s="7"/>
      <c r="E774" s="3" t="s">
        <v>11</v>
      </c>
      <c r="F774" s="7">
        <v>0</v>
      </c>
      <c r="G774" s="216" t="s">
        <v>12</v>
      </c>
      <c r="H774" s="217"/>
      <c r="I774" s="29"/>
      <c r="J774" s="29"/>
      <c r="K774" s="266">
        <f>N759</f>
        <v>408226</v>
      </c>
      <c r="L774" s="267"/>
      <c r="M774" s="267"/>
      <c r="N774" s="271"/>
    </row>
    <row r="775" spans="1:15" hidden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6"/>
      <c r="L775" s="6"/>
      <c r="M775" s="6"/>
      <c r="N775" s="5"/>
    </row>
    <row r="776" spans="1:15" ht="30.6" hidden="1">
      <c r="A776" s="9" t="s">
        <v>13</v>
      </c>
      <c r="B776" s="9" t="s">
        <v>14</v>
      </c>
      <c r="C776" s="9"/>
      <c r="D776" s="9"/>
      <c r="E776" s="9" t="s">
        <v>349</v>
      </c>
      <c r="F776" s="9" t="s">
        <v>15</v>
      </c>
      <c r="G776" s="9" t="s">
        <v>16</v>
      </c>
      <c r="H776" s="9" t="s">
        <v>17</v>
      </c>
      <c r="I776" s="9"/>
      <c r="J776" s="9"/>
      <c r="K776" s="10" t="s">
        <v>18</v>
      </c>
      <c r="L776" s="10"/>
      <c r="M776" s="10"/>
      <c r="N776" s="10" t="s">
        <v>19</v>
      </c>
      <c r="O776" s="11" t="s">
        <v>20</v>
      </c>
    </row>
    <row r="777" spans="1:15" hidden="1">
      <c r="A777" s="3" t="s">
        <v>320</v>
      </c>
      <c r="B777" s="13">
        <v>2555</v>
      </c>
      <c r="C777" s="13"/>
      <c r="D777" s="13"/>
      <c r="E777" s="13">
        <f>B777</f>
        <v>2555</v>
      </c>
      <c r="F777" s="13">
        <v>0</v>
      </c>
      <c r="G777" s="13">
        <f>E777+B777+F777</f>
        <v>5110</v>
      </c>
      <c r="H777" s="13">
        <v>0</v>
      </c>
      <c r="I777" s="13"/>
      <c r="J777" s="13"/>
      <c r="K777" s="13">
        <f>(K774+G777)-H777</f>
        <v>413336</v>
      </c>
      <c r="L777" s="14"/>
      <c r="M777" s="14"/>
      <c r="N777" s="14">
        <f>ROUND((K777*7.1/100)/12,0)</f>
        <v>2446</v>
      </c>
      <c r="O777" s="282" t="s">
        <v>264</v>
      </c>
    </row>
    <row r="778" spans="1:15" hidden="1">
      <c r="A778" s="3" t="s">
        <v>321</v>
      </c>
      <c r="B778" s="13">
        <v>2555</v>
      </c>
      <c r="C778" s="13"/>
      <c r="D778" s="13"/>
      <c r="E778" s="13">
        <f t="shared" ref="E778:E788" si="148">B778</f>
        <v>2555</v>
      </c>
      <c r="F778" s="13">
        <v>0</v>
      </c>
      <c r="G778" s="13">
        <f>E778+B778+F778</f>
        <v>5110</v>
      </c>
      <c r="H778" s="13">
        <v>0</v>
      </c>
      <c r="I778" s="48"/>
      <c r="J778" s="48"/>
      <c r="K778" s="20">
        <f>(K777+G778)-H778</f>
        <v>418446</v>
      </c>
      <c r="L778" s="52"/>
      <c r="M778" s="52"/>
      <c r="N778" s="14">
        <f>ROUND((K778*7.1/100)/12,0)</f>
        <v>2476</v>
      </c>
      <c r="O778" s="282"/>
    </row>
    <row r="779" spans="1:15" hidden="1">
      <c r="A779" s="3" t="s">
        <v>322</v>
      </c>
      <c r="B779" s="13">
        <v>2555</v>
      </c>
      <c r="C779" s="13"/>
      <c r="D779" s="13"/>
      <c r="E779" s="13">
        <f t="shared" si="148"/>
        <v>2555</v>
      </c>
      <c r="F779" s="13">
        <v>0</v>
      </c>
      <c r="G779" s="13">
        <f>E779+B779+F779</f>
        <v>5110</v>
      </c>
      <c r="H779" s="13">
        <v>0</v>
      </c>
      <c r="I779" s="48"/>
      <c r="J779" s="48"/>
      <c r="K779" s="20">
        <f>(K778+G779)-H779</f>
        <v>423556</v>
      </c>
      <c r="L779" s="52"/>
      <c r="M779" s="52"/>
      <c r="N779" s="14">
        <f>ROUND((K779*7.1/100)/12,0)</f>
        <v>2506</v>
      </c>
      <c r="O779" s="282"/>
    </row>
    <row r="780" spans="1:15" hidden="1">
      <c r="A780" s="3" t="s">
        <v>323</v>
      </c>
      <c r="B780" s="13">
        <v>0</v>
      </c>
      <c r="C780" s="13"/>
      <c r="D780" s="13"/>
      <c r="E780" s="13">
        <f t="shared" si="148"/>
        <v>0</v>
      </c>
      <c r="F780" s="13">
        <v>0</v>
      </c>
      <c r="G780" s="13">
        <f t="shared" ref="G780:G788" si="149">E780+B780</f>
        <v>0</v>
      </c>
      <c r="H780" s="13">
        <v>0</v>
      </c>
      <c r="I780" s="48"/>
      <c r="J780" s="48"/>
      <c r="K780" s="20">
        <v>0</v>
      </c>
      <c r="L780" s="52"/>
      <c r="M780" s="52"/>
      <c r="N780" s="14">
        <f>ROUND((K780*7.1/100)/12,0)</f>
        <v>0</v>
      </c>
      <c r="O780" s="282"/>
    </row>
    <row r="781" spans="1:15" hidden="1">
      <c r="A781" s="3" t="s">
        <v>324</v>
      </c>
      <c r="B781" s="13">
        <v>0</v>
      </c>
      <c r="C781" s="13"/>
      <c r="D781" s="13"/>
      <c r="E781" s="13">
        <f t="shared" si="148"/>
        <v>0</v>
      </c>
      <c r="F781" s="13">
        <v>0</v>
      </c>
      <c r="G781" s="13">
        <f t="shared" si="149"/>
        <v>0</v>
      </c>
      <c r="H781" s="13">
        <v>0</v>
      </c>
      <c r="I781" s="48"/>
      <c r="J781" s="48"/>
      <c r="K781" s="20">
        <f t="shared" ref="K781:K788" si="150">(K780+G781)-H781</f>
        <v>0</v>
      </c>
      <c r="L781" s="52"/>
      <c r="M781" s="52"/>
      <c r="N781" s="14">
        <f t="shared" ref="N781:N787" si="151">ROUND((K781*7.1/100)/12,0)</f>
        <v>0</v>
      </c>
      <c r="O781" s="282"/>
    </row>
    <row r="782" spans="1:15" hidden="1">
      <c r="A782" s="3" t="s">
        <v>325</v>
      </c>
      <c r="B782" s="13">
        <v>0</v>
      </c>
      <c r="C782" s="13"/>
      <c r="D782" s="13"/>
      <c r="E782" s="13">
        <f t="shared" si="148"/>
        <v>0</v>
      </c>
      <c r="F782" s="13">
        <v>0</v>
      </c>
      <c r="G782" s="13">
        <f t="shared" si="149"/>
        <v>0</v>
      </c>
      <c r="H782" s="13">
        <v>0</v>
      </c>
      <c r="I782" s="48"/>
      <c r="J782" s="48"/>
      <c r="K782" s="20">
        <f t="shared" si="150"/>
        <v>0</v>
      </c>
      <c r="L782" s="52"/>
      <c r="M782" s="52"/>
      <c r="N782" s="14">
        <f t="shared" si="151"/>
        <v>0</v>
      </c>
      <c r="O782" s="282"/>
    </row>
    <row r="783" spans="1:15" hidden="1">
      <c r="A783" s="3" t="s">
        <v>326</v>
      </c>
      <c r="B783" s="13">
        <v>0</v>
      </c>
      <c r="C783" s="13"/>
      <c r="D783" s="13"/>
      <c r="E783" s="13">
        <f t="shared" si="148"/>
        <v>0</v>
      </c>
      <c r="F783" s="13">
        <v>0</v>
      </c>
      <c r="G783" s="13">
        <f t="shared" si="149"/>
        <v>0</v>
      </c>
      <c r="H783" s="13">
        <v>0</v>
      </c>
      <c r="I783" s="48"/>
      <c r="J783" s="48"/>
      <c r="K783" s="20">
        <f t="shared" si="150"/>
        <v>0</v>
      </c>
      <c r="L783" s="52"/>
      <c r="M783" s="52"/>
      <c r="N783" s="14">
        <f t="shared" si="151"/>
        <v>0</v>
      </c>
      <c r="O783" s="282"/>
    </row>
    <row r="784" spans="1:15" hidden="1">
      <c r="A784" s="3" t="s">
        <v>327</v>
      </c>
      <c r="B784" s="13">
        <v>0</v>
      </c>
      <c r="C784" s="13"/>
      <c r="D784" s="13"/>
      <c r="E784" s="13">
        <f t="shared" si="148"/>
        <v>0</v>
      </c>
      <c r="F784" s="13">
        <v>0</v>
      </c>
      <c r="G784" s="13">
        <f t="shared" si="149"/>
        <v>0</v>
      </c>
      <c r="H784" s="13">
        <v>0</v>
      </c>
      <c r="I784" s="48"/>
      <c r="J784" s="48"/>
      <c r="K784" s="20">
        <f t="shared" si="150"/>
        <v>0</v>
      </c>
      <c r="L784" s="52"/>
      <c r="M784" s="52"/>
      <c r="N784" s="14">
        <f t="shared" si="151"/>
        <v>0</v>
      </c>
      <c r="O784" s="282"/>
    </row>
    <row r="785" spans="1:15" hidden="1">
      <c r="A785" s="3" t="s">
        <v>328</v>
      </c>
      <c r="B785" s="13">
        <v>0</v>
      </c>
      <c r="C785" s="13"/>
      <c r="D785" s="13"/>
      <c r="E785" s="13">
        <f t="shared" si="148"/>
        <v>0</v>
      </c>
      <c r="F785" s="13">
        <v>0</v>
      </c>
      <c r="G785" s="13">
        <f t="shared" si="149"/>
        <v>0</v>
      </c>
      <c r="H785" s="13">
        <v>0</v>
      </c>
      <c r="I785" s="48"/>
      <c r="J785" s="48"/>
      <c r="K785" s="20">
        <f t="shared" si="150"/>
        <v>0</v>
      </c>
      <c r="L785" s="52"/>
      <c r="M785" s="52"/>
      <c r="N785" s="14">
        <f t="shared" si="151"/>
        <v>0</v>
      </c>
      <c r="O785" s="282"/>
    </row>
    <row r="786" spans="1:15" hidden="1">
      <c r="A786" s="3" t="s">
        <v>329</v>
      </c>
      <c r="B786" s="13">
        <v>0</v>
      </c>
      <c r="C786" s="13"/>
      <c r="D786" s="13"/>
      <c r="E786" s="13">
        <f t="shared" si="148"/>
        <v>0</v>
      </c>
      <c r="F786" s="13">
        <v>0</v>
      </c>
      <c r="G786" s="13">
        <f t="shared" si="149"/>
        <v>0</v>
      </c>
      <c r="H786" s="13">
        <v>0</v>
      </c>
      <c r="I786" s="48"/>
      <c r="J786" s="48"/>
      <c r="K786" s="20">
        <f t="shared" si="150"/>
        <v>0</v>
      </c>
      <c r="L786" s="52"/>
      <c r="M786" s="52"/>
      <c r="N786" s="14">
        <f t="shared" si="151"/>
        <v>0</v>
      </c>
      <c r="O786" s="282"/>
    </row>
    <row r="787" spans="1:15" hidden="1">
      <c r="A787" s="3" t="s">
        <v>330</v>
      </c>
      <c r="B787" s="13">
        <v>0</v>
      </c>
      <c r="C787" s="13"/>
      <c r="D787" s="13"/>
      <c r="E787" s="13">
        <f t="shared" si="148"/>
        <v>0</v>
      </c>
      <c r="F787" s="13">
        <v>0</v>
      </c>
      <c r="G787" s="13">
        <f t="shared" si="149"/>
        <v>0</v>
      </c>
      <c r="H787" s="13">
        <v>0</v>
      </c>
      <c r="I787" s="48"/>
      <c r="J787" s="48"/>
      <c r="K787" s="20">
        <f t="shared" si="150"/>
        <v>0</v>
      </c>
      <c r="L787" s="52"/>
      <c r="M787" s="52"/>
      <c r="N787" s="14">
        <f t="shared" si="151"/>
        <v>0</v>
      </c>
      <c r="O787" s="282"/>
    </row>
    <row r="788" spans="1:15" hidden="1">
      <c r="A788" s="3" t="s">
        <v>331</v>
      </c>
      <c r="B788" s="13">
        <v>0</v>
      </c>
      <c r="C788" s="13"/>
      <c r="D788" s="13"/>
      <c r="E788" s="13">
        <f t="shared" si="148"/>
        <v>0</v>
      </c>
      <c r="F788" s="13">
        <v>0</v>
      </c>
      <c r="G788" s="13">
        <f t="shared" si="149"/>
        <v>0</v>
      </c>
      <c r="H788" s="13">
        <v>0</v>
      </c>
      <c r="I788" s="48"/>
      <c r="J788" s="48"/>
      <c r="K788" s="20">
        <f t="shared" si="150"/>
        <v>0</v>
      </c>
      <c r="L788" s="52"/>
      <c r="M788" s="52"/>
      <c r="N788" s="14">
        <f>ROUND((K788*7.1/100)/12,0)</f>
        <v>0</v>
      </c>
      <c r="O788" s="282"/>
    </row>
    <row r="789" spans="1:15" hidden="1">
      <c r="A789" s="3" t="s">
        <v>332</v>
      </c>
      <c r="B789" s="15">
        <f t="shared" ref="B789:N789" si="152">SUM(B777:B788)</f>
        <v>7665</v>
      </c>
      <c r="C789" s="15"/>
      <c r="D789" s="15"/>
      <c r="E789" s="15">
        <f t="shared" si="152"/>
        <v>7665</v>
      </c>
      <c r="F789" s="15">
        <f t="shared" si="152"/>
        <v>0</v>
      </c>
      <c r="G789" s="15">
        <f t="shared" si="152"/>
        <v>15330</v>
      </c>
      <c r="H789" s="15">
        <f t="shared" si="152"/>
        <v>0</v>
      </c>
      <c r="I789" s="15"/>
      <c r="J789" s="15"/>
      <c r="K789" s="15">
        <f t="shared" si="152"/>
        <v>1255338</v>
      </c>
      <c r="L789" s="8"/>
      <c r="M789" s="8"/>
      <c r="N789" s="8">
        <f t="shared" si="152"/>
        <v>7428</v>
      </c>
      <c r="O789" s="282"/>
    </row>
    <row r="790" spans="1:15" hidden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6"/>
      <c r="L790" s="6"/>
      <c r="M790" s="6"/>
      <c r="N790" s="5"/>
    </row>
    <row r="791" spans="1:15" ht="15" hidden="1" thickBot="1">
      <c r="A791" s="5"/>
      <c r="B791" s="6"/>
      <c r="C791" s="6"/>
      <c r="D791" s="6"/>
      <c r="E791" s="5"/>
      <c r="F791" s="5"/>
      <c r="G791" s="211" t="s">
        <v>47</v>
      </c>
      <c r="H791" s="212"/>
      <c r="I791" s="212"/>
      <c r="J791" s="212"/>
      <c r="K791" s="213"/>
      <c r="L791" s="26"/>
      <c r="M791" s="26"/>
      <c r="N791" s="16">
        <f>N759</f>
        <v>408226</v>
      </c>
    </row>
    <row r="792" spans="1:15" ht="15" hidden="1" thickBot="1">
      <c r="A792" s="5"/>
      <c r="B792" s="5"/>
      <c r="C792" s="5"/>
      <c r="D792" s="5"/>
      <c r="E792" s="5"/>
      <c r="F792" s="5"/>
      <c r="G792" s="211" t="s">
        <v>48</v>
      </c>
      <c r="H792" s="212"/>
      <c r="I792" s="212"/>
      <c r="J792" s="212"/>
      <c r="K792" s="213"/>
      <c r="L792" s="26"/>
      <c r="M792" s="26"/>
      <c r="N792" s="16">
        <f>B789+F789</f>
        <v>7665</v>
      </c>
    </row>
    <row r="793" spans="1:15" ht="15" hidden="1" thickBot="1">
      <c r="A793" s="5"/>
      <c r="B793" s="5"/>
      <c r="C793" s="5"/>
      <c r="D793" s="5"/>
      <c r="E793" s="5"/>
      <c r="F793" s="5"/>
      <c r="G793" s="211" t="s">
        <v>349</v>
      </c>
      <c r="H793" s="212"/>
      <c r="I793" s="212"/>
      <c r="J793" s="212"/>
      <c r="K793" s="213"/>
      <c r="L793" s="26"/>
      <c r="M793" s="26"/>
      <c r="N793" s="16">
        <f>E789</f>
        <v>7665</v>
      </c>
    </row>
    <row r="794" spans="1:15" ht="15" hidden="1" thickBot="1">
      <c r="A794" s="5"/>
      <c r="B794" s="5"/>
      <c r="C794" s="5"/>
      <c r="D794" s="5"/>
      <c r="E794" s="5"/>
      <c r="F794" s="5"/>
      <c r="G794" s="211" t="s">
        <v>49</v>
      </c>
      <c r="H794" s="212"/>
      <c r="I794" s="212"/>
      <c r="J794" s="212"/>
      <c r="K794" s="213"/>
      <c r="L794" s="26"/>
      <c r="M794" s="26"/>
      <c r="N794" s="16">
        <f>SUM(N791:N793)</f>
        <v>423556</v>
      </c>
    </row>
    <row r="795" spans="1:15" ht="15" hidden="1" thickBot="1">
      <c r="A795" s="5"/>
      <c r="B795" s="5"/>
      <c r="C795" s="5"/>
      <c r="D795" s="5"/>
      <c r="E795" s="5"/>
      <c r="F795" s="5"/>
      <c r="G795" s="211" t="s">
        <v>50</v>
      </c>
      <c r="H795" s="212"/>
      <c r="I795" s="212"/>
      <c r="J795" s="212"/>
      <c r="K795" s="213"/>
      <c r="L795" s="26"/>
      <c r="M795" s="26"/>
      <c r="N795" s="16">
        <f>H789</f>
        <v>0</v>
      </c>
    </row>
    <row r="796" spans="1:15" ht="15" hidden="1" thickBot="1">
      <c r="A796" s="5"/>
      <c r="B796" s="5"/>
      <c r="C796" s="5"/>
      <c r="D796" s="5"/>
      <c r="E796" s="5"/>
      <c r="F796" s="5"/>
      <c r="G796" s="211" t="s">
        <v>51</v>
      </c>
      <c r="H796" s="212"/>
      <c r="I796" s="212"/>
      <c r="J796" s="212"/>
      <c r="K796" s="213"/>
      <c r="L796" s="26"/>
      <c r="M796" s="26"/>
      <c r="N796" s="16">
        <f>N789</f>
        <v>7428</v>
      </c>
    </row>
    <row r="797" spans="1:15" ht="15" hidden="1" thickBot="1">
      <c r="A797" s="5"/>
      <c r="B797" s="5"/>
      <c r="C797" s="5"/>
      <c r="D797" s="5"/>
      <c r="E797" s="5"/>
      <c r="F797" s="5"/>
      <c r="G797" s="211" t="s">
        <v>52</v>
      </c>
      <c r="H797" s="212"/>
      <c r="I797" s="212"/>
      <c r="J797" s="212"/>
      <c r="K797" s="213"/>
      <c r="L797" s="26"/>
      <c r="M797" s="26"/>
      <c r="N797" s="16">
        <f>(N794-N795)+N796</f>
        <v>430984</v>
      </c>
    </row>
    <row r="798" spans="1:15" hidden="1">
      <c r="A798" s="5"/>
      <c r="B798" s="5"/>
      <c r="C798" s="5"/>
      <c r="D798" s="5"/>
      <c r="E798" s="5"/>
      <c r="F798" s="5"/>
      <c r="G798" s="17"/>
      <c r="H798" s="17"/>
      <c r="I798" s="17"/>
      <c r="J798" s="17"/>
      <c r="K798" s="17"/>
      <c r="L798" s="17"/>
      <c r="M798" s="17"/>
      <c r="N798" s="6"/>
    </row>
    <row r="799" spans="1:15"/>
    <row r="800" spans="1:15"/>
    <row r="801" spans="1:14" ht="16.8" hidden="1">
      <c r="A801" s="249" t="s">
        <v>53</v>
      </c>
      <c r="B801" s="249"/>
      <c r="C801" s="18"/>
      <c r="D801" s="18"/>
      <c r="E801" s="249" t="s">
        <v>54</v>
      </c>
      <c r="F801" s="249"/>
      <c r="G801" s="249"/>
      <c r="H801" s="250" t="s">
        <v>55</v>
      </c>
      <c r="I801" s="250"/>
      <c r="J801" s="250"/>
      <c r="K801" s="250"/>
      <c r="L801" s="250"/>
      <c r="M801" s="250"/>
      <c r="N801" s="250"/>
    </row>
    <row r="802" spans="1:14"/>
    <row r="803" spans="1:14"/>
    <row r="804" spans="1:14"/>
    <row r="805" spans="1:14"/>
    <row r="806" spans="1:14"/>
    <row r="807" spans="1:14"/>
    <row r="808" spans="1:14"/>
    <row r="809" spans="1:14"/>
  </sheetData>
  <mergeCells count="552">
    <mergeCell ref="G796:K796"/>
    <mergeCell ref="G797:K797"/>
    <mergeCell ref="A801:B801"/>
    <mergeCell ref="E801:G801"/>
    <mergeCell ref="H801:N801"/>
    <mergeCell ref="O777:O789"/>
    <mergeCell ref="G791:K791"/>
    <mergeCell ref="G792:K792"/>
    <mergeCell ref="G793:K793"/>
    <mergeCell ref="G794:K794"/>
    <mergeCell ref="G795:K795"/>
    <mergeCell ref="A767:O767"/>
    <mergeCell ref="A769:N769"/>
    <mergeCell ref="F770:N770"/>
    <mergeCell ref="F772:G772"/>
    <mergeCell ref="K772:N772"/>
    <mergeCell ref="G774:H774"/>
    <mergeCell ref="K774:N774"/>
    <mergeCell ref="G758:K758"/>
    <mergeCell ref="G759:K759"/>
    <mergeCell ref="A763:B763"/>
    <mergeCell ref="E763:G763"/>
    <mergeCell ref="H763:N763"/>
    <mergeCell ref="A766:O766"/>
    <mergeCell ref="O739:O751"/>
    <mergeCell ref="G753:K753"/>
    <mergeCell ref="G754:K754"/>
    <mergeCell ref="G755:K755"/>
    <mergeCell ref="G756:K756"/>
    <mergeCell ref="G757:K757"/>
    <mergeCell ref="A729:O729"/>
    <mergeCell ref="A731:N731"/>
    <mergeCell ref="F732:N732"/>
    <mergeCell ref="F734:G734"/>
    <mergeCell ref="K734:N734"/>
    <mergeCell ref="G736:H736"/>
    <mergeCell ref="K736:N736"/>
    <mergeCell ref="G720:K720"/>
    <mergeCell ref="G721:K721"/>
    <mergeCell ref="A725:B725"/>
    <mergeCell ref="E725:G725"/>
    <mergeCell ref="H725:N725"/>
    <mergeCell ref="A728:O728"/>
    <mergeCell ref="O701:O713"/>
    <mergeCell ref="G715:K715"/>
    <mergeCell ref="G716:K716"/>
    <mergeCell ref="G717:K717"/>
    <mergeCell ref="G718:K718"/>
    <mergeCell ref="G719:K719"/>
    <mergeCell ref="A693:N693"/>
    <mergeCell ref="F694:N694"/>
    <mergeCell ref="F696:G696"/>
    <mergeCell ref="K696:N696"/>
    <mergeCell ref="G698:H698"/>
    <mergeCell ref="K698:N698"/>
    <mergeCell ref="G683:K683"/>
    <mergeCell ref="A687:B687"/>
    <mergeCell ref="E687:G687"/>
    <mergeCell ref="H687:N687"/>
    <mergeCell ref="A690:O690"/>
    <mergeCell ref="A691:O691"/>
    <mergeCell ref="G677:K677"/>
    <mergeCell ref="G678:K678"/>
    <mergeCell ref="G679:K679"/>
    <mergeCell ref="G680:K680"/>
    <mergeCell ref="G681:K681"/>
    <mergeCell ref="G682:K682"/>
    <mergeCell ref="F656:N656"/>
    <mergeCell ref="F658:G658"/>
    <mergeCell ref="K658:N658"/>
    <mergeCell ref="G660:H660"/>
    <mergeCell ref="K660:N660"/>
    <mergeCell ref="O663:O674"/>
    <mergeCell ref="A649:B649"/>
    <mergeCell ref="E649:G649"/>
    <mergeCell ref="H649:N649"/>
    <mergeCell ref="A652:O652"/>
    <mergeCell ref="A653:O653"/>
    <mergeCell ref="A655:N655"/>
    <mergeCell ref="G640:K640"/>
    <mergeCell ref="G641:K641"/>
    <mergeCell ref="G642:K642"/>
    <mergeCell ref="G643:K643"/>
    <mergeCell ref="G644:K644"/>
    <mergeCell ref="G645:K645"/>
    <mergeCell ref="G622:H622"/>
    <mergeCell ref="K622:N622"/>
    <mergeCell ref="O625:O627"/>
    <mergeCell ref="O628:O630"/>
    <mergeCell ref="O631:O636"/>
    <mergeCell ref="G639:K639"/>
    <mergeCell ref="A614:O614"/>
    <mergeCell ref="A615:O615"/>
    <mergeCell ref="A617:N617"/>
    <mergeCell ref="F618:N618"/>
    <mergeCell ref="F620:G620"/>
    <mergeCell ref="K620:N620"/>
    <mergeCell ref="G605:K605"/>
    <mergeCell ref="G606:K606"/>
    <mergeCell ref="G607:K607"/>
    <mergeCell ref="A611:B611"/>
    <mergeCell ref="E611:G611"/>
    <mergeCell ref="H611:N611"/>
    <mergeCell ref="O587:O589"/>
    <mergeCell ref="O590:O598"/>
    <mergeCell ref="G601:K601"/>
    <mergeCell ref="G602:K602"/>
    <mergeCell ref="G603:K603"/>
    <mergeCell ref="G604:K604"/>
    <mergeCell ref="A577:O577"/>
    <mergeCell ref="A579:N579"/>
    <mergeCell ref="F580:N580"/>
    <mergeCell ref="F582:G582"/>
    <mergeCell ref="K582:N582"/>
    <mergeCell ref="G584:H584"/>
    <mergeCell ref="K584:N584"/>
    <mergeCell ref="G568:K568"/>
    <mergeCell ref="G569:K569"/>
    <mergeCell ref="A573:B573"/>
    <mergeCell ref="E573:G573"/>
    <mergeCell ref="H573:N573"/>
    <mergeCell ref="A576:O576"/>
    <mergeCell ref="O555:O560"/>
    <mergeCell ref="G563:K563"/>
    <mergeCell ref="G564:K564"/>
    <mergeCell ref="G565:K565"/>
    <mergeCell ref="G566:K566"/>
    <mergeCell ref="G567:K567"/>
    <mergeCell ref="F542:N542"/>
    <mergeCell ref="F544:G544"/>
    <mergeCell ref="K544:N544"/>
    <mergeCell ref="G546:H546"/>
    <mergeCell ref="K546:N546"/>
    <mergeCell ref="O549:O554"/>
    <mergeCell ref="A535:B535"/>
    <mergeCell ref="E535:G535"/>
    <mergeCell ref="H535:N535"/>
    <mergeCell ref="A538:O538"/>
    <mergeCell ref="A539:O539"/>
    <mergeCell ref="A541:N541"/>
    <mergeCell ref="G526:K526"/>
    <mergeCell ref="G527:K527"/>
    <mergeCell ref="G528:K528"/>
    <mergeCell ref="G529:K529"/>
    <mergeCell ref="G530:K530"/>
    <mergeCell ref="G531:K531"/>
    <mergeCell ref="G508:H508"/>
    <mergeCell ref="K508:N508"/>
    <mergeCell ref="O511:O513"/>
    <mergeCell ref="O514:O519"/>
    <mergeCell ref="O520:O522"/>
    <mergeCell ref="G525:K525"/>
    <mergeCell ref="A500:O500"/>
    <mergeCell ref="A501:O501"/>
    <mergeCell ref="A503:N503"/>
    <mergeCell ref="F504:N504"/>
    <mergeCell ref="F506:G506"/>
    <mergeCell ref="K506:N506"/>
    <mergeCell ref="G491:K491"/>
    <mergeCell ref="G492:K492"/>
    <mergeCell ref="G493:K493"/>
    <mergeCell ref="A497:B497"/>
    <mergeCell ref="E497:G497"/>
    <mergeCell ref="H497:N497"/>
    <mergeCell ref="O473:O478"/>
    <mergeCell ref="O479:O484"/>
    <mergeCell ref="G487:K487"/>
    <mergeCell ref="G488:K488"/>
    <mergeCell ref="G489:K489"/>
    <mergeCell ref="G490:K490"/>
    <mergeCell ref="A463:O463"/>
    <mergeCell ref="A465:N465"/>
    <mergeCell ref="F466:N466"/>
    <mergeCell ref="F468:G468"/>
    <mergeCell ref="K468:N468"/>
    <mergeCell ref="G470:H470"/>
    <mergeCell ref="K470:N470"/>
    <mergeCell ref="G454:K454"/>
    <mergeCell ref="G455:K455"/>
    <mergeCell ref="A459:B459"/>
    <mergeCell ref="E459:G459"/>
    <mergeCell ref="H459:N459"/>
    <mergeCell ref="A462:O462"/>
    <mergeCell ref="O435:O446"/>
    <mergeCell ref="G449:K449"/>
    <mergeCell ref="G450:K450"/>
    <mergeCell ref="G451:K451"/>
    <mergeCell ref="G452:K452"/>
    <mergeCell ref="G453:K453"/>
    <mergeCell ref="A425:O425"/>
    <mergeCell ref="A427:N427"/>
    <mergeCell ref="F428:N428"/>
    <mergeCell ref="F430:G430"/>
    <mergeCell ref="K430:N430"/>
    <mergeCell ref="G432:H432"/>
    <mergeCell ref="K432:N432"/>
    <mergeCell ref="G416:K416"/>
    <mergeCell ref="G417:K417"/>
    <mergeCell ref="A421:B421"/>
    <mergeCell ref="E421:G421"/>
    <mergeCell ref="H421:N421"/>
    <mergeCell ref="A424:O424"/>
    <mergeCell ref="O397:O408"/>
    <mergeCell ref="G411:K411"/>
    <mergeCell ref="G412:K412"/>
    <mergeCell ref="G413:K413"/>
    <mergeCell ref="G414:K414"/>
    <mergeCell ref="G415:K415"/>
    <mergeCell ref="A387:O387"/>
    <mergeCell ref="A389:N389"/>
    <mergeCell ref="F390:N390"/>
    <mergeCell ref="F392:G392"/>
    <mergeCell ref="K392:N392"/>
    <mergeCell ref="G394:H394"/>
    <mergeCell ref="K394:N394"/>
    <mergeCell ref="G378:K378"/>
    <mergeCell ref="G379:K379"/>
    <mergeCell ref="A383:B383"/>
    <mergeCell ref="E383:G383"/>
    <mergeCell ref="H383:N383"/>
    <mergeCell ref="A386:O386"/>
    <mergeCell ref="O359:O370"/>
    <mergeCell ref="G373:K373"/>
    <mergeCell ref="G374:K374"/>
    <mergeCell ref="G375:K375"/>
    <mergeCell ref="G376:K376"/>
    <mergeCell ref="G377:K377"/>
    <mergeCell ref="A349:O349"/>
    <mergeCell ref="A351:N351"/>
    <mergeCell ref="F352:N352"/>
    <mergeCell ref="F354:G354"/>
    <mergeCell ref="K354:N354"/>
    <mergeCell ref="G356:H356"/>
    <mergeCell ref="K356:N356"/>
    <mergeCell ref="G333:K333"/>
    <mergeCell ref="G334:K334"/>
    <mergeCell ref="A345:B345"/>
    <mergeCell ref="E345:G345"/>
    <mergeCell ref="H345:N345"/>
    <mergeCell ref="A348:O348"/>
    <mergeCell ref="G327:K327"/>
    <mergeCell ref="G328:K328"/>
    <mergeCell ref="G329:K329"/>
    <mergeCell ref="G330:K330"/>
    <mergeCell ref="G331:K331"/>
    <mergeCell ref="G332:K332"/>
    <mergeCell ref="O308:O309"/>
    <mergeCell ref="O310:O321"/>
    <mergeCell ref="G324:K324"/>
    <mergeCell ref="G325:K325"/>
    <mergeCell ref="G326:K326"/>
    <mergeCell ref="H308:H309"/>
    <mergeCell ref="I308:I309"/>
    <mergeCell ref="J308:J309"/>
    <mergeCell ref="K308:K309"/>
    <mergeCell ref="L308:L309"/>
    <mergeCell ref="M308:M309"/>
    <mergeCell ref="F302:N302"/>
    <mergeCell ref="F304:G304"/>
    <mergeCell ref="K304:N304"/>
    <mergeCell ref="G306:H306"/>
    <mergeCell ref="K306:N306"/>
    <mergeCell ref="A308:A309"/>
    <mergeCell ref="B308:C308"/>
    <mergeCell ref="D308:E308"/>
    <mergeCell ref="F308:F309"/>
    <mergeCell ref="G308:G309"/>
    <mergeCell ref="N308:N309"/>
    <mergeCell ref="A295:B295"/>
    <mergeCell ref="E295:G295"/>
    <mergeCell ref="H295:N295"/>
    <mergeCell ref="A298:O298"/>
    <mergeCell ref="A299:O299"/>
    <mergeCell ref="A301:N301"/>
    <mergeCell ref="G285:K285"/>
    <mergeCell ref="G286:K286"/>
    <mergeCell ref="G287:K287"/>
    <mergeCell ref="G288:K288"/>
    <mergeCell ref="G289:K289"/>
    <mergeCell ref="G290:K290"/>
    <mergeCell ref="O274:O277"/>
    <mergeCell ref="G280:K280"/>
    <mergeCell ref="G281:K281"/>
    <mergeCell ref="G282:K282"/>
    <mergeCell ref="G283:K283"/>
    <mergeCell ref="G284:K284"/>
    <mergeCell ref="G269:G272"/>
    <mergeCell ref="H269:H272"/>
    <mergeCell ref="I269:I272"/>
    <mergeCell ref="J269:J272"/>
    <mergeCell ref="K269:K272"/>
    <mergeCell ref="L269:L272"/>
    <mergeCell ref="O262:O273"/>
    <mergeCell ref="M266:M267"/>
    <mergeCell ref="N266:N267"/>
    <mergeCell ref="M269:M272"/>
    <mergeCell ref="N269:N272"/>
    <mergeCell ref="J266:J267"/>
    <mergeCell ref="K266:K267"/>
    <mergeCell ref="L266:L267"/>
    <mergeCell ref="G266:G267"/>
    <mergeCell ref="H266:H267"/>
    <mergeCell ref="I266:I267"/>
    <mergeCell ref="A266:A267"/>
    <mergeCell ref="B266:B267"/>
    <mergeCell ref="C266:C267"/>
    <mergeCell ref="D266:D267"/>
    <mergeCell ref="E266:E267"/>
    <mergeCell ref="F266:F267"/>
    <mergeCell ref="A269:A272"/>
    <mergeCell ref="B269:B272"/>
    <mergeCell ref="C269:C272"/>
    <mergeCell ref="D269:D272"/>
    <mergeCell ref="E269:E272"/>
    <mergeCell ref="F269:F272"/>
    <mergeCell ref="H258:J258"/>
    <mergeCell ref="K258:O258"/>
    <mergeCell ref="A260:A261"/>
    <mergeCell ref="B260:C260"/>
    <mergeCell ref="D260:E260"/>
    <mergeCell ref="F260:F261"/>
    <mergeCell ref="G260:G261"/>
    <mergeCell ref="H260:H261"/>
    <mergeCell ref="I260:I261"/>
    <mergeCell ref="J260:J261"/>
    <mergeCell ref="K260:K261"/>
    <mergeCell ref="L260:L261"/>
    <mergeCell ref="M260:M261"/>
    <mergeCell ref="N260:N261"/>
    <mergeCell ref="O260:O261"/>
    <mergeCell ref="A250:O250"/>
    <mergeCell ref="A251:O251"/>
    <mergeCell ref="A253:N253"/>
    <mergeCell ref="E254:F254"/>
    <mergeCell ref="H254:O254"/>
    <mergeCell ref="I256:O256"/>
    <mergeCell ref="G239:K239"/>
    <mergeCell ref="G240:K240"/>
    <mergeCell ref="G241:K241"/>
    <mergeCell ref="G242:K242"/>
    <mergeCell ref="G243:K243"/>
    <mergeCell ref="A247:B247"/>
    <mergeCell ref="E247:G247"/>
    <mergeCell ref="H247:N247"/>
    <mergeCell ref="G233:K233"/>
    <mergeCell ref="G234:K234"/>
    <mergeCell ref="G235:K235"/>
    <mergeCell ref="G236:K236"/>
    <mergeCell ref="G237:K237"/>
    <mergeCell ref="G238:K238"/>
    <mergeCell ref="I219:I220"/>
    <mergeCell ref="J219:J220"/>
    <mergeCell ref="K219:K220"/>
    <mergeCell ref="L219:L220"/>
    <mergeCell ref="M219:M220"/>
    <mergeCell ref="N219:N220"/>
    <mergeCell ref="O216:O217"/>
    <mergeCell ref="O218:O231"/>
    <mergeCell ref="A219:A220"/>
    <mergeCell ref="B219:B220"/>
    <mergeCell ref="C219:C220"/>
    <mergeCell ref="D219:D220"/>
    <mergeCell ref="E219:E220"/>
    <mergeCell ref="F219:F220"/>
    <mergeCell ref="G219:G220"/>
    <mergeCell ref="H219:H220"/>
    <mergeCell ref="I216:I217"/>
    <mergeCell ref="J216:J217"/>
    <mergeCell ref="K216:K217"/>
    <mergeCell ref="L216:L217"/>
    <mergeCell ref="M216:M217"/>
    <mergeCell ref="N216:N217"/>
    <mergeCell ref="A216:A217"/>
    <mergeCell ref="B216:C216"/>
    <mergeCell ref="D216:E216"/>
    <mergeCell ref="F216:F217"/>
    <mergeCell ref="G216:G217"/>
    <mergeCell ref="H216:H217"/>
    <mergeCell ref="A209:N209"/>
    <mergeCell ref="E210:F210"/>
    <mergeCell ref="H210:O210"/>
    <mergeCell ref="I212:O212"/>
    <mergeCell ref="H214:J214"/>
    <mergeCell ref="K214:O214"/>
    <mergeCell ref="G199:K199"/>
    <mergeCell ref="A203:B203"/>
    <mergeCell ref="E203:G203"/>
    <mergeCell ref="H203:N203"/>
    <mergeCell ref="A206:O206"/>
    <mergeCell ref="A207:O207"/>
    <mergeCell ref="G193:K193"/>
    <mergeCell ref="G194:K194"/>
    <mergeCell ref="G195:K195"/>
    <mergeCell ref="G196:K196"/>
    <mergeCell ref="G197:K197"/>
    <mergeCell ref="G198:K198"/>
    <mergeCell ref="O173:O174"/>
    <mergeCell ref="O175:O186"/>
    <mergeCell ref="G189:K189"/>
    <mergeCell ref="G190:K190"/>
    <mergeCell ref="G191:K191"/>
    <mergeCell ref="G192:K192"/>
    <mergeCell ref="I173:I174"/>
    <mergeCell ref="J173:J174"/>
    <mergeCell ref="K173:K174"/>
    <mergeCell ref="L173:L174"/>
    <mergeCell ref="M173:M174"/>
    <mergeCell ref="N173:N174"/>
    <mergeCell ref="A173:A174"/>
    <mergeCell ref="B173:C173"/>
    <mergeCell ref="D173:E173"/>
    <mergeCell ref="F173:F174"/>
    <mergeCell ref="G173:G174"/>
    <mergeCell ref="H173:H174"/>
    <mergeCell ref="A166:N166"/>
    <mergeCell ref="E167:F167"/>
    <mergeCell ref="H167:O167"/>
    <mergeCell ref="I169:O169"/>
    <mergeCell ref="H171:J171"/>
    <mergeCell ref="K171:O171"/>
    <mergeCell ref="G156:K156"/>
    <mergeCell ref="A160:B160"/>
    <mergeCell ref="E160:G160"/>
    <mergeCell ref="H160:N160"/>
    <mergeCell ref="A163:O163"/>
    <mergeCell ref="A164:O164"/>
    <mergeCell ref="G150:K150"/>
    <mergeCell ref="G151:K151"/>
    <mergeCell ref="G152:K152"/>
    <mergeCell ref="G153:K153"/>
    <mergeCell ref="G154:K154"/>
    <mergeCell ref="G155:K155"/>
    <mergeCell ref="O132:O143"/>
    <mergeCell ref="G146:K146"/>
    <mergeCell ref="G147:K147"/>
    <mergeCell ref="G148:K148"/>
    <mergeCell ref="G149:K149"/>
    <mergeCell ref="I130:I131"/>
    <mergeCell ref="J130:J131"/>
    <mergeCell ref="K130:K131"/>
    <mergeCell ref="L130:L131"/>
    <mergeCell ref="M130:M131"/>
    <mergeCell ref="N130:N131"/>
    <mergeCell ref="A130:A131"/>
    <mergeCell ref="B130:C130"/>
    <mergeCell ref="D130:E130"/>
    <mergeCell ref="F130:F131"/>
    <mergeCell ref="G130:G131"/>
    <mergeCell ref="H130:H131"/>
    <mergeCell ref="A123:N123"/>
    <mergeCell ref="E124:F124"/>
    <mergeCell ref="H124:O124"/>
    <mergeCell ref="I126:O126"/>
    <mergeCell ref="H128:J128"/>
    <mergeCell ref="K128:O128"/>
    <mergeCell ref="O130:O131"/>
    <mergeCell ref="G113:K113"/>
    <mergeCell ref="A117:B117"/>
    <mergeCell ref="E117:G117"/>
    <mergeCell ref="H117:N117"/>
    <mergeCell ref="A120:O120"/>
    <mergeCell ref="A121:O121"/>
    <mergeCell ref="G107:K107"/>
    <mergeCell ref="G108:K108"/>
    <mergeCell ref="G109:K109"/>
    <mergeCell ref="G110:K110"/>
    <mergeCell ref="G111:K111"/>
    <mergeCell ref="G112:K112"/>
    <mergeCell ref="O89:O100"/>
    <mergeCell ref="G103:K103"/>
    <mergeCell ref="G104:K104"/>
    <mergeCell ref="G105:K105"/>
    <mergeCell ref="G106:K106"/>
    <mergeCell ref="I87:I88"/>
    <mergeCell ref="J87:J88"/>
    <mergeCell ref="K87:K88"/>
    <mergeCell ref="L87:L88"/>
    <mergeCell ref="M87:M88"/>
    <mergeCell ref="N87:N88"/>
    <mergeCell ref="A87:A88"/>
    <mergeCell ref="B87:C87"/>
    <mergeCell ref="D87:E87"/>
    <mergeCell ref="F87:F88"/>
    <mergeCell ref="G87:G88"/>
    <mergeCell ref="H87:H88"/>
    <mergeCell ref="V84:W84"/>
    <mergeCell ref="AA84:AB84"/>
    <mergeCell ref="AD84:AE84"/>
    <mergeCell ref="H85:J85"/>
    <mergeCell ref="K85:O85"/>
    <mergeCell ref="V85:W85"/>
    <mergeCell ref="AA85:AB85"/>
    <mergeCell ref="AD85:AE85"/>
    <mergeCell ref="O87:O88"/>
    <mergeCell ref="V82:W82"/>
    <mergeCell ref="AA82:AB82"/>
    <mergeCell ref="AD82:AE82"/>
    <mergeCell ref="I83:O83"/>
    <mergeCell ref="AA83:AB83"/>
    <mergeCell ref="AD83:AE83"/>
    <mergeCell ref="A80:N80"/>
    <mergeCell ref="AA80:AB80"/>
    <mergeCell ref="AD80:AE80"/>
    <mergeCell ref="E81:F81"/>
    <mergeCell ref="H81:O81"/>
    <mergeCell ref="V81:W81"/>
    <mergeCell ref="AA81:AB81"/>
    <mergeCell ref="AD81:AE81"/>
    <mergeCell ref="V77:W78"/>
    <mergeCell ref="AA77:AB78"/>
    <mergeCell ref="AD77:AE78"/>
    <mergeCell ref="A78:O78"/>
    <mergeCell ref="V79:W79"/>
    <mergeCell ref="AA79:AB79"/>
    <mergeCell ref="AD79:AE79"/>
    <mergeCell ref="G69:K69"/>
    <mergeCell ref="G70:K70"/>
    <mergeCell ref="A74:B74"/>
    <mergeCell ref="E74:G74"/>
    <mergeCell ref="H74:N74"/>
    <mergeCell ref="A77:O77"/>
    <mergeCell ref="O50:O61"/>
    <mergeCell ref="G64:K64"/>
    <mergeCell ref="G65:K65"/>
    <mergeCell ref="G66:K66"/>
    <mergeCell ref="G67:K67"/>
    <mergeCell ref="G68:K68"/>
    <mergeCell ref="A40:O40"/>
    <mergeCell ref="A42:N42"/>
    <mergeCell ref="F43:N43"/>
    <mergeCell ref="K45:N45"/>
    <mergeCell ref="G47:H47"/>
    <mergeCell ref="K47:N47"/>
    <mergeCell ref="A36:B36"/>
    <mergeCell ref="E36:G36"/>
    <mergeCell ref="H36:N36"/>
    <mergeCell ref="A39:O39"/>
    <mergeCell ref="O12:O23"/>
    <mergeCell ref="G26:K26"/>
    <mergeCell ref="G27:K27"/>
    <mergeCell ref="G28:K28"/>
    <mergeCell ref="G29:K29"/>
    <mergeCell ref="G30:K30"/>
    <mergeCell ref="A1:O1"/>
    <mergeCell ref="A2:O2"/>
    <mergeCell ref="A4:N4"/>
    <mergeCell ref="F5:N5"/>
    <mergeCell ref="K7:N7"/>
    <mergeCell ref="G9:H9"/>
    <mergeCell ref="K9:N9"/>
    <mergeCell ref="G31:K31"/>
    <mergeCell ref="G32:K32"/>
  </mergeCells>
  <pageMargins left="0.7" right="0.7" top="0.75" bottom="0.75" header="0.3" footer="0.3"/>
  <pageSetup paperSize="9" scale="96" orientation="portrait" verticalDpi="0" r:id="rId1"/>
  <rowBreaks count="19" manualBreakCount="19">
    <brk id="37" max="16383" man="1"/>
    <brk id="75" max="16383" man="1"/>
    <brk id="118" max="16383" man="1"/>
    <brk id="161" max="16383" man="1"/>
    <brk id="204" max="16383" man="1"/>
    <brk id="248" max="16383" man="1"/>
    <brk id="296" max="16383" man="1"/>
    <brk id="346" max="16383" man="1"/>
    <brk id="384" max="16383" man="1"/>
    <brk id="422" max="16383" man="1"/>
    <brk id="460" max="16383" man="1"/>
    <brk id="498" max="16383" man="1"/>
    <brk id="536" max="16383" man="1"/>
    <brk id="574" max="16383" man="1"/>
    <brk id="612" max="16383" man="1"/>
    <brk id="650" max="16383" man="1"/>
    <brk id="688" max="16383" man="1"/>
    <brk id="726" max="16383" man="1"/>
    <brk id="76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Lt. Ganesh Mahajan-9255 (Final)</vt:lpstr>
      <vt:lpstr>Voucher Details</vt:lpstr>
      <vt:lpstr>Diff. Caln.1-Jun 07 to Mar 09</vt:lpstr>
      <vt:lpstr>Diff. Caln.2-Jun 07 to Jun 10</vt:lpstr>
      <vt:lpstr>DADiff. Caln.3-Jan 09 to Oct 09</vt:lpstr>
      <vt:lpstr>Diff. Caln.4-Nov 09 to Jul 11</vt:lpstr>
      <vt:lpstr>DADiff.Caln.3n4-Jan 09toJul 11</vt:lpstr>
      <vt:lpstr>Diff. Caln.5-Jun 07 to Mar 09</vt:lpstr>
      <vt:lpstr>Lt. Ganesh Mahajan - 9255</vt:lpstr>
      <vt:lpstr>Lt. Ganesh Mahajan - 9255 (2)</vt:lpstr>
      <vt:lpstr>'Lt. Ganesh Mahajan-9255 (Final)'!Print_Area</vt:lpstr>
      <vt:lpstr>'Voucher Details'!Print_Area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NMC Cafo</cp:lastModifiedBy>
  <cp:lastPrinted>2025-07-07T12:28:36Z</cp:lastPrinted>
  <dcterms:created xsi:type="dcterms:W3CDTF">2024-10-25T21:04:01Z</dcterms:created>
  <dcterms:modified xsi:type="dcterms:W3CDTF">2026-04-05T17:06:31Z</dcterms:modified>
</cp:coreProperties>
</file>